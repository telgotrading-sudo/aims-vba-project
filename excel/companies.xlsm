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079e7a6b60e0749/ExcelGitProjects/aims-vba-project/"/>
    </mc:Choice>
  </mc:AlternateContent>
  <xr:revisionPtr revIDLastSave="0" documentId="8_{B18BDBD4-29E8-40A9-9550-52E7A9545C8A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bci" sheetId="7" r:id="rId1"/>
    <sheet name="psgam" sheetId="10" r:id="rId2"/>
    <sheet name="investec" sheetId="5" r:id="rId3"/>
    <sheet name="Sanlam" sheetId="11" r:id="rId4"/>
    <sheet name="moriah global" sheetId="14" r:id="rId5"/>
    <sheet name="clientlist" sheetId="4" r:id="rId6"/>
    <sheet name="Momentum" sheetId="8" r:id="rId7"/>
    <sheet name="kfhf" sheetId="6" r:id="rId8"/>
    <sheet name="Quantum Fund" sheetId="13" r:id="rId9"/>
    <sheet name="xhilarator global" sheetId="12" r:id="rId10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14" l="1"/>
  <c r="H253" i="14"/>
  <c r="I50" i="14"/>
  <c r="H50" i="14"/>
  <c r="I34" i="14"/>
  <c r="H34" i="14"/>
  <c r="I125" i="14"/>
  <c r="H125" i="14"/>
  <c r="H8" i="14"/>
  <c r="I8" i="14"/>
  <c r="I202" i="14"/>
  <c r="H202" i="14"/>
  <c r="I124" i="14"/>
  <c r="H124" i="14"/>
  <c r="I120" i="14"/>
  <c r="H120" i="14"/>
  <c r="I89" i="14"/>
  <c r="H89" i="14"/>
  <c r="I49" i="14"/>
  <c r="H49" i="14"/>
  <c r="I252" i="14"/>
  <c r="H252" i="14"/>
  <c r="I251" i="14"/>
  <c r="H251" i="14"/>
  <c r="I250" i="14"/>
  <c r="H250" i="14"/>
  <c r="I248" i="14"/>
  <c r="H248" i="14"/>
  <c r="I135" i="14"/>
  <c r="H135" i="14"/>
  <c r="I77" i="14"/>
  <c r="H77" i="14"/>
  <c r="I63" i="14"/>
  <c r="H63" i="14"/>
  <c r="F441" i="4"/>
  <c r="E441" i="4"/>
  <c r="G441" i="4" s="1"/>
  <c r="I249" i="14"/>
  <c r="H249" i="14"/>
  <c r="I247" i="14"/>
  <c r="H247" i="14"/>
  <c r="I246" i="14"/>
  <c r="H246" i="14"/>
  <c r="I244" i="14"/>
  <c r="H244" i="14"/>
  <c r="F442" i="4"/>
  <c r="E442" i="4"/>
  <c r="G442" i="4" s="1"/>
  <c r="F438" i="4"/>
  <c r="E438" i="4"/>
  <c r="I245" i="14"/>
  <c r="H245" i="14"/>
  <c r="F440" i="4"/>
  <c r="E440" i="4"/>
  <c r="I243" i="14"/>
  <c r="H243" i="14"/>
  <c r="I62" i="14"/>
  <c r="H62" i="14"/>
  <c r="I48" i="14"/>
  <c r="H48" i="14"/>
  <c r="F439" i="4"/>
  <c r="E439" i="4"/>
  <c r="G439" i="4" s="1"/>
  <c r="I81" i="14"/>
  <c r="H81" i="14"/>
  <c r="I73" i="14"/>
  <c r="H73" i="14"/>
  <c r="G440" i="4" l="1"/>
  <c r="G438" i="4"/>
  <c r="I215" i="14"/>
  <c r="H215" i="14"/>
  <c r="I212" i="14"/>
  <c r="H212" i="14"/>
  <c r="I158" i="14"/>
  <c r="H158" i="14"/>
  <c r="I33" i="14"/>
  <c r="H33" i="14"/>
  <c r="I28" i="14"/>
  <c r="H28" i="14"/>
  <c r="I242" i="14"/>
  <c r="H242" i="14"/>
  <c r="I241" i="14"/>
  <c r="H241" i="14"/>
  <c r="I201" i="14"/>
  <c r="H201" i="14"/>
  <c r="I185" i="14"/>
  <c r="H185" i="14"/>
  <c r="F437" i="4"/>
  <c r="E437" i="4"/>
  <c r="I240" i="14"/>
  <c r="H240" i="14"/>
  <c r="I59" i="14"/>
  <c r="H59" i="14"/>
  <c r="I216" i="14"/>
  <c r="H216" i="14"/>
  <c r="I193" i="14"/>
  <c r="H193" i="14"/>
  <c r="I192" i="14"/>
  <c r="H192" i="14"/>
  <c r="I112" i="14"/>
  <c r="H112" i="14"/>
  <c r="I152" i="14"/>
  <c r="H152" i="14"/>
  <c r="I53" i="14"/>
  <c r="H53" i="14"/>
  <c r="H2" i="14"/>
  <c r="I2" i="14"/>
  <c r="H3" i="14"/>
  <c r="I3" i="14"/>
  <c r="H4" i="14"/>
  <c r="I4" i="14"/>
  <c r="H5" i="14"/>
  <c r="I5" i="14"/>
  <c r="H6" i="14"/>
  <c r="I6" i="14"/>
  <c r="H7" i="14"/>
  <c r="I7" i="14"/>
  <c r="H9" i="14"/>
  <c r="I9" i="14"/>
  <c r="H10" i="14"/>
  <c r="I10" i="14"/>
  <c r="H11" i="14"/>
  <c r="I11" i="14"/>
  <c r="H12" i="14"/>
  <c r="I12" i="14"/>
  <c r="H13" i="14"/>
  <c r="I13" i="14"/>
  <c r="H14" i="14"/>
  <c r="I14" i="14"/>
  <c r="H15" i="14"/>
  <c r="I15" i="14"/>
  <c r="H16" i="14"/>
  <c r="I16" i="14"/>
  <c r="H17" i="14"/>
  <c r="I17" i="14"/>
  <c r="H18" i="14"/>
  <c r="I18" i="14"/>
  <c r="H19" i="14"/>
  <c r="I19" i="14"/>
  <c r="H20" i="14"/>
  <c r="I20" i="14"/>
  <c r="H21" i="14"/>
  <c r="I21" i="14"/>
  <c r="H22" i="14"/>
  <c r="I22" i="14"/>
  <c r="H23" i="14"/>
  <c r="I23" i="14"/>
  <c r="H24" i="14"/>
  <c r="I24" i="14"/>
  <c r="H25" i="14"/>
  <c r="I25" i="14"/>
  <c r="H26" i="14"/>
  <c r="I26" i="14"/>
  <c r="H27" i="14"/>
  <c r="I27" i="14"/>
  <c r="H29" i="14"/>
  <c r="I29" i="14"/>
  <c r="H30" i="14"/>
  <c r="I30" i="14"/>
  <c r="H31" i="14"/>
  <c r="I31" i="14"/>
  <c r="H32" i="14"/>
  <c r="I32" i="14"/>
  <c r="H35" i="14"/>
  <c r="I35" i="14"/>
  <c r="H36" i="14"/>
  <c r="I36" i="14"/>
  <c r="H37" i="14"/>
  <c r="I37" i="14"/>
  <c r="H38" i="14"/>
  <c r="I38" i="14"/>
  <c r="H39" i="14"/>
  <c r="I39" i="14"/>
  <c r="H40" i="14"/>
  <c r="I40" i="14"/>
  <c r="H41" i="14"/>
  <c r="I41" i="14"/>
  <c r="H42" i="14"/>
  <c r="I42" i="14"/>
  <c r="H43" i="14"/>
  <c r="I43" i="14"/>
  <c r="H44" i="14"/>
  <c r="I44" i="14"/>
  <c r="H45" i="14"/>
  <c r="I45" i="14"/>
  <c r="H46" i="14"/>
  <c r="I46" i="14"/>
  <c r="H47" i="14"/>
  <c r="I47" i="14"/>
  <c r="H51" i="14"/>
  <c r="I51" i="14"/>
  <c r="H52" i="14"/>
  <c r="I52" i="14"/>
  <c r="H54" i="14"/>
  <c r="I54" i="14"/>
  <c r="H55" i="14"/>
  <c r="I55" i="14"/>
  <c r="H56" i="14"/>
  <c r="I56" i="14"/>
  <c r="H57" i="14"/>
  <c r="I57" i="14"/>
  <c r="H58" i="14"/>
  <c r="I58" i="14"/>
  <c r="H60" i="14"/>
  <c r="I60" i="14"/>
  <c r="H61" i="14"/>
  <c r="I61" i="14"/>
  <c r="H64" i="14"/>
  <c r="I64" i="14"/>
  <c r="H65" i="14"/>
  <c r="I65" i="14"/>
  <c r="H66" i="14"/>
  <c r="I66" i="14"/>
  <c r="H67" i="14"/>
  <c r="I67" i="14"/>
  <c r="H68" i="14"/>
  <c r="I68" i="14"/>
  <c r="H69" i="14"/>
  <c r="I69" i="14"/>
  <c r="H70" i="14"/>
  <c r="I70" i="14"/>
  <c r="H71" i="14"/>
  <c r="I71" i="14"/>
  <c r="H72" i="14"/>
  <c r="I72" i="14"/>
  <c r="H74" i="14"/>
  <c r="I74" i="14"/>
  <c r="H75" i="14"/>
  <c r="I75" i="14"/>
  <c r="H76" i="14"/>
  <c r="I76" i="14"/>
  <c r="H78" i="14"/>
  <c r="I78" i="14"/>
  <c r="H79" i="14"/>
  <c r="I79" i="14"/>
  <c r="H80" i="14"/>
  <c r="I80" i="14"/>
  <c r="H82" i="14"/>
  <c r="I82" i="14"/>
  <c r="H83" i="14"/>
  <c r="I83" i="14"/>
  <c r="H84" i="14"/>
  <c r="I84" i="14"/>
  <c r="H85" i="14"/>
  <c r="I85" i="14"/>
  <c r="H86" i="14"/>
  <c r="I86" i="14"/>
  <c r="H87" i="14"/>
  <c r="I87" i="14"/>
  <c r="H88" i="14"/>
  <c r="I88" i="14"/>
  <c r="H90" i="14"/>
  <c r="I90" i="14"/>
  <c r="H91" i="14"/>
  <c r="I91" i="14"/>
  <c r="H92" i="14"/>
  <c r="I92" i="14"/>
  <c r="H93" i="14"/>
  <c r="I93" i="14"/>
  <c r="H94" i="14"/>
  <c r="I94" i="14"/>
  <c r="H95" i="14"/>
  <c r="I95" i="14"/>
  <c r="H96" i="14"/>
  <c r="I96" i="14"/>
  <c r="H97" i="14"/>
  <c r="I97" i="14"/>
  <c r="H98" i="14"/>
  <c r="I98" i="14"/>
  <c r="H99" i="14"/>
  <c r="I99" i="14"/>
  <c r="H100" i="14"/>
  <c r="I100" i="14"/>
  <c r="H101" i="14"/>
  <c r="I101" i="14"/>
  <c r="H102" i="14"/>
  <c r="I102" i="14"/>
  <c r="H103" i="14"/>
  <c r="I103" i="14"/>
  <c r="H104" i="14"/>
  <c r="I104" i="14"/>
  <c r="H105" i="14"/>
  <c r="I105" i="14"/>
  <c r="H106" i="14"/>
  <c r="I106" i="14"/>
  <c r="H107" i="14"/>
  <c r="I107" i="14"/>
  <c r="H108" i="14"/>
  <c r="I108" i="14"/>
  <c r="H109" i="14"/>
  <c r="I109" i="14"/>
  <c r="H110" i="14"/>
  <c r="I110" i="14"/>
  <c r="H111" i="14"/>
  <c r="I111" i="14"/>
  <c r="H113" i="14"/>
  <c r="I113" i="14"/>
  <c r="H114" i="14"/>
  <c r="I114" i="14"/>
  <c r="H115" i="14"/>
  <c r="I115" i="14"/>
  <c r="H116" i="14"/>
  <c r="I116" i="14"/>
  <c r="H117" i="14"/>
  <c r="I117" i="14"/>
  <c r="H118" i="14"/>
  <c r="I118" i="14"/>
  <c r="H119" i="14"/>
  <c r="I119" i="14"/>
  <c r="H121" i="14"/>
  <c r="I121" i="14"/>
  <c r="H122" i="14"/>
  <c r="I122" i="14"/>
  <c r="H123" i="14"/>
  <c r="I123" i="14"/>
  <c r="H126" i="14"/>
  <c r="I126" i="14"/>
  <c r="H127" i="14"/>
  <c r="I127" i="14"/>
  <c r="H128" i="14"/>
  <c r="I128" i="14"/>
  <c r="H129" i="14"/>
  <c r="I129" i="14"/>
  <c r="H130" i="14"/>
  <c r="I130" i="14"/>
  <c r="H131" i="14"/>
  <c r="I131" i="14"/>
  <c r="H132" i="14"/>
  <c r="I132" i="14"/>
  <c r="H133" i="14"/>
  <c r="I133" i="14"/>
  <c r="H134" i="14"/>
  <c r="I134" i="14"/>
  <c r="H136" i="14"/>
  <c r="I136" i="14"/>
  <c r="H137" i="14"/>
  <c r="I137" i="14"/>
  <c r="H138" i="14"/>
  <c r="I138" i="14"/>
  <c r="H139" i="14"/>
  <c r="I139" i="14"/>
  <c r="H140" i="14"/>
  <c r="I140" i="14"/>
  <c r="H141" i="14"/>
  <c r="I141" i="14"/>
  <c r="H142" i="14"/>
  <c r="I142" i="14"/>
  <c r="H143" i="14"/>
  <c r="I143" i="14"/>
  <c r="H144" i="14"/>
  <c r="I144" i="14"/>
  <c r="H145" i="14"/>
  <c r="I145" i="14"/>
  <c r="H146" i="14"/>
  <c r="I146" i="14"/>
  <c r="H147" i="14"/>
  <c r="I147" i="14"/>
  <c r="H148" i="14"/>
  <c r="I148" i="14"/>
  <c r="H149" i="14"/>
  <c r="I149" i="14"/>
  <c r="H150" i="14"/>
  <c r="I150" i="14"/>
  <c r="H151" i="14"/>
  <c r="I151" i="14"/>
  <c r="H153" i="14"/>
  <c r="I153" i="14"/>
  <c r="H154" i="14"/>
  <c r="I154" i="14"/>
  <c r="H155" i="14"/>
  <c r="I155" i="14"/>
  <c r="H156" i="14"/>
  <c r="I156" i="14"/>
  <c r="H157" i="14"/>
  <c r="I157" i="14"/>
  <c r="H159" i="14"/>
  <c r="I159" i="14"/>
  <c r="H160" i="14"/>
  <c r="I160" i="14"/>
  <c r="H161" i="14"/>
  <c r="I161" i="14"/>
  <c r="H162" i="14"/>
  <c r="I162" i="14"/>
  <c r="H163" i="14"/>
  <c r="I163" i="14"/>
  <c r="H164" i="14"/>
  <c r="I164" i="14"/>
  <c r="H165" i="14"/>
  <c r="I165" i="14"/>
  <c r="H166" i="14"/>
  <c r="I166" i="14"/>
  <c r="H167" i="14"/>
  <c r="I167" i="14"/>
  <c r="H168" i="14"/>
  <c r="I168" i="14"/>
  <c r="H169" i="14"/>
  <c r="I169" i="14"/>
  <c r="H170" i="14"/>
  <c r="I170" i="14"/>
  <c r="H171" i="14"/>
  <c r="I171" i="14"/>
  <c r="H172" i="14"/>
  <c r="I172" i="14"/>
  <c r="H173" i="14"/>
  <c r="I173" i="14"/>
  <c r="H174" i="14"/>
  <c r="I174" i="14"/>
  <c r="H175" i="14"/>
  <c r="I175" i="14"/>
  <c r="H176" i="14"/>
  <c r="I176" i="14"/>
  <c r="H177" i="14"/>
  <c r="I177" i="14"/>
  <c r="H178" i="14"/>
  <c r="I178" i="14"/>
  <c r="H179" i="14"/>
  <c r="I179" i="14"/>
  <c r="H180" i="14"/>
  <c r="I180" i="14"/>
  <c r="H181" i="14"/>
  <c r="I181" i="14"/>
  <c r="H182" i="14"/>
  <c r="I182" i="14"/>
  <c r="H183" i="14"/>
  <c r="I183" i="14"/>
  <c r="H184" i="14"/>
  <c r="I184" i="14"/>
  <c r="H186" i="14"/>
  <c r="I186" i="14"/>
  <c r="H187" i="14"/>
  <c r="I187" i="14"/>
  <c r="H188" i="14"/>
  <c r="I188" i="14"/>
  <c r="H189" i="14"/>
  <c r="I189" i="14"/>
  <c r="H190" i="14"/>
  <c r="I190" i="14"/>
  <c r="H191" i="14"/>
  <c r="I191" i="14"/>
  <c r="H194" i="14"/>
  <c r="I194" i="14"/>
  <c r="H195" i="14"/>
  <c r="I195" i="14"/>
  <c r="H196" i="14"/>
  <c r="I196" i="14"/>
  <c r="H197" i="14"/>
  <c r="I197" i="14"/>
  <c r="H198" i="14"/>
  <c r="I198" i="14"/>
  <c r="H199" i="14"/>
  <c r="I199" i="14"/>
  <c r="H200" i="14"/>
  <c r="I200" i="14"/>
  <c r="H203" i="14"/>
  <c r="I203" i="14"/>
  <c r="H204" i="14"/>
  <c r="I204" i="14"/>
  <c r="H205" i="14"/>
  <c r="I205" i="14"/>
  <c r="H206" i="14"/>
  <c r="I206" i="14"/>
  <c r="H207" i="14"/>
  <c r="I207" i="14"/>
  <c r="H208" i="14"/>
  <c r="I208" i="14"/>
  <c r="H209" i="14"/>
  <c r="I209" i="14"/>
  <c r="H210" i="14"/>
  <c r="I210" i="14"/>
  <c r="H211" i="14"/>
  <c r="I211" i="14"/>
  <c r="H213" i="14"/>
  <c r="I213" i="14"/>
  <c r="H214" i="14"/>
  <c r="I214" i="14"/>
  <c r="H217" i="14"/>
  <c r="I217" i="14"/>
  <c r="H218" i="14"/>
  <c r="I218" i="14"/>
  <c r="H219" i="14"/>
  <c r="I219" i="14"/>
  <c r="H220" i="14"/>
  <c r="I220" i="14"/>
  <c r="H221" i="14"/>
  <c r="I221" i="14"/>
  <c r="H222" i="14"/>
  <c r="I222" i="14"/>
  <c r="H223" i="14"/>
  <c r="I223" i="14"/>
  <c r="H224" i="14"/>
  <c r="I224" i="14"/>
  <c r="H225" i="14"/>
  <c r="I225" i="14"/>
  <c r="H226" i="14"/>
  <c r="I226" i="14"/>
  <c r="H227" i="14"/>
  <c r="I227" i="14"/>
  <c r="H228" i="14"/>
  <c r="I228" i="14"/>
  <c r="H229" i="14"/>
  <c r="I229" i="14"/>
  <c r="H230" i="14"/>
  <c r="I230" i="14"/>
  <c r="H231" i="14"/>
  <c r="I231" i="14"/>
  <c r="H232" i="14"/>
  <c r="I232" i="14"/>
  <c r="H233" i="14"/>
  <c r="I233" i="14"/>
  <c r="H234" i="14"/>
  <c r="I234" i="14"/>
  <c r="H235" i="14"/>
  <c r="I235" i="14"/>
  <c r="H236" i="14"/>
  <c r="I236" i="14"/>
  <c r="H237" i="14"/>
  <c r="I237" i="14"/>
  <c r="H238" i="14"/>
  <c r="I238" i="14"/>
  <c r="H239" i="14"/>
  <c r="I239" i="14"/>
  <c r="G437" i="4" l="1"/>
  <c r="F436" i="4"/>
  <c r="E436" i="4"/>
  <c r="F435" i="4"/>
  <c r="E435" i="4"/>
  <c r="F434" i="4"/>
  <c r="E434" i="4"/>
  <c r="F433" i="4"/>
  <c r="E433" i="4"/>
  <c r="G432" i="4"/>
  <c r="G436" i="4" l="1"/>
  <c r="G435" i="4"/>
  <c r="G433" i="4"/>
  <c r="F429" i="4" l="1"/>
  <c r="E429" i="4"/>
  <c r="G434" i="4"/>
  <c r="F431" i="4"/>
  <c r="E431" i="4"/>
  <c r="F430" i="4"/>
  <c r="E430" i="4"/>
  <c r="F428" i="4"/>
  <c r="E428" i="4"/>
  <c r="F427" i="4"/>
  <c r="E427" i="4"/>
  <c r="F426" i="4"/>
  <c r="E426" i="4"/>
  <c r="G431" i="4" l="1"/>
  <c r="G429" i="4"/>
  <c r="G428" i="4"/>
  <c r="G430" i="4"/>
  <c r="G426" i="4"/>
  <c r="G427" i="4"/>
  <c r="F425" i="4"/>
  <c r="E425" i="4"/>
  <c r="G425" i="4" l="1"/>
  <c r="F358" i="4" l="1"/>
  <c r="E358" i="4"/>
  <c r="I5" i="11"/>
  <c r="J5" i="11" s="1"/>
  <c r="I2" i="11"/>
  <c r="J2" i="11" s="1"/>
  <c r="I4" i="11"/>
  <c r="J4" i="11" s="1"/>
  <c r="I3" i="11"/>
  <c r="J3" i="11" s="1"/>
  <c r="I6" i="11"/>
  <c r="J6" i="11" s="1"/>
  <c r="G358" i="4" l="1"/>
  <c r="I7" i="11"/>
  <c r="J7" i="11" s="1"/>
  <c r="J2" i="8"/>
  <c r="J7" i="5"/>
  <c r="H7" i="5"/>
  <c r="J6" i="5"/>
  <c r="H6" i="5"/>
  <c r="J5" i="5"/>
  <c r="H5" i="5"/>
  <c r="J4" i="5"/>
  <c r="H4" i="5"/>
  <c r="J3" i="5"/>
  <c r="H3" i="5"/>
  <c r="J2" i="5"/>
  <c r="H2" i="5"/>
  <c r="I3" i="10"/>
  <c r="J3" i="10" s="1"/>
  <c r="I5" i="10"/>
  <c r="J5" i="10" s="1"/>
  <c r="I4" i="10"/>
  <c r="J4" i="10" s="1"/>
  <c r="I2" i="10"/>
  <c r="J2" i="10" s="1"/>
  <c r="I8" i="10"/>
  <c r="J8" i="10" s="1"/>
  <c r="I7" i="10"/>
  <c r="J7" i="10" s="1"/>
  <c r="I6" i="10"/>
  <c r="J6" i="10" s="1"/>
  <c r="A6" i="10"/>
  <c r="F422" i="4" l="1"/>
  <c r="E422" i="4"/>
  <c r="F424" i="4"/>
  <c r="E424" i="4"/>
  <c r="G424" i="4" l="1"/>
  <c r="G422" i="4"/>
  <c r="F420" i="4"/>
  <c r="E420" i="4"/>
  <c r="G420" i="4" l="1"/>
  <c r="F421" i="4"/>
  <c r="E421" i="4"/>
  <c r="G419" i="4"/>
  <c r="F419" i="4"/>
  <c r="E419" i="4"/>
  <c r="G417" i="4"/>
  <c r="F417" i="4"/>
  <c r="E417" i="4"/>
  <c r="F398" i="4"/>
  <c r="E398" i="4"/>
  <c r="G421" i="4" l="1"/>
  <c r="G398" i="4"/>
  <c r="F416" i="4"/>
  <c r="E416" i="4"/>
  <c r="G416" i="4" l="1"/>
  <c r="F423" i="4"/>
  <c r="E423" i="4"/>
  <c r="G423" i="4" l="1"/>
  <c r="G418" i="4"/>
  <c r="G415" i="4" l="1"/>
  <c r="F414" i="4" l="1"/>
  <c r="G414" i="4"/>
  <c r="G413" i="4"/>
  <c r="G395" i="4" l="1"/>
  <c r="G412" i="4" l="1"/>
  <c r="G411" i="4" l="1"/>
  <c r="G410" i="4" l="1"/>
  <c r="G396" i="4" l="1"/>
  <c r="G394" i="4" l="1"/>
  <c r="F391" i="4" l="1"/>
  <c r="G391" i="4"/>
  <c r="G392" i="4"/>
  <c r="G397" i="4"/>
  <c r="G409" i="4" l="1"/>
  <c r="G408" i="4"/>
  <c r="G407" i="4"/>
  <c r="G406" i="4"/>
  <c r="F405" i="4"/>
  <c r="G405" i="4"/>
  <c r="G404" i="4" l="1"/>
  <c r="G403" i="4" l="1"/>
  <c r="F403" i="4"/>
  <c r="G402" i="4" l="1"/>
  <c r="G401" i="4" l="1"/>
  <c r="G400" i="4" l="1"/>
  <c r="G399" i="4" l="1"/>
  <c r="G393" i="4" l="1"/>
  <c r="G390" i="4"/>
  <c r="G389" i="4" l="1"/>
  <c r="G388" i="4"/>
  <c r="G387" i="4"/>
  <c r="G386" i="4"/>
  <c r="G385" i="4" l="1"/>
  <c r="G384" i="4"/>
  <c r="G383" i="4"/>
  <c r="G382" i="4"/>
  <c r="G381" i="4"/>
  <c r="G380" i="4"/>
  <c r="F360" i="4"/>
  <c r="E360" i="4"/>
  <c r="F368" i="4"/>
  <c r="E368" i="4"/>
  <c r="G379" i="4"/>
  <c r="G378" i="4"/>
  <c r="G377" i="4"/>
  <c r="G360" i="4" l="1"/>
  <c r="G368" i="4"/>
  <c r="F376" i="4"/>
  <c r="E376" i="4"/>
  <c r="G376" i="4" l="1"/>
  <c r="G86" i="4"/>
  <c r="G375" i="4" l="1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 l="1"/>
  <c r="F361" i="4"/>
  <c r="E361" i="4"/>
  <c r="G361" i="4" l="1"/>
  <c r="G369" i="4"/>
  <c r="F369" i="4"/>
  <c r="E369" i="4"/>
  <c r="F365" i="4" l="1"/>
  <c r="E365" i="4"/>
  <c r="G365" i="4" l="1"/>
  <c r="F367" i="4" l="1"/>
  <c r="E367" i="4"/>
  <c r="G367" i="4" l="1"/>
  <c r="F366" i="4" l="1"/>
  <c r="E366" i="4"/>
  <c r="G366" i="4" l="1"/>
  <c r="F364" i="4" l="1"/>
  <c r="E364" i="4"/>
  <c r="G364" i="4" l="1"/>
  <c r="E362" i="4"/>
  <c r="F362" i="4"/>
  <c r="G362" i="4" l="1"/>
  <c r="G363" i="4"/>
  <c r="F359" i="4" l="1"/>
  <c r="E359" i="4"/>
  <c r="G359" i="4" l="1"/>
  <c r="F357" i="4" l="1"/>
  <c r="E357" i="4"/>
  <c r="G357" i="4" l="1"/>
  <c r="F356" i="4" l="1"/>
  <c r="E356" i="4"/>
  <c r="G356" i="4" l="1"/>
  <c r="F355" i="4" l="1"/>
  <c r="E355" i="4"/>
  <c r="G355" i="4" l="1"/>
  <c r="F354" i="4" l="1"/>
  <c r="E354" i="4"/>
  <c r="G354" i="4" l="1"/>
  <c r="F353" i="4" l="1"/>
  <c r="E353" i="4"/>
  <c r="G353" i="4" l="1"/>
  <c r="F352" i="4" l="1"/>
  <c r="E352" i="4"/>
  <c r="F351" i="4"/>
  <c r="E351" i="4"/>
  <c r="G351" i="4" l="1"/>
  <c r="G352" i="4"/>
  <c r="G350" i="4" l="1"/>
  <c r="F349" i="4" l="1"/>
  <c r="E349" i="4"/>
  <c r="G349" i="4" l="1"/>
  <c r="E323" i="4"/>
  <c r="G323" i="4" s="1"/>
  <c r="E126" i="4" l="1"/>
  <c r="F126" i="4"/>
  <c r="G126" i="4" l="1"/>
  <c r="E209" i="4" l="1"/>
  <c r="F209" i="4"/>
  <c r="G209" i="4" l="1"/>
  <c r="E254" i="4" l="1"/>
  <c r="F254" i="4"/>
  <c r="G254" i="4" l="1"/>
  <c r="E236" i="4" l="1"/>
  <c r="F236" i="4"/>
  <c r="G236" i="4" l="1"/>
  <c r="E227" i="4"/>
  <c r="F227" i="4"/>
  <c r="G227" i="4" l="1"/>
  <c r="E138" i="4" l="1"/>
  <c r="F138" i="4"/>
  <c r="G138" i="4" l="1"/>
  <c r="E220" i="4" l="1"/>
  <c r="F220" i="4"/>
  <c r="G216" i="4"/>
  <c r="F216" i="4"/>
  <c r="E216" i="4"/>
  <c r="G220" i="4" l="1"/>
  <c r="F210" i="4"/>
  <c r="E210" i="4"/>
  <c r="F204" i="4"/>
  <c r="E204" i="4"/>
  <c r="G204" i="4" l="1"/>
  <c r="G210" i="4"/>
  <c r="F189" i="4" l="1"/>
  <c r="E189" i="4"/>
  <c r="G189" i="4" l="1"/>
  <c r="E196" i="4" l="1"/>
  <c r="F196" i="4"/>
  <c r="E198" i="4"/>
  <c r="F198" i="4"/>
  <c r="E187" i="4"/>
  <c r="F187" i="4"/>
  <c r="G198" i="4" l="1"/>
  <c r="G196" i="4"/>
  <c r="G187" i="4"/>
  <c r="E180" i="4" l="1"/>
  <c r="F180" i="4"/>
  <c r="G180" i="4" l="1"/>
  <c r="E172" i="4"/>
  <c r="F172" i="4"/>
  <c r="G172" i="4" l="1"/>
  <c r="E171" i="4" l="1"/>
  <c r="F171" i="4"/>
  <c r="G171" i="4" l="1"/>
  <c r="E165" i="4"/>
  <c r="F165" i="4"/>
  <c r="G165" i="4" l="1"/>
  <c r="F162" i="4" l="1"/>
  <c r="E162" i="4"/>
  <c r="G162" i="4" l="1"/>
  <c r="F149" i="4" l="1"/>
  <c r="E149" i="4"/>
  <c r="E161" i="4"/>
  <c r="F161" i="4"/>
  <c r="G149" i="4" l="1"/>
  <c r="G161" i="4"/>
  <c r="E147" i="4"/>
  <c r="F147" i="4"/>
  <c r="G147" i="4" l="1"/>
  <c r="E146" i="4" l="1"/>
  <c r="F146" i="4"/>
  <c r="G146" i="4" l="1"/>
  <c r="E143" i="4" l="1"/>
  <c r="F143" i="4"/>
  <c r="G143" i="4" l="1"/>
  <c r="F140" i="4" l="1"/>
  <c r="E140" i="4"/>
  <c r="G140" i="4" l="1"/>
  <c r="E129" i="4" l="1"/>
  <c r="F129" i="4"/>
  <c r="G129" i="4" l="1"/>
  <c r="E125" i="4" l="1"/>
  <c r="F125" i="4"/>
  <c r="G125" i="4" l="1"/>
  <c r="E115" i="4" l="1"/>
  <c r="F115" i="4"/>
  <c r="G115" i="4" l="1"/>
  <c r="G104" i="4" l="1"/>
  <c r="F104" i="4"/>
  <c r="E104" i="4"/>
  <c r="G102" i="4"/>
  <c r="F102" i="4"/>
  <c r="E102" i="4"/>
  <c r="G87" i="4"/>
  <c r="F87" i="4"/>
  <c r="E87" i="4"/>
  <c r="F59" i="4"/>
  <c r="E59" i="4"/>
  <c r="G59" i="4" l="1"/>
  <c r="G75" i="4"/>
  <c r="E71" i="4" l="1"/>
  <c r="F71" i="4"/>
  <c r="G71" i="4" l="1"/>
  <c r="G64" i="4"/>
  <c r="F64" i="4"/>
  <c r="E64" i="4"/>
  <c r="E56" i="4" l="1"/>
  <c r="G56" i="4" s="1"/>
  <c r="F56" i="4"/>
  <c r="E48" i="4" l="1"/>
  <c r="F48" i="4"/>
  <c r="E37" i="4"/>
  <c r="F37" i="4"/>
  <c r="E33" i="4"/>
  <c r="F33" i="4"/>
  <c r="G33" i="4" l="1"/>
  <c r="G37" i="4"/>
  <c r="G48" i="4"/>
  <c r="E31" i="4" l="1"/>
  <c r="F31" i="4"/>
  <c r="G31" i="4" l="1"/>
  <c r="K8" i="12" l="1"/>
  <c r="K9" i="12"/>
  <c r="K10" i="12"/>
  <c r="K11" i="12"/>
  <c r="K12" i="12"/>
  <c r="K13" i="12"/>
  <c r="K14" i="12"/>
  <c r="K15" i="12"/>
  <c r="K18" i="12"/>
  <c r="K16" i="12"/>
  <c r="K17" i="12"/>
  <c r="K19" i="12"/>
  <c r="K20" i="12"/>
  <c r="K21" i="12"/>
  <c r="K22" i="12"/>
  <c r="K23" i="12"/>
  <c r="K25" i="12"/>
  <c r="K26" i="12"/>
  <c r="K27" i="12"/>
  <c r="K28" i="12"/>
  <c r="K29" i="12"/>
  <c r="K30" i="12"/>
  <c r="K24" i="12"/>
  <c r="K31" i="12"/>
  <c r="K32" i="12"/>
  <c r="K34" i="12"/>
  <c r="K33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2" i="12"/>
  <c r="K51" i="12"/>
  <c r="K53" i="12"/>
  <c r="K54" i="12"/>
  <c r="K55" i="12"/>
  <c r="K56" i="12"/>
  <c r="K57" i="12"/>
  <c r="K58" i="12"/>
  <c r="K59" i="12"/>
  <c r="K60" i="12"/>
  <c r="K7" i="12"/>
  <c r="I46" i="12" l="1"/>
  <c r="H46" i="12"/>
  <c r="E46" i="12"/>
  <c r="G25" i="4" l="1"/>
  <c r="F25" i="4"/>
  <c r="E25" i="4"/>
  <c r="I34" i="12" l="1"/>
  <c r="H34" i="12"/>
  <c r="E34" i="12"/>
  <c r="I60" i="12" l="1"/>
  <c r="H60" i="12"/>
  <c r="E60" i="12"/>
  <c r="I59" i="12"/>
  <c r="H59" i="12"/>
  <c r="E59" i="12"/>
  <c r="I58" i="12"/>
  <c r="H58" i="12"/>
  <c r="E58" i="12"/>
  <c r="I57" i="12"/>
  <c r="H57" i="12"/>
  <c r="E57" i="12"/>
  <c r="I56" i="12"/>
  <c r="H56" i="12"/>
  <c r="E56" i="12"/>
  <c r="I55" i="12"/>
  <c r="H55" i="12"/>
  <c r="E55" i="12"/>
  <c r="I54" i="12"/>
  <c r="H54" i="12"/>
  <c r="E54" i="12"/>
  <c r="I53" i="12"/>
  <c r="H53" i="12"/>
  <c r="E53" i="12"/>
  <c r="I51" i="12"/>
  <c r="H51" i="12"/>
  <c r="E51" i="12"/>
  <c r="I52" i="12"/>
  <c r="H52" i="12"/>
  <c r="E52" i="12"/>
  <c r="I50" i="12"/>
  <c r="H50" i="12"/>
  <c r="E50" i="12"/>
  <c r="I49" i="12"/>
  <c r="H49" i="12"/>
  <c r="E49" i="12"/>
  <c r="I48" i="12"/>
  <c r="H48" i="12"/>
  <c r="E48" i="12"/>
  <c r="I47" i="12"/>
  <c r="H47" i="12"/>
  <c r="E47" i="12"/>
  <c r="I45" i="12"/>
  <c r="H45" i="12"/>
  <c r="E45" i="12"/>
  <c r="I44" i="12"/>
  <c r="H44" i="12"/>
  <c r="E44" i="12"/>
  <c r="I43" i="12"/>
  <c r="H43" i="12"/>
  <c r="E43" i="12"/>
  <c r="I42" i="12"/>
  <c r="H42" i="12"/>
  <c r="E42" i="12"/>
  <c r="I40" i="12"/>
  <c r="H40" i="12"/>
  <c r="E40" i="12"/>
  <c r="I39" i="12"/>
  <c r="H39" i="12"/>
  <c r="E39" i="12"/>
  <c r="I38" i="12"/>
  <c r="H38" i="12"/>
  <c r="E38" i="12"/>
  <c r="I37" i="12"/>
  <c r="H37" i="12"/>
  <c r="E37" i="12"/>
  <c r="I36" i="12"/>
  <c r="H36" i="12"/>
  <c r="E36" i="12"/>
  <c r="I35" i="12"/>
  <c r="H35" i="12"/>
  <c r="E35" i="12"/>
  <c r="I33" i="12"/>
  <c r="H33" i="12"/>
  <c r="E33" i="12"/>
  <c r="I41" i="12"/>
  <c r="H41" i="12"/>
  <c r="E41" i="12"/>
  <c r="I32" i="12"/>
  <c r="H32" i="12"/>
  <c r="E32" i="12"/>
  <c r="I31" i="12"/>
  <c r="H31" i="12"/>
  <c r="E31" i="12"/>
  <c r="I24" i="12"/>
  <c r="H24" i="12"/>
  <c r="E24" i="12"/>
  <c r="I30" i="12"/>
  <c r="H30" i="12"/>
  <c r="E30" i="12"/>
  <c r="I29" i="12"/>
  <c r="H29" i="12"/>
  <c r="E29" i="12"/>
  <c r="I28" i="12"/>
  <c r="H28" i="12"/>
  <c r="E28" i="12"/>
  <c r="I27" i="12"/>
  <c r="H27" i="12"/>
  <c r="E27" i="12"/>
  <c r="I26" i="12"/>
  <c r="H26" i="12"/>
  <c r="E26" i="12"/>
  <c r="I25" i="12"/>
  <c r="H25" i="12"/>
  <c r="E25" i="12"/>
  <c r="I23" i="12"/>
  <c r="H23" i="12"/>
  <c r="E23" i="12"/>
  <c r="I22" i="12"/>
  <c r="H22" i="12"/>
  <c r="E22" i="12"/>
  <c r="I21" i="12"/>
  <c r="H21" i="12"/>
  <c r="E21" i="12"/>
  <c r="I20" i="12"/>
  <c r="H20" i="12"/>
  <c r="E20" i="12"/>
  <c r="I19" i="12"/>
  <c r="H19" i="12"/>
  <c r="E19" i="12"/>
  <c r="I17" i="12"/>
  <c r="H17" i="12"/>
  <c r="E17" i="12"/>
  <c r="I16" i="12"/>
  <c r="H16" i="12"/>
  <c r="E16" i="12"/>
  <c r="I18" i="12"/>
  <c r="H18" i="12"/>
  <c r="E18" i="12"/>
  <c r="I15" i="12"/>
  <c r="H15" i="12"/>
  <c r="E15" i="12"/>
  <c r="I14" i="12"/>
  <c r="H14" i="12"/>
  <c r="E14" i="12"/>
  <c r="I13" i="12"/>
  <c r="H13" i="12"/>
  <c r="E13" i="12"/>
  <c r="I12" i="12"/>
  <c r="H12" i="12"/>
  <c r="E12" i="12"/>
  <c r="I11" i="12"/>
  <c r="H11" i="12"/>
  <c r="E11" i="12"/>
  <c r="I10" i="12"/>
  <c r="H10" i="12"/>
  <c r="E10" i="12"/>
  <c r="I9" i="12"/>
  <c r="H9" i="12"/>
  <c r="E9" i="12"/>
  <c r="I8" i="12"/>
  <c r="H8" i="12"/>
  <c r="E8" i="12"/>
  <c r="I7" i="12"/>
  <c r="H7" i="12"/>
  <c r="E7" i="12"/>
  <c r="G24" i="4" l="1"/>
  <c r="G2" i="4"/>
  <c r="F443" i="4"/>
  <c r="E443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G345" i="4" l="1"/>
  <c r="G341" i="4"/>
  <c r="G343" i="4"/>
  <c r="G347" i="4"/>
  <c r="G342" i="4"/>
  <c r="G344" i="4"/>
  <c r="G346" i="4"/>
  <c r="G443" i="4"/>
  <c r="F340" i="4"/>
  <c r="E340" i="4"/>
  <c r="G340" i="4" l="1"/>
  <c r="F275" i="4" l="1"/>
  <c r="F339" i="4" l="1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2" i="4"/>
  <c r="E322" i="4"/>
  <c r="F321" i="4"/>
  <c r="E321" i="4"/>
  <c r="F320" i="4"/>
  <c r="E320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E275" i="4"/>
  <c r="G275" i="4" s="1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19" i="4"/>
  <c r="E219" i="4"/>
  <c r="F218" i="4"/>
  <c r="E218" i="4"/>
  <c r="F217" i="4"/>
  <c r="E217" i="4"/>
  <c r="F215" i="4"/>
  <c r="E215" i="4"/>
  <c r="F214" i="4"/>
  <c r="E214" i="4"/>
  <c r="F213" i="4"/>
  <c r="E213" i="4"/>
  <c r="F212" i="4"/>
  <c r="E212" i="4"/>
  <c r="F211" i="4"/>
  <c r="E211" i="4"/>
  <c r="F208" i="4"/>
  <c r="E208" i="4"/>
  <c r="F207" i="4"/>
  <c r="E207" i="4"/>
  <c r="F206" i="4"/>
  <c r="E206" i="4"/>
  <c r="F205" i="4"/>
  <c r="E205" i="4"/>
  <c r="F203" i="4"/>
  <c r="E203" i="4"/>
  <c r="F202" i="4"/>
  <c r="E202" i="4"/>
  <c r="F201" i="4"/>
  <c r="E201" i="4"/>
  <c r="F200" i="4"/>
  <c r="E200" i="4"/>
  <c r="F199" i="4"/>
  <c r="E199" i="4"/>
  <c r="F197" i="4"/>
  <c r="E197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8" i="4"/>
  <c r="E188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0" i="4"/>
  <c r="E170" i="4"/>
  <c r="F169" i="4"/>
  <c r="E169" i="4"/>
  <c r="F168" i="4"/>
  <c r="E168" i="4"/>
  <c r="F167" i="4"/>
  <c r="E167" i="4"/>
  <c r="F166" i="4"/>
  <c r="E166" i="4"/>
  <c r="F164" i="4"/>
  <c r="E164" i="4"/>
  <c r="F163" i="4"/>
  <c r="E163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8" i="4"/>
  <c r="E148" i="4"/>
  <c r="F145" i="4"/>
  <c r="E145" i="4"/>
  <c r="F144" i="4"/>
  <c r="E144" i="4"/>
  <c r="F142" i="4"/>
  <c r="E142" i="4"/>
  <c r="F141" i="4"/>
  <c r="E141" i="4"/>
  <c r="F139" i="4"/>
  <c r="E139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8" i="4"/>
  <c r="E128" i="4"/>
  <c r="F127" i="4"/>
  <c r="E127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3" i="4"/>
  <c r="E103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4" i="4"/>
  <c r="E74" i="4"/>
  <c r="F73" i="4"/>
  <c r="E73" i="4"/>
  <c r="F72" i="4"/>
  <c r="E72" i="4"/>
  <c r="F70" i="4"/>
  <c r="E70" i="4"/>
  <c r="F69" i="4"/>
  <c r="E69" i="4"/>
  <c r="F68" i="4"/>
  <c r="E68" i="4"/>
  <c r="F67" i="4"/>
  <c r="E67" i="4"/>
  <c r="F66" i="4"/>
  <c r="E66" i="4"/>
  <c r="F65" i="4"/>
  <c r="E65" i="4"/>
  <c r="F63" i="4"/>
  <c r="E63" i="4"/>
  <c r="F62" i="4"/>
  <c r="E62" i="4"/>
  <c r="F61" i="4"/>
  <c r="E61" i="4"/>
  <c r="F60" i="4"/>
  <c r="E60" i="4"/>
  <c r="F58" i="4"/>
  <c r="E58" i="4"/>
  <c r="F57" i="4"/>
  <c r="E57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6" i="4"/>
  <c r="E36" i="4"/>
  <c r="F35" i="4"/>
  <c r="E35" i="4"/>
  <c r="F34" i="4"/>
  <c r="E34" i="4"/>
  <c r="F32" i="4"/>
  <c r="E32" i="4"/>
  <c r="F30" i="4"/>
  <c r="E30" i="4"/>
  <c r="F29" i="4"/>
  <c r="E29" i="4"/>
  <c r="F28" i="4"/>
  <c r="E28" i="4"/>
  <c r="F27" i="4"/>
  <c r="E27" i="4"/>
  <c r="F26" i="4"/>
  <c r="E26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G305" i="4" l="1"/>
  <c r="G325" i="4"/>
  <c r="G327" i="4"/>
  <c r="G329" i="4"/>
  <c r="G331" i="4"/>
  <c r="G333" i="4"/>
  <c r="G335" i="4"/>
  <c r="G337" i="4"/>
  <c r="G339" i="4"/>
  <c r="G295" i="4"/>
  <c r="G297" i="4"/>
  <c r="G299" i="4"/>
  <c r="G301" i="4"/>
  <c r="G303" i="4"/>
  <c r="G307" i="4"/>
  <c r="G309" i="4"/>
  <c r="G311" i="4"/>
  <c r="G313" i="4"/>
  <c r="G315" i="4"/>
  <c r="G317" i="4"/>
  <c r="G319" i="4"/>
  <c r="G321" i="4"/>
  <c r="G276" i="4"/>
  <c r="G278" i="4"/>
  <c r="G280" i="4"/>
  <c r="G282" i="4"/>
  <c r="G284" i="4"/>
  <c r="G286" i="4"/>
  <c r="G288" i="4"/>
  <c r="G290" i="4"/>
  <c r="G292" i="4"/>
  <c r="G294" i="4"/>
  <c r="G44" i="4"/>
  <c r="G69" i="4"/>
  <c r="G97" i="4"/>
  <c r="G136" i="4"/>
  <c r="G167" i="4"/>
  <c r="G175" i="4"/>
  <c r="G285" i="4"/>
  <c r="G304" i="4"/>
  <c r="G9" i="4"/>
  <c r="G26" i="4"/>
  <c r="G112" i="4"/>
  <c r="G117" i="4"/>
  <c r="G121" i="4"/>
  <c r="G123" i="4"/>
  <c r="G163" i="4"/>
  <c r="G277" i="4"/>
  <c r="G279" i="4"/>
  <c r="G281" i="4"/>
  <c r="G283" i="4"/>
  <c r="G287" i="4"/>
  <c r="G289" i="4"/>
  <c r="G291" i="4"/>
  <c r="G293" i="4"/>
  <c r="G296" i="4"/>
  <c r="G298" i="4"/>
  <c r="G300" i="4"/>
  <c r="G302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4" i="4"/>
  <c r="G6" i="4"/>
  <c r="G8" i="4"/>
  <c r="G10" i="4"/>
  <c r="G12" i="4"/>
  <c r="G14" i="4"/>
  <c r="G16" i="4"/>
  <c r="G18" i="4"/>
  <c r="G20" i="4"/>
  <c r="G22" i="4"/>
  <c r="G27" i="4"/>
  <c r="G29" i="4"/>
  <c r="G32" i="4"/>
  <c r="G35" i="4"/>
  <c r="G38" i="4"/>
  <c r="G40" i="4"/>
  <c r="G42" i="4"/>
  <c r="G46" i="4"/>
  <c r="G49" i="4"/>
  <c r="G51" i="4"/>
  <c r="G53" i="4"/>
  <c r="G55" i="4"/>
  <c r="G58" i="4"/>
  <c r="G60" i="4"/>
  <c r="G62" i="4"/>
  <c r="G65" i="4"/>
  <c r="G67" i="4"/>
  <c r="G72" i="4"/>
  <c r="G74" i="4"/>
  <c r="G77" i="4"/>
  <c r="G79" i="4"/>
  <c r="G81" i="4"/>
  <c r="G83" i="4"/>
  <c r="G85" i="4"/>
  <c r="G89" i="4"/>
  <c r="G91" i="4"/>
  <c r="G93" i="4"/>
  <c r="G95" i="4"/>
  <c r="G99" i="4"/>
  <c r="G101" i="4"/>
  <c r="G105" i="4"/>
  <c r="G107" i="4"/>
  <c r="G109" i="4"/>
  <c r="G111" i="4"/>
  <c r="G113" i="4"/>
  <c r="G116" i="4"/>
  <c r="G118" i="4"/>
  <c r="G120" i="4"/>
  <c r="G122" i="4"/>
  <c r="G124" i="4"/>
  <c r="G127" i="4"/>
  <c r="G130" i="4"/>
  <c r="G132" i="4"/>
  <c r="G134" i="4"/>
  <c r="G139" i="4"/>
  <c r="G142" i="4"/>
  <c r="G145" i="4"/>
  <c r="G150" i="4"/>
  <c r="G152" i="4"/>
  <c r="G154" i="4"/>
  <c r="G156" i="4"/>
  <c r="G158" i="4"/>
  <c r="G160" i="4"/>
  <c r="G164" i="4"/>
  <c r="G169" i="4"/>
  <c r="G173" i="4"/>
  <c r="G225" i="4"/>
  <c r="G232" i="4"/>
  <c r="G247" i="4"/>
  <c r="G271" i="4"/>
  <c r="G3" i="4"/>
  <c r="G5" i="4"/>
  <c r="G7" i="4"/>
  <c r="G11" i="4"/>
  <c r="G13" i="4"/>
  <c r="G15" i="4"/>
  <c r="G17" i="4"/>
  <c r="G19" i="4"/>
  <c r="G21" i="4"/>
  <c r="G23" i="4"/>
  <c r="G28" i="4"/>
  <c r="G30" i="4"/>
  <c r="G34" i="4"/>
  <c r="G36" i="4"/>
  <c r="G39" i="4"/>
  <c r="G41" i="4"/>
  <c r="G43" i="4"/>
  <c r="G45" i="4"/>
  <c r="G47" i="4"/>
  <c r="G50" i="4"/>
  <c r="G52" i="4"/>
  <c r="G197" i="4"/>
  <c r="G200" i="4"/>
  <c r="G255" i="4"/>
  <c r="G267" i="4"/>
  <c r="G177" i="4"/>
  <c r="G179" i="4"/>
  <c r="G182" i="4"/>
  <c r="G184" i="4"/>
  <c r="G186" i="4"/>
  <c r="G191" i="4"/>
  <c r="G193" i="4"/>
  <c r="G195" i="4"/>
  <c r="G199" i="4"/>
  <c r="G201" i="4"/>
  <c r="G203" i="4"/>
  <c r="G206" i="4"/>
  <c r="G208" i="4"/>
  <c r="G211" i="4"/>
  <c r="G213" i="4"/>
  <c r="G215" i="4"/>
  <c r="G218" i="4"/>
  <c r="G221" i="4"/>
  <c r="G223" i="4"/>
  <c r="G228" i="4"/>
  <c r="G230" i="4"/>
  <c r="G234" i="4"/>
  <c r="G54" i="4"/>
  <c r="G57" i="4"/>
  <c r="G61" i="4"/>
  <c r="G63" i="4"/>
  <c r="G66" i="4"/>
  <c r="G68" i="4"/>
  <c r="G70" i="4"/>
  <c r="G73" i="4"/>
  <c r="G76" i="4"/>
  <c r="G78" i="4"/>
  <c r="G80" i="4"/>
  <c r="G82" i="4"/>
  <c r="G84" i="4"/>
  <c r="G88" i="4"/>
  <c r="G90" i="4"/>
  <c r="G92" i="4"/>
  <c r="G94" i="4"/>
  <c r="G96" i="4"/>
  <c r="G98" i="4"/>
  <c r="G100" i="4"/>
  <c r="G103" i="4"/>
  <c r="G106" i="4"/>
  <c r="G108" i="4"/>
  <c r="G110" i="4"/>
  <c r="G114" i="4"/>
  <c r="G119" i="4"/>
  <c r="G128" i="4"/>
  <c r="G131" i="4"/>
  <c r="G133" i="4"/>
  <c r="G135" i="4"/>
  <c r="G137" i="4"/>
  <c r="G141" i="4"/>
  <c r="G144" i="4"/>
  <c r="G148" i="4"/>
  <c r="G151" i="4"/>
  <c r="G153" i="4"/>
  <c r="G155" i="4"/>
  <c r="G157" i="4"/>
  <c r="G159" i="4"/>
  <c r="G166" i="4"/>
  <c r="G168" i="4"/>
  <c r="G170" i="4"/>
  <c r="G174" i="4"/>
  <c r="G176" i="4"/>
  <c r="G178" i="4"/>
  <c r="G181" i="4"/>
  <c r="G183" i="4"/>
  <c r="G185" i="4"/>
  <c r="G188" i="4"/>
  <c r="G190" i="4"/>
  <c r="G192" i="4"/>
  <c r="G194" i="4"/>
  <c r="G202" i="4"/>
  <c r="G205" i="4"/>
  <c r="G207" i="4"/>
  <c r="G212" i="4"/>
  <c r="G214" i="4"/>
  <c r="G217" i="4"/>
  <c r="G219" i="4"/>
  <c r="G222" i="4"/>
  <c r="G224" i="4"/>
  <c r="G226" i="4"/>
  <c r="G229" i="4"/>
  <c r="G231" i="4"/>
  <c r="G233" i="4"/>
  <c r="G235" i="4"/>
  <c r="G238" i="4"/>
  <c r="G240" i="4"/>
  <c r="G242" i="4"/>
  <c r="G244" i="4"/>
  <c r="G246" i="4"/>
  <c r="G248" i="4"/>
  <c r="G250" i="4"/>
  <c r="G252" i="4"/>
  <c r="G257" i="4"/>
  <c r="G259" i="4"/>
  <c r="G261" i="4"/>
  <c r="G263" i="4"/>
  <c r="G265" i="4"/>
  <c r="G269" i="4"/>
  <c r="G272" i="4"/>
  <c r="G274" i="4"/>
  <c r="G237" i="4"/>
  <c r="G239" i="4"/>
  <c r="G241" i="4"/>
  <c r="G243" i="4"/>
  <c r="G245" i="4"/>
  <c r="G249" i="4"/>
  <c r="G251" i="4"/>
  <c r="G253" i="4"/>
  <c r="G256" i="4"/>
  <c r="G258" i="4"/>
  <c r="G260" i="4"/>
  <c r="G262" i="4"/>
  <c r="G264" i="4"/>
  <c r="G266" i="4"/>
  <c r="G268" i="4"/>
  <c r="G270" i="4"/>
  <c r="G273" i="4"/>
</calcChain>
</file>

<file path=xl/sharedStrings.xml><?xml version="1.0" encoding="utf-8"?>
<sst xmlns="http://schemas.openxmlformats.org/spreadsheetml/2006/main" count="3196" uniqueCount="934">
  <si>
    <t>Client Acc No</t>
  </si>
  <si>
    <t>Pol No</t>
  </si>
  <si>
    <t>Auto ID</t>
  </si>
  <si>
    <t>Full Name</t>
  </si>
  <si>
    <t>Fund</t>
  </si>
  <si>
    <t>Market Value</t>
  </si>
  <si>
    <t>Value Date</t>
  </si>
  <si>
    <t>Product Name</t>
  </si>
  <si>
    <t>Product Type</t>
  </si>
  <si>
    <t>Administrator</t>
  </si>
  <si>
    <t>ME Strydom</t>
  </si>
  <si>
    <t>Kanaan BCI Balanced FoF</t>
  </si>
  <si>
    <t>Investment Account</t>
  </si>
  <si>
    <t>Voluntary</t>
  </si>
  <si>
    <t>BCI</t>
  </si>
  <si>
    <t>R COSTELLA</t>
  </si>
  <si>
    <t>E NDOBE</t>
  </si>
  <si>
    <t>GR CAVANAGH</t>
  </si>
  <si>
    <t>AJ van Tonder</t>
  </si>
  <si>
    <t>Pretorius Familie Beleggings Trust, Marius</t>
  </si>
  <si>
    <t>Pretorius Familie Beleggings Trust, Dewald</t>
  </si>
  <si>
    <t>Pretorius Familie Beleggings Trust, Markus</t>
  </si>
  <si>
    <t>Pretorius Familie Beleggings Trust, Pieter</t>
  </si>
  <si>
    <t>KNIGHT TRUST</t>
  </si>
  <si>
    <t>TOMORA TRUST</t>
  </si>
  <si>
    <t>CJ COSTELLA</t>
  </si>
  <si>
    <t>C Bradley</t>
  </si>
  <si>
    <t>CS Bradley</t>
  </si>
  <si>
    <t>DE Bond-Myatt</t>
  </si>
  <si>
    <t>Jokar Trust</t>
  </si>
  <si>
    <t>Cl no</t>
  </si>
  <si>
    <t>Policy Number</t>
  </si>
  <si>
    <t>Value</t>
  </si>
  <si>
    <t>Date</t>
  </si>
  <si>
    <t>201202020006</t>
  </si>
  <si>
    <t>IM Briedenhann</t>
  </si>
  <si>
    <t>Equity Linked Living Annuity</t>
  </si>
  <si>
    <t>PSG</t>
  </si>
  <si>
    <t>201307170028</t>
  </si>
  <si>
    <t>B Ohsiek</t>
  </si>
  <si>
    <t>201811280057</t>
  </si>
  <si>
    <t>H Maharaj</t>
  </si>
  <si>
    <t>C Friederang</t>
  </si>
  <si>
    <t>ZM Loots</t>
  </si>
  <si>
    <t>LU Weyer</t>
  </si>
  <si>
    <t>H Mcbeth</t>
  </si>
  <si>
    <t>RG Deerans</t>
  </si>
  <si>
    <t>PA Meintjies</t>
  </si>
  <si>
    <t>JC Benade</t>
  </si>
  <si>
    <t>Pension Preservation</t>
  </si>
  <si>
    <t>TH Zarnack</t>
  </si>
  <si>
    <t>GG Meyer</t>
  </si>
  <si>
    <t>KA Moxham</t>
  </si>
  <si>
    <t>Client number</t>
  </si>
  <si>
    <t>Pol no</t>
  </si>
  <si>
    <t>Total value</t>
  </si>
  <si>
    <t>Value date</t>
  </si>
  <si>
    <t>I Jacobs</t>
  </si>
  <si>
    <t>Kanaan Balanced Wrap A</t>
  </si>
  <si>
    <t>Bond</t>
  </si>
  <si>
    <t>Investec</t>
  </si>
  <si>
    <t>Living Annuity</t>
  </si>
  <si>
    <t>JL Sellors</t>
  </si>
  <si>
    <t>JJ De Lange</t>
  </si>
  <si>
    <t>VK McBeth</t>
  </si>
  <si>
    <t>PJ Dennison</t>
  </si>
  <si>
    <t>GJ Ferreira</t>
  </si>
  <si>
    <t>Vansin Trust</t>
  </si>
  <si>
    <t>JM Mays</t>
  </si>
  <si>
    <t>Eldad Trust</t>
  </si>
  <si>
    <t>HJ Zajac</t>
  </si>
  <si>
    <t>HP Pretorius</t>
  </si>
  <si>
    <t>Company client no</t>
  </si>
  <si>
    <t>Contract number</t>
  </si>
  <si>
    <t>Client ID</t>
  </si>
  <si>
    <t>Investor</t>
  </si>
  <si>
    <t>Total Value</t>
  </si>
  <si>
    <t>Retirement Annuity Option</t>
  </si>
  <si>
    <t>Momentum</t>
  </si>
  <si>
    <t>HL Higgins</t>
  </si>
  <si>
    <t>PP024054220</t>
  </si>
  <si>
    <t>M Marks</t>
  </si>
  <si>
    <t>JR Schaffner</t>
  </si>
  <si>
    <t>RH Nautsch</t>
  </si>
  <si>
    <t>WE Klingenberg</t>
  </si>
  <si>
    <t>Company Client no</t>
  </si>
  <si>
    <t>Investment Unique no</t>
  </si>
  <si>
    <t>ID</t>
  </si>
  <si>
    <t>Client Name</t>
  </si>
  <si>
    <t>F Louw</t>
  </si>
  <si>
    <t>Sygnia 4th Ind Rev Global Eq - A</t>
  </si>
  <si>
    <t>Personal Portfolio Living Annuity</t>
  </si>
  <si>
    <t>Glacier, Sanlam</t>
  </si>
  <si>
    <t>Old Mutual Income - B1</t>
  </si>
  <si>
    <t>Old Mutual Glob Equity - B1</t>
  </si>
  <si>
    <t>I #</t>
  </si>
  <si>
    <t>P #</t>
  </si>
  <si>
    <t>Investor Name</t>
  </si>
  <si>
    <t>Bal</t>
  </si>
  <si>
    <t>Kanaan Trust</t>
  </si>
  <si>
    <t>Kanaan Hedge FoF</t>
  </si>
  <si>
    <t>Sanne</t>
  </si>
  <si>
    <t>AG Fourie</t>
  </si>
  <si>
    <t>AD Sutton</t>
  </si>
  <si>
    <t>Pretorius Familie Beleggings Trust, Rita Pretorius</t>
  </si>
  <si>
    <t>GM Ebben</t>
  </si>
  <si>
    <t>CM van der Vyver</t>
  </si>
  <si>
    <t>AL Hoon</t>
  </si>
  <si>
    <t>MM Minnie</t>
  </si>
  <si>
    <t>KR Kelly</t>
  </si>
  <si>
    <t>JP Mays</t>
  </si>
  <si>
    <t>AE Fourie</t>
  </si>
  <si>
    <t>EA Raath</t>
  </si>
  <si>
    <t>GJ McGill</t>
  </si>
  <si>
    <t>ML Kotze</t>
  </si>
  <si>
    <t>GE Woolridge</t>
  </si>
  <si>
    <t>Neethling Trust</t>
  </si>
  <si>
    <t>JG Hericourt</t>
  </si>
  <si>
    <t>Badger Trust</t>
  </si>
  <si>
    <t>PN Badenhorst</t>
  </si>
  <si>
    <t>ME Stonestreet</t>
  </si>
  <si>
    <t>JJ Randall</t>
  </si>
  <si>
    <t>MH van den Berg</t>
  </si>
  <si>
    <t>PP Staley</t>
  </si>
  <si>
    <t>RC Mack</t>
  </si>
  <si>
    <t>KF Stonestreet</t>
  </si>
  <si>
    <t>EMr Louw</t>
  </si>
  <si>
    <t>R Slater</t>
  </si>
  <si>
    <t>RL Maggs</t>
  </si>
  <si>
    <t>CJ Neethling</t>
  </si>
  <si>
    <t>AD Neethling</t>
  </si>
  <si>
    <t>E Koorts</t>
  </si>
  <si>
    <t>AB Koorts</t>
  </si>
  <si>
    <t>M Gouws</t>
  </si>
  <si>
    <t>Flying Dutchman Trust</t>
  </si>
  <si>
    <t>L Louw</t>
  </si>
  <si>
    <t>HR Schon</t>
  </si>
  <si>
    <t>SM Benade</t>
  </si>
  <si>
    <t>DE van der Westhuizen</t>
  </si>
  <si>
    <t>AB Delport</t>
  </si>
  <si>
    <t>Stonestreet Family Trust</t>
  </si>
  <si>
    <t>AF Fullard</t>
  </si>
  <si>
    <t>Ora Et Labora Trust</t>
  </si>
  <si>
    <t>E du Plessis</t>
  </si>
  <si>
    <t>CJ Roberts</t>
  </si>
  <si>
    <t>JA van Tonder</t>
  </si>
  <si>
    <t>Dieu Donne Trust</t>
  </si>
  <si>
    <t>EMrs Louw</t>
  </si>
  <si>
    <t>L van den Berg</t>
  </si>
  <si>
    <t>Code</t>
  </si>
  <si>
    <t>Code 2</t>
  </si>
  <si>
    <t>Client Full Name</t>
  </si>
  <si>
    <t>Fund Code</t>
  </si>
  <si>
    <t>M/Value ($)</t>
  </si>
  <si>
    <t>JWJ and KE Van Antwerpen</t>
  </si>
  <si>
    <t>Moriah Global</t>
  </si>
  <si>
    <t>Offshore</t>
  </si>
  <si>
    <t>International Assurance</t>
  </si>
  <si>
    <t>CM Van Der Vyver</t>
  </si>
  <si>
    <t>HR Schon and RH Nautsch</t>
  </si>
  <si>
    <t>KF and ME Stonestreet</t>
  </si>
  <si>
    <t>C Friederang and L van den Berg</t>
  </si>
  <si>
    <t>CS and C Bradley</t>
  </si>
  <si>
    <t>AD and CJ Neethling</t>
  </si>
  <si>
    <t>MJ and MP Boshoff</t>
  </si>
  <si>
    <t>M and EJ Gouws</t>
  </si>
  <si>
    <t>HPJ and Z Pretorius</t>
  </si>
  <si>
    <t>RC and ZA Mack</t>
  </si>
  <si>
    <t>A Maharajh</t>
  </si>
  <si>
    <t>JW en LJ Nel</t>
  </si>
  <si>
    <t>TJ and MC Visser</t>
  </si>
  <si>
    <t>DE and O Van der Westhuizen</t>
  </si>
  <si>
    <t>J and A Van Eeden</t>
  </si>
  <si>
    <t>HJ Yssel</t>
  </si>
  <si>
    <t>L Van Den Berg</t>
  </si>
  <si>
    <t>AJ Kijko</t>
  </si>
  <si>
    <t>JT Munroe</t>
  </si>
  <si>
    <t>GC Jansen Van Rensburg</t>
  </si>
  <si>
    <t>IN Sinclair</t>
  </si>
  <si>
    <t>G Van Aswegen</t>
  </si>
  <si>
    <t>AF and LS Fullard</t>
  </si>
  <si>
    <t>NC and S Trevarthen</t>
  </si>
  <si>
    <t>HW De Hart</t>
  </si>
  <si>
    <t>JJ Pressly</t>
  </si>
  <si>
    <t>F and CJ Louw</t>
  </si>
  <si>
    <t>WH and MH Marks</t>
  </si>
  <si>
    <t>SJ and CM Schneider</t>
  </si>
  <si>
    <t>AB and J Delport</t>
  </si>
  <si>
    <t>RH Nautsch and HR Schon</t>
  </si>
  <si>
    <t>AB &amp; KE Koorts</t>
  </si>
  <si>
    <t>DA and CJ Roberts</t>
  </si>
  <si>
    <t>HL and MM Higgins</t>
  </si>
  <si>
    <t>DJ and EA Bosman</t>
  </si>
  <si>
    <t>BJ and AR Bodenstein</t>
  </si>
  <si>
    <t>JA and AD Neethling</t>
  </si>
  <si>
    <t>MP Smith</t>
  </si>
  <si>
    <t>CJ Neethling and JC Howard</t>
  </si>
  <si>
    <t>CJ Neethling and RJ Nagel</t>
  </si>
  <si>
    <t>JL Delport</t>
  </si>
  <si>
    <t>G Bradley</t>
  </si>
  <si>
    <t>MM and DP Pretorius</t>
  </si>
  <si>
    <t>CA Stark</t>
  </si>
  <si>
    <t>GJ and BM McGill</t>
  </si>
  <si>
    <t>MG and KR Sinclair</t>
  </si>
  <si>
    <t>LF Erasmus and SS Swart</t>
  </si>
  <si>
    <t>JJ and P Randall</t>
  </si>
  <si>
    <t>JL and LN Sellors</t>
  </si>
  <si>
    <t>AJ and MEC Van Tonder</t>
  </si>
  <si>
    <t>HJ and JC Pienaar</t>
  </si>
  <si>
    <t>JR and LI Schaffner</t>
  </si>
  <si>
    <t>CI Benade</t>
  </si>
  <si>
    <t>L Scheepers</t>
  </si>
  <si>
    <t>AE and PJ Fourie</t>
  </si>
  <si>
    <t>KR and MG Sinclair</t>
  </si>
  <si>
    <t>DR Mays</t>
  </si>
  <si>
    <t>S Render</t>
  </si>
  <si>
    <t>EH Bonnet</t>
  </si>
  <si>
    <t>DJ Koorts</t>
  </si>
  <si>
    <t>AB Koorts (Jnr)</t>
  </si>
  <si>
    <t>NJ Sparrow</t>
  </si>
  <si>
    <t>P Fourie</t>
  </si>
  <si>
    <t>IW70110</t>
  </si>
  <si>
    <t>Stable Offshore</t>
  </si>
  <si>
    <t>id</t>
  </si>
  <si>
    <t>kanaan_id</t>
  </si>
  <si>
    <t>client_name</t>
  </si>
  <si>
    <t>client_initials</t>
  </si>
  <si>
    <t>Full Client Name</t>
  </si>
  <si>
    <t/>
  </si>
  <si>
    <t>Bond-Myatt</t>
  </si>
  <si>
    <t>CV</t>
  </si>
  <si>
    <t>DEB</t>
  </si>
  <si>
    <t>Bradley</t>
  </si>
  <si>
    <t>CS</t>
  </si>
  <si>
    <t>Caulkin</t>
  </si>
  <si>
    <t>J</t>
  </si>
  <si>
    <t>Cavanagh</t>
  </si>
  <si>
    <t>GR</t>
  </si>
  <si>
    <t>Charlton</t>
  </si>
  <si>
    <t>CER</t>
  </si>
  <si>
    <t>van Jaarsveld</t>
  </si>
  <si>
    <t>PJ</t>
  </si>
  <si>
    <t>van Greunen</t>
  </si>
  <si>
    <t>P</t>
  </si>
  <si>
    <t>Cormack</t>
  </si>
  <si>
    <t>GA</t>
  </si>
  <si>
    <t>Costella</t>
  </si>
  <si>
    <t>CJ</t>
  </si>
  <si>
    <t>R</t>
  </si>
  <si>
    <t>Dennison</t>
  </si>
  <si>
    <t>PJG</t>
  </si>
  <si>
    <t>Dladla</t>
  </si>
  <si>
    <t>CZ</t>
  </si>
  <si>
    <t>van Niekerk</t>
  </si>
  <si>
    <t>JH</t>
  </si>
  <si>
    <t>Du Toit</t>
  </si>
  <si>
    <t>DJ</t>
  </si>
  <si>
    <t>Ebben</t>
  </si>
  <si>
    <t>GM</t>
  </si>
  <si>
    <t>Engelbrecht</t>
  </si>
  <si>
    <t>SA</t>
  </si>
  <si>
    <t>Fitzpatrick</t>
  </si>
  <si>
    <t>C</t>
  </si>
  <si>
    <t>Friederang</t>
  </si>
  <si>
    <t>AO</t>
  </si>
  <si>
    <t>de Villiers</t>
  </si>
  <si>
    <t>Hamden Trust</t>
  </si>
  <si>
    <t>Hericourt</t>
  </si>
  <si>
    <t>JG</t>
  </si>
  <si>
    <t>Hoon</t>
  </si>
  <si>
    <t>AL</t>
  </si>
  <si>
    <t>Hudson</t>
  </si>
  <si>
    <t>BJ</t>
  </si>
  <si>
    <t>Jacobs</t>
  </si>
  <si>
    <t>I</t>
  </si>
  <si>
    <t>James</t>
  </si>
  <si>
    <t>LB</t>
  </si>
  <si>
    <t>Higgins</t>
  </si>
  <si>
    <t>MM</t>
  </si>
  <si>
    <t>Jelley</t>
  </si>
  <si>
    <t>MD</t>
  </si>
  <si>
    <t>Stonestreet</t>
  </si>
  <si>
    <t>MF</t>
  </si>
  <si>
    <t>Kelly</t>
  </si>
  <si>
    <t>KR</t>
  </si>
  <si>
    <t>Kerr</t>
  </si>
  <si>
    <t>WJ</t>
  </si>
  <si>
    <t>Kijko</t>
  </si>
  <si>
    <t>AJ</t>
  </si>
  <si>
    <t>du Toit</t>
  </si>
  <si>
    <t>Klingenberg</t>
  </si>
  <si>
    <t>WE</t>
  </si>
  <si>
    <t>Knight Trust</t>
  </si>
  <si>
    <t>Kusel</t>
  </si>
  <si>
    <t>RJ</t>
  </si>
  <si>
    <t>Louw</t>
  </si>
  <si>
    <t>Delport</t>
  </si>
  <si>
    <t>A</t>
  </si>
  <si>
    <t>Lombard</t>
  </si>
  <si>
    <t>PE</t>
  </si>
  <si>
    <t>Mack</t>
  </si>
  <si>
    <t>RC</t>
  </si>
  <si>
    <t>Maggs</t>
  </si>
  <si>
    <t>RLC</t>
  </si>
  <si>
    <t>Maharaj</t>
  </si>
  <si>
    <t>SM</t>
  </si>
  <si>
    <t>Strydom</t>
  </si>
  <si>
    <t>MEC</t>
  </si>
  <si>
    <t>Masondo</t>
  </si>
  <si>
    <t>SS</t>
  </si>
  <si>
    <t>Mays</t>
  </si>
  <si>
    <t>DW</t>
  </si>
  <si>
    <t>JM</t>
  </si>
  <si>
    <t>JP</t>
  </si>
  <si>
    <t>McBeth</t>
  </si>
  <si>
    <t>H</t>
  </si>
  <si>
    <t>VK</t>
  </si>
  <si>
    <t>McGill</t>
  </si>
  <si>
    <t>GJ</t>
  </si>
  <si>
    <t>WE &amp; DJ Klingenberg</t>
  </si>
  <si>
    <t>Mendecki</t>
  </si>
  <si>
    <t>Meyer</t>
  </si>
  <si>
    <t>GG</t>
  </si>
  <si>
    <t>Pretorius (Rita)01</t>
  </si>
  <si>
    <t>Moll</t>
  </si>
  <si>
    <t>AP</t>
  </si>
  <si>
    <t>Moxham</t>
  </si>
  <si>
    <t>KA</t>
  </si>
  <si>
    <t>MSJM Trust</t>
  </si>
  <si>
    <t>Muir</t>
  </si>
  <si>
    <t>AM</t>
  </si>
  <si>
    <t>KSB Durban Trust</t>
  </si>
  <si>
    <t>Munroe</t>
  </si>
  <si>
    <t>JT</t>
  </si>
  <si>
    <t>LJ</t>
  </si>
  <si>
    <t>Naude</t>
  </si>
  <si>
    <t>PG</t>
  </si>
  <si>
    <t>Nautsch</t>
  </si>
  <si>
    <t>RH</t>
  </si>
  <si>
    <t>Ndobe</t>
  </si>
  <si>
    <t>E</t>
  </si>
  <si>
    <t>Ngcece</t>
  </si>
  <si>
    <t>NA</t>
  </si>
  <si>
    <t>Drakes</t>
  </si>
  <si>
    <t>North</t>
  </si>
  <si>
    <t>PM</t>
  </si>
  <si>
    <t>Ohsiek</t>
  </si>
  <si>
    <t>F</t>
  </si>
  <si>
    <t>Nethering Travel Limited</t>
  </si>
  <si>
    <t>Phipson</t>
  </si>
  <si>
    <t>BH</t>
  </si>
  <si>
    <t>Ralph</t>
  </si>
  <si>
    <t>Randall</t>
  </si>
  <si>
    <t>JJ</t>
  </si>
  <si>
    <t>Render</t>
  </si>
  <si>
    <t>M</t>
  </si>
  <si>
    <t>Roberts</t>
  </si>
  <si>
    <t>DA</t>
  </si>
  <si>
    <t>Robinson</t>
  </si>
  <si>
    <t>B</t>
  </si>
  <si>
    <t>Schon</t>
  </si>
  <si>
    <t>HR</t>
  </si>
  <si>
    <t>Schroder</t>
  </si>
  <si>
    <t>JL</t>
  </si>
  <si>
    <t>Sellors</t>
  </si>
  <si>
    <t>AO and C Friederang</t>
  </si>
  <si>
    <t>MM Pretorius (Markus)</t>
  </si>
  <si>
    <t>Sinclair</t>
  </si>
  <si>
    <t>IN</t>
  </si>
  <si>
    <t>Slater</t>
  </si>
  <si>
    <t>Smithers</t>
  </si>
  <si>
    <t>VJ</t>
  </si>
  <si>
    <t>Smit</t>
  </si>
  <si>
    <t>MP</t>
  </si>
  <si>
    <t>Snyman</t>
  </si>
  <si>
    <t>GD</t>
  </si>
  <si>
    <t>Staley</t>
  </si>
  <si>
    <t>PP</t>
  </si>
  <si>
    <t>Standish</t>
  </si>
  <si>
    <t>Stanton</t>
  </si>
  <si>
    <t>DM</t>
  </si>
  <si>
    <t>Stark</t>
  </si>
  <si>
    <t>CA</t>
  </si>
  <si>
    <t>KF</t>
  </si>
  <si>
    <t>ME</t>
  </si>
  <si>
    <t>Sutton</t>
  </si>
  <si>
    <t>AD</t>
  </si>
  <si>
    <t>LA</t>
  </si>
  <si>
    <t>WP Pretorius (Pieter)</t>
  </si>
  <si>
    <t>The Dennison Domestic Workers Fund</t>
  </si>
  <si>
    <t>M Pretorius (Marius)</t>
  </si>
  <si>
    <t>Trevarthen</t>
  </si>
  <si>
    <t>NCD</t>
  </si>
  <si>
    <t>Turner</t>
  </si>
  <si>
    <t>VM</t>
  </si>
  <si>
    <t>Wilson</t>
  </si>
  <si>
    <t>CT</t>
  </si>
  <si>
    <t>Winners Trust</t>
  </si>
  <si>
    <t>Whittle</t>
  </si>
  <si>
    <t>RW</t>
  </si>
  <si>
    <t>Wrigley</t>
  </si>
  <si>
    <t>Zajac</t>
  </si>
  <si>
    <t>HJ</t>
  </si>
  <si>
    <t>Savege</t>
  </si>
  <si>
    <t>Zarnack</t>
  </si>
  <si>
    <t>THJ</t>
  </si>
  <si>
    <t>Fullard</t>
  </si>
  <si>
    <t>AF</t>
  </si>
  <si>
    <t>Badenhorst</t>
  </si>
  <si>
    <t>PN</t>
  </si>
  <si>
    <t>Benade</t>
  </si>
  <si>
    <t>CI</t>
  </si>
  <si>
    <t>JC</t>
  </si>
  <si>
    <t>Bezuidenhout Familie Trust</t>
  </si>
  <si>
    <t>Bezuidenhout</t>
  </si>
  <si>
    <t>RG</t>
  </si>
  <si>
    <t>Bloemhof</t>
  </si>
  <si>
    <t>HW</t>
  </si>
  <si>
    <t>Breet</t>
  </si>
  <si>
    <t>N</t>
  </si>
  <si>
    <t>Marks</t>
  </si>
  <si>
    <t>WH</t>
  </si>
  <si>
    <t>Boshoff</t>
  </si>
  <si>
    <t>MJ</t>
  </si>
  <si>
    <t>Botha</t>
  </si>
  <si>
    <t>PR</t>
  </si>
  <si>
    <t>Theron</t>
  </si>
  <si>
    <t>Briedenhann</t>
  </si>
  <si>
    <t>IM</t>
  </si>
  <si>
    <t>Brooks</t>
  </si>
  <si>
    <t>AE</t>
  </si>
  <si>
    <t>Coetzee</t>
  </si>
  <si>
    <t>Combrink</t>
  </si>
  <si>
    <t>JA</t>
  </si>
  <si>
    <t>MS</t>
  </si>
  <si>
    <t>Cornelius</t>
  </si>
  <si>
    <t>OA</t>
  </si>
  <si>
    <t>DCK Trust</t>
  </si>
  <si>
    <t>De Lange</t>
  </si>
  <si>
    <t>Lange Kleinkinders</t>
  </si>
  <si>
    <t>De</t>
  </si>
  <si>
    <t>Deerans</t>
  </si>
  <si>
    <t>Dummer</t>
  </si>
  <si>
    <t>BRD</t>
  </si>
  <si>
    <t>Bodenstein</t>
  </si>
  <si>
    <t>AR</t>
  </si>
  <si>
    <t>van Tonder</t>
  </si>
  <si>
    <t>Enslin</t>
  </si>
  <si>
    <t>CC</t>
  </si>
  <si>
    <t>W</t>
  </si>
  <si>
    <t>Ferreira</t>
  </si>
  <si>
    <t>Fouche</t>
  </si>
  <si>
    <t>SP</t>
  </si>
  <si>
    <t>Fourie</t>
  </si>
  <si>
    <t>AG</t>
  </si>
  <si>
    <t>AEH</t>
  </si>
  <si>
    <t>Gelderbloem</t>
  </si>
  <si>
    <t>JB</t>
  </si>
  <si>
    <t>Gouws</t>
  </si>
  <si>
    <t>Greyvenstein</t>
  </si>
  <si>
    <t>de Vries</t>
  </si>
  <si>
    <t>ZJD</t>
  </si>
  <si>
    <t>Henning</t>
  </si>
  <si>
    <t>HL</t>
  </si>
  <si>
    <t>van der Merwe</t>
  </si>
  <si>
    <t>Joubert</t>
  </si>
  <si>
    <t>AB</t>
  </si>
  <si>
    <t>Koorts</t>
  </si>
  <si>
    <t>Kotze</t>
  </si>
  <si>
    <t>ML</t>
  </si>
  <si>
    <t>BG</t>
  </si>
  <si>
    <t>Liebenberg</t>
  </si>
  <si>
    <t>HE</t>
  </si>
  <si>
    <t>Loots</t>
  </si>
  <si>
    <t>MA</t>
  </si>
  <si>
    <t>ZM</t>
  </si>
  <si>
    <t>Mrs</t>
  </si>
  <si>
    <t>SCHEEPERS</t>
  </si>
  <si>
    <t>L</t>
  </si>
  <si>
    <t>Marais</t>
  </si>
  <si>
    <t>Massyn</t>
  </si>
  <si>
    <t>WP</t>
  </si>
  <si>
    <t>Matthee</t>
  </si>
  <si>
    <t>Meintjies</t>
  </si>
  <si>
    <t>PAR</t>
  </si>
  <si>
    <t>Schaffner</t>
  </si>
  <si>
    <t>JSR</t>
  </si>
  <si>
    <t>Minnie</t>
  </si>
  <si>
    <t>HJS</t>
  </si>
  <si>
    <t>Oosthuizen</t>
  </si>
  <si>
    <t>JD</t>
  </si>
  <si>
    <t>Neethling</t>
  </si>
  <si>
    <t>Nel</t>
  </si>
  <si>
    <t>BO</t>
  </si>
  <si>
    <t>JW</t>
  </si>
  <si>
    <t>Kennedy</t>
  </si>
  <si>
    <t>ND</t>
  </si>
  <si>
    <t>SC</t>
  </si>
  <si>
    <t>Pienaar</t>
  </si>
  <si>
    <t>HP</t>
  </si>
  <si>
    <t>AC</t>
  </si>
  <si>
    <t>Potgieter</t>
  </si>
  <si>
    <t>Pretorius</t>
  </si>
  <si>
    <t>D</t>
  </si>
  <si>
    <t>Pretorius Familie Beleggings Trust</t>
  </si>
  <si>
    <t>HPJ</t>
  </si>
  <si>
    <t>Swartz</t>
  </si>
  <si>
    <t>DL</t>
  </si>
  <si>
    <t>GS</t>
  </si>
  <si>
    <t>Z</t>
  </si>
  <si>
    <t>Raath</t>
  </si>
  <si>
    <t>EA</t>
  </si>
  <si>
    <t>Radley</t>
  </si>
  <si>
    <t>SW</t>
  </si>
  <si>
    <t>Reebok Trust</t>
  </si>
  <si>
    <t>Roodman</t>
  </si>
  <si>
    <t>K</t>
  </si>
  <si>
    <t>SCHOEMAN</t>
  </si>
  <si>
    <t>AW</t>
  </si>
  <si>
    <t>Slabber</t>
  </si>
  <si>
    <t>EF</t>
  </si>
  <si>
    <t>Slabbert</t>
  </si>
  <si>
    <t>HIH</t>
  </si>
  <si>
    <t>PJL</t>
  </si>
  <si>
    <t>Swanepoel</t>
  </si>
  <si>
    <t>Swart</t>
  </si>
  <si>
    <t>HB</t>
  </si>
  <si>
    <t>Tel Familie Trust</t>
  </si>
  <si>
    <t>Thompson</t>
  </si>
  <si>
    <t>DP</t>
  </si>
  <si>
    <t>Toelina Trust</t>
  </si>
  <si>
    <t>Tomora Trust</t>
  </si>
  <si>
    <t>Van Antwerpen</t>
  </si>
  <si>
    <t>JWJ</t>
  </si>
  <si>
    <t>VAN ANTWERPEN</t>
  </si>
  <si>
    <t>KE</t>
  </si>
  <si>
    <t>Van Aswegen</t>
  </si>
  <si>
    <t>MWD</t>
  </si>
  <si>
    <t>Van Den Berg</t>
  </si>
  <si>
    <t>Van den Berg</t>
  </si>
  <si>
    <t>MHA</t>
  </si>
  <si>
    <t>Jansen Van Rensburg</t>
  </si>
  <si>
    <t>HJC</t>
  </si>
  <si>
    <t>Van der Vyver</t>
  </si>
  <si>
    <t>CM</t>
  </si>
  <si>
    <t>Van Der Watt</t>
  </si>
  <si>
    <t>RFJ</t>
  </si>
  <si>
    <t>Van der Westhuizen</t>
  </si>
  <si>
    <t>DE</t>
  </si>
  <si>
    <t>Van Eeden</t>
  </si>
  <si>
    <t>Van Jaarsveld</t>
  </si>
  <si>
    <t>Van Niekerk</t>
  </si>
  <si>
    <t>Van Rooyen</t>
  </si>
  <si>
    <t>GH</t>
  </si>
  <si>
    <t>Van Staden</t>
  </si>
  <si>
    <t>EL</t>
  </si>
  <si>
    <t>Van Tonder</t>
  </si>
  <si>
    <t>Van Tonder (Jnr)</t>
  </si>
  <si>
    <t>Van Wyk</t>
  </si>
  <si>
    <t>WC</t>
  </si>
  <si>
    <t>Venter</t>
  </si>
  <si>
    <t>IE</t>
  </si>
  <si>
    <t>NP</t>
  </si>
  <si>
    <t>du Plessis</t>
  </si>
  <si>
    <t>Vermaak</t>
  </si>
  <si>
    <t>Visser</t>
  </si>
  <si>
    <t>MCJ</t>
  </si>
  <si>
    <t>TJ</t>
  </si>
  <si>
    <t>Weyer</t>
  </si>
  <si>
    <t>HF</t>
  </si>
  <si>
    <t>Wiesner</t>
  </si>
  <si>
    <t>Woolridge</t>
  </si>
  <si>
    <t>GE</t>
  </si>
  <si>
    <t>Yssel</t>
  </si>
  <si>
    <t>HJJ</t>
  </si>
  <si>
    <t>Pressly</t>
  </si>
  <si>
    <t>GP</t>
  </si>
  <si>
    <t>Schneider</t>
  </si>
  <si>
    <t>SJM</t>
  </si>
  <si>
    <t>Hamman</t>
  </si>
  <si>
    <t>Van Den Heever</t>
  </si>
  <si>
    <t>CAE</t>
  </si>
  <si>
    <t>CML</t>
  </si>
  <si>
    <t>LU</t>
  </si>
  <si>
    <t>JOHANNA WEYER TESTAMENTERE TRUST</t>
  </si>
  <si>
    <t>Rice</t>
  </si>
  <si>
    <t>KSB Durban Trading CC</t>
  </si>
  <si>
    <t>Buys</t>
  </si>
  <si>
    <t>IB</t>
  </si>
  <si>
    <t>Darke</t>
  </si>
  <si>
    <t>Berry</t>
  </si>
  <si>
    <t>FM</t>
  </si>
  <si>
    <t>Schroeder</t>
  </si>
  <si>
    <t>SMM</t>
  </si>
  <si>
    <t>G</t>
  </si>
  <si>
    <t>S</t>
  </si>
  <si>
    <t>ZR</t>
  </si>
  <si>
    <t>JR</t>
  </si>
  <si>
    <t>Carlisle</t>
  </si>
  <si>
    <t>JAW</t>
  </si>
  <si>
    <t>De Hart</t>
  </si>
  <si>
    <t>Gavin</t>
  </si>
  <si>
    <t>EB</t>
  </si>
  <si>
    <t>Grobler</t>
  </si>
  <si>
    <t>Hansrajh</t>
  </si>
  <si>
    <t>GC</t>
  </si>
  <si>
    <t>Maharajh</t>
  </si>
  <si>
    <t>Moodley</t>
  </si>
  <si>
    <t>V</t>
  </si>
  <si>
    <t>Roos</t>
  </si>
  <si>
    <t>T</t>
  </si>
  <si>
    <t>Thomson</t>
  </si>
  <si>
    <t>Bevedere Nominees Limited</t>
  </si>
  <si>
    <t>Borman</t>
  </si>
  <si>
    <t>DV</t>
  </si>
  <si>
    <t>Breytenbach</t>
  </si>
  <si>
    <t>Burn</t>
  </si>
  <si>
    <t>Cloete</t>
  </si>
  <si>
    <t>GNP</t>
  </si>
  <si>
    <t>Chanderpresath</t>
  </si>
  <si>
    <t>Dodson</t>
  </si>
  <si>
    <t>CW</t>
  </si>
  <si>
    <t>Dzhafarov</t>
  </si>
  <si>
    <t>Du Preez</t>
  </si>
  <si>
    <t>EP</t>
  </si>
  <si>
    <t>Gerber</t>
  </si>
  <si>
    <t>CH</t>
  </si>
  <si>
    <t>Mr</t>
  </si>
  <si>
    <t>PS</t>
  </si>
  <si>
    <t>Glover</t>
  </si>
  <si>
    <t>BR</t>
  </si>
  <si>
    <t>(Hannatjie)</t>
  </si>
  <si>
    <t>Esterhuizen</t>
  </si>
  <si>
    <t>HZ</t>
  </si>
  <si>
    <t>Ellis</t>
  </si>
  <si>
    <t>Grawe</t>
  </si>
  <si>
    <t>FR</t>
  </si>
  <si>
    <t>TA</t>
  </si>
  <si>
    <t>Ioannou</t>
  </si>
  <si>
    <t>Kistan</t>
  </si>
  <si>
    <t>Lancaster</t>
  </si>
  <si>
    <t>AHS</t>
  </si>
  <si>
    <t>Martheze</t>
  </si>
  <si>
    <t>Nghatsane</t>
  </si>
  <si>
    <t>Mildenhall</t>
  </si>
  <si>
    <t>FJ</t>
  </si>
  <si>
    <t>Osinski</t>
  </si>
  <si>
    <t>Postma</t>
  </si>
  <si>
    <t>Pelser</t>
  </si>
  <si>
    <t>HS</t>
  </si>
  <si>
    <t>Page</t>
  </si>
  <si>
    <t>AS</t>
  </si>
  <si>
    <t>Olsen</t>
  </si>
  <si>
    <t>Spies</t>
  </si>
  <si>
    <t>Schraader</t>
  </si>
  <si>
    <t>Strauss</t>
  </si>
  <si>
    <t>Zweistra</t>
  </si>
  <si>
    <t>van Straaten</t>
  </si>
  <si>
    <t>PA</t>
  </si>
  <si>
    <t>Wayne Ent</t>
  </si>
  <si>
    <t>Scheepers</t>
  </si>
  <si>
    <t>MH</t>
  </si>
  <si>
    <t>Dolloway</t>
  </si>
  <si>
    <t>KL</t>
  </si>
  <si>
    <t>Branford</t>
  </si>
  <si>
    <t>Tavares</t>
  </si>
  <si>
    <t>MW</t>
  </si>
  <si>
    <t>Mrwetyana</t>
  </si>
  <si>
    <t>LL</t>
  </si>
  <si>
    <t>MG</t>
  </si>
  <si>
    <t>Smith</t>
  </si>
  <si>
    <t>Bosman</t>
  </si>
  <si>
    <t>Koekemoer</t>
  </si>
  <si>
    <t>Sykes</t>
  </si>
  <si>
    <t>JP Mays and CA Stark</t>
  </si>
  <si>
    <t>AD and KR Sutton</t>
  </si>
  <si>
    <t>Bonnet</t>
  </si>
  <si>
    <t>EH</t>
  </si>
  <si>
    <t>Anmar Trust</t>
  </si>
  <si>
    <t>Seventh-day Adventist Church NC of SA</t>
  </si>
  <si>
    <t>Koorts (Jnr)</t>
  </si>
  <si>
    <t>Sparrow</t>
  </si>
  <si>
    <t>NJ</t>
  </si>
  <si>
    <t>AJ Van Tonder (Jnr)</t>
  </si>
  <si>
    <t>Kanaan Quantum Fund</t>
  </si>
  <si>
    <t>Quantum Fund</t>
  </si>
  <si>
    <t>Kanaan Quantum</t>
  </si>
  <si>
    <t>The Xhilarator Global Fund (USD)</t>
  </si>
  <si>
    <t>Shares in Issue</t>
  </si>
  <si>
    <t>GM382</t>
  </si>
  <si>
    <t>MJ Berry</t>
  </si>
  <si>
    <t>Xhilarator Global</t>
  </si>
  <si>
    <t>N/A</t>
  </si>
  <si>
    <t>Lumiere Fund Services</t>
  </si>
  <si>
    <t>GM2411</t>
  </si>
  <si>
    <t>GM372</t>
  </si>
  <si>
    <t>HJ Bezuidenhout</t>
  </si>
  <si>
    <t>GM385</t>
  </si>
  <si>
    <t>MJ Boshoff</t>
  </si>
  <si>
    <t>GM371</t>
  </si>
  <si>
    <t>CS BRADLEY</t>
  </si>
  <si>
    <t>GM2301</t>
  </si>
  <si>
    <t>GM369</t>
  </si>
  <si>
    <t>JA Carlisle</t>
  </si>
  <si>
    <t>GM368</t>
  </si>
  <si>
    <t>GM367</t>
  </si>
  <si>
    <t>AM CORNELIUS</t>
  </si>
  <si>
    <t>GM366</t>
  </si>
  <si>
    <t>GM1067</t>
  </si>
  <si>
    <t>GM373</t>
  </si>
  <si>
    <t>J(Hannatjie) Delport</t>
  </si>
  <si>
    <t>GM374</t>
  </si>
  <si>
    <t>GM376</t>
  </si>
  <si>
    <t>GM1911</t>
  </si>
  <si>
    <t>GM1046</t>
  </si>
  <si>
    <t>SP Fouche</t>
  </si>
  <si>
    <t>GM1071</t>
  </si>
  <si>
    <t>PJ Fourie</t>
  </si>
  <si>
    <t>GM1049</t>
  </si>
  <si>
    <t>AO Friederang</t>
  </si>
  <si>
    <t>GM1074</t>
  </si>
  <si>
    <t>GM442</t>
  </si>
  <si>
    <t>EB Gavin</t>
  </si>
  <si>
    <t>GM1050</t>
  </si>
  <si>
    <t>GM443</t>
  </si>
  <si>
    <t>JP Grobler</t>
  </si>
  <si>
    <t>GM390</t>
  </si>
  <si>
    <t>R Hansrajh</t>
  </si>
  <si>
    <t>GM441</t>
  </si>
  <si>
    <t>K Hansrajh</t>
  </si>
  <si>
    <t>GM1051</t>
  </si>
  <si>
    <t>GM375</t>
  </si>
  <si>
    <t>GM1045</t>
  </si>
  <si>
    <t>GM1073</t>
  </si>
  <si>
    <t>E Loots</t>
  </si>
  <si>
    <t>GM2439</t>
  </si>
  <si>
    <t>GM378</t>
  </si>
  <si>
    <t>AG Loots</t>
  </si>
  <si>
    <t>GM1053</t>
  </si>
  <si>
    <t>GM454</t>
  </si>
  <si>
    <t>GM514</t>
  </si>
  <si>
    <t>V Moodley</t>
  </si>
  <si>
    <t>GM1052</t>
  </si>
  <si>
    <t>GM377</t>
  </si>
  <si>
    <t>JW Nel</t>
  </si>
  <si>
    <t>GM1350</t>
  </si>
  <si>
    <t>PE Lombard</t>
  </si>
  <si>
    <t>GM383</t>
  </si>
  <si>
    <t>BH Phipson</t>
  </si>
  <si>
    <t>GM576</t>
  </si>
  <si>
    <t>GM384</t>
  </si>
  <si>
    <t>GM1068</t>
  </si>
  <si>
    <t>SW Radley</t>
  </si>
  <si>
    <t>GM2458</t>
  </si>
  <si>
    <t>M Render</t>
  </si>
  <si>
    <t>GM380</t>
  </si>
  <si>
    <t>T Roos</t>
  </si>
  <si>
    <t>GM1042</t>
  </si>
  <si>
    <t>GM379</t>
  </si>
  <si>
    <t>PJ Strydom</t>
  </si>
  <si>
    <t>GM1047</t>
  </si>
  <si>
    <t>GM1041</t>
  </si>
  <si>
    <t>DP Thompson</t>
  </si>
  <si>
    <t>GM386</t>
  </si>
  <si>
    <t>PJ THOMPSON</t>
  </si>
  <si>
    <t>GM2050</t>
  </si>
  <si>
    <t>KE Van Antwerpen</t>
  </si>
  <si>
    <t>GM455</t>
  </si>
  <si>
    <t>TJ Van Den Heever</t>
  </si>
  <si>
    <t>GM560</t>
  </si>
  <si>
    <t>J Van Eeden</t>
  </si>
  <si>
    <t>GM723</t>
  </si>
  <si>
    <t>TJ Visser</t>
  </si>
  <si>
    <t>GM2185</t>
  </si>
  <si>
    <t>GM389</t>
  </si>
  <si>
    <t>CJ Wiesner</t>
  </si>
  <si>
    <t>GM1072</t>
  </si>
  <si>
    <t>SA Wrigley</t>
  </si>
  <si>
    <t>GM1043</t>
  </si>
  <si>
    <t>IW70002</t>
  </si>
  <si>
    <t>IW70003</t>
  </si>
  <si>
    <t>IW70006</t>
  </si>
  <si>
    <t>IW70007</t>
  </si>
  <si>
    <t>IW70011</t>
  </si>
  <si>
    <t>IW70012</t>
  </si>
  <si>
    <t>IW70013</t>
  </si>
  <si>
    <t>IW70016</t>
  </si>
  <si>
    <t>IW70017</t>
  </si>
  <si>
    <t>IW70018</t>
  </si>
  <si>
    <t>IW70019</t>
  </si>
  <si>
    <t>IW70023</t>
  </si>
  <si>
    <t>IW70024</t>
  </si>
  <si>
    <t>IW70025</t>
  </si>
  <si>
    <t>IW70027</t>
  </si>
  <si>
    <t>IW70031</t>
  </si>
  <si>
    <t>IW70041</t>
  </si>
  <si>
    <t>IW70042</t>
  </si>
  <si>
    <t>IW70043</t>
  </si>
  <si>
    <t>IW70044</t>
  </si>
  <si>
    <t>IW70046</t>
  </si>
  <si>
    <t>IW70048</t>
  </si>
  <si>
    <t>IW70051</t>
  </si>
  <si>
    <t>IW70052</t>
  </si>
  <si>
    <t>IW70053</t>
  </si>
  <si>
    <t>IW70055</t>
  </si>
  <si>
    <t>IW70056</t>
  </si>
  <si>
    <t>IW70057</t>
  </si>
  <si>
    <t>IW70063</t>
  </si>
  <si>
    <t>IW70066</t>
  </si>
  <si>
    <t>IW70067</t>
  </si>
  <si>
    <t>IW70068</t>
  </si>
  <si>
    <t>IW70069</t>
  </si>
  <si>
    <t>IW70070</t>
  </si>
  <si>
    <t>IW70072</t>
  </si>
  <si>
    <t>IW70073</t>
  </si>
  <si>
    <t>IW70074</t>
  </si>
  <si>
    <t>IW70075</t>
  </si>
  <si>
    <t>IW70076</t>
  </si>
  <si>
    <t>IW70077</t>
  </si>
  <si>
    <t>IW70078</t>
  </si>
  <si>
    <t>IW70079</t>
  </si>
  <si>
    <t>IW70080</t>
  </si>
  <si>
    <t>IW70081</t>
  </si>
  <si>
    <t>IW70082</t>
  </si>
  <si>
    <t>IW70083</t>
  </si>
  <si>
    <t>IW70084</t>
  </si>
  <si>
    <t>IW70086</t>
  </si>
  <si>
    <t>IW70087</t>
  </si>
  <si>
    <t>IW70088</t>
  </si>
  <si>
    <t>IW70089</t>
  </si>
  <si>
    <t>IW70090</t>
  </si>
  <si>
    <t>IW70091</t>
  </si>
  <si>
    <t>IW70092</t>
  </si>
  <si>
    <t>IW70093</t>
  </si>
  <si>
    <t>IW70094</t>
  </si>
  <si>
    <t>IW70095</t>
  </si>
  <si>
    <t>IW70097</t>
  </si>
  <si>
    <t>IW70098</t>
  </si>
  <si>
    <t>IW70099</t>
  </si>
  <si>
    <t>IW70100</t>
  </si>
  <si>
    <t>IW70101</t>
  </si>
  <si>
    <t>IW70102</t>
  </si>
  <si>
    <t>IW70104</t>
  </si>
  <si>
    <t>IW70105</t>
  </si>
  <si>
    <t>IW70106</t>
  </si>
  <si>
    <t>IW70107</t>
  </si>
  <si>
    <t>IW70109</t>
  </si>
  <si>
    <t>IW70112</t>
  </si>
  <si>
    <t>IW70113</t>
  </si>
  <si>
    <t>IW70114</t>
  </si>
  <si>
    <t>IW70115</t>
  </si>
  <si>
    <t>IW70116</t>
  </si>
  <si>
    <t>IW70117</t>
  </si>
  <si>
    <t>IW70119</t>
  </si>
  <si>
    <t>IW70122</t>
  </si>
  <si>
    <t>IW70121</t>
  </si>
  <si>
    <t>IW70124</t>
  </si>
  <si>
    <t>Equity Offshore</t>
  </si>
  <si>
    <t>VanEck Oil Services ETF</t>
  </si>
  <si>
    <t>IW70111</t>
  </si>
  <si>
    <t>IW70125</t>
  </si>
  <si>
    <t>JS Schaffner</t>
  </si>
  <si>
    <t>IW70126</t>
  </si>
  <si>
    <t>W Enslin</t>
  </si>
  <si>
    <t>IW70128</t>
  </si>
  <si>
    <t>IW70129</t>
  </si>
  <si>
    <t>ZR Charlton</t>
  </si>
  <si>
    <t>Herbert</t>
  </si>
  <si>
    <t>L Herbert</t>
  </si>
  <si>
    <t>RS</t>
  </si>
  <si>
    <t>EA Bosman</t>
  </si>
  <si>
    <t>BCI Income Plus Fund A</t>
  </si>
  <si>
    <t>IW70131</t>
  </si>
  <si>
    <t>RS Nautsch</t>
  </si>
  <si>
    <t>IW70132</t>
  </si>
  <si>
    <t>RJ Kusel</t>
  </si>
  <si>
    <t>GP Delport</t>
  </si>
  <si>
    <t>IW70134</t>
  </si>
  <si>
    <t>IW70135</t>
  </si>
  <si>
    <t>Ndlovu</t>
  </si>
  <si>
    <t>NM</t>
  </si>
  <si>
    <t>Zeiler</t>
  </si>
  <si>
    <t>EW</t>
  </si>
  <si>
    <t>Finplan Trust</t>
  </si>
  <si>
    <t>Cilliers</t>
  </si>
  <si>
    <t>IW70139</t>
  </si>
  <si>
    <t>IW70140</t>
  </si>
  <si>
    <t>JL Schroder</t>
  </si>
  <si>
    <t>DE Van der Westhuizen</t>
  </si>
  <si>
    <t>IW70141</t>
  </si>
  <si>
    <t>Jali</t>
  </si>
  <si>
    <t>van Zyl</t>
  </si>
  <si>
    <t>JJ van Zyl</t>
  </si>
  <si>
    <t>IW70143</t>
  </si>
  <si>
    <t>JM Sellors</t>
  </si>
  <si>
    <t>BCP cash account (USD)</t>
  </si>
  <si>
    <t>IW70142</t>
  </si>
  <si>
    <t>Sandler</t>
  </si>
  <si>
    <t>JM Sandler</t>
  </si>
  <si>
    <t>AJ KIJKO</t>
  </si>
  <si>
    <t>Trading account - Interactive Brokers LLC (USD)</t>
  </si>
  <si>
    <t>Great Pacific Gold Corp Ordinary Shares</t>
  </si>
  <si>
    <t>CIL Treasury account (USD)</t>
  </si>
  <si>
    <t>Fairtree BCI Income Plus - A</t>
  </si>
  <si>
    <t>Fairtree BCI Income Plus - C</t>
  </si>
  <si>
    <t>IW70146</t>
  </si>
  <si>
    <t>FN Walz</t>
  </si>
  <si>
    <t>Walz</t>
  </si>
  <si>
    <t>FN</t>
  </si>
  <si>
    <t>Saffron BCI Opportunity Income Fund A</t>
  </si>
  <si>
    <t>HJ and PN Zarnack</t>
  </si>
  <si>
    <t>200809150014</t>
  </si>
  <si>
    <t>200810020076</t>
  </si>
  <si>
    <t>200810090132</t>
  </si>
  <si>
    <t>200809180519</t>
  </si>
  <si>
    <t>IW70147</t>
  </si>
  <si>
    <t>A van Eeden</t>
  </si>
  <si>
    <t>IW70148</t>
  </si>
  <si>
    <t>GF</t>
  </si>
  <si>
    <t>GF and SY Jacobs</t>
  </si>
  <si>
    <t>Moriah Global FoF (USD)</t>
  </si>
  <si>
    <t>IW70149</t>
  </si>
  <si>
    <t>T van Tonder</t>
  </si>
  <si>
    <t>Mi-Plan BCI Global Macro - B5</t>
  </si>
  <si>
    <t>27164.62</t>
  </si>
  <si>
    <t>22894.82</t>
  </si>
  <si>
    <t>29089.80</t>
  </si>
  <si>
    <t>24643.79</t>
  </si>
  <si>
    <t>29298.41</t>
  </si>
  <si>
    <t>27093.30</t>
  </si>
  <si>
    <t>Kanaan Income Offshore FoF (USD)</t>
  </si>
  <si>
    <t>Anglogold Ashanti PLC</t>
  </si>
  <si>
    <t>IW503170</t>
  </si>
  <si>
    <t>CIL Treasury account (GBP)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</si>
</sst>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C09]dd\ mmmm\ yyyy;@"/>
    <numFmt numFmtId="165" formatCode="dd\ mmm\ yyyy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sz val="10"/>
      <color rgb="FF000000"/>
      <name val="ArialNarrow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9" fontId="1" fillId="0" borderId="0" applyFont="0" applyFill="0" applyBorder="0" applyAlignment="0" applyProtection="0"/>
    <xf numFmtId="0" fontId="7" fillId="0" borderId="0">
      <alignment vertical="top"/>
    </xf>
  </cellStyleXfs>
  <cellXfs count="26">
    <xf numFmtId="0" fontId="0" fillId="0" borderId="0" xfId="0"/>
    <xf numFmtId="2" fontId="0" fillId="0" borderId="0" xfId="0" applyNumberFormat="1"/>
    <xf numFmtId="0" fontId="3" fillId="0" borderId="0" xfId="1" applyFont="1" applyAlignment="1"/>
    <xf numFmtId="0" fontId="2" fillId="0" borderId="0" xfId="1">
      <alignment vertical="center"/>
    </xf>
    <xf numFmtId="0" fontId="4" fillId="0" borderId="0" xfId="1" applyFont="1" applyAlignment="1"/>
    <xf numFmtId="0" fontId="2" fillId="0" borderId="0" xfId="1" applyAlignment="1"/>
    <xf numFmtId="0" fontId="5" fillId="0" borderId="1" xfId="0" applyFont="1" applyBorder="1" applyAlignment="1">
      <alignment horizontal="center" vertical="center" wrapText="1"/>
    </xf>
    <xf numFmtId="15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0" fontId="6" fillId="0" borderId="0" xfId="0" applyFont="1"/>
    <xf numFmtId="0" fontId="7" fillId="0" borderId="0" xfId="3">
      <alignment vertical="top"/>
    </xf>
    <xf numFmtId="15" fontId="7" fillId="0" borderId="0" xfId="3" applyNumberFormat="1">
      <alignment vertical="top"/>
    </xf>
    <xf numFmtId="49" fontId="0" fillId="0" borderId="0" xfId="0" applyNumberFormat="1"/>
    <xf numFmtId="0" fontId="0" fillId="0" borderId="0" xfId="0" applyAlignment="1">
      <alignment wrapText="1"/>
    </xf>
    <xf numFmtId="10" fontId="2" fillId="0" borderId="0" xfId="2" applyNumberFormat="1" applyFont="1" applyAlignment="1">
      <alignment vertical="center"/>
    </xf>
    <xf numFmtId="0" fontId="0" fillId="0" borderId="0" xfId="0" quotePrefix="1"/>
    <xf numFmtId="0" fontId="2" fillId="0" borderId="0" xfId="1" applyAlignment="1">
      <alignment horizontal="right" vertical="center"/>
    </xf>
    <xf numFmtId="165" fontId="0" fillId="0" borderId="0" xfId="2" applyNumberFormat="1" applyFont="1" applyFill="1" applyProtection="1"/>
    <xf numFmtId="0" fontId="8" fillId="0" borderId="0" xfId="0" applyFont="1"/>
    <xf numFmtId="2" fontId="7" fillId="0" borderId="0" xfId="3" applyNumberFormat="1">
      <alignment vertical="top"/>
    </xf>
    <xf numFmtId="49" fontId="0" fillId="0" borderId="0" xfId="0" quotePrefix="1" applyNumberFormat="1"/>
    <xf numFmtId="2" fontId="0" fillId="0" borderId="0" xfId="0" applyNumberFormat="1" applyAlignment="1">
      <alignment horizontal="right"/>
    </xf>
    <xf numFmtId="2" fontId="2" fillId="0" borderId="0" xfId="1" applyNumberFormat="1">
      <alignment vertical="center"/>
    </xf>
    <xf numFmtId="2" fontId="2" fillId="0" borderId="0" xfId="1" applyNumberFormat="1" applyAlignment="1">
      <alignment horizontal="right" vertical="center"/>
    </xf>
    <xf numFmtId="0" fontId="0" fillId="0" borderId="0" xfId="0" applyAlignment="1">
      <alignment vertical="top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7"/>
  <sheetViews>
    <sheetView workbookViewId="0">
      <selection activeCell="F11" sqref="F11"/>
    </sheetView>
  </sheetViews>
  <sheetFormatPr defaultColWidth="8.88671875" defaultRowHeight="14.4"/>
  <cols>
    <col min="1" max="1" width="12.6640625" bestFit="1" customWidth="1"/>
    <col min="2" max="3" width="12.6640625" customWidth="1"/>
    <col min="4" max="4" width="39.44140625" customWidth="1"/>
    <col min="5" max="5" width="42.21875" bestFit="1" customWidth="1"/>
    <col min="6" max="6" width="12.88671875" style="1" bestFit="1" customWidth="1"/>
    <col min="7" max="7" width="11.88671875" style="18" bestFit="1" customWidth="1"/>
    <col min="8" max="8" width="10" bestFit="1" customWidth="1"/>
    <col min="9" max="9" width="13.6640625" bestFit="1" customWidth="1"/>
    <col min="10" max="10" width="12.5546875" bestFit="1" customWidth="1"/>
  </cols>
  <sheetData>
    <row r="1" spans="1:11" ht="28.8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s="18" t="s">
        <v>6</v>
      </c>
      <c r="H1" t="s">
        <v>3</v>
      </c>
      <c r="I1" t="s">
        <v>7</v>
      </c>
      <c r="J1" t="s">
        <v>8</v>
      </c>
      <c r="K1" s="6" t="s">
        <v>9</v>
      </c>
    </row>
    <row r="2" spans="1:11">
      <c r="A2">
        <v>20448</v>
      </c>
      <c r="B2">
        <v>20448</v>
      </c>
      <c r="C2">
        <v>12</v>
      </c>
      <c r="D2" t="s">
        <v>15</v>
      </c>
      <c r="E2" t="s">
        <v>871</v>
      </c>
      <c r="F2" s="1">
        <v>243135.95937624</v>
      </c>
      <c r="G2" s="18">
        <v>45985.886157407404</v>
      </c>
      <c r="H2" s="10"/>
      <c r="I2" s="7" t="s">
        <v>12</v>
      </c>
      <c r="J2" s="7" t="s">
        <v>13</v>
      </c>
      <c r="K2" s="7" t="s">
        <v>14</v>
      </c>
    </row>
    <row r="3" spans="1:11">
      <c r="A3">
        <v>20612</v>
      </c>
      <c r="B3">
        <v>20612</v>
      </c>
      <c r="C3">
        <v>68</v>
      </c>
      <c r="D3" t="s">
        <v>16</v>
      </c>
      <c r="E3" t="s">
        <v>871</v>
      </c>
      <c r="F3" s="1">
        <v>200191.62986401</v>
      </c>
      <c r="G3" s="18">
        <v>45985.886157407404</v>
      </c>
      <c r="H3" s="10"/>
      <c r="I3" s="7" t="s">
        <v>12</v>
      </c>
      <c r="J3" s="7" t="s">
        <v>13</v>
      </c>
      <c r="K3" s="7" t="s">
        <v>14</v>
      </c>
    </row>
    <row r="4" spans="1:11">
      <c r="A4">
        <v>29474</v>
      </c>
      <c r="B4">
        <v>29474</v>
      </c>
      <c r="C4">
        <v>39</v>
      </c>
      <c r="D4" t="s">
        <v>23</v>
      </c>
      <c r="E4" t="s">
        <v>871</v>
      </c>
      <c r="F4" s="1">
        <v>54085.57578336</v>
      </c>
      <c r="G4" s="18">
        <v>45985.886157407404</v>
      </c>
      <c r="H4" s="10"/>
      <c r="I4" s="7" t="s">
        <v>12</v>
      </c>
      <c r="J4" s="7" t="s">
        <v>13</v>
      </c>
      <c r="K4" s="7" t="s">
        <v>14</v>
      </c>
    </row>
    <row r="5" spans="1:11">
      <c r="A5">
        <v>29475</v>
      </c>
      <c r="B5">
        <v>29475</v>
      </c>
      <c r="C5">
        <v>232</v>
      </c>
      <c r="D5" t="s">
        <v>24</v>
      </c>
      <c r="E5" t="s">
        <v>871</v>
      </c>
      <c r="F5" s="1">
        <v>154880.26055993</v>
      </c>
      <c r="G5" s="18">
        <v>45985.886157407404</v>
      </c>
      <c r="H5" s="10"/>
      <c r="I5" s="7" t="s">
        <v>12</v>
      </c>
      <c r="J5" s="7" t="s">
        <v>13</v>
      </c>
      <c r="K5" s="7" t="s">
        <v>14</v>
      </c>
    </row>
    <row r="6" spans="1:11">
      <c r="A6">
        <v>29477</v>
      </c>
      <c r="B6">
        <v>29477</v>
      </c>
      <c r="C6">
        <v>11</v>
      </c>
      <c r="D6" t="s">
        <v>25</v>
      </c>
      <c r="E6" t="s">
        <v>871</v>
      </c>
      <c r="F6" s="1">
        <v>290838.60641592997</v>
      </c>
      <c r="G6" s="18">
        <v>45985.886157407404</v>
      </c>
      <c r="H6" s="10"/>
      <c r="I6" s="7" t="s">
        <v>12</v>
      </c>
      <c r="J6" s="7" t="s">
        <v>13</v>
      </c>
      <c r="K6" s="7" t="s">
        <v>14</v>
      </c>
    </row>
    <row r="7" spans="1:11">
      <c r="A7">
        <v>2604210</v>
      </c>
      <c r="B7">
        <v>2604210</v>
      </c>
      <c r="C7">
        <v>35</v>
      </c>
      <c r="D7" t="s">
        <v>899</v>
      </c>
      <c r="E7" t="s">
        <v>909</v>
      </c>
      <c r="F7" s="1">
        <v>416.15118503000002</v>
      </c>
      <c r="G7" s="18">
        <v>45985.886192129597</v>
      </c>
      <c r="H7" s="10"/>
      <c r="I7" s="7" t="s">
        <v>12</v>
      </c>
      <c r="J7" s="7" t="s">
        <v>13</v>
      </c>
      <c r="K7" s="7" t="s">
        <v>14</v>
      </c>
    </row>
  </sheetData>
  <sortState xmlns:xlrd2="http://schemas.microsoft.com/office/spreadsheetml/2017/richdata2" ref="A2:K33">
    <sortCondition ref="A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K8"/>
  <sheetViews>
    <sheetView workbookViewId="0">
      <selection activeCell="E15" sqref="E15"/>
    </sheetView>
  </sheetViews>
  <sheetFormatPr defaultColWidth="8.88671875" defaultRowHeight="14.4"/>
  <cols>
    <col min="1" max="2" width="19.5546875" style="13" customWidth="1"/>
    <col min="3" max="3" width="7.5546875" style="13" bestFit="1" customWidth="1"/>
    <col min="4" max="4" width="16" style="13" bestFit="1" customWidth="1"/>
    <col min="5" max="5" width="23.109375" style="13" bestFit="1" customWidth="1"/>
    <col min="6" max="6" width="11.44140625" style="1" bestFit="1" customWidth="1"/>
    <col min="7" max="7" width="11" style="8" bestFit="1" customWidth="1"/>
    <col min="8" max="8" width="31.44140625" bestFit="1" customWidth="1"/>
    <col min="9" max="10" width="20.109375" bestFit="1" customWidth="1"/>
  </cols>
  <sheetData>
    <row r="1" spans="1:11" ht="28.8">
      <c r="A1" t="s">
        <v>30</v>
      </c>
      <c r="B1" s="13" t="s">
        <v>31</v>
      </c>
      <c r="C1" t="s">
        <v>2</v>
      </c>
      <c r="D1" t="s">
        <v>3</v>
      </c>
      <c r="E1" t="s">
        <v>4</v>
      </c>
      <c r="F1" s="1" t="s">
        <v>32</v>
      </c>
      <c r="G1" s="8" t="s">
        <v>33</v>
      </c>
      <c r="H1" t="s">
        <v>3</v>
      </c>
      <c r="I1" t="s">
        <v>7</v>
      </c>
      <c r="J1" t="s">
        <v>8</v>
      </c>
      <c r="K1" s="6" t="s">
        <v>9</v>
      </c>
    </row>
    <row r="2" spans="1:11">
      <c r="A2" s="21" t="s">
        <v>911</v>
      </c>
      <c r="B2" s="21" t="s">
        <v>911</v>
      </c>
      <c r="C2" s="13">
        <v>281</v>
      </c>
      <c r="D2" t="s">
        <v>44</v>
      </c>
      <c r="E2" s="8" t="s">
        <v>58</v>
      </c>
      <c r="F2" s="22">
        <v>2927.74</v>
      </c>
      <c r="G2" s="7">
        <v>45985</v>
      </c>
      <c r="H2" t="s">
        <v>36</v>
      </c>
      <c r="I2" t="str">
        <f t="shared" ref="I2:I8" si="0">IF(LEFT(H2,6)="Equity",MID(H2,15,30),0)</f>
        <v>Living Annuity</v>
      </c>
      <c r="J2" t="str">
        <f t="shared" ref="J2:J8" si="1">IF(LEFT(I2)="L","Compulsory, LA",IF(LEFT(I2)="R","Compulsory, RA",IF(LEFT(I2,2)="Pe","Compulsory, Pens","Voluntary")))</f>
        <v>Compulsory, LA</v>
      </c>
      <c r="K2" s="7" t="s">
        <v>37</v>
      </c>
    </row>
    <row r="3" spans="1:11">
      <c r="A3" s="13" t="s">
        <v>914</v>
      </c>
      <c r="B3" s="13" t="s">
        <v>914</v>
      </c>
      <c r="C3" s="13">
        <v>186</v>
      </c>
      <c r="D3" t="s">
        <v>47</v>
      </c>
      <c r="E3" s="8" t="s">
        <v>58</v>
      </c>
      <c r="F3" s="22">
        <v>20316.77</v>
      </c>
      <c r="G3" s="7">
        <v>45985</v>
      </c>
      <c r="H3" t="s">
        <v>36</v>
      </c>
      <c r="I3" t="str">
        <f t="shared" si="0"/>
        <v>Living Annuity</v>
      </c>
      <c r="J3" t="str">
        <f t="shared" si="1"/>
        <v>Compulsory, LA</v>
      </c>
      <c r="K3" s="7" t="s">
        <v>37</v>
      </c>
    </row>
    <row r="4" spans="1:11">
      <c r="A4" s="13" t="s">
        <v>912</v>
      </c>
      <c r="B4" s="13" t="s">
        <v>912</v>
      </c>
      <c r="C4" s="13">
        <v>52</v>
      </c>
      <c r="D4" t="s">
        <v>45</v>
      </c>
      <c r="E4" s="8" t="s">
        <v>58</v>
      </c>
      <c r="F4" s="22">
        <v>6774.77</v>
      </c>
      <c r="G4" s="7">
        <v>45985</v>
      </c>
      <c r="H4" t="s">
        <v>36</v>
      </c>
      <c r="I4" t="str">
        <f t="shared" si="0"/>
        <v>Living Annuity</v>
      </c>
      <c r="J4" t="str">
        <f t="shared" si="1"/>
        <v>Compulsory, LA</v>
      </c>
      <c r="K4" s="7" t="s">
        <v>37</v>
      </c>
    </row>
    <row r="5" spans="1:11">
      <c r="A5" s="13" t="s">
        <v>913</v>
      </c>
      <c r="B5" s="13" t="s">
        <v>913</v>
      </c>
      <c r="C5" s="13">
        <v>143</v>
      </c>
      <c r="D5" t="s">
        <v>46</v>
      </c>
      <c r="E5" s="8" t="s">
        <v>58</v>
      </c>
      <c r="F5" s="22">
        <v>16779.849999999999</v>
      </c>
      <c r="G5" s="7">
        <v>45985</v>
      </c>
      <c r="H5" t="s">
        <v>36</v>
      </c>
      <c r="I5" t="str">
        <f t="shared" si="0"/>
        <v>Living Annuity</v>
      </c>
      <c r="J5" t="str">
        <f t="shared" si="1"/>
        <v>Compulsory, LA</v>
      </c>
      <c r="K5" s="7" t="s">
        <v>37</v>
      </c>
    </row>
    <row r="6" spans="1:11">
      <c r="A6" t="str">
        <f>"201202020006"</f>
        <v>201202020006</v>
      </c>
      <c r="B6" s="13" t="s">
        <v>34</v>
      </c>
      <c r="C6" s="13">
        <v>129</v>
      </c>
      <c r="D6" t="s">
        <v>35</v>
      </c>
      <c r="E6" s="8" t="s">
        <v>58</v>
      </c>
      <c r="F6" s="22">
        <v>20441.43</v>
      </c>
      <c r="G6" s="7">
        <v>45985</v>
      </c>
      <c r="H6" t="s">
        <v>36</v>
      </c>
      <c r="I6" t="str">
        <f t="shared" si="0"/>
        <v>Living Annuity</v>
      </c>
      <c r="J6" t="str">
        <f t="shared" si="1"/>
        <v>Compulsory, LA</v>
      </c>
      <c r="K6" s="7" t="s">
        <v>37</v>
      </c>
    </row>
    <row r="7" spans="1:11">
      <c r="A7" s="16" t="s">
        <v>38</v>
      </c>
      <c r="B7" s="21" t="s">
        <v>38</v>
      </c>
      <c r="C7" s="13">
        <v>200</v>
      </c>
      <c r="D7" t="s">
        <v>39</v>
      </c>
      <c r="E7" s="8" t="s">
        <v>58</v>
      </c>
      <c r="F7" s="22">
        <v>134985.71</v>
      </c>
      <c r="G7" s="7">
        <v>45985</v>
      </c>
      <c r="H7" t="s">
        <v>36</v>
      </c>
      <c r="I7" t="str">
        <f t="shared" si="0"/>
        <v>Living Annuity</v>
      </c>
      <c r="J7" t="str">
        <f t="shared" si="1"/>
        <v>Compulsory, LA</v>
      </c>
      <c r="K7" s="7" t="s">
        <v>37</v>
      </c>
    </row>
    <row r="8" spans="1:11">
      <c r="A8" s="16" t="s">
        <v>40</v>
      </c>
      <c r="B8" s="21" t="s">
        <v>40</v>
      </c>
      <c r="C8" s="13">
        <v>380</v>
      </c>
      <c r="D8" t="s">
        <v>41</v>
      </c>
      <c r="E8" s="8" t="s">
        <v>58</v>
      </c>
      <c r="F8" s="22">
        <v>48852.69</v>
      </c>
      <c r="G8" s="7">
        <v>45985</v>
      </c>
      <c r="H8" t="s">
        <v>36</v>
      </c>
      <c r="I8" t="str">
        <f t="shared" si="0"/>
        <v>Living Annuity</v>
      </c>
      <c r="J8" t="str">
        <f t="shared" si="1"/>
        <v>Compulsory, LA</v>
      </c>
      <c r="K8" s="7" t="s">
        <v>37</v>
      </c>
    </row>
  </sheetData>
  <sortState xmlns:xlrd2="http://schemas.microsoft.com/office/spreadsheetml/2017/richdata2" ref="A2:K8">
    <sortCondition ref="B1:B8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7"/>
  <sheetViews>
    <sheetView workbookViewId="0">
      <selection activeCell="F12" sqref="F12"/>
    </sheetView>
  </sheetViews>
  <sheetFormatPr defaultColWidth="8.88671875" defaultRowHeight="14.4"/>
  <cols>
    <col min="1" max="1" width="13.88671875" bestFit="1" customWidth="1"/>
    <col min="2" max="3" width="13.88671875" customWidth="1"/>
    <col min="4" max="4" width="41.5546875" customWidth="1"/>
    <col min="5" max="5" width="19.44140625" bestFit="1" customWidth="1"/>
    <col min="6" max="6" width="10.6640625" style="1" bestFit="1" customWidth="1"/>
    <col min="7" max="7" width="10.5546875" bestFit="1" customWidth="1"/>
    <col min="8" max="8" width="28.33203125" bestFit="1" customWidth="1"/>
    <col min="9" max="10" width="20.109375" bestFit="1" customWidth="1"/>
  </cols>
  <sheetData>
    <row r="1" spans="1:11" ht="28.8">
      <c r="A1" t="s">
        <v>53</v>
      </c>
      <c r="B1" t="s">
        <v>54</v>
      </c>
      <c r="C1" t="s">
        <v>2</v>
      </c>
      <c r="D1" t="s">
        <v>3</v>
      </c>
      <c r="E1" t="s">
        <v>4</v>
      </c>
      <c r="F1" s="1" t="s">
        <v>55</v>
      </c>
      <c r="G1" t="s">
        <v>56</v>
      </c>
      <c r="H1" t="s">
        <v>3</v>
      </c>
      <c r="I1" t="s">
        <v>7</v>
      </c>
      <c r="J1" t="s">
        <v>8</v>
      </c>
      <c r="K1" s="6" t="s">
        <v>9</v>
      </c>
    </row>
    <row r="2" spans="1:11">
      <c r="A2">
        <v>134217</v>
      </c>
      <c r="B2">
        <v>271781</v>
      </c>
      <c r="C2">
        <v>140</v>
      </c>
      <c r="D2" t="s">
        <v>63</v>
      </c>
      <c r="E2" t="s">
        <v>58</v>
      </c>
      <c r="F2" s="1">
        <v>5031.4566999999997</v>
      </c>
      <c r="G2" s="7">
        <v>45985</v>
      </c>
      <c r="H2" t="str">
        <f t="shared" ref="H2:H7" si="0">CONCATENATE("Investec ",I2)</f>
        <v>Investec Living Annuity</v>
      </c>
      <c r="I2" t="s">
        <v>61</v>
      </c>
      <c r="J2" t="str">
        <f t="shared" ref="J2:J7" si="1">IF(LEFT(I2)="L","Compulsory, LA",IF(LEFT(I2)="R","Compulsory, RA",IF(LEFT(I2,2)="Pe","Compulsory, Pens","Voluntary")))</f>
        <v>Compulsory, LA</v>
      </c>
      <c r="K2" t="s">
        <v>60</v>
      </c>
    </row>
    <row r="3" spans="1:11">
      <c r="A3">
        <v>134529</v>
      </c>
      <c r="B3">
        <v>206265</v>
      </c>
      <c r="C3">
        <v>53</v>
      </c>
      <c r="D3" t="s">
        <v>64</v>
      </c>
      <c r="E3" t="s">
        <v>58</v>
      </c>
      <c r="F3" s="1">
        <v>21005.548299999999</v>
      </c>
      <c r="G3" s="7">
        <v>45985</v>
      </c>
      <c r="H3" t="str">
        <f t="shared" si="0"/>
        <v>Investec Living Annuity</v>
      </c>
      <c r="I3" t="s">
        <v>61</v>
      </c>
      <c r="J3" t="str">
        <f t="shared" si="1"/>
        <v>Compulsory, LA</v>
      </c>
      <c r="K3" t="s">
        <v>60</v>
      </c>
    </row>
    <row r="4" spans="1:11">
      <c r="A4">
        <v>161750</v>
      </c>
      <c r="B4">
        <v>122820</v>
      </c>
      <c r="C4">
        <v>151</v>
      </c>
      <c r="D4" t="s">
        <v>66</v>
      </c>
      <c r="E4" t="s">
        <v>58</v>
      </c>
      <c r="F4" s="1">
        <v>653889.38309999998</v>
      </c>
      <c r="G4" s="7">
        <v>45985</v>
      </c>
      <c r="H4" t="str">
        <f t="shared" si="0"/>
        <v>Investec Pension Preservation</v>
      </c>
      <c r="I4" t="s">
        <v>49</v>
      </c>
      <c r="J4" t="str">
        <f t="shared" si="1"/>
        <v>Compulsory, Pens</v>
      </c>
      <c r="K4" t="s">
        <v>60</v>
      </c>
    </row>
    <row r="5" spans="1:11">
      <c r="A5">
        <v>166762</v>
      </c>
      <c r="B5">
        <v>141894</v>
      </c>
      <c r="C5">
        <v>106</v>
      </c>
      <c r="D5" t="s">
        <v>67</v>
      </c>
      <c r="E5" t="s">
        <v>58</v>
      </c>
      <c r="F5" s="1">
        <v>930556.6398</v>
      </c>
      <c r="G5" s="7">
        <v>45985</v>
      </c>
      <c r="H5" t="str">
        <f t="shared" si="0"/>
        <v>Investec Bond</v>
      </c>
      <c r="I5" t="s">
        <v>59</v>
      </c>
      <c r="J5" t="str">
        <f t="shared" si="1"/>
        <v>Voluntary</v>
      </c>
      <c r="K5" t="s">
        <v>60</v>
      </c>
    </row>
    <row r="6" spans="1:11">
      <c r="A6">
        <v>187087</v>
      </c>
      <c r="B6">
        <v>148659</v>
      </c>
      <c r="C6">
        <v>147</v>
      </c>
      <c r="D6" t="s">
        <v>69</v>
      </c>
      <c r="E6" t="s">
        <v>58</v>
      </c>
      <c r="F6" s="1">
        <v>11015.7732</v>
      </c>
      <c r="G6" s="7">
        <v>45985</v>
      </c>
      <c r="H6" t="str">
        <f t="shared" si="0"/>
        <v>Investec Bond</v>
      </c>
      <c r="I6" t="s">
        <v>59</v>
      </c>
      <c r="J6" t="str">
        <f t="shared" si="1"/>
        <v>Voluntary</v>
      </c>
      <c r="K6" t="s">
        <v>60</v>
      </c>
    </row>
    <row r="7" spans="1:11">
      <c r="A7">
        <v>200322</v>
      </c>
      <c r="B7">
        <v>167625</v>
      </c>
      <c r="C7">
        <v>111</v>
      </c>
      <c r="D7" t="s">
        <v>70</v>
      </c>
      <c r="E7" t="s">
        <v>58</v>
      </c>
      <c r="F7" s="1">
        <v>334.09809999999999</v>
      </c>
      <c r="G7" s="7">
        <v>45985</v>
      </c>
      <c r="H7" t="str">
        <f t="shared" si="0"/>
        <v>Investec Living Annuity</v>
      </c>
      <c r="I7" t="s">
        <v>61</v>
      </c>
      <c r="J7" t="str">
        <f t="shared" si="1"/>
        <v>Compulsory, LA</v>
      </c>
      <c r="K7" t="s">
        <v>60</v>
      </c>
    </row>
  </sheetData>
  <sortState xmlns:xlrd2="http://schemas.microsoft.com/office/spreadsheetml/2017/richdata2" ref="A2:K15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7"/>
  <sheetViews>
    <sheetView zoomScaleNormal="100" workbookViewId="0">
      <selection activeCell="F10" sqref="F10"/>
    </sheetView>
  </sheetViews>
  <sheetFormatPr defaultColWidth="9.109375" defaultRowHeight="15" customHeight="1"/>
  <cols>
    <col min="1" max="1" width="16.88671875" style="3" bestFit="1" customWidth="1"/>
    <col min="2" max="2" width="19" style="3" bestFit="1" customWidth="1"/>
    <col min="3" max="3" width="7.6640625" style="3" customWidth="1"/>
    <col min="4" max="4" width="24.88671875" style="3" bestFit="1" customWidth="1"/>
    <col min="5" max="5" width="28.21875" style="3" bestFit="1" customWidth="1"/>
    <col min="6" max="6" width="12" style="23" bestFit="1" customWidth="1"/>
    <col min="7" max="7" width="10.109375" style="3" bestFit="1" customWidth="1"/>
    <col min="8" max="8" width="17.6640625" style="3" customWidth="1"/>
    <col min="9" max="10" width="17" style="3" bestFit="1" customWidth="1"/>
    <col min="11" max="16384" width="9.109375" style="3"/>
  </cols>
  <sheetData>
    <row r="1" spans="1:11" ht="15" customHeight="1">
      <c r="A1" s="3" t="s">
        <v>85</v>
      </c>
      <c r="B1" s="3" t="s">
        <v>86</v>
      </c>
      <c r="C1" s="3" t="s">
        <v>87</v>
      </c>
      <c r="D1" s="3" t="s">
        <v>88</v>
      </c>
      <c r="E1" s="3" t="s">
        <v>4</v>
      </c>
      <c r="F1" s="23" t="s">
        <v>5</v>
      </c>
      <c r="G1" s="3" t="s">
        <v>33</v>
      </c>
      <c r="H1" t="s">
        <v>3</v>
      </c>
      <c r="I1" t="s">
        <v>7</v>
      </c>
      <c r="J1" t="s">
        <v>8</v>
      </c>
      <c r="K1" s="6" t="s">
        <v>9</v>
      </c>
    </row>
    <row r="2" spans="1:11" ht="15" customHeight="1">
      <c r="A2">
        <v>4670725</v>
      </c>
      <c r="B2">
        <v>4670725</v>
      </c>
      <c r="C2" s="5">
        <v>171</v>
      </c>
      <c r="D2" t="s">
        <v>89</v>
      </c>
      <c r="E2" t="s">
        <v>903</v>
      </c>
      <c r="F2" s="24" t="s">
        <v>924</v>
      </c>
      <c r="G2" s="7">
        <v>45985</v>
      </c>
      <c r="H2" s="3" t="s">
        <v>91</v>
      </c>
      <c r="I2" s="15" t="str">
        <f t="shared" ref="I2:I7" si="0">MID(H2,20,30)</f>
        <v>Living Annuity</v>
      </c>
      <c r="J2" t="str">
        <f t="shared" ref="J2:J7" si="1">IF(LEFT(I2)="L","Compulsory, LA",IF(LEFT(I2)="R","Compulsory, RA",IF(I2="Preservation Pension Fund","Compulsory, Pens","Voluntary")))</f>
        <v>Compulsory, LA</v>
      </c>
      <c r="K2" t="s">
        <v>92</v>
      </c>
    </row>
    <row r="3" spans="1:11" ht="15" customHeight="1">
      <c r="A3">
        <v>4670725</v>
      </c>
      <c r="B3">
        <v>4670725</v>
      </c>
      <c r="C3" s="5">
        <v>171</v>
      </c>
      <c r="D3" t="s">
        <v>89</v>
      </c>
      <c r="E3" t="s">
        <v>904</v>
      </c>
      <c r="F3" s="24" t="s">
        <v>925</v>
      </c>
      <c r="G3" s="7">
        <v>45985</v>
      </c>
      <c r="H3" s="3" t="s">
        <v>91</v>
      </c>
      <c r="I3" s="15" t="str">
        <f t="shared" si="0"/>
        <v>Living Annuity</v>
      </c>
      <c r="J3" t="str">
        <f t="shared" si="1"/>
        <v>Compulsory, LA</v>
      </c>
      <c r="K3" t="s">
        <v>92</v>
      </c>
    </row>
    <row r="4" spans="1:11" ht="15" customHeight="1">
      <c r="A4">
        <v>4670725</v>
      </c>
      <c r="B4">
        <v>4670725</v>
      </c>
      <c r="C4" s="5">
        <v>171</v>
      </c>
      <c r="D4" t="s">
        <v>89</v>
      </c>
      <c r="E4" t="s">
        <v>923</v>
      </c>
      <c r="F4" s="24" t="s">
        <v>926</v>
      </c>
      <c r="G4" s="7">
        <v>45985</v>
      </c>
      <c r="H4" s="3" t="s">
        <v>91</v>
      </c>
      <c r="I4" s="15" t="str">
        <f t="shared" si="0"/>
        <v>Living Annuity</v>
      </c>
      <c r="J4" t="str">
        <f t="shared" si="1"/>
        <v>Compulsory, LA</v>
      </c>
      <c r="K4" t="s">
        <v>92</v>
      </c>
    </row>
    <row r="5" spans="1:11" ht="15" customHeight="1">
      <c r="A5">
        <v>4670725</v>
      </c>
      <c r="B5">
        <v>4670725</v>
      </c>
      <c r="C5" s="5">
        <v>171</v>
      </c>
      <c r="D5" t="s">
        <v>89</v>
      </c>
      <c r="E5" t="s">
        <v>94</v>
      </c>
      <c r="F5" s="24" t="s">
        <v>927</v>
      </c>
      <c r="G5" s="7">
        <v>45985</v>
      </c>
      <c r="H5" s="3" t="s">
        <v>91</v>
      </c>
      <c r="I5" s="15" t="str">
        <f t="shared" si="0"/>
        <v>Living Annuity</v>
      </c>
      <c r="J5" t="str">
        <f t="shared" si="1"/>
        <v>Compulsory, LA</v>
      </c>
      <c r="K5" t="s">
        <v>92</v>
      </c>
    </row>
    <row r="6" spans="1:11" ht="15" customHeight="1">
      <c r="A6">
        <v>4670725</v>
      </c>
      <c r="B6">
        <v>4670725</v>
      </c>
      <c r="C6" s="5">
        <v>171</v>
      </c>
      <c r="D6" t="s">
        <v>89</v>
      </c>
      <c r="E6" t="s">
        <v>93</v>
      </c>
      <c r="F6" s="24" t="s">
        <v>928</v>
      </c>
      <c r="G6" s="7">
        <v>45985</v>
      </c>
      <c r="H6" s="3" t="s">
        <v>91</v>
      </c>
      <c r="I6" s="15" t="str">
        <f t="shared" si="0"/>
        <v>Living Annuity</v>
      </c>
      <c r="J6" t="str">
        <f t="shared" si="1"/>
        <v>Compulsory, LA</v>
      </c>
      <c r="K6" t="s">
        <v>92</v>
      </c>
    </row>
    <row r="7" spans="1:11" ht="15" customHeight="1">
      <c r="A7">
        <v>4670725</v>
      </c>
      <c r="B7">
        <v>4670725</v>
      </c>
      <c r="C7" s="5">
        <v>171</v>
      </c>
      <c r="D7" t="s">
        <v>89</v>
      </c>
      <c r="E7" t="s">
        <v>90</v>
      </c>
      <c r="F7" s="24" t="s">
        <v>929</v>
      </c>
      <c r="G7" s="7">
        <v>45985</v>
      </c>
      <c r="H7" s="3" t="s">
        <v>91</v>
      </c>
      <c r="I7" s="15" t="str">
        <f t="shared" si="0"/>
        <v>Living Annuity</v>
      </c>
      <c r="J7" t="str">
        <f t="shared" si="1"/>
        <v>Compulsory, LA</v>
      </c>
      <c r="K7" t="s">
        <v>92</v>
      </c>
    </row>
  </sheetData>
  <sortState xmlns:xlrd2="http://schemas.microsoft.com/office/spreadsheetml/2017/richdata2" ref="A2:K7">
    <sortCondition ref="E1:E7"/>
  </sortState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6C423-7095-4432-8434-CE8F909142DF}">
  <sheetPr codeName="Sheet4">
    <outlinePr summaryBelow="0" summaryRight="0"/>
    <pageSetUpPr autoPageBreaks="0"/>
  </sheetPr>
  <dimension ref="A1:L253"/>
  <sheetViews>
    <sheetView tabSelected="1" showOutlineSymbols="0" topLeftCell="A229" workbookViewId="0">
      <selection activeCell="E237" sqref="E237"/>
    </sheetView>
  </sheetViews>
  <sheetFormatPr defaultColWidth="9.109375" defaultRowHeight="12.75" customHeight="1"/>
  <cols>
    <col min="1" max="1" width="9.5546875" style="11" customWidth="1"/>
    <col min="2" max="2" width="9.109375" style="11" customWidth="1"/>
    <col min="3" max="3" width="7.6640625" style="11" bestFit="1" customWidth="1"/>
    <col min="4" max="4" width="24.5546875" style="11" bestFit="1" customWidth="1"/>
    <col min="5" max="5" width="44.44140625" style="11" bestFit="1" customWidth="1"/>
    <col min="6" max="6" width="12" style="20" bestFit="1" customWidth="1"/>
    <col min="7" max="7" width="10.109375" style="12" bestFit="1" customWidth="1"/>
    <col min="8" max="9" width="17.6640625" style="12" bestFit="1" customWidth="1"/>
    <col min="10" max="10" width="11.88671875" style="12" bestFit="1" customWidth="1"/>
    <col min="11" max="11" width="20.44140625" style="11" bestFit="1" customWidth="1"/>
    <col min="12" max="239" width="6.88671875" style="11" customWidth="1"/>
    <col min="240" max="16384" width="9.109375" style="11"/>
  </cols>
  <sheetData>
    <row r="1" spans="1:11" customFormat="1" ht="14.4">
      <c r="A1" t="s">
        <v>149</v>
      </c>
      <c r="B1" t="s">
        <v>150</v>
      </c>
      <c r="C1" t="s">
        <v>74</v>
      </c>
      <c r="D1" t="s">
        <v>151</v>
      </c>
      <c r="E1" t="s">
        <v>152</v>
      </c>
      <c r="F1" s="1" t="s">
        <v>153</v>
      </c>
      <c r="G1" s="7" t="s">
        <v>33</v>
      </c>
      <c r="H1" s="1" t="s">
        <v>3</v>
      </c>
      <c r="I1" t="s">
        <v>7</v>
      </c>
      <c r="J1" t="s">
        <v>8</v>
      </c>
      <c r="K1" t="s">
        <v>9</v>
      </c>
    </row>
    <row r="2" spans="1:11" customFormat="1" ht="14.4">
      <c r="A2" t="s">
        <v>779</v>
      </c>
      <c r="B2" t="s">
        <v>779</v>
      </c>
      <c r="C2">
        <v>415</v>
      </c>
      <c r="D2" t="s">
        <v>154</v>
      </c>
      <c r="E2" t="s">
        <v>155</v>
      </c>
      <c r="F2" s="1">
        <v>153666.74</v>
      </c>
      <c r="G2" s="7">
        <v>46081</v>
      </c>
      <c r="H2" t="str">
        <f t="shared" ref="H2:I21" si="0">$E2</f>
        <v>Moriah Global</v>
      </c>
      <c r="I2" t="str">
        <f t="shared" si="0"/>
        <v>Moriah Global</v>
      </c>
      <c r="J2" t="s">
        <v>156</v>
      </c>
      <c r="K2" t="s">
        <v>157</v>
      </c>
    </row>
    <row r="3" spans="1:11" customFormat="1" ht="14.4">
      <c r="A3" t="s">
        <v>779</v>
      </c>
      <c r="B3" t="s">
        <v>779</v>
      </c>
      <c r="C3">
        <v>415</v>
      </c>
      <c r="D3" t="s">
        <v>154</v>
      </c>
      <c r="E3" t="s">
        <v>222</v>
      </c>
      <c r="F3" s="1">
        <v>52102.67</v>
      </c>
      <c r="G3" s="7">
        <v>46081</v>
      </c>
      <c r="H3" t="str">
        <f t="shared" si="0"/>
        <v>Stable Offshore</v>
      </c>
      <c r="I3" t="str">
        <f t="shared" si="0"/>
        <v>Stable Offshore</v>
      </c>
      <c r="J3" t="s">
        <v>156</v>
      </c>
      <c r="K3" t="s">
        <v>157</v>
      </c>
    </row>
    <row r="4" spans="1:11" customFormat="1" ht="14.4">
      <c r="A4" t="s">
        <v>779</v>
      </c>
      <c r="B4" t="s">
        <v>779</v>
      </c>
      <c r="C4">
        <v>415</v>
      </c>
      <c r="D4" t="s">
        <v>154</v>
      </c>
      <c r="E4" t="s">
        <v>857</v>
      </c>
      <c r="F4" s="1">
        <v>22383.79</v>
      </c>
      <c r="G4" s="7">
        <v>46081</v>
      </c>
      <c r="H4" t="str">
        <f t="shared" si="0"/>
        <v>Equity Offshore</v>
      </c>
      <c r="I4" t="str">
        <f t="shared" si="0"/>
        <v>Equity Offshore</v>
      </c>
      <c r="J4" t="s">
        <v>156</v>
      </c>
      <c r="K4" t="s">
        <v>157</v>
      </c>
    </row>
    <row r="5" spans="1:11" customFormat="1" ht="14.4">
      <c r="A5" t="s">
        <v>780</v>
      </c>
      <c r="B5" t="s">
        <v>780</v>
      </c>
      <c r="C5">
        <v>240</v>
      </c>
      <c r="D5" t="s">
        <v>158</v>
      </c>
      <c r="E5" t="s">
        <v>155</v>
      </c>
      <c r="F5" s="1">
        <v>10754.36</v>
      </c>
      <c r="G5" s="7">
        <v>46081</v>
      </c>
      <c r="H5" t="str">
        <f t="shared" si="0"/>
        <v>Moriah Global</v>
      </c>
      <c r="I5" t="str">
        <f t="shared" si="0"/>
        <v>Moriah Global</v>
      </c>
      <c r="J5" t="s">
        <v>156</v>
      </c>
      <c r="K5" t="s">
        <v>157</v>
      </c>
    </row>
    <row r="6" spans="1:11" customFormat="1" ht="14.4">
      <c r="A6" t="s">
        <v>780</v>
      </c>
      <c r="B6" t="s">
        <v>780</v>
      </c>
      <c r="C6">
        <v>240</v>
      </c>
      <c r="D6" t="s">
        <v>158</v>
      </c>
      <c r="E6" t="s">
        <v>222</v>
      </c>
      <c r="F6" s="1">
        <v>410.31</v>
      </c>
      <c r="G6" s="7">
        <v>46081</v>
      </c>
      <c r="H6" t="str">
        <f t="shared" si="0"/>
        <v>Stable Offshore</v>
      </c>
      <c r="I6" t="str">
        <f t="shared" si="0"/>
        <v>Stable Offshore</v>
      </c>
      <c r="J6" t="s">
        <v>156</v>
      </c>
      <c r="K6" t="s">
        <v>157</v>
      </c>
    </row>
    <row r="7" spans="1:11" customFormat="1" ht="14.4">
      <c r="A7" t="s">
        <v>780</v>
      </c>
      <c r="B7" t="s">
        <v>780</v>
      </c>
      <c r="C7">
        <v>240</v>
      </c>
      <c r="D7" t="s">
        <v>158</v>
      </c>
      <c r="E7" t="s">
        <v>857</v>
      </c>
      <c r="F7" s="1">
        <v>570.30999999999995</v>
      </c>
      <c r="G7" s="7">
        <v>46081</v>
      </c>
      <c r="H7" t="str">
        <f t="shared" si="0"/>
        <v>Equity Offshore</v>
      </c>
      <c r="I7" t="str">
        <f t="shared" si="0"/>
        <v>Equity Offshore</v>
      </c>
      <c r="J7" t="s">
        <v>156</v>
      </c>
      <c r="K7" t="s">
        <v>157</v>
      </c>
    </row>
    <row r="8" spans="1:11" customFormat="1" ht="14.4">
      <c r="A8" t="s">
        <v>781</v>
      </c>
      <c r="B8" t="s">
        <v>781</v>
      </c>
      <c r="C8">
        <v>413</v>
      </c>
      <c r="D8" t="s">
        <v>159</v>
      </c>
      <c r="E8" t="s">
        <v>155</v>
      </c>
      <c r="F8" s="1">
        <v>8348.92</v>
      </c>
      <c r="G8" s="7">
        <v>46081</v>
      </c>
      <c r="H8" t="str">
        <f t="shared" si="0"/>
        <v>Moriah Global</v>
      </c>
      <c r="I8" t="str">
        <f t="shared" si="0"/>
        <v>Moriah Global</v>
      </c>
      <c r="J8" t="s">
        <v>156</v>
      </c>
      <c r="K8" t="s">
        <v>157</v>
      </c>
    </row>
    <row r="9" spans="1:11" customFormat="1" ht="14.4">
      <c r="A9" t="s">
        <v>781</v>
      </c>
      <c r="B9" t="s">
        <v>781</v>
      </c>
      <c r="C9">
        <v>413</v>
      </c>
      <c r="D9" t="s">
        <v>159</v>
      </c>
      <c r="E9" t="s">
        <v>222</v>
      </c>
      <c r="F9" s="1">
        <v>4896.7700000000004</v>
      </c>
      <c r="G9" s="7">
        <v>46081</v>
      </c>
      <c r="H9" t="str">
        <f t="shared" si="0"/>
        <v>Stable Offshore</v>
      </c>
      <c r="I9" t="str">
        <f t="shared" si="0"/>
        <v>Stable Offshore</v>
      </c>
      <c r="J9" t="s">
        <v>156</v>
      </c>
      <c r="K9" t="s">
        <v>157</v>
      </c>
    </row>
    <row r="10" spans="1:11" customFormat="1" ht="14.4">
      <c r="A10" t="s">
        <v>781</v>
      </c>
      <c r="B10" t="s">
        <v>781</v>
      </c>
      <c r="C10">
        <v>413</v>
      </c>
      <c r="D10" t="s">
        <v>159</v>
      </c>
      <c r="E10" t="s">
        <v>857</v>
      </c>
      <c r="F10" s="1">
        <v>3728.17</v>
      </c>
      <c r="G10" s="7">
        <v>46081</v>
      </c>
      <c r="H10" t="str">
        <f t="shared" si="0"/>
        <v>Equity Offshore</v>
      </c>
      <c r="I10" t="str">
        <f t="shared" si="0"/>
        <v>Equity Offshore</v>
      </c>
      <c r="J10" t="s">
        <v>156</v>
      </c>
      <c r="K10" t="s">
        <v>157</v>
      </c>
    </row>
    <row r="11" spans="1:11" customFormat="1" ht="14.4">
      <c r="A11" t="s">
        <v>782</v>
      </c>
      <c r="B11" t="s">
        <v>782</v>
      </c>
      <c r="C11">
        <v>414</v>
      </c>
      <c r="D11" t="s">
        <v>160</v>
      </c>
      <c r="E11" t="s">
        <v>155</v>
      </c>
      <c r="F11" s="1">
        <v>159454.99</v>
      </c>
      <c r="G11" s="7">
        <v>46081</v>
      </c>
      <c r="H11" t="str">
        <f t="shared" si="0"/>
        <v>Moriah Global</v>
      </c>
      <c r="I11" t="str">
        <f t="shared" si="0"/>
        <v>Moriah Global</v>
      </c>
      <c r="J11" t="s">
        <v>156</v>
      </c>
      <c r="K11" t="s">
        <v>157</v>
      </c>
    </row>
    <row r="12" spans="1:11" customFormat="1" ht="14.4">
      <c r="A12" t="s">
        <v>782</v>
      </c>
      <c r="B12" t="s">
        <v>782</v>
      </c>
      <c r="C12">
        <v>414</v>
      </c>
      <c r="D12" t="s">
        <v>160</v>
      </c>
      <c r="E12" t="s">
        <v>222</v>
      </c>
      <c r="F12" s="1">
        <v>36996.559999999998</v>
      </c>
      <c r="G12" s="7">
        <v>46081</v>
      </c>
      <c r="H12" t="str">
        <f t="shared" si="0"/>
        <v>Stable Offshore</v>
      </c>
      <c r="I12" t="str">
        <f t="shared" si="0"/>
        <v>Stable Offshore</v>
      </c>
      <c r="J12" t="s">
        <v>156</v>
      </c>
      <c r="K12" t="s">
        <v>157</v>
      </c>
    </row>
    <row r="13" spans="1:11" customFormat="1" ht="14.4">
      <c r="A13" t="s">
        <v>783</v>
      </c>
      <c r="B13" t="s">
        <v>783</v>
      </c>
      <c r="C13">
        <v>410</v>
      </c>
      <c r="D13" s="4" t="s">
        <v>161</v>
      </c>
      <c r="E13" t="s">
        <v>155</v>
      </c>
      <c r="F13" s="1">
        <v>59412.01</v>
      </c>
      <c r="G13" s="7">
        <v>46081</v>
      </c>
      <c r="H13" t="str">
        <f t="shared" si="0"/>
        <v>Moriah Global</v>
      </c>
      <c r="I13" t="str">
        <f t="shared" si="0"/>
        <v>Moriah Global</v>
      </c>
      <c r="J13" t="s">
        <v>156</v>
      </c>
      <c r="K13" t="s">
        <v>157</v>
      </c>
    </row>
    <row r="14" spans="1:11" customFormat="1" ht="14.4">
      <c r="A14" t="s">
        <v>783</v>
      </c>
      <c r="B14" t="s">
        <v>783</v>
      </c>
      <c r="C14">
        <v>410</v>
      </c>
      <c r="D14" s="4" t="s">
        <v>161</v>
      </c>
      <c r="E14" t="s">
        <v>222</v>
      </c>
      <c r="F14" s="1">
        <v>20476.8</v>
      </c>
      <c r="G14" s="7">
        <v>46081</v>
      </c>
      <c r="H14" t="str">
        <f t="shared" si="0"/>
        <v>Stable Offshore</v>
      </c>
      <c r="I14" t="str">
        <f t="shared" si="0"/>
        <v>Stable Offshore</v>
      </c>
      <c r="J14" t="s">
        <v>156</v>
      </c>
      <c r="K14" t="s">
        <v>157</v>
      </c>
    </row>
    <row r="15" spans="1:11" customFormat="1" ht="14.4">
      <c r="A15" t="s">
        <v>783</v>
      </c>
      <c r="B15" t="s">
        <v>783</v>
      </c>
      <c r="C15">
        <v>410</v>
      </c>
      <c r="D15" s="4" t="s">
        <v>161</v>
      </c>
      <c r="E15" t="s">
        <v>857</v>
      </c>
      <c r="F15" s="1">
        <v>16447.509999999998</v>
      </c>
      <c r="G15" s="7">
        <v>46081</v>
      </c>
      <c r="H15" t="str">
        <f t="shared" si="0"/>
        <v>Equity Offshore</v>
      </c>
      <c r="I15" t="str">
        <f t="shared" si="0"/>
        <v>Equity Offshore</v>
      </c>
      <c r="J15" t="s">
        <v>156</v>
      </c>
      <c r="K15" t="s">
        <v>157</v>
      </c>
    </row>
    <row r="16" spans="1:11" customFormat="1" ht="14.4">
      <c r="A16" t="s">
        <v>784</v>
      </c>
      <c r="B16" t="s">
        <v>784</v>
      </c>
      <c r="C16">
        <v>420</v>
      </c>
      <c r="D16" t="s">
        <v>162</v>
      </c>
      <c r="E16" t="s">
        <v>155</v>
      </c>
      <c r="F16" s="1">
        <v>193762.2</v>
      </c>
      <c r="G16" s="7">
        <v>46081</v>
      </c>
      <c r="H16" t="str">
        <f t="shared" si="0"/>
        <v>Moriah Global</v>
      </c>
      <c r="I16" t="str">
        <f t="shared" si="0"/>
        <v>Moriah Global</v>
      </c>
      <c r="J16" t="s">
        <v>156</v>
      </c>
      <c r="K16" t="s">
        <v>157</v>
      </c>
    </row>
    <row r="17" spans="1:11" customFormat="1" ht="14.4">
      <c r="A17" t="s">
        <v>784</v>
      </c>
      <c r="B17" t="s">
        <v>784</v>
      </c>
      <c r="C17">
        <v>420</v>
      </c>
      <c r="D17" t="s">
        <v>162</v>
      </c>
      <c r="E17" t="s">
        <v>222</v>
      </c>
      <c r="F17" s="1">
        <v>37924.44</v>
      </c>
      <c r="G17" s="7">
        <v>46081</v>
      </c>
      <c r="H17" t="str">
        <f t="shared" si="0"/>
        <v>Stable Offshore</v>
      </c>
      <c r="I17" t="str">
        <f t="shared" si="0"/>
        <v>Stable Offshore</v>
      </c>
      <c r="J17" t="s">
        <v>156</v>
      </c>
      <c r="K17" t="s">
        <v>157</v>
      </c>
    </row>
    <row r="18" spans="1:11" customFormat="1" ht="14.4">
      <c r="A18" t="s">
        <v>784</v>
      </c>
      <c r="B18" t="s">
        <v>784</v>
      </c>
      <c r="C18">
        <v>420</v>
      </c>
      <c r="D18" t="s">
        <v>162</v>
      </c>
      <c r="E18" t="s">
        <v>857</v>
      </c>
      <c r="F18" s="1">
        <v>12880.61</v>
      </c>
      <c r="G18" s="7">
        <v>46081</v>
      </c>
      <c r="H18" t="str">
        <f t="shared" si="0"/>
        <v>Equity Offshore</v>
      </c>
      <c r="I18" t="str">
        <f t="shared" si="0"/>
        <v>Equity Offshore</v>
      </c>
      <c r="J18" t="s">
        <v>156</v>
      </c>
      <c r="K18" t="s">
        <v>157</v>
      </c>
    </row>
    <row r="19" spans="1:11" customFormat="1" ht="14.4">
      <c r="A19" t="s">
        <v>785</v>
      </c>
      <c r="B19" t="s">
        <v>785</v>
      </c>
      <c r="C19">
        <v>37</v>
      </c>
      <c r="D19" t="s">
        <v>84</v>
      </c>
      <c r="E19" t="s">
        <v>155</v>
      </c>
      <c r="F19" s="1">
        <v>107754.13</v>
      </c>
      <c r="G19" s="7">
        <v>46081</v>
      </c>
      <c r="H19" t="str">
        <f t="shared" si="0"/>
        <v>Moriah Global</v>
      </c>
      <c r="I19" t="str">
        <f t="shared" si="0"/>
        <v>Moriah Global</v>
      </c>
      <c r="J19" t="s">
        <v>156</v>
      </c>
      <c r="K19" t="s">
        <v>157</v>
      </c>
    </row>
    <row r="20" spans="1:11" customFormat="1" ht="14.4">
      <c r="A20" t="s">
        <v>785</v>
      </c>
      <c r="B20" t="s">
        <v>785</v>
      </c>
      <c r="C20">
        <v>37</v>
      </c>
      <c r="D20" t="s">
        <v>84</v>
      </c>
      <c r="E20" t="s">
        <v>222</v>
      </c>
      <c r="F20" s="1">
        <v>33748.230000000003</v>
      </c>
      <c r="G20" s="7">
        <v>46081</v>
      </c>
      <c r="H20" t="str">
        <f t="shared" si="0"/>
        <v>Stable Offshore</v>
      </c>
      <c r="I20" t="str">
        <f t="shared" si="0"/>
        <v>Stable Offshore</v>
      </c>
      <c r="J20" t="s">
        <v>156</v>
      </c>
      <c r="K20" t="s">
        <v>157</v>
      </c>
    </row>
    <row r="21" spans="1:11" customFormat="1" ht="14.4">
      <c r="A21" t="s">
        <v>785</v>
      </c>
      <c r="B21" t="s">
        <v>785</v>
      </c>
      <c r="C21">
        <v>37</v>
      </c>
      <c r="D21" t="s">
        <v>84</v>
      </c>
      <c r="E21" t="s">
        <v>857</v>
      </c>
      <c r="F21" s="1">
        <v>15021.99</v>
      </c>
      <c r="G21" s="7">
        <v>46081</v>
      </c>
      <c r="H21" t="str">
        <f t="shared" si="0"/>
        <v>Equity Offshore</v>
      </c>
      <c r="I21" t="str">
        <f t="shared" si="0"/>
        <v>Equity Offshore</v>
      </c>
      <c r="J21" t="s">
        <v>156</v>
      </c>
      <c r="K21" t="s">
        <v>157</v>
      </c>
    </row>
    <row r="22" spans="1:11" customFormat="1" ht="14.4">
      <c r="A22" t="s">
        <v>786</v>
      </c>
      <c r="B22" t="s">
        <v>786</v>
      </c>
      <c r="C22">
        <v>126</v>
      </c>
      <c r="D22" t="s">
        <v>698</v>
      </c>
      <c r="E22" t="s">
        <v>155</v>
      </c>
      <c r="F22" s="1">
        <v>83969.23</v>
      </c>
      <c r="G22" s="7">
        <v>46081</v>
      </c>
      <c r="H22" t="str">
        <f t="shared" ref="H22:I41" si="1">$E22</f>
        <v>Moriah Global</v>
      </c>
      <c r="I22" t="str">
        <f t="shared" si="1"/>
        <v>Moriah Global</v>
      </c>
      <c r="J22" t="s">
        <v>156</v>
      </c>
      <c r="K22" t="s">
        <v>157</v>
      </c>
    </row>
    <row r="23" spans="1:11" customFormat="1" ht="14.4">
      <c r="A23" t="s">
        <v>786</v>
      </c>
      <c r="B23" t="s">
        <v>786</v>
      </c>
      <c r="C23">
        <v>126</v>
      </c>
      <c r="D23" t="s">
        <v>698</v>
      </c>
      <c r="E23" t="s">
        <v>222</v>
      </c>
      <c r="F23" s="1">
        <v>28017.360000000001</v>
      </c>
      <c r="G23" s="7">
        <v>46081</v>
      </c>
      <c r="H23" t="str">
        <f t="shared" si="1"/>
        <v>Stable Offshore</v>
      </c>
      <c r="I23" t="str">
        <f t="shared" si="1"/>
        <v>Stable Offshore</v>
      </c>
      <c r="J23" t="s">
        <v>156</v>
      </c>
      <c r="K23" t="s">
        <v>157</v>
      </c>
    </row>
    <row r="24" spans="1:11" customFormat="1" ht="14.4">
      <c r="A24" t="s">
        <v>786</v>
      </c>
      <c r="B24" t="s">
        <v>786</v>
      </c>
      <c r="C24">
        <v>126</v>
      </c>
      <c r="D24" t="s">
        <v>698</v>
      </c>
      <c r="E24" t="s">
        <v>857</v>
      </c>
      <c r="F24" s="1">
        <v>24658.7</v>
      </c>
      <c r="G24" s="7">
        <v>46081</v>
      </c>
      <c r="H24" t="str">
        <f t="shared" si="1"/>
        <v>Equity Offshore</v>
      </c>
      <c r="I24" t="str">
        <f t="shared" si="1"/>
        <v>Equity Offshore</v>
      </c>
      <c r="J24" t="s">
        <v>156</v>
      </c>
      <c r="K24" t="s">
        <v>157</v>
      </c>
    </row>
    <row r="25" spans="1:11" customFormat="1" ht="14.4">
      <c r="A25" t="s">
        <v>787</v>
      </c>
      <c r="B25" t="s">
        <v>787</v>
      </c>
      <c r="C25">
        <v>422</v>
      </c>
      <c r="D25" t="s">
        <v>165</v>
      </c>
      <c r="E25" t="s">
        <v>155</v>
      </c>
      <c r="F25" s="1">
        <v>10687.84</v>
      </c>
      <c r="G25" s="7">
        <v>46081</v>
      </c>
      <c r="H25" t="str">
        <f t="shared" si="1"/>
        <v>Moriah Global</v>
      </c>
      <c r="I25" t="str">
        <f t="shared" si="1"/>
        <v>Moriah Global</v>
      </c>
      <c r="J25" t="s">
        <v>156</v>
      </c>
      <c r="K25" t="s">
        <v>157</v>
      </c>
    </row>
    <row r="26" spans="1:11" customFormat="1" ht="14.4">
      <c r="A26" t="s">
        <v>788</v>
      </c>
      <c r="B26" t="s">
        <v>788</v>
      </c>
      <c r="C26">
        <v>268</v>
      </c>
      <c r="D26" t="s">
        <v>115</v>
      </c>
      <c r="E26" t="s">
        <v>155</v>
      </c>
      <c r="F26" s="1">
        <v>41241.949999999997</v>
      </c>
      <c r="G26" s="7">
        <v>46081</v>
      </c>
      <c r="H26" t="str">
        <f t="shared" si="1"/>
        <v>Moriah Global</v>
      </c>
      <c r="I26" t="str">
        <f t="shared" si="1"/>
        <v>Moriah Global</v>
      </c>
      <c r="J26" t="s">
        <v>156</v>
      </c>
      <c r="K26" t="s">
        <v>157</v>
      </c>
    </row>
    <row r="27" spans="1:11" customFormat="1" ht="14.4">
      <c r="A27" t="s">
        <v>788</v>
      </c>
      <c r="B27" t="s">
        <v>788</v>
      </c>
      <c r="C27">
        <v>268</v>
      </c>
      <c r="D27" t="s">
        <v>115</v>
      </c>
      <c r="E27" t="s">
        <v>222</v>
      </c>
      <c r="F27" s="1">
        <v>8828.3799999999992</v>
      </c>
      <c r="G27" s="7">
        <v>46081</v>
      </c>
      <c r="H27" t="str">
        <f t="shared" si="1"/>
        <v>Stable Offshore</v>
      </c>
      <c r="I27" t="str">
        <f t="shared" si="1"/>
        <v>Stable Offshore</v>
      </c>
      <c r="J27" t="s">
        <v>156</v>
      </c>
      <c r="K27" t="s">
        <v>157</v>
      </c>
    </row>
    <row r="28" spans="1:11" customFormat="1" ht="14.4">
      <c r="A28" t="s">
        <v>788</v>
      </c>
      <c r="B28" t="s">
        <v>788</v>
      </c>
      <c r="C28">
        <v>268</v>
      </c>
      <c r="D28" t="s">
        <v>115</v>
      </c>
      <c r="E28" t="s">
        <v>857</v>
      </c>
      <c r="F28" s="1">
        <v>19516.11</v>
      </c>
      <c r="G28" s="7">
        <v>46081</v>
      </c>
      <c r="H28" t="str">
        <f t="shared" si="1"/>
        <v>Equity Offshore</v>
      </c>
      <c r="I28" t="str">
        <f t="shared" si="1"/>
        <v>Equity Offshore</v>
      </c>
      <c r="J28" t="s">
        <v>156</v>
      </c>
      <c r="K28" t="s">
        <v>157</v>
      </c>
    </row>
    <row r="29" spans="1:11" customFormat="1" ht="14.4">
      <c r="A29" t="s">
        <v>789</v>
      </c>
      <c r="B29" t="s">
        <v>789</v>
      </c>
      <c r="C29">
        <v>17</v>
      </c>
      <c r="D29" t="s">
        <v>105</v>
      </c>
      <c r="E29" t="s">
        <v>155</v>
      </c>
      <c r="F29" s="1">
        <v>51729.91</v>
      </c>
      <c r="G29" s="7">
        <v>46081</v>
      </c>
      <c r="H29" t="str">
        <f t="shared" si="1"/>
        <v>Moriah Global</v>
      </c>
      <c r="I29" t="str">
        <f t="shared" si="1"/>
        <v>Moriah Global</v>
      </c>
      <c r="J29" t="s">
        <v>156</v>
      </c>
      <c r="K29" t="s">
        <v>157</v>
      </c>
    </row>
    <row r="30" spans="1:11" customFormat="1" ht="14.4">
      <c r="A30" t="s">
        <v>789</v>
      </c>
      <c r="B30" t="s">
        <v>789</v>
      </c>
      <c r="C30">
        <v>17</v>
      </c>
      <c r="D30" t="s">
        <v>105</v>
      </c>
      <c r="E30" t="s">
        <v>222</v>
      </c>
      <c r="F30" s="1">
        <v>148.62</v>
      </c>
      <c r="G30" s="7">
        <v>46081</v>
      </c>
      <c r="H30" t="str">
        <f t="shared" si="1"/>
        <v>Stable Offshore</v>
      </c>
      <c r="I30" t="str">
        <f t="shared" si="1"/>
        <v>Stable Offshore</v>
      </c>
      <c r="J30" t="s">
        <v>156</v>
      </c>
      <c r="K30" t="s">
        <v>157</v>
      </c>
    </row>
    <row r="31" spans="1:11" customFormat="1" ht="14.4">
      <c r="A31" t="s">
        <v>790</v>
      </c>
      <c r="B31" t="s">
        <v>790</v>
      </c>
      <c r="C31">
        <v>430</v>
      </c>
      <c r="D31" s="4" t="s">
        <v>166</v>
      </c>
      <c r="E31" t="s">
        <v>155</v>
      </c>
      <c r="F31" s="1">
        <v>83036.100000000006</v>
      </c>
      <c r="G31" s="7">
        <v>46081</v>
      </c>
      <c r="H31" t="str">
        <f t="shared" si="1"/>
        <v>Moriah Global</v>
      </c>
      <c r="I31" t="str">
        <f t="shared" si="1"/>
        <v>Moriah Global</v>
      </c>
      <c r="J31" t="s">
        <v>156</v>
      </c>
      <c r="K31" t="s">
        <v>157</v>
      </c>
    </row>
    <row r="32" spans="1:11" customFormat="1" ht="14.4">
      <c r="A32" t="s">
        <v>790</v>
      </c>
      <c r="B32" t="s">
        <v>790</v>
      </c>
      <c r="C32">
        <v>430</v>
      </c>
      <c r="D32" s="4" t="s">
        <v>166</v>
      </c>
      <c r="E32" t="s">
        <v>222</v>
      </c>
      <c r="F32" s="1">
        <v>19033.740000000002</v>
      </c>
      <c r="G32" s="7">
        <v>46081</v>
      </c>
      <c r="H32" t="str">
        <f t="shared" si="1"/>
        <v>Stable Offshore</v>
      </c>
      <c r="I32" t="str">
        <f t="shared" si="1"/>
        <v>Stable Offshore</v>
      </c>
      <c r="J32" t="s">
        <v>156</v>
      </c>
      <c r="K32" t="s">
        <v>157</v>
      </c>
    </row>
    <row r="33" spans="1:11" customFormat="1" ht="14.4">
      <c r="A33" t="s">
        <v>790</v>
      </c>
      <c r="B33" t="s">
        <v>790</v>
      </c>
      <c r="C33">
        <v>430</v>
      </c>
      <c r="D33" s="4" t="s">
        <v>166</v>
      </c>
      <c r="E33" t="s">
        <v>857</v>
      </c>
      <c r="F33" s="1">
        <v>49315.23</v>
      </c>
      <c r="G33" s="7">
        <v>46081</v>
      </c>
      <c r="H33" t="str">
        <f t="shared" si="1"/>
        <v>Equity Offshore</v>
      </c>
      <c r="I33" t="str">
        <f t="shared" si="1"/>
        <v>Equity Offshore</v>
      </c>
      <c r="J33" t="s">
        <v>156</v>
      </c>
      <c r="K33" t="s">
        <v>157</v>
      </c>
    </row>
    <row r="34" spans="1:11" customFormat="1" ht="14.4">
      <c r="A34" t="s">
        <v>790</v>
      </c>
      <c r="B34" t="s">
        <v>790</v>
      </c>
      <c r="C34">
        <v>430</v>
      </c>
      <c r="D34" s="4" t="s">
        <v>166</v>
      </c>
      <c r="E34" t="s">
        <v>902</v>
      </c>
      <c r="F34" s="1">
        <v>18647.47</v>
      </c>
      <c r="G34" s="7">
        <v>46081</v>
      </c>
      <c r="H34" t="str">
        <f t="shared" si="1"/>
        <v>CIL Treasury account (USD)</v>
      </c>
      <c r="I34" t="str">
        <f t="shared" si="1"/>
        <v>CIL Treasury account (USD)</v>
      </c>
      <c r="J34" t="s">
        <v>156</v>
      </c>
      <c r="K34" t="s">
        <v>157</v>
      </c>
    </row>
    <row r="35" spans="1:11" customFormat="1" ht="14.4">
      <c r="A35" t="s">
        <v>791</v>
      </c>
      <c r="B35" t="s">
        <v>791</v>
      </c>
      <c r="C35">
        <v>33</v>
      </c>
      <c r="D35" t="s">
        <v>109</v>
      </c>
      <c r="E35" t="s">
        <v>155</v>
      </c>
      <c r="F35" s="1">
        <v>4617.84</v>
      </c>
      <c r="G35" s="7">
        <v>46081</v>
      </c>
      <c r="H35" t="str">
        <f t="shared" si="1"/>
        <v>Moriah Global</v>
      </c>
      <c r="I35" t="str">
        <f t="shared" si="1"/>
        <v>Moriah Global</v>
      </c>
      <c r="J35" t="s">
        <v>156</v>
      </c>
      <c r="K35" t="s">
        <v>157</v>
      </c>
    </row>
    <row r="36" spans="1:11" customFormat="1" ht="14.4">
      <c r="A36" t="s">
        <v>791</v>
      </c>
      <c r="B36" t="s">
        <v>791</v>
      </c>
      <c r="C36">
        <v>33</v>
      </c>
      <c r="D36" t="s">
        <v>109</v>
      </c>
      <c r="E36" t="s">
        <v>222</v>
      </c>
      <c r="F36" s="1">
        <v>915.67</v>
      </c>
      <c r="G36" s="7">
        <v>46081</v>
      </c>
      <c r="H36" t="str">
        <f t="shared" si="1"/>
        <v>Stable Offshore</v>
      </c>
      <c r="I36" t="str">
        <f t="shared" si="1"/>
        <v>Stable Offshore</v>
      </c>
      <c r="J36" t="s">
        <v>156</v>
      </c>
      <c r="K36" t="s">
        <v>157</v>
      </c>
    </row>
    <row r="37" spans="1:11" customFormat="1" ht="14.4">
      <c r="A37" t="s">
        <v>792</v>
      </c>
      <c r="B37" t="s">
        <v>792</v>
      </c>
      <c r="C37">
        <v>425</v>
      </c>
      <c r="D37" s="4" t="s">
        <v>167</v>
      </c>
      <c r="E37" t="s">
        <v>155</v>
      </c>
      <c r="F37" s="1">
        <v>20397.72</v>
      </c>
      <c r="G37" s="7">
        <v>46081</v>
      </c>
      <c r="H37" t="str">
        <f t="shared" si="1"/>
        <v>Moriah Global</v>
      </c>
      <c r="I37" t="str">
        <f t="shared" si="1"/>
        <v>Moriah Global</v>
      </c>
      <c r="J37" t="s">
        <v>156</v>
      </c>
      <c r="K37" t="s">
        <v>157</v>
      </c>
    </row>
    <row r="38" spans="1:11" customFormat="1" ht="14.4">
      <c r="A38" t="s">
        <v>792</v>
      </c>
      <c r="B38" t="s">
        <v>792</v>
      </c>
      <c r="C38">
        <v>425</v>
      </c>
      <c r="D38" s="4" t="s">
        <v>167</v>
      </c>
      <c r="E38" t="s">
        <v>222</v>
      </c>
      <c r="F38" s="1">
        <v>5618.64</v>
      </c>
      <c r="G38" s="7">
        <v>46081</v>
      </c>
      <c r="H38" t="str">
        <f t="shared" si="1"/>
        <v>Stable Offshore</v>
      </c>
      <c r="I38" t="str">
        <f t="shared" si="1"/>
        <v>Stable Offshore</v>
      </c>
      <c r="J38" t="s">
        <v>156</v>
      </c>
      <c r="K38" t="s">
        <v>157</v>
      </c>
    </row>
    <row r="39" spans="1:11" customFormat="1" ht="14.4">
      <c r="A39" t="s">
        <v>792</v>
      </c>
      <c r="B39" t="s">
        <v>792</v>
      </c>
      <c r="C39">
        <v>425</v>
      </c>
      <c r="D39" s="4" t="s">
        <v>167</v>
      </c>
      <c r="E39" t="s">
        <v>857</v>
      </c>
      <c r="F39" s="1">
        <v>2201.1999999999998</v>
      </c>
      <c r="G39" s="7">
        <v>46081</v>
      </c>
      <c r="H39" t="str">
        <f t="shared" si="1"/>
        <v>Equity Offshore</v>
      </c>
      <c r="I39" t="str">
        <f t="shared" si="1"/>
        <v>Equity Offshore</v>
      </c>
      <c r="J39" t="s">
        <v>156</v>
      </c>
      <c r="K39" t="s">
        <v>157</v>
      </c>
    </row>
    <row r="40" spans="1:11" customFormat="1" ht="14.4">
      <c r="A40" t="s">
        <v>793</v>
      </c>
      <c r="B40" t="s">
        <v>793</v>
      </c>
      <c r="C40">
        <v>310</v>
      </c>
      <c r="D40" t="s">
        <v>168</v>
      </c>
      <c r="E40" t="s">
        <v>155</v>
      </c>
      <c r="F40" s="1">
        <v>2724.18</v>
      </c>
      <c r="G40" s="7">
        <v>46081</v>
      </c>
      <c r="H40" t="str">
        <f t="shared" si="1"/>
        <v>Moriah Global</v>
      </c>
      <c r="I40" t="str">
        <f t="shared" si="1"/>
        <v>Moriah Global</v>
      </c>
      <c r="J40" t="s">
        <v>156</v>
      </c>
      <c r="K40" t="s">
        <v>157</v>
      </c>
    </row>
    <row r="41" spans="1:11" customFormat="1" ht="14.4">
      <c r="A41" t="s">
        <v>793</v>
      </c>
      <c r="B41" t="s">
        <v>793</v>
      </c>
      <c r="C41">
        <v>310</v>
      </c>
      <c r="D41" t="s">
        <v>168</v>
      </c>
      <c r="E41" t="s">
        <v>222</v>
      </c>
      <c r="F41" s="1">
        <v>441.65</v>
      </c>
      <c r="G41" s="7">
        <v>46081</v>
      </c>
      <c r="H41" t="str">
        <f t="shared" si="1"/>
        <v>Stable Offshore</v>
      </c>
      <c r="I41" t="str">
        <f t="shared" si="1"/>
        <v>Stable Offshore</v>
      </c>
      <c r="J41" t="s">
        <v>156</v>
      </c>
      <c r="K41" t="s">
        <v>157</v>
      </c>
    </row>
    <row r="42" spans="1:11" customFormat="1" ht="14.4">
      <c r="A42" t="s">
        <v>794</v>
      </c>
      <c r="B42" t="s">
        <v>794</v>
      </c>
      <c r="C42">
        <v>60</v>
      </c>
      <c r="D42" t="s">
        <v>52</v>
      </c>
      <c r="E42" t="s">
        <v>155</v>
      </c>
      <c r="F42" s="1">
        <v>226943.56</v>
      </c>
      <c r="G42" s="7">
        <v>46081</v>
      </c>
      <c r="H42" t="str">
        <f t="shared" ref="H42:I59" si="2">$E42</f>
        <v>Moriah Global</v>
      </c>
      <c r="I42" t="str">
        <f t="shared" si="2"/>
        <v>Moriah Global</v>
      </c>
      <c r="J42" t="s">
        <v>156</v>
      </c>
      <c r="K42" t="s">
        <v>157</v>
      </c>
    </row>
    <row r="43" spans="1:11" customFormat="1" ht="14.4">
      <c r="A43" t="s">
        <v>794</v>
      </c>
      <c r="B43" t="s">
        <v>794</v>
      </c>
      <c r="C43">
        <v>60</v>
      </c>
      <c r="D43" t="s">
        <v>52</v>
      </c>
      <c r="E43" t="s">
        <v>222</v>
      </c>
      <c r="F43" s="1">
        <v>84767.21</v>
      </c>
      <c r="G43" s="7">
        <v>46081</v>
      </c>
      <c r="H43" t="str">
        <f t="shared" si="2"/>
        <v>Stable Offshore</v>
      </c>
      <c r="I43" t="str">
        <f t="shared" si="2"/>
        <v>Stable Offshore</v>
      </c>
      <c r="J43" t="s">
        <v>156</v>
      </c>
      <c r="K43" t="s">
        <v>157</v>
      </c>
    </row>
    <row r="44" spans="1:11" customFormat="1" ht="14.4">
      <c r="A44" t="s">
        <v>794</v>
      </c>
      <c r="B44" t="s">
        <v>794</v>
      </c>
      <c r="C44">
        <v>60</v>
      </c>
      <c r="D44" t="s">
        <v>52</v>
      </c>
      <c r="E44" t="s">
        <v>857</v>
      </c>
      <c r="F44" s="1">
        <v>57730.65</v>
      </c>
      <c r="G44" s="7">
        <v>46081</v>
      </c>
      <c r="H44" t="str">
        <f t="shared" si="2"/>
        <v>Equity Offshore</v>
      </c>
      <c r="I44" t="str">
        <f t="shared" si="2"/>
        <v>Equity Offshore</v>
      </c>
      <c r="J44" t="s">
        <v>156</v>
      </c>
      <c r="K44" t="s">
        <v>157</v>
      </c>
    </row>
    <row r="45" spans="1:11" customFormat="1" ht="14.4">
      <c r="A45" t="s">
        <v>795</v>
      </c>
      <c r="B45" t="s">
        <v>795</v>
      </c>
      <c r="C45">
        <v>243</v>
      </c>
      <c r="D45" s="4" t="s">
        <v>888</v>
      </c>
      <c r="E45" t="s">
        <v>155</v>
      </c>
      <c r="F45" s="1">
        <v>39975.49</v>
      </c>
      <c r="G45" s="7">
        <v>46081</v>
      </c>
      <c r="H45" t="str">
        <f t="shared" si="2"/>
        <v>Moriah Global</v>
      </c>
      <c r="I45" t="str">
        <f t="shared" si="2"/>
        <v>Moriah Global</v>
      </c>
      <c r="J45" t="s">
        <v>156</v>
      </c>
      <c r="K45" t="s">
        <v>157</v>
      </c>
    </row>
    <row r="46" spans="1:11" customFormat="1" ht="14.4">
      <c r="A46" t="s">
        <v>795</v>
      </c>
      <c r="B46" t="s">
        <v>795</v>
      </c>
      <c r="C46">
        <v>243</v>
      </c>
      <c r="D46" s="4" t="s">
        <v>888</v>
      </c>
      <c r="E46" t="s">
        <v>222</v>
      </c>
      <c r="F46" s="1">
        <v>1614.32</v>
      </c>
      <c r="G46" s="7">
        <v>46081</v>
      </c>
      <c r="H46" t="str">
        <f t="shared" si="2"/>
        <v>Stable Offshore</v>
      </c>
      <c r="I46" t="str">
        <f t="shared" si="2"/>
        <v>Stable Offshore</v>
      </c>
      <c r="J46" t="s">
        <v>156</v>
      </c>
      <c r="K46" t="s">
        <v>157</v>
      </c>
    </row>
    <row r="47" spans="1:11" customFormat="1" ht="14.4">
      <c r="A47" t="s">
        <v>796</v>
      </c>
      <c r="B47" t="s">
        <v>796</v>
      </c>
      <c r="C47">
        <v>433</v>
      </c>
      <c r="D47" s="4" t="s">
        <v>172</v>
      </c>
      <c r="E47" t="s">
        <v>155</v>
      </c>
      <c r="F47" s="1">
        <v>92810.68</v>
      </c>
      <c r="G47" s="7">
        <v>46081</v>
      </c>
      <c r="H47" t="str">
        <f t="shared" si="2"/>
        <v>Moriah Global</v>
      </c>
      <c r="I47" t="str">
        <f t="shared" si="2"/>
        <v>Moriah Global</v>
      </c>
      <c r="J47" t="s">
        <v>156</v>
      </c>
      <c r="K47" t="s">
        <v>157</v>
      </c>
    </row>
    <row r="48" spans="1:11" customFormat="1" ht="14.4">
      <c r="A48" t="s">
        <v>796</v>
      </c>
      <c r="B48" t="s">
        <v>796</v>
      </c>
      <c r="C48">
        <v>433</v>
      </c>
      <c r="D48" s="4" t="s">
        <v>172</v>
      </c>
      <c r="E48" t="s">
        <v>222</v>
      </c>
      <c r="F48" s="1">
        <v>25722.36</v>
      </c>
      <c r="G48" s="7">
        <v>46081</v>
      </c>
      <c r="H48" t="str">
        <f t="shared" si="2"/>
        <v>Stable Offshore</v>
      </c>
      <c r="I48" t="str">
        <f t="shared" si="2"/>
        <v>Stable Offshore</v>
      </c>
      <c r="J48" t="s">
        <v>156</v>
      </c>
      <c r="K48" t="s">
        <v>157</v>
      </c>
    </row>
    <row r="49" spans="1:11" customFormat="1" ht="14.4">
      <c r="A49" t="s">
        <v>796</v>
      </c>
      <c r="B49" t="s">
        <v>796</v>
      </c>
      <c r="C49">
        <v>433</v>
      </c>
      <c r="D49" s="4" t="s">
        <v>172</v>
      </c>
      <c r="E49" t="s">
        <v>857</v>
      </c>
      <c r="F49" s="1">
        <v>16970.55</v>
      </c>
      <c r="G49" s="7">
        <v>46081</v>
      </c>
      <c r="H49" t="str">
        <f t="shared" si="2"/>
        <v>Equity Offshore</v>
      </c>
      <c r="I49" t="str">
        <f t="shared" si="2"/>
        <v>Equity Offshore</v>
      </c>
      <c r="J49" t="s">
        <v>156</v>
      </c>
      <c r="K49" t="s">
        <v>157</v>
      </c>
    </row>
    <row r="50" spans="1:11" customFormat="1" ht="14.4">
      <c r="A50" t="s">
        <v>796</v>
      </c>
      <c r="B50" t="s">
        <v>796</v>
      </c>
      <c r="C50">
        <v>433</v>
      </c>
      <c r="D50" s="4" t="s">
        <v>172</v>
      </c>
      <c r="E50" t="s">
        <v>902</v>
      </c>
      <c r="F50" s="1">
        <v>10997.23</v>
      </c>
      <c r="G50" s="7">
        <v>46081</v>
      </c>
      <c r="H50" t="str">
        <f t="shared" si="2"/>
        <v>CIL Treasury account (USD)</v>
      </c>
      <c r="I50" t="str">
        <f t="shared" si="2"/>
        <v>CIL Treasury account (USD)</v>
      </c>
      <c r="J50" t="s">
        <v>156</v>
      </c>
      <c r="K50" t="s">
        <v>157</v>
      </c>
    </row>
    <row r="51" spans="1:11" customFormat="1" ht="14.4">
      <c r="A51" t="s">
        <v>797</v>
      </c>
      <c r="B51" t="s">
        <v>797</v>
      </c>
      <c r="C51">
        <v>269</v>
      </c>
      <c r="D51" t="s">
        <v>173</v>
      </c>
      <c r="E51" t="s">
        <v>155</v>
      </c>
      <c r="F51" s="1">
        <v>27285.26</v>
      </c>
      <c r="G51" s="7">
        <v>46081</v>
      </c>
      <c r="H51" t="str">
        <f t="shared" si="2"/>
        <v>Moriah Global</v>
      </c>
      <c r="I51" t="str">
        <f t="shared" si="2"/>
        <v>Moriah Global</v>
      </c>
      <c r="J51" t="s">
        <v>156</v>
      </c>
      <c r="K51" t="s">
        <v>157</v>
      </c>
    </row>
    <row r="52" spans="1:11" customFormat="1" ht="14.4">
      <c r="A52" t="s">
        <v>797</v>
      </c>
      <c r="B52" t="s">
        <v>797</v>
      </c>
      <c r="C52">
        <v>269</v>
      </c>
      <c r="D52" t="s">
        <v>173</v>
      </c>
      <c r="E52" t="s">
        <v>222</v>
      </c>
      <c r="F52" s="1">
        <v>6576.24</v>
      </c>
      <c r="G52" s="7">
        <v>46081</v>
      </c>
      <c r="H52" t="str">
        <f t="shared" si="2"/>
        <v>Stable Offshore</v>
      </c>
      <c r="I52" t="str">
        <f t="shared" si="2"/>
        <v>Stable Offshore</v>
      </c>
      <c r="J52" t="s">
        <v>156</v>
      </c>
      <c r="K52" t="s">
        <v>157</v>
      </c>
    </row>
    <row r="53" spans="1:11" customFormat="1" ht="14.4">
      <c r="A53" t="s">
        <v>797</v>
      </c>
      <c r="B53" t="s">
        <v>797</v>
      </c>
      <c r="C53">
        <v>269</v>
      </c>
      <c r="D53" t="s">
        <v>173</v>
      </c>
      <c r="E53" t="s">
        <v>857</v>
      </c>
      <c r="F53" s="1">
        <v>6484.28</v>
      </c>
      <c r="G53" s="7">
        <v>46081</v>
      </c>
      <c r="H53" t="str">
        <f t="shared" si="2"/>
        <v>Equity Offshore</v>
      </c>
      <c r="I53" t="str">
        <f t="shared" si="2"/>
        <v>Equity Offshore</v>
      </c>
      <c r="J53" t="s">
        <v>156</v>
      </c>
      <c r="K53" t="s">
        <v>157</v>
      </c>
    </row>
    <row r="54" spans="1:11" customFormat="1" ht="14.4">
      <c r="A54" t="s">
        <v>798</v>
      </c>
      <c r="B54" t="s">
        <v>798</v>
      </c>
      <c r="C54">
        <v>236</v>
      </c>
      <c r="D54" t="s">
        <v>174</v>
      </c>
      <c r="E54" t="s">
        <v>155</v>
      </c>
      <c r="F54" s="1">
        <v>106860.61</v>
      </c>
      <c r="G54" s="7">
        <v>46081</v>
      </c>
      <c r="H54" t="str">
        <f t="shared" si="2"/>
        <v>Moriah Global</v>
      </c>
      <c r="I54" t="str">
        <f t="shared" si="2"/>
        <v>Moriah Global</v>
      </c>
      <c r="J54" t="s">
        <v>156</v>
      </c>
      <c r="K54" t="s">
        <v>157</v>
      </c>
    </row>
    <row r="55" spans="1:11" customFormat="1" ht="14.4">
      <c r="A55" t="s">
        <v>798</v>
      </c>
      <c r="B55" t="s">
        <v>798</v>
      </c>
      <c r="C55">
        <v>236</v>
      </c>
      <c r="D55" t="s">
        <v>174</v>
      </c>
      <c r="E55" t="s">
        <v>222</v>
      </c>
      <c r="F55" s="1">
        <v>33425.46</v>
      </c>
      <c r="G55" s="7">
        <v>46081</v>
      </c>
      <c r="H55" t="str">
        <f t="shared" si="2"/>
        <v>Stable Offshore</v>
      </c>
      <c r="I55" t="str">
        <f t="shared" si="2"/>
        <v>Stable Offshore</v>
      </c>
      <c r="J55" t="s">
        <v>156</v>
      </c>
      <c r="K55" t="s">
        <v>157</v>
      </c>
    </row>
    <row r="56" spans="1:11" customFormat="1" ht="14.4">
      <c r="A56" t="s">
        <v>798</v>
      </c>
      <c r="B56" t="s">
        <v>798</v>
      </c>
      <c r="C56">
        <v>236</v>
      </c>
      <c r="D56" t="s">
        <v>174</v>
      </c>
      <c r="E56" t="s">
        <v>857</v>
      </c>
      <c r="F56" s="1">
        <v>15045.07</v>
      </c>
      <c r="G56" s="7">
        <v>46081</v>
      </c>
      <c r="H56" t="str">
        <f t="shared" si="2"/>
        <v>Equity Offshore</v>
      </c>
      <c r="I56" t="str">
        <f t="shared" si="2"/>
        <v>Equity Offshore</v>
      </c>
      <c r="J56" t="s">
        <v>156</v>
      </c>
      <c r="K56" t="s">
        <v>157</v>
      </c>
    </row>
    <row r="57" spans="1:11" customFormat="1" ht="14.4">
      <c r="A57" t="s">
        <v>799</v>
      </c>
      <c r="B57" t="s">
        <v>799</v>
      </c>
      <c r="C57">
        <v>35</v>
      </c>
      <c r="D57" t="s">
        <v>175</v>
      </c>
      <c r="E57" t="s">
        <v>155</v>
      </c>
      <c r="F57" s="1">
        <v>41339.49</v>
      </c>
      <c r="G57" s="7">
        <v>46081</v>
      </c>
      <c r="H57" t="str">
        <f t="shared" si="2"/>
        <v>Moriah Global</v>
      </c>
      <c r="I57" t="str">
        <f t="shared" si="2"/>
        <v>Moriah Global</v>
      </c>
      <c r="J57" t="s">
        <v>156</v>
      </c>
      <c r="K57" t="s">
        <v>157</v>
      </c>
    </row>
    <row r="58" spans="1:11" customFormat="1" ht="14.4">
      <c r="A58" t="s">
        <v>799</v>
      </c>
      <c r="B58" t="s">
        <v>799</v>
      </c>
      <c r="C58">
        <v>35</v>
      </c>
      <c r="D58" t="s">
        <v>175</v>
      </c>
      <c r="E58" t="s">
        <v>222</v>
      </c>
      <c r="F58" s="1">
        <v>14448.93</v>
      </c>
      <c r="G58" s="7">
        <v>46081</v>
      </c>
      <c r="H58" t="str">
        <f t="shared" si="2"/>
        <v>Stable Offshore</v>
      </c>
      <c r="I58" t="str">
        <f t="shared" si="2"/>
        <v>Stable Offshore</v>
      </c>
      <c r="J58" t="s">
        <v>156</v>
      </c>
      <c r="K58" t="s">
        <v>157</v>
      </c>
    </row>
    <row r="59" spans="1:11" customFormat="1" ht="14.4">
      <c r="A59" t="s">
        <v>799</v>
      </c>
      <c r="B59" t="s">
        <v>799</v>
      </c>
      <c r="C59">
        <v>35</v>
      </c>
      <c r="D59" t="s">
        <v>175</v>
      </c>
      <c r="E59" t="s">
        <v>857</v>
      </c>
      <c r="F59" s="1">
        <v>18200.89</v>
      </c>
      <c r="G59" s="7">
        <v>46081</v>
      </c>
      <c r="H59" t="str">
        <f t="shared" si="2"/>
        <v>Equity Offshore</v>
      </c>
      <c r="I59" t="str">
        <f t="shared" si="2"/>
        <v>Equity Offshore</v>
      </c>
      <c r="J59" t="s">
        <v>156</v>
      </c>
      <c r="K59" t="s">
        <v>157</v>
      </c>
    </row>
    <row r="60" spans="1:11" customFormat="1" ht="14.4">
      <c r="A60" t="s">
        <v>800</v>
      </c>
      <c r="B60" t="s">
        <v>800</v>
      </c>
      <c r="C60">
        <v>99</v>
      </c>
      <c r="D60" s="4" t="s">
        <v>103</v>
      </c>
      <c r="E60" t="s">
        <v>155</v>
      </c>
      <c r="F60" s="1">
        <v>128091.22</v>
      </c>
      <c r="G60" s="7">
        <v>46081</v>
      </c>
      <c r="H60" t="str">
        <f t="shared" ref="H60:I79" si="3">$E60</f>
        <v>Moriah Global</v>
      </c>
      <c r="I60" t="str">
        <f t="shared" si="3"/>
        <v>Moriah Global</v>
      </c>
      <c r="J60" t="s">
        <v>156</v>
      </c>
      <c r="K60" t="s">
        <v>157</v>
      </c>
    </row>
    <row r="61" spans="1:11" customFormat="1" ht="14.4">
      <c r="A61" t="s">
        <v>800</v>
      </c>
      <c r="B61" t="s">
        <v>800</v>
      </c>
      <c r="C61">
        <v>99</v>
      </c>
      <c r="D61" s="4" t="s">
        <v>103</v>
      </c>
      <c r="E61" t="s">
        <v>222</v>
      </c>
      <c r="F61" s="1">
        <v>44780.52</v>
      </c>
      <c r="G61" s="7">
        <v>46081</v>
      </c>
      <c r="H61" t="str">
        <f t="shared" si="3"/>
        <v>Stable Offshore</v>
      </c>
      <c r="I61" t="str">
        <f t="shared" si="3"/>
        <v>Stable Offshore</v>
      </c>
      <c r="J61" t="s">
        <v>156</v>
      </c>
      <c r="K61" t="s">
        <v>157</v>
      </c>
    </row>
    <row r="62" spans="1:11" customFormat="1" ht="14.4">
      <c r="A62" t="s">
        <v>800</v>
      </c>
      <c r="B62" t="s">
        <v>800</v>
      </c>
      <c r="C62">
        <v>99</v>
      </c>
      <c r="D62" s="4" t="s">
        <v>103</v>
      </c>
      <c r="E62" t="s">
        <v>857</v>
      </c>
      <c r="F62" s="1">
        <v>189773.3</v>
      </c>
      <c r="G62" s="7">
        <v>46081</v>
      </c>
      <c r="H62" t="str">
        <f t="shared" si="3"/>
        <v>Equity Offshore</v>
      </c>
      <c r="I62" t="str">
        <f t="shared" si="3"/>
        <v>Equity Offshore</v>
      </c>
      <c r="J62" t="s">
        <v>156</v>
      </c>
      <c r="K62" t="s">
        <v>157</v>
      </c>
    </row>
    <row r="63" spans="1:11" customFormat="1" ht="14.4">
      <c r="A63" t="s">
        <v>800</v>
      </c>
      <c r="B63" t="s">
        <v>800</v>
      </c>
      <c r="C63">
        <v>99</v>
      </c>
      <c r="D63" s="4" t="s">
        <v>103</v>
      </c>
      <c r="E63" t="s">
        <v>930</v>
      </c>
      <c r="F63" s="1">
        <v>39958.17</v>
      </c>
      <c r="G63" s="7">
        <v>46081</v>
      </c>
      <c r="H63" t="str">
        <f t="shared" si="3"/>
        <v>Kanaan Income Offshore FoF (USD)</v>
      </c>
      <c r="I63" t="str">
        <f t="shared" si="3"/>
        <v>Kanaan Income Offshore FoF (USD)</v>
      </c>
      <c r="J63" t="s">
        <v>156</v>
      </c>
      <c r="K63" t="s">
        <v>157</v>
      </c>
    </row>
    <row r="64" spans="1:11" customFormat="1" ht="14.4">
      <c r="A64" t="s">
        <v>801</v>
      </c>
      <c r="B64" t="s">
        <v>801</v>
      </c>
      <c r="C64">
        <v>309</v>
      </c>
      <c r="D64" t="s">
        <v>177</v>
      </c>
      <c r="E64" t="s">
        <v>155</v>
      </c>
      <c r="F64" s="1">
        <v>8517.5</v>
      </c>
      <c r="G64" s="7">
        <v>46081</v>
      </c>
      <c r="H64" t="str">
        <f t="shared" si="3"/>
        <v>Moriah Global</v>
      </c>
      <c r="I64" t="str">
        <f t="shared" si="3"/>
        <v>Moriah Global</v>
      </c>
      <c r="J64" t="s">
        <v>156</v>
      </c>
      <c r="K64" t="s">
        <v>157</v>
      </c>
    </row>
    <row r="65" spans="1:11" customFormat="1" ht="14.4">
      <c r="A65" t="s">
        <v>801</v>
      </c>
      <c r="B65" t="s">
        <v>801</v>
      </c>
      <c r="C65">
        <v>309</v>
      </c>
      <c r="D65" t="s">
        <v>177</v>
      </c>
      <c r="E65" t="s">
        <v>222</v>
      </c>
      <c r="F65" s="1">
        <v>1913.17</v>
      </c>
      <c r="G65" s="7">
        <v>46081</v>
      </c>
      <c r="H65" t="str">
        <f t="shared" si="3"/>
        <v>Stable Offshore</v>
      </c>
      <c r="I65" t="str">
        <f t="shared" si="3"/>
        <v>Stable Offshore</v>
      </c>
      <c r="J65" t="s">
        <v>156</v>
      </c>
      <c r="K65" t="s">
        <v>157</v>
      </c>
    </row>
    <row r="66" spans="1:11" customFormat="1" ht="14.4">
      <c r="A66" t="s">
        <v>802</v>
      </c>
      <c r="B66" t="s">
        <v>802</v>
      </c>
      <c r="C66">
        <v>87</v>
      </c>
      <c r="D66" t="s">
        <v>178</v>
      </c>
      <c r="E66" t="s">
        <v>155</v>
      </c>
      <c r="F66" s="1">
        <v>97906.18</v>
      </c>
      <c r="G66" s="7">
        <v>46081</v>
      </c>
      <c r="H66" t="str">
        <f t="shared" si="3"/>
        <v>Moriah Global</v>
      </c>
      <c r="I66" t="str">
        <f t="shared" si="3"/>
        <v>Moriah Global</v>
      </c>
      <c r="J66" t="s">
        <v>156</v>
      </c>
      <c r="K66" t="s">
        <v>157</v>
      </c>
    </row>
    <row r="67" spans="1:11" customFormat="1" ht="14.4">
      <c r="A67" t="s">
        <v>802</v>
      </c>
      <c r="B67" t="s">
        <v>802</v>
      </c>
      <c r="C67">
        <v>87</v>
      </c>
      <c r="D67" t="s">
        <v>178</v>
      </c>
      <c r="E67" t="s">
        <v>222</v>
      </c>
      <c r="F67" s="1">
        <v>27430.58</v>
      </c>
      <c r="G67" s="7">
        <v>46081</v>
      </c>
      <c r="H67" t="str">
        <f t="shared" si="3"/>
        <v>Stable Offshore</v>
      </c>
      <c r="I67" t="str">
        <f t="shared" si="3"/>
        <v>Stable Offshore</v>
      </c>
      <c r="J67" t="s">
        <v>156</v>
      </c>
      <c r="K67" t="s">
        <v>157</v>
      </c>
    </row>
    <row r="68" spans="1:11" customFormat="1" ht="14.4">
      <c r="A68" t="s">
        <v>802</v>
      </c>
      <c r="B68" t="s">
        <v>802</v>
      </c>
      <c r="C68">
        <v>87</v>
      </c>
      <c r="D68" t="s">
        <v>178</v>
      </c>
      <c r="E68" t="s">
        <v>857</v>
      </c>
      <c r="F68" s="1">
        <v>5127.71</v>
      </c>
      <c r="G68" s="7">
        <v>46081</v>
      </c>
      <c r="H68" t="str">
        <f t="shared" si="3"/>
        <v>Equity Offshore</v>
      </c>
      <c r="I68" t="str">
        <f t="shared" si="3"/>
        <v>Equity Offshore</v>
      </c>
      <c r="J68" t="s">
        <v>156</v>
      </c>
      <c r="K68" t="s">
        <v>157</v>
      </c>
    </row>
    <row r="69" spans="1:11" customFormat="1" ht="14.4">
      <c r="A69" t="s">
        <v>803</v>
      </c>
      <c r="B69" t="s">
        <v>803</v>
      </c>
      <c r="C69">
        <v>295</v>
      </c>
      <c r="D69" t="s">
        <v>179</v>
      </c>
      <c r="E69" t="s">
        <v>155</v>
      </c>
      <c r="F69" s="1">
        <v>40091.72</v>
      </c>
      <c r="G69" s="7">
        <v>46081</v>
      </c>
      <c r="H69" t="str">
        <f t="shared" si="3"/>
        <v>Moriah Global</v>
      </c>
      <c r="I69" t="str">
        <f t="shared" si="3"/>
        <v>Moriah Global</v>
      </c>
      <c r="J69" t="s">
        <v>156</v>
      </c>
      <c r="K69" t="s">
        <v>157</v>
      </c>
    </row>
    <row r="70" spans="1:11" customFormat="1" ht="14.4">
      <c r="A70" t="s">
        <v>803</v>
      </c>
      <c r="B70" t="s">
        <v>803</v>
      </c>
      <c r="C70">
        <v>295</v>
      </c>
      <c r="D70" t="s">
        <v>179</v>
      </c>
      <c r="E70" t="s">
        <v>222</v>
      </c>
      <c r="F70" s="1">
        <v>9720.51</v>
      </c>
      <c r="G70" s="7">
        <v>46081</v>
      </c>
      <c r="H70" t="str">
        <f t="shared" si="3"/>
        <v>Stable Offshore</v>
      </c>
      <c r="I70" t="str">
        <f t="shared" si="3"/>
        <v>Stable Offshore</v>
      </c>
      <c r="J70" t="s">
        <v>156</v>
      </c>
      <c r="K70" t="s">
        <v>157</v>
      </c>
    </row>
    <row r="71" spans="1:11" customFormat="1" ht="14.4">
      <c r="A71" t="s">
        <v>804</v>
      </c>
      <c r="B71" t="s">
        <v>804</v>
      </c>
      <c r="C71">
        <v>421</v>
      </c>
      <c r="D71" s="4" t="s">
        <v>180</v>
      </c>
      <c r="E71" t="s">
        <v>155</v>
      </c>
      <c r="F71" s="1">
        <v>383830.1</v>
      </c>
      <c r="G71" s="7">
        <v>46081</v>
      </c>
      <c r="H71" t="str">
        <f t="shared" si="3"/>
        <v>Moriah Global</v>
      </c>
      <c r="I71" t="str">
        <f t="shared" si="3"/>
        <v>Moriah Global</v>
      </c>
      <c r="J71" t="s">
        <v>156</v>
      </c>
      <c r="K71" t="s">
        <v>157</v>
      </c>
    </row>
    <row r="72" spans="1:11" customFormat="1" ht="14.4">
      <c r="A72" t="s">
        <v>804</v>
      </c>
      <c r="B72" t="s">
        <v>804</v>
      </c>
      <c r="C72">
        <v>421</v>
      </c>
      <c r="D72" s="4" t="s">
        <v>180</v>
      </c>
      <c r="E72" t="s">
        <v>222</v>
      </c>
      <c r="F72" s="1">
        <v>82339.350000000006</v>
      </c>
      <c r="G72" s="7">
        <v>46081</v>
      </c>
      <c r="H72" t="str">
        <f t="shared" si="3"/>
        <v>Stable Offshore</v>
      </c>
      <c r="I72" t="str">
        <f t="shared" si="3"/>
        <v>Stable Offshore</v>
      </c>
      <c r="J72" t="s">
        <v>156</v>
      </c>
      <c r="K72" t="s">
        <v>157</v>
      </c>
    </row>
    <row r="73" spans="1:11" customFormat="1" ht="14.4">
      <c r="A73" t="s">
        <v>804</v>
      </c>
      <c r="B73" t="s">
        <v>804</v>
      </c>
      <c r="C73">
        <v>421</v>
      </c>
      <c r="D73" s="4" t="s">
        <v>180</v>
      </c>
      <c r="E73" t="s">
        <v>857</v>
      </c>
      <c r="F73" s="1">
        <v>20922.830000000002</v>
      </c>
      <c r="G73" s="7">
        <v>46081</v>
      </c>
      <c r="H73" t="str">
        <f t="shared" si="3"/>
        <v>Equity Offshore</v>
      </c>
      <c r="I73" t="str">
        <f t="shared" si="3"/>
        <v>Equity Offshore</v>
      </c>
      <c r="J73" t="s">
        <v>156</v>
      </c>
      <c r="K73" t="s">
        <v>157</v>
      </c>
    </row>
    <row r="74" spans="1:11" customFormat="1" ht="14.4">
      <c r="A74" t="s">
        <v>805</v>
      </c>
      <c r="B74" t="s">
        <v>805</v>
      </c>
      <c r="C74">
        <v>418</v>
      </c>
      <c r="D74" s="4" t="s">
        <v>181</v>
      </c>
      <c r="E74" t="s">
        <v>155</v>
      </c>
      <c r="F74" s="1">
        <v>234126.01</v>
      </c>
      <c r="G74" s="7">
        <v>46081</v>
      </c>
      <c r="H74" t="str">
        <f t="shared" si="3"/>
        <v>Moriah Global</v>
      </c>
      <c r="I74" t="str">
        <f t="shared" si="3"/>
        <v>Moriah Global</v>
      </c>
      <c r="J74" t="s">
        <v>156</v>
      </c>
      <c r="K74" t="s">
        <v>157</v>
      </c>
    </row>
    <row r="75" spans="1:11" customFormat="1" ht="14.4">
      <c r="A75" t="s">
        <v>805</v>
      </c>
      <c r="B75" t="s">
        <v>805</v>
      </c>
      <c r="C75">
        <v>418</v>
      </c>
      <c r="D75" s="4" t="s">
        <v>181</v>
      </c>
      <c r="E75" t="s">
        <v>222</v>
      </c>
      <c r="F75" s="1">
        <v>130830.37</v>
      </c>
      <c r="G75" s="7">
        <v>46081</v>
      </c>
      <c r="H75" t="str">
        <f t="shared" si="3"/>
        <v>Stable Offshore</v>
      </c>
      <c r="I75" t="str">
        <f t="shared" si="3"/>
        <v>Stable Offshore</v>
      </c>
      <c r="J75" t="s">
        <v>156</v>
      </c>
      <c r="K75" t="s">
        <v>157</v>
      </c>
    </row>
    <row r="76" spans="1:11" customFormat="1" ht="14.4">
      <c r="A76" t="s">
        <v>805</v>
      </c>
      <c r="B76" t="s">
        <v>805</v>
      </c>
      <c r="C76">
        <v>418</v>
      </c>
      <c r="D76" s="4" t="s">
        <v>181</v>
      </c>
      <c r="E76" t="s">
        <v>857</v>
      </c>
      <c r="F76" s="1">
        <v>22304.42</v>
      </c>
      <c r="G76" s="7">
        <v>46081</v>
      </c>
      <c r="H76" t="str">
        <f t="shared" si="3"/>
        <v>Equity Offshore</v>
      </c>
      <c r="I76" t="str">
        <f t="shared" si="3"/>
        <v>Equity Offshore</v>
      </c>
      <c r="J76" t="s">
        <v>156</v>
      </c>
      <c r="K76" t="s">
        <v>157</v>
      </c>
    </row>
    <row r="77" spans="1:11" customFormat="1" ht="14.4">
      <c r="A77" t="s">
        <v>805</v>
      </c>
      <c r="B77" t="s">
        <v>805</v>
      </c>
      <c r="C77">
        <v>418</v>
      </c>
      <c r="D77" s="4" t="s">
        <v>181</v>
      </c>
      <c r="E77" t="s">
        <v>930</v>
      </c>
      <c r="F77" s="1">
        <v>49860.85</v>
      </c>
      <c r="G77" s="7">
        <v>46081</v>
      </c>
      <c r="H77" t="str">
        <f t="shared" si="3"/>
        <v>Kanaan Income Offshore FoF (USD)</v>
      </c>
      <c r="I77" t="str">
        <f t="shared" si="3"/>
        <v>Kanaan Income Offshore FoF (USD)</v>
      </c>
      <c r="J77" t="s">
        <v>156</v>
      </c>
      <c r="K77" t="s">
        <v>157</v>
      </c>
    </row>
    <row r="78" spans="1:11" customFormat="1" ht="14.4">
      <c r="A78" t="s">
        <v>806</v>
      </c>
      <c r="B78" t="s">
        <v>806</v>
      </c>
      <c r="C78">
        <v>303</v>
      </c>
      <c r="D78" t="s">
        <v>182</v>
      </c>
      <c r="E78" t="s">
        <v>155</v>
      </c>
      <c r="F78" s="1">
        <v>935.48</v>
      </c>
      <c r="G78" s="7">
        <v>46081</v>
      </c>
      <c r="H78" t="str">
        <f t="shared" si="3"/>
        <v>Moriah Global</v>
      </c>
      <c r="I78" t="str">
        <f t="shared" si="3"/>
        <v>Moriah Global</v>
      </c>
      <c r="J78" t="s">
        <v>156</v>
      </c>
      <c r="K78" t="s">
        <v>157</v>
      </c>
    </row>
    <row r="79" spans="1:11" customFormat="1" ht="14.4">
      <c r="A79" t="s">
        <v>806</v>
      </c>
      <c r="B79" t="s">
        <v>806</v>
      </c>
      <c r="C79">
        <v>303</v>
      </c>
      <c r="D79" t="s">
        <v>182</v>
      </c>
      <c r="E79" t="s">
        <v>222</v>
      </c>
      <c r="F79" s="1">
        <v>4.6900000000000004</v>
      </c>
      <c r="G79" s="7">
        <v>46081</v>
      </c>
      <c r="H79" t="str">
        <f t="shared" si="3"/>
        <v>Stable Offshore</v>
      </c>
      <c r="I79" t="str">
        <f t="shared" si="3"/>
        <v>Stable Offshore</v>
      </c>
      <c r="J79" t="s">
        <v>156</v>
      </c>
      <c r="K79" t="s">
        <v>157</v>
      </c>
    </row>
    <row r="80" spans="1:11" customFormat="1" ht="14.4">
      <c r="A80" t="s">
        <v>807</v>
      </c>
      <c r="B80" t="s">
        <v>807</v>
      </c>
      <c r="C80">
        <v>270</v>
      </c>
      <c r="D80" t="s">
        <v>183</v>
      </c>
      <c r="E80" t="s">
        <v>155</v>
      </c>
      <c r="F80" s="1">
        <v>1075.31</v>
      </c>
      <c r="G80" s="7">
        <v>46081</v>
      </c>
      <c r="H80" t="str">
        <f t="shared" ref="H80:I89" si="4">$E80</f>
        <v>Moriah Global</v>
      </c>
      <c r="I80" t="str">
        <f t="shared" si="4"/>
        <v>Moriah Global</v>
      </c>
      <c r="J80" t="s">
        <v>156</v>
      </c>
      <c r="K80" t="s">
        <v>157</v>
      </c>
    </row>
    <row r="81" spans="1:12" customFormat="1" ht="14.4">
      <c r="A81" t="s">
        <v>807</v>
      </c>
      <c r="B81" t="s">
        <v>807</v>
      </c>
      <c r="C81">
        <v>270</v>
      </c>
      <c r="D81" t="s">
        <v>183</v>
      </c>
      <c r="E81" t="s">
        <v>857</v>
      </c>
      <c r="F81" s="1">
        <v>341.65</v>
      </c>
      <c r="G81" s="7">
        <v>46081</v>
      </c>
      <c r="H81" t="str">
        <f t="shared" si="4"/>
        <v>Equity Offshore</v>
      </c>
      <c r="I81" t="str">
        <f t="shared" si="4"/>
        <v>Equity Offshore</v>
      </c>
      <c r="J81" t="s">
        <v>156</v>
      </c>
      <c r="K81" t="s">
        <v>157</v>
      </c>
    </row>
    <row r="82" spans="1:12" customFormat="1" ht="14.4">
      <c r="A82" t="s">
        <v>808</v>
      </c>
      <c r="B82" t="s">
        <v>808</v>
      </c>
      <c r="C82">
        <v>3</v>
      </c>
      <c r="D82" t="s">
        <v>28</v>
      </c>
      <c r="E82" t="s">
        <v>155</v>
      </c>
      <c r="F82" s="1">
        <v>170573.94</v>
      </c>
      <c r="G82" s="7">
        <v>46081</v>
      </c>
      <c r="H82" t="str">
        <f t="shared" si="4"/>
        <v>Moriah Global</v>
      </c>
      <c r="I82" t="str">
        <f t="shared" si="4"/>
        <v>Moriah Global</v>
      </c>
      <c r="J82" t="s">
        <v>156</v>
      </c>
      <c r="K82" t="s">
        <v>157</v>
      </c>
    </row>
    <row r="83" spans="1:12" customFormat="1" ht="14.4">
      <c r="A83" t="s">
        <v>808</v>
      </c>
      <c r="B83" t="s">
        <v>808</v>
      </c>
      <c r="C83">
        <v>3</v>
      </c>
      <c r="D83" t="s">
        <v>28</v>
      </c>
      <c r="E83" t="s">
        <v>222</v>
      </c>
      <c r="F83" s="1">
        <v>78463.31</v>
      </c>
      <c r="G83" s="7">
        <v>46081</v>
      </c>
      <c r="H83" t="str">
        <f t="shared" si="4"/>
        <v>Stable Offshore</v>
      </c>
      <c r="I83" t="str">
        <f t="shared" si="4"/>
        <v>Stable Offshore</v>
      </c>
      <c r="J83" t="s">
        <v>156</v>
      </c>
      <c r="K83" t="s">
        <v>157</v>
      </c>
    </row>
    <row r="84" spans="1:12" customFormat="1" ht="14.4">
      <c r="A84" t="s">
        <v>808</v>
      </c>
      <c r="B84" t="s">
        <v>808</v>
      </c>
      <c r="C84">
        <v>3</v>
      </c>
      <c r="D84" t="s">
        <v>28</v>
      </c>
      <c r="E84" t="s">
        <v>857</v>
      </c>
      <c r="F84" s="1">
        <v>33100.75</v>
      </c>
      <c r="G84" s="7">
        <v>46081</v>
      </c>
      <c r="H84" t="str">
        <f t="shared" si="4"/>
        <v>Equity Offshore</v>
      </c>
      <c r="I84" t="str">
        <f t="shared" si="4"/>
        <v>Equity Offshore</v>
      </c>
      <c r="J84" t="s">
        <v>156</v>
      </c>
      <c r="K84" t="s">
        <v>157</v>
      </c>
    </row>
    <row r="85" spans="1:12" customFormat="1" ht="14.4">
      <c r="A85" t="s">
        <v>809</v>
      </c>
      <c r="B85" t="s">
        <v>809</v>
      </c>
      <c r="C85">
        <v>153</v>
      </c>
      <c r="D85" t="s">
        <v>102</v>
      </c>
      <c r="E85" t="s">
        <v>155</v>
      </c>
      <c r="F85" s="1">
        <v>135794</v>
      </c>
      <c r="G85" s="7">
        <v>46081</v>
      </c>
      <c r="H85" t="str">
        <f t="shared" si="4"/>
        <v>Moriah Global</v>
      </c>
      <c r="I85" t="str">
        <f t="shared" si="4"/>
        <v>Moriah Global</v>
      </c>
      <c r="J85" t="s">
        <v>156</v>
      </c>
      <c r="K85" t="s">
        <v>157</v>
      </c>
    </row>
    <row r="86" spans="1:12" customFormat="1" ht="14.4">
      <c r="A86" t="s">
        <v>809</v>
      </c>
      <c r="B86" t="s">
        <v>809</v>
      </c>
      <c r="C86">
        <v>153</v>
      </c>
      <c r="D86" t="s">
        <v>102</v>
      </c>
      <c r="E86" t="s">
        <v>222</v>
      </c>
      <c r="F86" s="1">
        <v>38521.32</v>
      </c>
      <c r="G86" s="7">
        <v>46081</v>
      </c>
      <c r="H86" t="str">
        <f t="shared" si="4"/>
        <v>Stable Offshore</v>
      </c>
      <c r="I86" t="str">
        <f t="shared" si="4"/>
        <v>Stable Offshore</v>
      </c>
      <c r="J86" t="s">
        <v>156</v>
      </c>
      <c r="K86" t="s">
        <v>157</v>
      </c>
    </row>
    <row r="87" spans="1:12" customFormat="1" ht="14.4">
      <c r="A87" t="s">
        <v>809</v>
      </c>
      <c r="B87" t="s">
        <v>809</v>
      </c>
      <c r="C87">
        <v>153</v>
      </c>
      <c r="D87" t="s">
        <v>102</v>
      </c>
      <c r="E87" t="s">
        <v>857</v>
      </c>
      <c r="F87" s="1">
        <v>104673.45</v>
      </c>
      <c r="G87" s="7">
        <v>46081</v>
      </c>
      <c r="H87" t="str">
        <f t="shared" si="4"/>
        <v>Equity Offshore</v>
      </c>
      <c r="I87" t="str">
        <f t="shared" si="4"/>
        <v>Equity Offshore</v>
      </c>
      <c r="J87" t="s">
        <v>156</v>
      </c>
      <c r="K87" t="s">
        <v>157</v>
      </c>
    </row>
    <row r="88" spans="1:12" customFormat="1" ht="14.4">
      <c r="A88" t="s">
        <v>810</v>
      </c>
      <c r="B88" t="s">
        <v>810</v>
      </c>
      <c r="C88">
        <v>426</v>
      </c>
      <c r="D88" s="4" t="s">
        <v>185</v>
      </c>
      <c r="E88" t="s">
        <v>155</v>
      </c>
      <c r="F88" s="1">
        <v>34365.089999999997</v>
      </c>
      <c r="G88" s="7">
        <v>46081</v>
      </c>
      <c r="H88" t="str">
        <f t="shared" si="4"/>
        <v>Moriah Global</v>
      </c>
      <c r="I88" t="str">
        <f t="shared" si="4"/>
        <v>Moriah Global</v>
      </c>
      <c r="J88" t="s">
        <v>156</v>
      </c>
      <c r="K88" t="s">
        <v>157</v>
      </c>
    </row>
    <row r="89" spans="1:12" customFormat="1" ht="14.4">
      <c r="A89" t="s">
        <v>810</v>
      </c>
      <c r="B89" t="s">
        <v>810</v>
      </c>
      <c r="C89">
        <v>426</v>
      </c>
      <c r="D89" s="4" t="s">
        <v>185</v>
      </c>
      <c r="E89" t="s">
        <v>222</v>
      </c>
      <c r="F89" s="1">
        <v>238.24</v>
      </c>
      <c r="G89" s="7">
        <v>46081</v>
      </c>
      <c r="H89" t="str">
        <f t="shared" si="4"/>
        <v>Stable Offshore</v>
      </c>
      <c r="I89" t="str">
        <f t="shared" si="4"/>
        <v>Stable Offshore</v>
      </c>
      <c r="J89" t="s">
        <v>156</v>
      </c>
      <c r="K89" t="s">
        <v>157</v>
      </c>
    </row>
    <row r="90" spans="1:12" customFormat="1" ht="14.4">
      <c r="A90" t="s">
        <v>811</v>
      </c>
      <c r="B90" t="s">
        <v>811</v>
      </c>
      <c r="C90">
        <v>431</v>
      </c>
      <c r="D90" s="4" t="s">
        <v>186</v>
      </c>
      <c r="E90" t="s">
        <v>155</v>
      </c>
      <c r="F90" s="1">
        <v>24760.74</v>
      </c>
      <c r="G90" s="7">
        <v>46081</v>
      </c>
      <c r="H90" t="str">
        <f t="shared" ref="H90:I105" si="5">$E90</f>
        <v>Moriah Global</v>
      </c>
      <c r="I90" t="str">
        <f t="shared" si="5"/>
        <v>Moriah Global</v>
      </c>
      <c r="J90" t="s">
        <v>156</v>
      </c>
      <c r="K90" t="s">
        <v>157</v>
      </c>
    </row>
    <row r="91" spans="1:12" customFormat="1" ht="14.4">
      <c r="A91" t="s">
        <v>811</v>
      </c>
      <c r="B91" t="s">
        <v>811</v>
      </c>
      <c r="C91">
        <v>431</v>
      </c>
      <c r="D91" s="4" t="s">
        <v>186</v>
      </c>
      <c r="E91" t="s">
        <v>222</v>
      </c>
      <c r="F91" s="1">
        <v>2602.73</v>
      </c>
      <c r="G91" s="7">
        <v>46081</v>
      </c>
      <c r="H91" t="str">
        <f t="shared" si="5"/>
        <v>Stable Offshore</v>
      </c>
      <c r="I91" t="str">
        <f t="shared" si="5"/>
        <v>Stable Offshore</v>
      </c>
      <c r="J91" t="s">
        <v>156</v>
      </c>
      <c r="K91" t="s">
        <v>157</v>
      </c>
    </row>
    <row r="92" spans="1:12" customFormat="1" ht="14.4">
      <c r="A92" t="s">
        <v>811</v>
      </c>
      <c r="B92" t="s">
        <v>811</v>
      </c>
      <c r="C92">
        <v>431</v>
      </c>
      <c r="D92" s="4" t="s">
        <v>186</v>
      </c>
      <c r="E92" t="s">
        <v>857</v>
      </c>
      <c r="F92" s="1">
        <v>16621.560000000001</v>
      </c>
      <c r="G92" s="7">
        <v>46081</v>
      </c>
      <c r="H92" t="str">
        <f t="shared" si="5"/>
        <v>Equity Offshore</v>
      </c>
      <c r="I92" t="str">
        <f t="shared" si="5"/>
        <v>Equity Offshore</v>
      </c>
      <c r="J92" t="s">
        <v>156</v>
      </c>
      <c r="K92" t="s">
        <v>157</v>
      </c>
    </row>
    <row r="93" spans="1:12" customFormat="1" ht="14.4">
      <c r="A93" t="s">
        <v>812</v>
      </c>
      <c r="B93" t="s">
        <v>812</v>
      </c>
      <c r="C93">
        <v>420</v>
      </c>
      <c r="D93" t="s">
        <v>162</v>
      </c>
      <c r="E93" t="s">
        <v>155</v>
      </c>
      <c r="F93" s="1">
        <v>216090.79</v>
      </c>
      <c r="G93" s="7">
        <v>46081</v>
      </c>
      <c r="H93" t="str">
        <f t="shared" si="5"/>
        <v>Moriah Global</v>
      </c>
      <c r="I93" t="str">
        <f t="shared" si="5"/>
        <v>Moriah Global</v>
      </c>
      <c r="J93" t="s">
        <v>156</v>
      </c>
      <c r="K93" t="s">
        <v>157</v>
      </c>
    </row>
    <row r="94" spans="1:12" ht="12.75" customHeight="1">
      <c r="A94" t="s">
        <v>812</v>
      </c>
      <c r="B94" t="s">
        <v>812</v>
      </c>
      <c r="C94">
        <v>420</v>
      </c>
      <c r="D94" t="s">
        <v>162</v>
      </c>
      <c r="E94" t="s">
        <v>857</v>
      </c>
      <c r="F94" s="1">
        <v>9613.7000000000007</v>
      </c>
      <c r="G94" s="7">
        <v>46081</v>
      </c>
      <c r="H94" t="str">
        <f t="shared" si="5"/>
        <v>Equity Offshore</v>
      </c>
      <c r="I94" t="str">
        <f t="shared" si="5"/>
        <v>Equity Offshore</v>
      </c>
      <c r="J94" t="s">
        <v>156</v>
      </c>
      <c r="K94" t="s">
        <v>157</v>
      </c>
      <c r="L94"/>
    </row>
    <row r="95" spans="1:12" ht="12.75" customHeight="1">
      <c r="A95" t="s">
        <v>813</v>
      </c>
      <c r="B95" t="s">
        <v>813</v>
      </c>
      <c r="C95">
        <v>389</v>
      </c>
      <c r="D95" t="s">
        <v>187</v>
      </c>
      <c r="E95" t="s">
        <v>155</v>
      </c>
      <c r="F95" s="1">
        <v>23009.02</v>
      </c>
      <c r="G95" s="7">
        <v>46081</v>
      </c>
      <c r="H95" t="str">
        <f t="shared" si="5"/>
        <v>Moriah Global</v>
      </c>
      <c r="I95" t="str">
        <f t="shared" si="5"/>
        <v>Moriah Global</v>
      </c>
      <c r="J95" t="s">
        <v>156</v>
      </c>
      <c r="K95" t="s">
        <v>157</v>
      </c>
      <c r="L95"/>
    </row>
    <row r="96" spans="1:12" ht="12.75" customHeight="1">
      <c r="A96" t="s">
        <v>813</v>
      </c>
      <c r="B96" t="s">
        <v>813</v>
      </c>
      <c r="C96">
        <v>389</v>
      </c>
      <c r="D96" t="s">
        <v>187</v>
      </c>
      <c r="E96" t="s">
        <v>222</v>
      </c>
      <c r="F96" s="1">
        <v>360.81</v>
      </c>
      <c r="G96" s="7">
        <v>46081</v>
      </c>
      <c r="H96" t="str">
        <f t="shared" si="5"/>
        <v>Stable Offshore</v>
      </c>
      <c r="I96" t="str">
        <f t="shared" si="5"/>
        <v>Stable Offshore</v>
      </c>
      <c r="J96" t="s">
        <v>156</v>
      </c>
      <c r="K96" t="s">
        <v>157</v>
      </c>
      <c r="L96"/>
    </row>
    <row r="97" spans="1:12" ht="12.75" customHeight="1">
      <c r="A97" t="s">
        <v>814</v>
      </c>
      <c r="B97" t="s">
        <v>814</v>
      </c>
      <c r="C97">
        <v>428</v>
      </c>
      <c r="D97" s="4" t="s">
        <v>188</v>
      </c>
      <c r="E97" t="s">
        <v>155</v>
      </c>
      <c r="F97" s="1">
        <v>71617.179999999993</v>
      </c>
      <c r="G97" s="7">
        <v>46081</v>
      </c>
      <c r="H97" t="str">
        <f t="shared" si="5"/>
        <v>Moriah Global</v>
      </c>
      <c r="I97" t="str">
        <f t="shared" si="5"/>
        <v>Moriah Global</v>
      </c>
      <c r="J97" t="s">
        <v>156</v>
      </c>
      <c r="K97" t="s">
        <v>157</v>
      </c>
      <c r="L97"/>
    </row>
    <row r="98" spans="1:12" customFormat="1" ht="14.4">
      <c r="A98" t="s">
        <v>814</v>
      </c>
      <c r="B98" t="s">
        <v>814</v>
      </c>
      <c r="C98">
        <v>428</v>
      </c>
      <c r="D98" s="4" t="s">
        <v>188</v>
      </c>
      <c r="E98" t="s">
        <v>222</v>
      </c>
      <c r="F98" s="1">
        <v>12152.15</v>
      </c>
      <c r="G98" s="7">
        <v>46081</v>
      </c>
      <c r="H98" t="str">
        <f t="shared" si="5"/>
        <v>Stable Offshore</v>
      </c>
      <c r="I98" t="str">
        <f t="shared" si="5"/>
        <v>Stable Offshore</v>
      </c>
      <c r="J98" t="s">
        <v>156</v>
      </c>
      <c r="K98" t="s">
        <v>157</v>
      </c>
    </row>
    <row r="99" spans="1:12" customFormat="1" ht="14.4">
      <c r="A99" t="s">
        <v>814</v>
      </c>
      <c r="B99" t="s">
        <v>814</v>
      </c>
      <c r="C99">
        <v>428</v>
      </c>
      <c r="D99" s="4" t="s">
        <v>188</v>
      </c>
      <c r="E99" t="s">
        <v>857</v>
      </c>
      <c r="F99" s="1">
        <v>5866.67</v>
      </c>
      <c r="G99" s="7">
        <v>46081</v>
      </c>
      <c r="H99" t="str">
        <f t="shared" si="5"/>
        <v>Equity Offshore</v>
      </c>
      <c r="I99" t="str">
        <f t="shared" si="5"/>
        <v>Equity Offshore</v>
      </c>
      <c r="J99" t="s">
        <v>156</v>
      </c>
      <c r="K99" t="s">
        <v>157</v>
      </c>
    </row>
    <row r="100" spans="1:12" customFormat="1" ht="14.4">
      <c r="A100" t="s">
        <v>815</v>
      </c>
      <c r="B100" t="s">
        <v>815</v>
      </c>
      <c r="C100">
        <v>423</v>
      </c>
      <c r="D100" t="s">
        <v>189</v>
      </c>
      <c r="E100" t="s">
        <v>155</v>
      </c>
      <c r="F100" s="1">
        <v>109615.4</v>
      </c>
      <c r="G100" s="7">
        <v>46081</v>
      </c>
      <c r="H100" t="str">
        <f t="shared" si="5"/>
        <v>Moriah Global</v>
      </c>
      <c r="I100" t="str">
        <f t="shared" si="5"/>
        <v>Moriah Global</v>
      </c>
      <c r="J100" t="s">
        <v>156</v>
      </c>
      <c r="K100" t="s">
        <v>157</v>
      </c>
    </row>
    <row r="101" spans="1:12" customFormat="1" ht="14.4">
      <c r="A101" t="s">
        <v>815</v>
      </c>
      <c r="B101" t="s">
        <v>815</v>
      </c>
      <c r="C101">
        <v>423</v>
      </c>
      <c r="D101" t="s">
        <v>189</v>
      </c>
      <c r="E101" t="s">
        <v>222</v>
      </c>
      <c r="F101" s="1">
        <v>11419.86</v>
      </c>
      <c r="G101" s="7">
        <v>46081</v>
      </c>
      <c r="H101" t="str">
        <f t="shared" si="5"/>
        <v>Stable Offshore</v>
      </c>
      <c r="I101" t="str">
        <f t="shared" si="5"/>
        <v>Stable Offshore</v>
      </c>
      <c r="J101" t="s">
        <v>156</v>
      </c>
      <c r="K101" t="s">
        <v>157</v>
      </c>
    </row>
    <row r="102" spans="1:12" customFormat="1" ht="14.4">
      <c r="A102" t="s">
        <v>815</v>
      </c>
      <c r="B102" t="s">
        <v>815</v>
      </c>
      <c r="C102">
        <v>423</v>
      </c>
      <c r="D102" t="s">
        <v>189</v>
      </c>
      <c r="E102" t="s">
        <v>857</v>
      </c>
      <c r="F102" s="1">
        <v>6327.23</v>
      </c>
      <c r="G102" s="7">
        <v>46081</v>
      </c>
      <c r="H102" t="str">
        <f t="shared" si="5"/>
        <v>Equity Offshore</v>
      </c>
      <c r="I102" t="str">
        <f t="shared" si="5"/>
        <v>Equity Offshore</v>
      </c>
      <c r="J102" t="s">
        <v>156</v>
      </c>
      <c r="K102" t="s">
        <v>157</v>
      </c>
    </row>
    <row r="103" spans="1:12" customFormat="1" ht="14.4">
      <c r="A103" t="s">
        <v>816</v>
      </c>
      <c r="B103" t="s">
        <v>816</v>
      </c>
      <c r="C103">
        <v>411</v>
      </c>
      <c r="D103" s="4" t="s">
        <v>190</v>
      </c>
      <c r="E103" t="s">
        <v>155</v>
      </c>
      <c r="F103" s="1">
        <v>126358.99</v>
      </c>
      <c r="G103" s="7">
        <v>46081</v>
      </c>
      <c r="H103" t="str">
        <f t="shared" si="5"/>
        <v>Moriah Global</v>
      </c>
      <c r="I103" t="str">
        <f t="shared" si="5"/>
        <v>Moriah Global</v>
      </c>
      <c r="J103" t="s">
        <v>156</v>
      </c>
      <c r="K103" t="s">
        <v>157</v>
      </c>
    </row>
    <row r="104" spans="1:12" customFormat="1" ht="14.4">
      <c r="A104" t="s">
        <v>816</v>
      </c>
      <c r="B104" t="s">
        <v>816</v>
      </c>
      <c r="C104">
        <v>411</v>
      </c>
      <c r="D104" s="4" t="s">
        <v>190</v>
      </c>
      <c r="E104" t="s">
        <v>222</v>
      </c>
      <c r="F104" s="1">
        <v>32231.360000000001</v>
      </c>
      <c r="G104" s="7">
        <v>46081</v>
      </c>
      <c r="H104" t="str">
        <f t="shared" si="5"/>
        <v>Stable Offshore</v>
      </c>
      <c r="I104" t="str">
        <f t="shared" si="5"/>
        <v>Stable Offshore</v>
      </c>
      <c r="J104" t="s">
        <v>156</v>
      </c>
      <c r="K104" t="s">
        <v>157</v>
      </c>
    </row>
    <row r="105" spans="1:12" customFormat="1" ht="14.4">
      <c r="A105" t="s">
        <v>817</v>
      </c>
      <c r="B105" t="s">
        <v>817</v>
      </c>
      <c r="C105">
        <v>379</v>
      </c>
      <c r="D105" t="s">
        <v>191</v>
      </c>
      <c r="E105" t="s">
        <v>155</v>
      </c>
      <c r="F105" s="1">
        <v>98872.23</v>
      </c>
      <c r="G105" s="7">
        <v>46081</v>
      </c>
      <c r="H105" t="str">
        <f t="shared" si="5"/>
        <v>Moriah Global</v>
      </c>
      <c r="I105" t="str">
        <f t="shared" si="5"/>
        <v>Moriah Global</v>
      </c>
      <c r="J105" t="s">
        <v>156</v>
      </c>
      <c r="K105" t="s">
        <v>157</v>
      </c>
    </row>
    <row r="106" spans="1:12" customFormat="1" ht="14.4">
      <c r="A106" t="s">
        <v>818</v>
      </c>
      <c r="B106" t="s">
        <v>818</v>
      </c>
      <c r="C106">
        <v>460</v>
      </c>
      <c r="D106" t="s">
        <v>870</v>
      </c>
      <c r="E106" t="s">
        <v>155</v>
      </c>
      <c r="F106" s="1">
        <v>41769.449999999997</v>
      </c>
      <c r="G106" s="7">
        <v>46081</v>
      </c>
      <c r="H106" t="str">
        <f t="shared" ref="H106:I125" si="6">$E106</f>
        <v>Moriah Global</v>
      </c>
      <c r="I106" t="str">
        <f t="shared" si="6"/>
        <v>Moriah Global</v>
      </c>
      <c r="J106" t="s">
        <v>156</v>
      </c>
      <c r="K106" t="s">
        <v>157</v>
      </c>
    </row>
    <row r="107" spans="1:12" customFormat="1" ht="14.4">
      <c r="A107" t="s">
        <v>818</v>
      </c>
      <c r="B107" t="s">
        <v>818</v>
      </c>
      <c r="C107">
        <v>460</v>
      </c>
      <c r="D107" t="s">
        <v>870</v>
      </c>
      <c r="E107" t="s">
        <v>222</v>
      </c>
      <c r="F107" s="1">
        <v>14583.28</v>
      </c>
      <c r="G107" s="7">
        <v>46081</v>
      </c>
      <c r="H107" t="str">
        <f t="shared" si="6"/>
        <v>Stable Offshore</v>
      </c>
      <c r="I107" t="str">
        <f t="shared" si="6"/>
        <v>Stable Offshore</v>
      </c>
      <c r="J107" t="s">
        <v>156</v>
      </c>
      <c r="K107" t="s">
        <v>157</v>
      </c>
    </row>
    <row r="108" spans="1:12" customFormat="1" ht="14.4">
      <c r="A108" t="s">
        <v>818</v>
      </c>
      <c r="B108" t="s">
        <v>818</v>
      </c>
      <c r="C108">
        <v>460</v>
      </c>
      <c r="D108" t="s">
        <v>870</v>
      </c>
      <c r="E108" t="s">
        <v>857</v>
      </c>
      <c r="F108" s="1">
        <v>19810.86</v>
      </c>
      <c r="G108" s="7">
        <v>46081</v>
      </c>
      <c r="H108" t="str">
        <f t="shared" si="6"/>
        <v>Equity Offshore</v>
      </c>
      <c r="I108" t="str">
        <f t="shared" si="6"/>
        <v>Equity Offshore</v>
      </c>
      <c r="J108" t="s">
        <v>156</v>
      </c>
      <c r="K108" t="s">
        <v>157</v>
      </c>
    </row>
    <row r="109" spans="1:12" customFormat="1" ht="14.4">
      <c r="A109" t="s">
        <v>819</v>
      </c>
      <c r="B109" t="s">
        <v>819</v>
      </c>
      <c r="C109">
        <v>383</v>
      </c>
      <c r="D109" t="s">
        <v>193</v>
      </c>
      <c r="E109" t="s">
        <v>155</v>
      </c>
      <c r="F109" s="1">
        <v>29834.560000000001</v>
      </c>
      <c r="G109" s="7">
        <v>46081</v>
      </c>
      <c r="H109" t="str">
        <f t="shared" si="6"/>
        <v>Moriah Global</v>
      </c>
      <c r="I109" t="str">
        <f t="shared" si="6"/>
        <v>Moriah Global</v>
      </c>
      <c r="J109" t="s">
        <v>156</v>
      </c>
      <c r="K109" t="s">
        <v>157</v>
      </c>
    </row>
    <row r="110" spans="1:12" customFormat="1" ht="14.4">
      <c r="A110" t="s">
        <v>819</v>
      </c>
      <c r="B110" t="s">
        <v>819</v>
      </c>
      <c r="C110">
        <v>383</v>
      </c>
      <c r="D110" t="s">
        <v>193</v>
      </c>
      <c r="E110" t="s">
        <v>857</v>
      </c>
      <c r="F110" s="1">
        <v>4782.66</v>
      </c>
      <c r="G110" s="7">
        <v>46081</v>
      </c>
      <c r="H110" t="str">
        <f t="shared" si="6"/>
        <v>Equity Offshore</v>
      </c>
      <c r="I110" t="str">
        <f t="shared" si="6"/>
        <v>Equity Offshore</v>
      </c>
      <c r="J110" t="s">
        <v>156</v>
      </c>
      <c r="K110" t="s">
        <v>157</v>
      </c>
    </row>
    <row r="111" spans="1:12" customFormat="1" ht="14.4">
      <c r="A111" t="s">
        <v>820</v>
      </c>
      <c r="B111" t="s">
        <v>820</v>
      </c>
      <c r="C111">
        <v>407</v>
      </c>
      <c r="D111" t="s">
        <v>194</v>
      </c>
      <c r="E111" t="s">
        <v>155</v>
      </c>
      <c r="F111" s="1">
        <v>92565.97</v>
      </c>
      <c r="G111" s="7">
        <v>46081</v>
      </c>
      <c r="H111" t="str">
        <f t="shared" si="6"/>
        <v>Moriah Global</v>
      </c>
      <c r="I111" t="str">
        <f t="shared" si="6"/>
        <v>Moriah Global</v>
      </c>
      <c r="J111" t="s">
        <v>156</v>
      </c>
      <c r="K111" t="s">
        <v>157</v>
      </c>
    </row>
    <row r="112" spans="1:12" customFormat="1" ht="14.4">
      <c r="A112" t="s">
        <v>820</v>
      </c>
      <c r="B112" t="s">
        <v>820</v>
      </c>
      <c r="C112">
        <v>407</v>
      </c>
      <c r="D112" t="s">
        <v>194</v>
      </c>
      <c r="E112" t="s">
        <v>895</v>
      </c>
      <c r="F112" s="1">
        <v>1941.79</v>
      </c>
      <c r="G112" s="7">
        <v>46081</v>
      </c>
      <c r="H112" t="str">
        <f t="shared" si="6"/>
        <v>BCP cash account (USD)</v>
      </c>
      <c r="I112" t="str">
        <f t="shared" si="6"/>
        <v>BCP cash account (USD)</v>
      </c>
      <c r="J112" t="s">
        <v>156</v>
      </c>
      <c r="K112" t="s">
        <v>157</v>
      </c>
    </row>
    <row r="113" spans="1:11" customFormat="1" ht="14.4">
      <c r="A113" t="s">
        <v>821</v>
      </c>
      <c r="B113" t="s">
        <v>821</v>
      </c>
      <c r="C113">
        <v>377</v>
      </c>
      <c r="D113" t="s">
        <v>195</v>
      </c>
      <c r="E113" t="s">
        <v>155</v>
      </c>
      <c r="F113" s="1">
        <v>24076.67</v>
      </c>
      <c r="G113" s="7">
        <v>46081</v>
      </c>
      <c r="H113" t="str">
        <f t="shared" si="6"/>
        <v>Moriah Global</v>
      </c>
      <c r="I113" t="str">
        <f t="shared" si="6"/>
        <v>Moriah Global</v>
      </c>
      <c r="J113" t="s">
        <v>156</v>
      </c>
      <c r="K113" t="s">
        <v>157</v>
      </c>
    </row>
    <row r="114" spans="1:11" customFormat="1" ht="14.4">
      <c r="A114" t="s">
        <v>821</v>
      </c>
      <c r="B114" t="s">
        <v>821</v>
      </c>
      <c r="C114">
        <v>377</v>
      </c>
      <c r="D114" t="s">
        <v>195</v>
      </c>
      <c r="E114" t="s">
        <v>222</v>
      </c>
      <c r="F114" s="1">
        <v>5755.17</v>
      </c>
      <c r="G114" s="7">
        <v>46081</v>
      </c>
      <c r="H114" t="str">
        <f t="shared" si="6"/>
        <v>Stable Offshore</v>
      </c>
      <c r="I114" t="str">
        <f t="shared" si="6"/>
        <v>Stable Offshore</v>
      </c>
      <c r="J114" t="s">
        <v>156</v>
      </c>
      <c r="K114" t="s">
        <v>157</v>
      </c>
    </row>
    <row r="115" spans="1:11" customFormat="1" ht="14.4">
      <c r="A115" t="s">
        <v>822</v>
      </c>
      <c r="B115" t="s">
        <v>822</v>
      </c>
      <c r="C115">
        <v>405</v>
      </c>
      <c r="D115" t="s">
        <v>196</v>
      </c>
      <c r="E115" t="s">
        <v>155</v>
      </c>
      <c r="F115" s="1">
        <v>30808.92</v>
      </c>
      <c r="G115" s="7">
        <v>46081</v>
      </c>
      <c r="H115" t="str">
        <f t="shared" si="6"/>
        <v>Moriah Global</v>
      </c>
      <c r="I115" t="str">
        <f t="shared" si="6"/>
        <v>Moriah Global</v>
      </c>
      <c r="J115" t="s">
        <v>156</v>
      </c>
      <c r="K115" t="s">
        <v>157</v>
      </c>
    </row>
    <row r="116" spans="1:11" customFormat="1" ht="14.4">
      <c r="A116" t="s">
        <v>822</v>
      </c>
      <c r="B116" t="s">
        <v>822</v>
      </c>
      <c r="C116">
        <v>405</v>
      </c>
      <c r="D116" t="s">
        <v>196</v>
      </c>
      <c r="E116" t="s">
        <v>222</v>
      </c>
      <c r="F116" s="1">
        <v>7428.04</v>
      </c>
      <c r="G116" s="7">
        <v>46081</v>
      </c>
      <c r="H116" t="str">
        <f t="shared" si="6"/>
        <v>Stable Offshore</v>
      </c>
      <c r="I116" t="str">
        <f t="shared" si="6"/>
        <v>Stable Offshore</v>
      </c>
      <c r="J116" t="s">
        <v>156</v>
      </c>
      <c r="K116" t="s">
        <v>157</v>
      </c>
    </row>
    <row r="117" spans="1:11" customFormat="1" ht="14.4">
      <c r="A117" t="s">
        <v>823</v>
      </c>
      <c r="B117" t="s">
        <v>823</v>
      </c>
      <c r="C117">
        <v>408</v>
      </c>
      <c r="D117" t="s">
        <v>197</v>
      </c>
      <c r="E117" t="s">
        <v>155</v>
      </c>
      <c r="F117" s="1">
        <v>30808.92</v>
      </c>
      <c r="G117" s="7">
        <v>46081</v>
      </c>
      <c r="H117" t="str">
        <f t="shared" si="6"/>
        <v>Moriah Global</v>
      </c>
      <c r="I117" t="str">
        <f t="shared" si="6"/>
        <v>Moriah Global</v>
      </c>
      <c r="J117" t="s">
        <v>156</v>
      </c>
      <c r="K117" t="s">
        <v>157</v>
      </c>
    </row>
    <row r="118" spans="1:11" customFormat="1" ht="14.4">
      <c r="A118" t="s">
        <v>823</v>
      </c>
      <c r="B118" t="s">
        <v>823</v>
      </c>
      <c r="C118">
        <v>408</v>
      </c>
      <c r="D118" t="s">
        <v>197</v>
      </c>
      <c r="E118" t="s">
        <v>222</v>
      </c>
      <c r="F118" s="1">
        <v>7428.04</v>
      </c>
      <c r="G118" s="7">
        <v>46081</v>
      </c>
      <c r="H118" t="str">
        <f t="shared" si="6"/>
        <v>Stable Offshore</v>
      </c>
      <c r="I118" t="str">
        <f t="shared" si="6"/>
        <v>Stable Offshore</v>
      </c>
      <c r="J118" t="s">
        <v>156</v>
      </c>
      <c r="K118" t="s">
        <v>157</v>
      </c>
    </row>
    <row r="119" spans="1:11" customFormat="1" ht="14.4">
      <c r="A119" t="s">
        <v>824</v>
      </c>
      <c r="B119" t="s">
        <v>824</v>
      </c>
      <c r="C119">
        <v>278</v>
      </c>
      <c r="D119" t="s">
        <v>198</v>
      </c>
      <c r="E119" t="s">
        <v>155</v>
      </c>
      <c r="F119" s="1">
        <v>13408.92</v>
      </c>
      <c r="G119" s="7">
        <v>46081</v>
      </c>
      <c r="H119" t="str">
        <f t="shared" si="6"/>
        <v>Moriah Global</v>
      </c>
      <c r="I119" t="str">
        <f t="shared" si="6"/>
        <v>Moriah Global</v>
      </c>
      <c r="J119" t="s">
        <v>156</v>
      </c>
      <c r="K119" t="s">
        <v>157</v>
      </c>
    </row>
    <row r="120" spans="1:11" customFormat="1" ht="14.4">
      <c r="A120" t="s">
        <v>824</v>
      </c>
      <c r="B120" t="s">
        <v>824</v>
      </c>
      <c r="C120">
        <v>278</v>
      </c>
      <c r="D120" t="s">
        <v>198</v>
      </c>
      <c r="E120" t="s">
        <v>857</v>
      </c>
      <c r="F120" s="1">
        <v>10562.99</v>
      </c>
      <c r="G120" s="7">
        <v>46081</v>
      </c>
      <c r="H120" t="str">
        <f t="shared" si="6"/>
        <v>Equity Offshore</v>
      </c>
      <c r="I120" t="str">
        <f t="shared" si="6"/>
        <v>Equity Offshore</v>
      </c>
      <c r="J120" t="s">
        <v>156</v>
      </c>
      <c r="K120" t="s">
        <v>157</v>
      </c>
    </row>
    <row r="121" spans="1:11" customFormat="1" ht="14.4">
      <c r="A121" t="s">
        <v>824</v>
      </c>
      <c r="B121" t="s">
        <v>824</v>
      </c>
      <c r="C121">
        <v>278</v>
      </c>
      <c r="D121" t="s">
        <v>198</v>
      </c>
      <c r="E121" t="s">
        <v>931</v>
      </c>
      <c r="F121" s="1">
        <v>4088.64</v>
      </c>
      <c r="G121" s="7">
        <v>46081</v>
      </c>
      <c r="H121" t="str">
        <f t="shared" si="6"/>
        <v>Anglogold Ashanti PLC</v>
      </c>
      <c r="I121" t="str">
        <f t="shared" si="6"/>
        <v>Anglogold Ashanti PLC</v>
      </c>
      <c r="J121" t="s">
        <v>156</v>
      </c>
      <c r="K121" t="s">
        <v>157</v>
      </c>
    </row>
    <row r="122" spans="1:11" customFormat="1" ht="14.4">
      <c r="A122" t="s">
        <v>825</v>
      </c>
      <c r="B122" t="s">
        <v>825</v>
      </c>
      <c r="C122">
        <v>365</v>
      </c>
      <c r="D122" t="s">
        <v>199</v>
      </c>
      <c r="E122" t="s">
        <v>155</v>
      </c>
      <c r="F122" s="1">
        <v>14287.8</v>
      </c>
      <c r="G122" s="7">
        <v>46081</v>
      </c>
      <c r="H122" t="str">
        <f t="shared" si="6"/>
        <v>Moriah Global</v>
      </c>
      <c r="I122" t="str">
        <f t="shared" si="6"/>
        <v>Moriah Global</v>
      </c>
      <c r="J122" t="s">
        <v>156</v>
      </c>
      <c r="K122" t="s">
        <v>157</v>
      </c>
    </row>
    <row r="123" spans="1:11" customFormat="1" ht="14.4">
      <c r="A123" t="s">
        <v>825</v>
      </c>
      <c r="B123" t="s">
        <v>825</v>
      </c>
      <c r="C123">
        <v>365</v>
      </c>
      <c r="D123" t="s">
        <v>199</v>
      </c>
      <c r="E123" t="s">
        <v>222</v>
      </c>
      <c r="F123" s="1">
        <v>51</v>
      </c>
      <c r="G123" s="7">
        <v>46081</v>
      </c>
      <c r="H123" t="str">
        <f t="shared" si="6"/>
        <v>Stable Offshore</v>
      </c>
      <c r="I123" t="str">
        <f t="shared" si="6"/>
        <v>Stable Offshore</v>
      </c>
      <c r="J123" t="s">
        <v>156</v>
      </c>
      <c r="K123" t="s">
        <v>157</v>
      </c>
    </row>
    <row r="124" spans="1:11" customFormat="1" ht="14.4">
      <c r="A124" t="s">
        <v>825</v>
      </c>
      <c r="B124" t="s">
        <v>825</v>
      </c>
      <c r="C124">
        <v>365</v>
      </c>
      <c r="D124" t="s">
        <v>199</v>
      </c>
      <c r="E124" t="s">
        <v>857</v>
      </c>
      <c r="F124" s="1">
        <v>132.33000000000001</v>
      </c>
      <c r="G124" s="7">
        <v>46081</v>
      </c>
      <c r="H124" t="str">
        <f t="shared" si="6"/>
        <v>Equity Offshore</v>
      </c>
      <c r="I124" t="str">
        <f t="shared" si="6"/>
        <v>Equity Offshore</v>
      </c>
      <c r="J124" t="s">
        <v>156</v>
      </c>
      <c r="K124" t="s">
        <v>157</v>
      </c>
    </row>
    <row r="125" spans="1:11" customFormat="1" ht="14.4">
      <c r="A125" t="s">
        <v>825</v>
      </c>
      <c r="B125" t="s">
        <v>825</v>
      </c>
      <c r="C125">
        <v>365</v>
      </c>
      <c r="D125" t="s">
        <v>199</v>
      </c>
      <c r="E125" t="s">
        <v>895</v>
      </c>
      <c r="F125" s="1">
        <v>300.02999999999997</v>
      </c>
      <c r="G125" s="7">
        <v>46081</v>
      </c>
      <c r="H125" t="str">
        <f t="shared" si="6"/>
        <v>BCP cash account (USD)</v>
      </c>
      <c r="I125" t="str">
        <f t="shared" si="6"/>
        <v>BCP cash account (USD)</v>
      </c>
      <c r="J125" t="s">
        <v>156</v>
      </c>
      <c r="K125" t="s">
        <v>157</v>
      </c>
    </row>
    <row r="126" spans="1:11" customFormat="1" ht="14.4">
      <c r="A126" t="s">
        <v>826</v>
      </c>
      <c r="B126" t="s">
        <v>826</v>
      </c>
      <c r="C126">
        <v>117</v>
      </c>
      <c r="D126" t="s">
        <v>48</v>
      </c>
      <c r="E126" t="s">
        <v>155</v>
      </c>
      <c r="F126" s="1">
        <v>6101.07</v>
      </c>
      <c r="G126" s="7">
        <v>46081</v>
      </c>
      <c r="H126" t="str">
        <f t="shared" ref="H126:I140" si="7">$E126</f>
        <v>Moriah Global</v>
      </c>
      <c r="I126" t="str">
        <f t="shared" si="7"/>
        <v>Moriah Global</v>
      </c>
      <c r="J126" t="s">
        <v>156</v>
      </c>
      <c r="K126" t="s">
        <v>157</v>
      </c>
    </row>
    <row r="127" spans="1:11" customFormat="1" ht="14.4">
      <c r="A127" t="s">
        <v>826</v>
      </c>
      <c r="B127" t="s">
        <v>826</v>
      </c>
      <c r="C127">
        <v>117</v>
      </c>
      <c r="D127" t="s">
        <v>48</v>
      </c>
      <c r="E127" t="s">
        <v>222</v>
      </c>
      <c r="F127" s="1">
        <v>822.52</v>
      </c>
      <c r="G127" s="7">
        <v>46081</v>
      </c>
      <c r="H127" t="str">
        <f t="shared" si="7"/>
        <v>Stable Offshore</v>
      </c>
      <c r="I127" t="str">
        <f t="shared" si="7"/>
        <v>Stable Offshore</v>
      </c>
      <c r="J127" t="s">
        <v>156</v>
      </c>
      <c r="K127" t="s">
        <v>157</v>
      </c>
    </row>
    <row r="128" spans="1:11" customFormat="1" ht="14.4">
      <c r="A128" t="s">
        <v>826</v>
      </c>
      <c r="B128" t="s">
        <v>826</v>
      </c>
      <c r="C128">
        <v>117</v>
      </c>
      <c r="D128" t="s">
        <v>48</v>
      </c>
      <c r="E128" t="s">
        <v>857</v>
      </c>
      <c r="F128" s="1">
        <v>9170.31</v>
      </c>
      <c r="G128" s="7">
        <v>46081</v>
      </c>
      <c r="H128" t="str">
        <f t="shared" si="7"/>
        <v>Equity Offshore</v>
      </c>
      <c r="I128" t="str">
        <f t="shared" si="7"/>
        <v>Equity Offshore</v>
      </c>
      <c r="J128" t="s">
        <v>156</v>
      </c>
      <c r="K128" t="s">
        <v>157</v>
      </c>
    </row>
    <row r="129" spans="1:11" customFormat="1" ht="14.4">
      <c r="A129" t="s">
        <v>827</v>
      </c>
      <c r="B129" t="s">
        <v>827</v>
      </c>
      <c r="C129">
        <v>115</v>
      </c>
      <c r="D129" t="s">
        <v>119</v>
      </c>
      <c r="E129" t="s">
        <v>155</v>
      </c>
      <c r="F129" s="1">
        <v>40838.49</v>
      </c>
      <c r="G129" s="7">
        <v>46081</v>
      </c>
      <c r="H129" t="str">
        <f t="shared" si="7"/>
        <v>Moriah Global</v>
      </c>
      <c r="I129" t="str">
        <f t="shared" si="7"/>
        <v>Moriah Global</v>
      </c>
      <c r="J129" t="s">
        <v>156</v>
      </c>
      <c r="K129" t="s">
        <v>157</v>
      </c>
    </row>
    <row r="130" spans="1:11" customFormat="1" ht="14.4">
      <c r="A130" t="s">
        <v>827</v>
      </c>
      <c r="B130" t="s">
        <v>827</v>
      </c>
      <c r="C130">
        <v>115</v>
      </c>
      <c r="D130" t="s">
        <v>119</v>
      </c>
      <c r="E130" t="s">
        <v>222</v>
      </c>
      <c r="F130" s="1">
        <v>10014.6</v>
      </c>
      <c r="G130" s="7">
        <v>46081</v>
      </c>
      <c r="H130" t="str">
        <f t="shared" si="7"/>
        <v>Stable Offshore</v>
      </c>
      <c r="I130" t="str">
        <f t="shared" si="7"/>
        <v>Stable Offshore</v>
      </c>
      <c r="J130" t="s">
        <v>156</v>
      </c>
      <c r="K130" t="s">
        <v>157</v>
      </c>
    </row>
    <row r="131" spans="1:11" customFormat="1" ht="14.4">
      <c r="A131" t="s">
        <v>828</v>
      </c>
      <c r="B131" t="s">
        <v>828</v>
      </c>
      <c r="C131">
        <v>25</v>
      </c>
      <c r="D131" t="s">
        <v>117</v>
      </c>
      <c r="E131" t="s">
        <v>155</v>
      </c>
      <c r="F131" s="1">
        <v>150504.82</v>
      </c>
      <c r="G131" s="7">
        <v>46081</v>
      </c>
      <c r="H131" t="str">
        <f t="shared" si="7"/>
        <v>Moriah Global</v>
      </c>
      <c r="I131" t="str">
        <f t="shared" si="7"/>
        <v>Moriah Global</v>
      </c>
      <c r="J131" t="s">
        <v>156</v>
      </c>
      <c r="K131" t="s">
        <v>157</v>
      </c>
    </row>
    <row r="132" spans="1:11" customFormat="1" ht="14.4">
      <c r="A132" t="s">
        <v>828</v>
      </c>
      <c r="B132" t="s">
        <v>828</v>
      </c>
      <c r="C132">
        <v>25</v>
      </c>
      <c r="D132" t="s">
        <v>117</v>
      </c>
      <c r="E132" t="s">
        <v>222</v>
      </c>
      <c r="F132" s="1">
        <v>24538.62</v>
      </c>
      <c r="G132" s="7">
        <v>46081</v>
      </c>
      <c r="H132" t="str">
        <f t="shared" si="7"/>
        <v>Stable Offshore</v>
      </c>
      <c r="I132" t="str">
        <f t="shared" si="7"/>
        <v>Stable Offshore</v>
      </c>
      <c r="J132" t="s">
        <v>156</v>
      </c>
      <c r="K132" t="s">
        <v>157</v>
      </c>
    </row>
    <row r="133" spans="1:11" customFormat="1" ht="14.4">
      <c r="A133" t="s">
        <v>828</v>
      </c>
      <c r="B133" t="s">
        <v>828</v>
      </c>
      <c r="C133">
        <v>25</v>
      </c>
      <c r="D133" t="s">
        <v>117</v>
      </c>
      <c r="E133" t="s">
        <v>857</v>
      </c>
      <c r="F133" s="1">
        <v>28094.9</v>
      </c>
      <c r="G133" s="7">
        <v>46081</v>
      </c>
      <c r="H133" t="str">
        <f t="shared" si="7"/>
        <v>Equity Offshore</v>
      </c>
      <c r="I133" t="str">
        <f t="shared" si="7"/>
        <v>Equity Offshore</v>
      </c>
      <c r="J133" t="s">
        <v>156</v>
      </c>
      <c r="K133" t="s">
        <v>157</v>
      </c>
    </row>
    <row r="134" spans="1:11" customFormat="1" ht="14.4">
      <c r="A134" t="s">
        <v>829</v>
      </c>
      <c r="B134" t="s">
        <v>829</v>
      </c>
      <c r="C134">
        <v>28</v>
      </c>
      <c r="D134" t="s">
        <v>57</v>
      </c>
      <c r="E134" t="s">
        <v>155</v>
      </c>
      <c r="F134" s="1">
        <v>87107.47</v>
      </c>
      <c r="G134" s="7">
        <v>46081</v>
      </c>
      <c r="H134" t="str">
        <f t="shared" si="7"/>
        <v>Moriah Global</v>
      </c>
      <c r="I134" t="str">
        <f t="shared" si="7"/>
        <v>Moriah Global</v>
      </c>
      <c r="J134" t="s">
        <v>156</v>
      </c>
      <c r="K134" t="s">
        <v>157</v>
      </c>
    </row>
    <row r="135" spans="1:11" customFormat="1" ht="14.4">
      <c r="A135" t="s">
        <v>829</v>
      </c>
      <c r="B135" t="s">
        <v>829</v>
      </c>
      <c r="C135">
        <v>28</v>
      </c>
      <c r="D135" t="s">
        <v>57</v>
      </c>
      <c r="E135" t="s">
        <v>857</v>
      </c>
      <c r="F135" s="1">
        <v>192.77</v>
      </c>
      <c r="G135" s="7">
        <v>46081</v>
      </c>
      <c r="H135" t="str">
        <f t="shared" si="7"/>
        <v>Equity Offshore</v>
      </c>
      <c r="I135" t="str">
        <f t="shared" si="7"/>
        <v>Equity Offshore</v>
      </c>
      <c r="J135" t="s">
        <v>156</v>
      </c>
      <c r="K135" t="s">
        <v>157</v>
      </c>
    </row>
    <row r="136" spans="1:11" customFormat="1" ht="14.4">
      <c r="A136" t="s">
        <v>830</v>
      </c>
      <c r="B136" t="s">
        <v>830</v>
      </c>
      <c r="C136">
        <v>95</v>
      </c>
      <c r="D136" t="s">
        <v>201</v>
      </c>
      <c r="E136" t="s">
        <v>155</v>
      </c>
      <c r="F136" s="1">
        <v>3987.87</v>
      </c>
      <c r="G136" s="7">
        <v>46081</v>
      </c>
      <c r="H136" t="str">
        <f t="shared" si="7"/>
        <v>Moriah Global</v>
      </c>
      <c r="I136" t="str">
        <f t="shared" si="7"/>
        <v>Moriah Global</v>
      </c>
      <c r="J136" t="s">
        <v>156</v>
      </c>
      <c r="K136" t="s">
        <v>157</v>
      </c>
    </row>
    <row r="137" spans="1:11" customFormat="1" ht="14.4">
      <c r="A137" t="s">
        <v>830</v>
      </c>
      <c r="B137" t="s">
        <v>830</v>
      </c>
      <c r="C137">
        <v>95</v>
      </c>
      <c r="D137" t="s">
        <v>201</v>
      </c>
      <c r="E137" t="s">
        <v>222</v>
      </c>
      <c r="F137" s="1">
        <v>902.8</v>
      </c>
      <c r="G137" s="7">
        <v>46081</v>
      </c>
      <c r="H137" t="str">
        <f t="shared" si="7"/>
        <v>Stable Offshore</v>
      </c>
      <c r="I137" t="str">
        <f t="shared" si="7"/>
        <v>Stable Offshore</v>
      </c>
      <c r="J137" t="s">
        <v>156</v>
      </c>
      <c r="K137" t="s">
        <v>157</v>
      </c>
    </row>
    <row r="138" spans="1:11" customFormat="1" ht="14.4">
      <c r="A138" t="s">
        <v>831</v>
      </c>
      <c r="B138" t="s">
        <v>831</v>
      </c>
      <c r="C138">
        <v>398</v>
      </c>
      <c r="D138" t="s">
        <v>202</v>
      </c>
      <c r="E138" t="s">
        <v>155</v>
      </c>
      <c r="F138" s="1">
        <v>18758.36</v>
      </c>
      <c r="G138" s="7">
        <v>46081</v>
      </c>
      <c r="H138" t="str">
        <f t="shared" si="7"/>
        <v>Moriah Global</v>
      </c>
      <c r="I138" t="str">
        <f t="shared" si="7"/>
        <v>Moriah Global</v>
      </c>
      <c r="J138" t="s">
        <v>156</v>
      </c>
      <c r="K138" t="s">
        <v>157</v>
      </c>
    </row>
    <row r="139" spans="1:11" customFormat="1" ht="14.4">
      <c r="A139" t="s">
        <v>831</v>
      </c>
      <c r="B139" t="s">
        <v>831</v>
      </c>
      <c r="C139">
        <v>398</v>
      </c>
      <c r="D139" t="s">
        <v>202</v>
      </c>
      <c r="E139" t="s">
        <v>222</v>
      </c>
      <c r="F139" s="1">
        <v>2080.25</v>
      </c>
      <c r="G139" s="7">
        <v>46081</v>
      </c>
      <c r="H139" t="str">
        <f t="shared" si="7"/>
        <v>Stable Offshore</v>
      </c>
      <c r="I139" t="str">
        <f t="shared" si="7"/>
        <v>Stable Offshore</v>
      </c>
      <c r="J139" t="s">
        <v>156</v>
      </c>
      <c r="K139" t="s">
        <v>157</v>
      </c>
    </row>
    <row r="140" spans="1:11" customFormat="1" ht="14.4">
      <c r="A140" t="s">
        <v>832</v>
      </c>
      <c r="B140" t="s">
        <v>832</v>
      </c>
      <c r="C140">
        <v>57</v>
      </c>
      <c r="D140" t="s">
        <v>51</v>
      </c>
      <c r="E140" t="s">
        <v>155</v>
      </c>
      <c r="F140" s="1">
        <v>11596.99</v>
      </c>
      <c r="G140" s="7">
        <v>46081</v>
      </c>
      <c r="H140" t="str">
        <f t="shared" si="7"/>
        <v>Moriah Global</v>
      </c>
      <c r="I140" t="str">
        <f t="shared" si="7"/>
        <v>Moriah Global</v>
      </c>
      <c r="J140" t="s">
        <v>156</v>
      </c>
      <c r="K140" t="s">
        <v>157</v>
      </c>
    </row>
    <row r="141" spans="1:11" customFormat="1" ht="14.4">
      <c r="A141" t="s">
        <v>832</v>
      </c>
      <c r="B141" t="s">
        <v>832</v>
      </c>
      <c r="C141">
        <v>57</v>
      </c>
      <c r="D141" t="s">
        <v>51</v>
      </c>
      <c r="E141" t="s">
        <v>222</v>
      </c>
      <c r="F141" s="1">
        <v>1768.6</v>
      </c>
      <c r="G141" s="7">
        <v>46081</v>
      </c>
      <c r="H141" t="str">
        <f t="shared" ref="H141:I159" si="8">$E141</f>
        <v>Stable Offshore</v>
      </c>
      <c r="I141" t="str">
        <f t="shared" si="8"/>
        <v>Stable Offshore</v>
      </c>
      <c r="J141" t="s">
        <v>156</v>
      </c>
      <c r="K141" t="s">
        <v>157</v>
      </c>
    </row>
    <row r="142" spans="1:11" customFormat="1" ht="14.4">
      <c r="A142" t="s">
        <v>832</v>
      </c>
      <c r="B142" t="s">
        <v>832</v>
      </c>
      <c r="C142">
        <v>57</v>
      </c>
      <c r="D142" t="s">
        <v>51</v>
      </c>
      <c r="E142" t="s">
        <v>857</v>
      </c>
      <c r="F142" s="1">
        <v>1727.29</v>
      </c>
      <c r="G142" s="7">
        <v>46081</v>
      </c>
      <c r="H142" t="str">
        <f t="shared" si="8"/>
        <v>Equity Offshore</v>
      </c>
      <c r="I142" t="str">
        <f t="shared" si="8"/>
        <v>Equity Offshore</v>
      </c>
      <c r="J142" t="s">
        <v>156</v>
      </c>
      <c r="K142" t="s">
        <v>157</v>
      </c>
    </row>
    <row r="143" spans="1:11" customFormat="1" ht="14.4">
      <c r="A143" t="s">
        <v>833</v>
      </c>
      <c r="B143" t="s">
        <v>833</v>
      </c>
      <c r="C143">
        <v>329</v>
      </c>
      <c r="D143" t="s">
        <v>126</v>
      </c>
      <c r="E143" t="s">
        <v>155</v>
      </c>
      <c r="F143" s="1">
        <v>27975.68</v>
      </c>
      <c r="G143" s="7">
        <v>46081</v>
      </c>
      <c r="H143" t="str">
        <f t="shared" si="8"/>
        <v>Moriah Global</v>
      </c>
      <c r="I143" t="str">
        <f t="shared" si="8"/>
        <v>Moriah Global</v>
      </c>
      <c r="J143" t="s">
        <v>156</v>
      </c>
      <c r="K143" t="s">
        <v>157</v>
      </c>
    </row>
    <row r="144" spans="1:11" customFormat="1" ht="14.4">
      <c r="A144" t="s">
        <v>833</v>
      </c>
      <c r="B144" t="s">
        <v>833</v>
      </c>
      <c r="C144">
        <v>329</v>
      </c>
      <c r="D144" t="s">
        <v>126</v>
      </c>
      <c r="E144" t="s">
        <v>222</v>
      </c>
      <c r="F144" s="1">
        <v>6206.43</v>
      </c>
      <c r="G144" s="7">
        <v>46081</v>
      </c>
      <c r="H144" t="str">
        <f t="shared" si="8"/>
        <v>Stable Offshore</v>
      </c>
      <c r="I144" t="str">
        <f t="shared" si="8"/>
        <v>Stable Offshore</v>
      </c>
      <c r="J144" t="s">
        <v>156</v>
      </c>
      <c r="K144" t="s">
        <v>157</v>
      </c>
    </row>
    <row r="145" spans="1:11" customFormat="1" ht="14.4">
      <c r="A145" t="s">
        <v>833</v>
      </c>
      <c r="B145" t="s">
        <v>833</v>
      </c>
      <c r="C145">
        <v>329</v>
      </c>
      <c r="D145" t="s">
        <v>126</v>
      </c>
      <c r="E145" t="s">
        <v>857</v>
      </c>
      <c r="F145" s="1">
        <v>3178.39</v>
      </c>
      <c r="G145" s="7">
        <v>46081</v>
      </c>
      <c r="H145" t="str">
        <f t="shared" si="8"/>
        <v>Equity Offshore</v>
      </c>
      <c r="I145" t="str">
        <f t="shared" si="8"/>
        <v>Equity Offshore</v>
      </c>
      <c r="J145" t="s">
        <v>156</v>
      </c>
      <c r="K145" t="s">
        <v>157</v>
      </c>
    </row>
    <row r="146" spans="1:11" customFormat="1" ht="14.4">
      <c r="A146" t="s">
        <v>834</v>
      </c>
      <c r="B146" t="s">
        <v>834</v>
      </c>
      <c r="C146">
        <v>399</v>
      </c>
      <c r="D146" t="s">
        <v>203</v>
      </c>
      <c r="E146" t="s">
        <v>155</v>
      </c>
      <c r="F146" s="1">
        <v>14680.71</v>
      </c>
      <c r="G146" s="7">
        <v>46081</v>
      </c>
      <c r="H146" t="str">
        <f t="shared" si="8"/>
        <v>Moriah Global</v>
      </c>
      <c r="I146" t="str">
        <f t="shared" si="8"/>
        <v>Moriah Global</v>
      </c>
      <c r="J146" t="s">
        <v>156</v>
      </c>
      <c r="K146" t="s">
        <v>157</v>
      </c>
    </row>
    <row r="147" spans="1:11" customFormat="1" ht="14.4">
      <c r="A147" t="s">
        <v>834</v>
      </c>
      <c r="B147" t="s">
        <v>834</v>
      </c>
      <c r="C147">
        <v>399</v>
      </c>
      <c r="D147" t="s">
        <v>203</v>
      </c>
      <c r="E147" t="s">
        <v>222</v>
      </c>
      <c r="F147" s="1">
        <v>5208.72</v>
      </c>
      <c r="G147" s="7">
        <v>46081</v>
      </c>
      <c r="H147" t="str">
        <f t="shared" si="8"/>
        <v>Stable Offshore</v>
      </c>
      <c r="I147" t="str">
        <f t="shared" si="8"/>
        <v>Stable Offshore</v>
      </c>
      <c r="J147" t="s">
        <v>156</v>
      </c>
      <c r="K147" t="s">
        <v>157</v>
      </c>
    </row>
    <row r="148" spans="1:11" customFormat="1" ht="14.4">
      <c r="A148" t="s">
        <v>834</v>
      </c>
      <c r="B148" t="s">
        <v>834</v>
      </c>
      <c r="C148">
        <v>399</v>
      </c>
      <c r="D148" t="s">
        <v>203</v>
      </c>
      <c r="E148" t="s">
        <v>857</v>
      </c>
      <c r="F148" s="1">
        <v>9707.41</v>
      </c>
      <c r="G148" s="7">
        <v>46081</v>
      </c>
      <c r="H148" t="str">
        <f t="shared" si="8"/>
        <v>Equity Offshore</v>
      </c>
      <c r="I148" t="str">
        <f t="shared" si="8"/>
        <v>Equity Offshore</v>
      </c>
      <c r="J148" t="s">
        <v>156</v>
      </c>
      <c r="K148" t="s">
        <v>157</v>
      </c>
    </row>
    <row r="149" spans="1:11" customFormat="1" ht="14.4">
      <c r="A149" t="s">
        <v>835</v>
      </c>
      <c r="B149" t="s">
        <v>835</v>
      </c>
      <c r="C149">
        <v>400</v>
      </c>
      <c r="D149" t="s">
        <v>204</v>
      </c>
      <c r="E149" t="s">
        <v>155</v>
      </c>
      <c r="F149" s="1">
        <v>13287.37</v>
      </c>
      <c r="G149" s="7">
        <v>46081</v>
      </c>
      <c r="H149" t="str">
        <f t="shared" si="8"/>
        <v>Moriah Global</v>
      </c>
      <c r="I149" t="str">
        <f t="shared" si="8"/>
        <v>Moriah Global</v>
      </c>
      <c r="J149" t="s">
        <v>156</v>
      </c>
      <c r="K149" t="s">
        <v>157</v>
      </c>
    </row>
    <row r="150" spans="1:11" customFormat="1" ht="14.4">
      <c r="A150" t="s">
        <v>836</v>
      </c>
      <c r="B150" t="s">
        <v>836</v>
      </c>
      <c r="C150">
        <v>402</v>
      </c>
      <c r="D150" t="s">
        <v>206</v>
      </c>
      <c r="E150" t="s">
        <v>155</v>
      </c>
      <c r="F150" s="1">
        <v>31205.56</v>
      </c>
      <c r="G150" s="7">
        <v>46081</v>
      </c>
      <c r="H150" t="str">
        <f t="shared" si="8"/>
        <v>Moriah Global</v>
      </c>
      <c r="I150" t="str">
        <f t="shared" si="8"/>
        <v>Moriah Global</v>
      </c>
      <c r="J150" t="s">
        <v>156</v>
      </c>
      <c r="K150" t="s">
        <v>157</v>
      </c>
    </row>
    <row r="151" spans="1:11" customFormat="1" ht="14.4">
      <c r="A151" t="s">
        <v>836</v>
      </c>
      <c r="B151" t="s">
        <v>836</v>
      </c>
      <c r="C151">
        <v>402</v>
      </c>
      <c r="D151" t="s">
        <v>206</v>
      </c>
      <c r="E151" t="s">
        <v>222</v>
      </c>
      <c r="F151" s="1">
        <v>6397.94</v>
      </c>
      <c r="G151" s="7">
        <v>46081</v>
      </c>
      <c r="H151" t="str">
        <f t="shared" si="8"/>
        <v>Stable Offshore</v>
      </c>
      <c r="I151" t="str">
        <f t="shared" si="8"/>
        <v>Stable Offshore</v>
      </c>
      <c r="J151" t="s">
        <v>156</v>
      </c>
      <c r="K151" t="s">
        <v>157</v>
      </c>
    </row>
    <row r="152" spans="1:11" customFormat="1" ht="14.4">
      <c r="A152" t="s">
        <v>836</v>
      </c>
      <c r="B152" t="s">
        <v>836</v>
      </c>
      <c r="C152">
        <v>402</v>
      </c>
      <c r="D152" t="s">
        <v>206</v>
      </c>
      <c r="E152" t="s">
        <v>857</v>
      </c>
      <c r="F152" s="1">
        <v>3675.5</v>
      </c>
      <c r="G152" s="7">
        <v>46081</v>
      </c>
      <c r="H152" t="str">
        <f t="shared" si="8"/>
        <v>Equity Offshore</v>
      </c>
      <c r="I152" t="str">
        <f t="shared" si="8"/>
        <v>Equity Offshore</v>
      </c>
      <c r="J152" t="s">
        <v>156</v>
      </c>
      <c r="K152" t="s">
        <v>157</v>
      </c>
    </row>
    <row r="153" spans="1:11" customFormat="1" ht="14.4">
      <c r="A153" t="s">
        <v>837</v>
      </c>
      <c r="B153" t="s">
        <v>837</v>
      </c>
      <c r="C153">
        <v>88</v>
      </c>
      <c r="D153" t="s">
        <v>127</v>
      </c>
      <c r="E153" t="s">
        <v>155</v>
      </c>
      <c r="F153" s="1">
        <v>8471.15</v>
      </c>
      <c r="G153" s="7">
        <v>46081</v>
      </c>
      <c r="H153" t="str">
        <f t="shared" si="8"/>
        <v>Moriah Global</v>
      </c>
      <c r="I153" t="str">
        <f t="shared" si="8"/>
        <v>Moriah Global</v>
      </c>
      <c r="J153" t="s">
        <v>156</v>
      </c>
      <c r="K153" t="s">
        <v>157</v>
      </c>
    </row>
    <row r="154" spans="1:11" customFormat="1" ht="14.4">
      <c r="A154" t="s">
        <v>837</v>
      </c>
      <c r="B154" t="s">
        <v>837</v>
      </c>
      <c r="C154">
        <v>88</v>
      </c>
      <c r="D154" t="s">
        <v>127</v>
      </c>
      <c r="E154" t="s">
        <v>222</v>
      </c>
      <c r="F154" s="1">
        <v>2517.1</v>
      </c>
      <c r="G154" s="7">
        <v>46081</v>
      </c>
      <c r="H154" t="str">
        <f t="shared" si="8"/>
        <v>Stable Offshore</v>
      </c>
      <c r="I154" t="str">
        <f t="shared" si="8"/>
        <v>Stable Offshore</v>
      </c>
      <c r="J154" t="s">
        <v>156</v>
      </c>
      <c r="K154" t="s">
        <v>157</v>
      </c>
    </row>
    <row r="155" spans="1:11" customFormat="1" ht="14.4">
      <c r="A155" t="s">
        <v>837</v>
      </c>
      <c r="B155" t="s">
        <v>837</v>
      </c>
      <c r="C155">
        <v>88</v>
      </c>
      <c r="D155" t="s">
        <v>127</v>
      </c>
      <c r="E155" t="s">
        <v>857</v>
      </c>
      <c r="F155" s="1">
        <v>1217.1199999999999</v>
      </c>
      <c r="G155" s="7">
        <v>46081</v>
      </c>
      <c r="H155" t="str">
        <f t="shared" si="8"/>
        <v>Equity Offshore</v>
      </c>
      <c r="I155" t="str">
        <f t="shared" si="8"/>
        <v>Equity Offshore</v>
      </c>
      <c r="J155" t="s">
        <v>156</v>
      </c>
      <c r="K155" t="s">
        <v>157</v>
      </c>
    </row>
    <row r="156" spans="1:11" customFormat="1" ht="14.4">
      <c r="A156" t="s">
        <v>838</v>
      </c>
      <c r="B156" t="s">
        <v>838</v>
      </c>
      <c r="C156">
        <v>92</v>
      </c>
      <c r="D156" t="s">
        <v>123</v>
      </c>
      <c r="E156" t="s">
        <v>155</v>
      </c>
      <c r="F156" s="1">
        <v>141999.01999999999</v>
      </c>
      <c r="G156" s="7">
        <v>46081</v>
      </c>
      <c r="H156" t="str">
        <f t="shared" si="8"/>
        <v>Moriah Global</v>
      </c>
      <c r="I156" t="str">
        <f t="shared" si="8"/>
        <v>Moriah Global</v>
      </c>
      <c r="J156" t="s">
        <v>156</v>
      </c>
      <c r="K156" t="s">
        <v>157</v>
      </c>
    </row>
    <row r="157" spans="1:11" customFormat="1" ht="14.4">
      <c r="A157" t="s">
        <v>838</v>
      </c>
      <c r="B157" t="s">
        <v>838</v>
      </c>
      <c r="C157">
        <v>92</v>
      </c>
      <c r="D157" t="s">
        <v>123</v>
      </c>
      <c r="E157" t="s">
        <v>222</v>
      </c>
      <c r="F157" s="1">
        <v>46834.71</v>
      </c>
      <c r="G157" s="7">
        <v>46081</v>
      </c>
      <c r="H157" t="str">
        <f t="shared" si="8"/>
        <v>Stable Offshore</v>
      </c>
      <c r="I157" t="str">
        <f t="shared" si="8"/>
        <v>Stable Offshore</v>
      </c>
      <c r="J157" t="s">
        <v>156</v>
      </c>
      <c r="K157" t="s">
        <v>157</v>
      </c>
    </row>
    <row r="158" spans="1:11" customFormat="1" ht="14.4">
      <c r="A158" t="s">
        <v>838</v>
      </c>
      <c r="B158" t="s">
        <v>838</v>
      </c>
      <c r="C158">
        <v>92</v>
      </c>
      <c r="D158" t="s">
        <v>123</v>
      </c>
      <c r="E158" t="s">
        <v>857</v>
      </c>
      <c r="F158" s="1">
        <v>86409.5</v>
      </c>
      <c r="G158" s="7">
        <v>46081</v>
      </c>
      <c r="H158" t="str">
        <f t="shared" si="8"/>
        <v>Equity Offshore</v>
      </c>
      <c r="I158" t="str">
        <f t="shared" si="8"/>
        <v>Equity Offshore</v>
      </c>
      <c r="J158" t="s">
        <v>156</v>
      </c>
      <c r="K158" t="s">
        <v>157</v>
      </c>
    </row>
    <row r="159" spans="1:11" customFormat="1" ht="14.4">
      <c r="A159" t="s">
        <v>839</v>
      </c>
      <c r="B159" t="s">
        <v>839</v>
      </c>
      <c r="C159">
        <v>47</v>
      </c>
      <c r="D159" t="s">
        <v>10</v>
      </c>
      <c r="E159" t="s">
        <v>155</v>
      </c>
      <c r="F159" s="1">
        <v>12081.21</v>
      </c>
      <c r="G159" s="7">
        <v>46081</v>
      </c>
      <c r="H159" t="str">
        <f t="shared" si="8"/>
        <v>Moriah Global</v>
      </c>
      <c r="I159" t="str">
        <f t="shared" si="8"/>
        <v>Moriah Global</v>
      </c>
      <c r="J159" t="s">
        <v>156</v>
      </c>
      <c r="K159" t="s">
        <v>157</v>
      </c>
    </row>
    <row r="160" spans="1:11" customFormat="1" ht="14.4">
      <c r="A160" t="s">
        <v>839</v>
      </c>
      <c r="B160" t="s">
        <v>839</v>
      </c>
      <c r="C160">
        <v>47</v>
      </c>
      <c r="D160" t="s">
        <v>10</v>
      </c>
      <c r="E160" t="s">
        <v>222</v>
      </c>
      <c r="F160" s="1">
        <v>2018.31</v>
      </c>
      <c r="G160" s="7">
        <v>46081</v>
      </c>
      <c r="H160" t="str">
        <f t="shared" ref="H160:I178" si="9">$E160</f>
        <v>Stable Offshore</v>
      </c>
      <c r="I160" t="str">
        <f t="shared" si="9"/>
        <v>Stable Offshore</v>
      </c>
      <c r="J160" t="s">
        <v>156</v>
      </c>
      <c r="K160" t="s">
        <v>157</v>
      </c>
    </row>
    <row r="161" spans="1:12" customFormat="1" ht="14.4">
      <c r="A161" t="s">
        <v>840</v>
      </c>
      <c r="B161" t="s">
        <v>840</v>
      </c>
      <c r="C161">
        <v>403</v>
      </c>
      <c r="D161" t="s">
        <v>207</v>
      </c>
      <c r="E161" t="s">
        <v>155</v>
      </c>
      <c r="F161" s="1">
        <v>7719.94</v>
      </c>
      <c r="G161" s="7">
        <v>46081</v>
      </c>
      <c r="H161" t="str">
        <f t="shared" si="9"/>
        <v>Moriah Global</v>
      </c>
      <c r="I161" t="str">
        <f t="shared" si="9"/>
        <v>Moriah Global</v>
      </c>
      <c r="J161" t="s">
        <v>156</v>
      </c>
      <c r="K161" t="s">
        <v>157</v>
      </c>
    </row>
    <row r="162" spans="1:12" customFormat="1" ht="14.4">
      <c r="A162" t="s">
        <v>840</v>
      </c>
      <c r="B162" t="s">
        <v>840</v>
      </c>
      <c r="C162">
        <v>403</v>
      </c>
      <c r="D162" t="s">
        <v>207</v>
      </c>
      <c r="E162" t="s">
        <v>222</v>
      </c>
      <c r="F162" s="1">
        <v>1694.36</v>
      </c>
      <c r="G162" s="7">
        <v>46081</v>
      </c>
      <c r="H162" t="str">
        <f t="shared" si="9"/>
        <v>Stable Offshore</v>
      </c>
      <c r="I162" t="str">
        <f t="shared" si="9"/>
        <v>Stable Offshore</v>
      </c>
      <c r="J162" t="s">
        <v>156</v>
      </c>
      <c r="K162" t="s">
        <v>157</v>
      </c>
    </row>
    <row r="163" spans="1:12" customFormat="1" ht="14.4">
      <c r="A163" t="s">
        <v>841</v>
      </c>
      <c r="B163" t="s">
        <v>841</v>
      </c>
      <c r="C163">
        <v>45</v>
      </c>
      <c r="D163" t="s">
        <v>128</v>
      </c>
      <c r="E163" t="s">
        <v>155</v>
      </c>
      <c r="F163" s="1">
        <v>3758.78</v>
      </c>
      <c r="G163" s="7">
        <v>46081</v>
      </c>
      <c r="H163" t="str">
        <f t="shared" si="9"/>
        <v>Moriah Global</v>
      </c>
      <c r="I163" t="str">
        <f t="shared" si="9"/>
        <v>Moriah Global</v>
      </c>
      <c r="J163" t="s">
        <v>156</v>
      </c>
      <c r="K163" t="s">
        <v>157</v>
      </c>
    </row>
    <row r="164" spans="1:12" customFormat="1" ht="14.4">
      <c r="A164" t="s">
        <v>841</v>
      </c>
      <c r="B164" t="s">
        <v>841</v>
      </c>
      <c r="C164">
        <v>45</v>
      </c>
      <c r="D164" t="s">
        <v>128</v>
      </c>
      <c r="E164" t="s">
        <v>222</v>
      </c>
      <c r="F164" s="1">
        <v>188.07</v>
      </c>
      <c r="G164" s="7">
        <v>46081</v>
      </c>
      <c r="H164" t="str">
        <f t="shared" si="9"/>
        <v>Stable Offshore</v>
      </c>
      <c r="I164" t="str">
        <f t="shared" si="9"/>
        <v>Stable Offshore</v>
      </c>
      <c r="J164" t="s">
        <v>156</v>
      </c>
      <c r="K164" t="s">
        <v>157</v>
      </c>
    </row>
    <row r="165" spans="1:12" customFormat="1" ht="14.4">
      <c r="A165" t="s">
        <v>842</v>
      </c>
      <c r="B165" t="s">
        <v>842</v>
      </c>
      <c r="C165">
        <v>404</v>
      </c>
      <c r="D165" t="s">
        <v>208</v>
      </c>
      <c r="E165" t="s">
        <v>155</v>
      </c>
      <c r="F165" s="1">
        <v>27101.37</v>
      </c>
      <c r="G165" s="7">
        <v>46081</v>
      </c>
      <c r="H165" t="str">
        <f t="shared" si="9"/>
        <v>Moriah Global</v>
      </c>
      <c r="I165" t="str">
        <f t="shared" si="9"/>
        <v>Moriah Global</v>
      </c>
      <c r="J165" t="s">
        <v>156</v>
      </c>
      <c r="K165" t="s">
        <v>157</v>
      </c>
    </row>
    <row r="166" spans="1:12" customFormat="1" ht="14.4">
      <c r="A166" t="s">
        <v>842</v>
      </c>
      <c r="B166" t="s">
        <v>842</v>
      </c>
      <c r="C166">
        <v>404</v>
      </c>
      <c r="D166" t="s">
        <v>208</v>
      </c>
      <c r="E166" t="s">
        <v>222</v>
      </c>
      <c r="F166" s="1">
        <v>6509.08</v>
      </c>
      <c r="G166" s="7">
        <v>46081</v>
      </c>
      <c r="H166" t="str">
        <f t="shared" si="9"/>
        <v>Stable Offshore</v>
      </c>
      <c r="I166" t="str">
        <f t="shared" si="9"/>
        <v>Stable Offshore</v>
      </c>
      <c r="J166" t="s">
        <v>156</v>
      </c>
      <c r="K166" t="s">
        <v>157</v>
      </c>
    </row>
    <row r="167" spans="1:12" customFormat="1" ht="14.4">
      <c r="A167" t="s">
        <v>843</v>
      </c>
      <c r="B167" t="s">
        <v>843</v>
      </c>
      <c r="C167">
        <v>412</v>
      </c>
      <c r="D167" t="s">
        <v>209</v>
      </c>
      <c r="E167" t="s">
        <v>155</v>
      </c>
      <c r="F167" s="1">
        <v>20181.29</v>
      </c>
      <c r="G167" s="7">
        <v>46081</v>
      </c>
      <c r="H167" t="str">
        <f t="shared" si="9"/>
        <v>Moriah Global</v>
      </c>
      <c r="I167" t="str">
        <f t="shared" si="9"/>
        <v>Moriah Global</v>
      </c>
      <c r="J167" t="s">
        <v>156</v>
      </c>
      <c r="K167" t="s">
        <v>157</v>
      </c>
    </row>
    <row r="168" spans="1:12" customFormat="1" ht="14.4">
      <c r="A168" t="s">
        <v>844</v>
      </c>
      <c r="B168" t="s">
        <v>844</v>
      </c>
      <c r="C168">
        <v>116</v>
      </c>
      <c r="D168" t="s">
        <v>210</v>
      </c>
      <c r="E168" t="s">
        <v>155</v>
      </c>
      <c r="F168" s="1">
        <v>3187.57</v>
      </c>
      <c r="G168" s="7">
        <v>46081</v>
      </c>
      <c r="H168" t="str">
        <f t="shared" si="9"/>
        <v>Moriah Global</v>
      </c>
      <c r="I168" t="str">
        <f t="shared" si="9"/>
        <v>Moriah Global</v>
      </c>
      <c r="J168" t="s">
        <v>156</v>
      </c>
      <c r="K168" t="s">
        <v>157</v>
      </c>
    </row>
    <row r="169" spans="1:12" customFormat="1" ht="14.4">
      <c r="A169" t="s">
        <v>844</v>
      </c>
      <c r="B169" t="s">
        <v>844</v>
      </c>
      <c r="C169">
        <v>116</v>
      </c>
      <c r="D169" t="s">
        <v>210</v>
      </c>
      <c r="E169" t="s">
        <v>222</v>
      </c>
      <c r="F169" s="1">
        <v>652.49</v>
      </c>
      <c r="G169" s="7">
        <v>46081</v>
      </c>
      <c r="H169" t="str">
        <f t="shared" si="9"/>
        <v>Stable Offshore</v>
      </c>
      <c r="I169" t="str">
        <f t="shared" si="9"/>
        <v>Stable Offshore</v>
      </c>
      <c r="J169" t="s">
        <v>156</v>
      </c>
      <c r="K169" t="s">
        <v>157</v>
      </c>
    </row>
    <row r="170" spans="1:12" customFormat="1" ht="14.4">
      <c r="A170" t="s">
        <v>845</v>
      </c>
      <c r="B170" t="s">
        <v>845</v>
      </c>
      <c r="C170">
        <v>180</v>
      </c>
      <c r="D170" t="s">
        <v>211</v>
      </c>
      <c r="E170" t="s">
        <v>155</v>
      </c>
      <c r="F170" s="1">
        <v>5749.63</v>
      </c>
      <c r="G170" s="7">
        <v>46081</v>
      </c>
      <c r="H170" t="str">
        <f t="shared" si="9"/>
        <v>Moriah Global</v>
      </c>
      <c r="I170" t="str">
        <f t="shared" si="9"/>
        <v>Moriah Global</v>
      </c>
      <c r="J170" t="s">
        <v>156</v>
      </c>
      <c r="K170" t="s">
        <v>157</v>
      </c>
    </row>
    <row r="171" spans="1:12" customFormat="1" ht="14.4">
      <c r="A171" t="s">
        <v>845</v>
      </c>
      <c r="B171" t="s">
        <v>845</v>
      </c>
      <c r="C171">
        <v>180</v>
      </c>
      <c r="D171" t="s">
        <v>211</v>
      </c>
      <c r="E171" t="s">
        <v>222</v>
      </c>
      <c r="F171" s="1">
        <v>1353.15</v>
      </c>
      <c r="G171" s="7">
        <v>46081</v>
      </c>
      <c r="H171" t="str">
        <f t="shared" si="9"/>
        <v>Stable Offshore</v>
      </c>
      <c r="I171" t="str">
        <f t="shared" si="9"/>
        <v>Stable Offshore</v>
      </c>
      <c r="J171" t="s">
        <v>156</v>
      </c>
      <c r="K171" t="s">
        <v>157</v>
      </c>
    </row>
    <row r="172" spans="1:12" customFormat="1" ht="14.4">
      <c r="A172" t="s">
        <v>846</v>
      </c>
      <c r="B172" t="s">
        <v>846</v>
      </c>
      <c r="C172">
        <v>429</v>
      </c>
      <c r="D172" t="s">
        <v>213</v>
      </c>
      <c r="E172" t="s">
        <v>155</v>
      </c>
      <c r="F172" s="1">
        <v>14174.51</v>
      </c>
      <c r="G172" s="7">
        <v>46081</v>
      </c>
      <c r="H172" t="str">
        <f t="shared" si="9"/>
        <v>Moriah Global</v>
      </c>
      <c r="I172" t="str">
        <f t="shared" si="9"/>
        <v>Moriah Global</v>
      </c>
      <c r="J172" t="s">
        <v>156</v>
      </c>
      <c r="K172" t="s">
        <v>157</v>
      </c>
    </row>
    <row r="173" spans="1:12" customFormat="1" ht="14.4">
      <c r="A173" t="s">
        <v>846</v>
      </c>
      <c r="B173" t="s">
        <v>846</v>
      </c>
      <c r="C173">
        <v>429</v>
      </c>
      <c r="D173" t="s">
        <v>213</v>
      </c>
      <c r="E173" t="s">
        <v>222</v>
      </c>
      <c r="F173" s="1">
        <v>6064.63</v>
      </c>
      <c r="G173" s="7">
        <v>46081</v>
      </c>
      <c r="H173" t="str">
        <f t="shared" si="9"/>
        <v>Stable Offshore</v>
      </c>
      <c r="I173" t="str">
        <f t="shared" si="9"/>
        <v>Stable Offshore</v>
      </c>
      <c r="J173" t="s">
        <v>156</v>
      </c>
      <c r="K173" t="s">
        <v>157</v>
      </c>
    </row>
    <row r="174" spans="1:12" customFormat="1" ht="14.4">
      <c r="A174" t="s">
        <v>846</v>
      </c>
      <c r="B174" t="s">
        <v>846</v>
      </c>
      <c r="C174">
        <v>429</v>
      </c>
      <c r="D174" t="s">
        <v>213</v>
      </c>
      <c r="E174" t="s">
        <v>857</v>
      </c>
      <c r="F174" s="1">
        <v>10222.76</v>
      </c>
      <c r="G174" s="7">
        <v>46081</v>
      </c>
      <c r="H174" t="str">
        <f t="shared" si="9"/>
        <v>Equity Offshore</v>
      </c>
      <c r="I174" t="str">
        <f t="shared" si="9"/>
        <v>Equity Offshore</v>
      </c>
      <c r="J174" t="s">
        <v>156</v>
      </c>
      <c r="K174" t="s">
        <v>157</v>
      </c>
    </row>
    <row r="175" spans="1:12" ht="14.4">
      <c r="A175" t="s">
        <v>221</v>
      </c>
      <c r="B175" t="s">
        <v>221</v>
      </c>
      <c r="C175">
        <v>418</v>
      </c>
      <c r="D175" s="4" t="s">
        <v>181</v>
      </c>
      <c r="E175" t="s">
        <v>920</v>
      </c>
      <c r="F175" s="1">
        <v>148566.5</v>
      </c>
      <c r="G175" s="7">
        <v>46081</v>
      </c>
      <c r="H175" t="str">
        <f t="shared" si="9"/>
        <v>Moriah Global FoF (USD)</v>
      </c>
      <c r="I175" t="str">
        <f t="shared" si="9"/>
        <v>Moriah Global FoF (USD)</v>
      </c>
      <c r="J175" t="s">
        <v>156</v>
      </c>
      <c r="K175" t="s">
        <v>157</v>
      </c>
      <c r="L175"/>
    </row>
    <row r="176" spans="1:12" ht="14.4">
      <c r="A176" t="s">
        <v>859</v>
      </c>
      <c r="B176" t="s">
        <v>859</v>
      </c>
      <c r="C176">
        <v>430</v>
      </c>
      <c r="D176" s="4" t="s">
        <v>166</v>
      </c>
      <c r="E176" t="s">
        <v>900</v>
      </c>
      <c r="F176" s="1">
        <v>656.1</v>
      </c>
      <c r="G176" s="7">
        <v>46081</v>
      </c>
      <c r="H176" t="str">
        <f t="shared" si="9"/>
        <v>Trading account - Interactive Brokers LLC (USD)</v>
      </c>
      <c r="I176" t="str">
        <f t="shared" si="9"/>
        <v>Trading account - Interactive Brokers LLC (USD)</v>
      </c>
      <c r="J176" t="s">
        <v>156</v>
      </c>
      <c r="K176" t="s">
        <v>157</v>
      </c>
      <c r="L176"/>
    </row>
    <row r="177" spans="1:12" ht="14.4">
      <c r="A177" t="s">
        <v>859</v>
      </c>
      <c r="B177" t="s">
        <v>859</v>
      </c>
      <c r="C177">
        <v>430</v>
      </c>
      <c r="D177" s="4" t="s">
        <v>166</v>
      </c>
      <c r="E177" t="s">
        <v>858</v>
      </c>
      <c r="F177" s="1">
        <v>15071.94</v>
      </c>
      <c r="G177" s="7">
        <v>46081</v>
      </c>
      <c r="H177" t="str">
        <f t="shared" si="9"/>
        <v>VanEck Oil Services ETF</v>
      </c>
      <c r="I177" t="str">
        <f t="shared" si="9"/>
        <v>VanEck Oil Services ETF</v>
      </c>
      <c r="J177" t="s">
        <v>156</v>
      </c>
      <c r="K177" t="s">
        <v>157</v>
      </c>
      <c r="L177"/>
    </row>
    <row r="178" spans="1:12" customFormat="1" ht="14.4">
      <c r="A178" t="s">
        <v>847</v>
      </c>
      <c r="B178" t="s">
        <v>847</v>
      </c>
      <c r="C178">
        <v>95</v>
      </c>
      <c r="D178" t="s">
        <v>201</v>
      </c>
      <c r="E178" t="s">
        <v>155</v>
      </c>
      <c r="F178" s="1">
        <v>43592.59</v>
      </c>
      <c r="G178" s="7">
        <v>46081</v>
      </c>
      <c r="H178" t="str">
        <f t="shared" si="9"/>
        <v>Moriah Global</v>
      </c>
      <c r="I178" t="str">
        <f t="shared" si="9"/>
        <v>Moriah Global</v>
      </c>
      <c r="J178" t="s">
        <v>156</v>
      </c>
      <c r="K178" t="s">
        <v>157</v>
      </c>
    </row>
    <row r="179" spans="1:12" customFormat="1" ht="14.4">
      <c r="A179" t="s">
        <v>847</v>
      </c>
      <c r="B179" t="s">
        <v>847</v>
      </c>
      <c r="C179">
        <v>95</v>
      </c>
      <c r="D179" t="s">
        <v>201</v>
      </c>
      <c r="E179" t="s">
        <v>222</v>
      </c>
      <c r="F179" s="1">
        <v>20955.009999999998</v>
      </c>
      <c r="G179" s="7">
        <v>46081</v>
      </c>
      <c r="H179" t="str">
        <f t="shared" ref="H179:I199" si="10">$E179</f>
        <v>Stable Offshore</v>
      </c>
      <c r="I179" t="str">
        <f t="shared" si="10"/>
        <v>Stable Offshore</v>
      </c>
      <c r="J179" t="s">
        <v>156</v>
      </c>
      <c r="K179" t="s">
        <v>157</v>
      </c>
    </row>
    <row r="180" spans="1:12" customFormat="1" ht="14.4">
      <c r="A180" t="s">
        <v>847</v>
      </c>
      <c r="B180" t="s">
        <v>847</v>
      </c>
      <c r="C180">
        <v>95</v>
      </c>
      <c r="D180" t="s">
        <v>201</v>
      </c>
      <c r="E180" t="s">
        <v>857</v>
      </c>
      <c r="F180" s="1">
        <v>6499.97</v>
      </c>
      <c r="G180" s="7">
        <v>46081</v>
      </c>
      <c r="H180" t="str">
        <f t="shared" si="10"/>
        <v>Equity Offshore</v>
      </c>
      <c r="I180" t="str">
        <f t="shared" si="10"/>
        <v>Equity Offshore</v>
      </c>
      <c r="J180" t="s">
        <v>156</v>
      </c>
      <c r="K180" t="s">
        <v>157</v>
      </c>
    </row>
    <row r="181" spans="1:12" ht="12.75" customHeight="1">
      <c r="A181" t="s">
        <v>848</v>
      </c>
      <c r="B181" t="s">
        <v>848</v>
      </c>
      <c r="C181">
        <v>439</v>
      </c>
      <c r="D181" t="s">
        <v>214</v>
      </c>
      <c r="E181" t="s">
        <v>155</v>
      </c>
      <c r="F181" s="1">
        <v>3990.28</v>
      </c>
      <c r="G181" s="7">
        <v>46081</v>
      </c>
      <c r="H181" t="str">
        <f t="shared" si="10"/>
        <v>Moriah Global</v>
      </c>
      <c r="I181" t="str">
        <f t="shared" si="10"/>
        <v>Moriah Global</v>
      </c>
      <c r="J181" t="s">
        <v>156</v>
      </c>
      <c r="K181" t="s">
        <v>157</v>
      </c>
      <c r="L181"/>
    </row>
    <row r="182" spans="1:12" customFormat="1" ht="14.4">
      <c r="A182" t="s">
        <v>848</v>
      </c>
      <c r="B182" t="s">
        <v>848</v>
      </c>
      <c r="C182">
        <v>439</v>
      </c>
      <c r="D182" t="s">
        <v>214</v>
      </c>
      <c r="E182" t="s">
        <v>222</v>
      </c>
      <c r="F182" s="1">
        <v>871.73</v>
      </c>
      <c r="G182" s="7">
        <v>46081</v>
      </c>
      <c r="H182" t="str">
        <f t="shared" si="10"/>
        <v>Stable Offshore</v>
      </c>
      <c r="I182" t="str">
        <f t="shared" si="10"/>
        <v>Stable Offshore</v>
      </c>
      <c r="J182" t="s">
        <v>156</v>
      </c>
      <c r="K182" t="s">
        <v>157</v>
      </c>
    </row>
    <row r="183" spans="1:12" customFormat="1" ht="14.4">
      <c r="A183" t="s">
        <v>849</v>
      </c>
      <c r="B183" t="s">
        <v>849</v>
      </c>
      <c r="C183">
        <v>449</v>
      </c>
      <c r="D183" t="s">
        <v>215</v>
      </c>
      <c r="E183" t="s">
        <v>155</v>
      </c>
      <c r="F183" s="1">
        <v>19586.59</v>
      </c>
      <c r="G183" s="7">
        <v>46081</v>
      </c>
      <c r="H183" t="str">
        <f t="shared" si="10"/>
        <v>Moriah Global</v>
      </c>
      <c r="I183" t="str">
        <f t="shared" si="10"/>
        <v>Moriah Global</v>
      </c>
      <c r="J183" t="s">
        <v>156</v>
      </c>
      <c r="K183" t="s">
        <v>157</v>
      </c>
    </row>
    <row r="184" spans="1:12" customFormat="1" ht="14.4">
      <c r="A184" t="s">
        <v>849</v>
      </c>
      <c r="B184" t="s">
        <v>849</v>
      </c>
      <c r="C184">
        <v>449</v>
      </c>
      <c r="D184" t="s">
        <v>215</v>
      </c>
      <c r="E184" t="s">
        <v>222</v>
      </c>
      <c r="F184" s="1">
        <v>4352.57</v>
      </c>
      <c r="G184" s="7">
        <v>46081</v>
      </c>
      <c r="H184" t="str">
        <f t="shared" si="10"/>
        <v>Stable Offshore</v>
      </c>
      <c r="I184" t="str">
        <f t="shared" si="10"/>
        <v>Stable Offshore</v>
      </c>
      <c r="J184" t="s">
        <v>156</v>
      </c>
      <c r="K184" t="s">
        <v>157</v>
      </c>
    </row>
    <row r="185" spans="1:12" customFormat="1" ht="14.4">
      <c r="A185" t="s">
        <v>849</v>
      </c>
      <c r="B185" t="s">
        <v>849</v>
      </c>
      <c r="C185">
        <v>449</v>
      </c>
      <c r="D185" t="s">
        <v>215</v>
      </c>
      <c r="E185" t="s">
        <v>895</v>
      </c>
      <c r="F185" s="1">
        <v>706.21</v>
      </c>
      <c r="G185" s="7">
        <v>46081</v>
      </c>
      <c r="H185" t="str">
        <f t="shared" si="10"/>
        <v>BCP cash account (USD)</v>
      </c>
      <c r="I185" t="str">
        <f t="shared" si="10"/>
        <v>BCP cash account (USD)</v>
      </c>
      <c r="J185" t="s">
        <v>156</v>
      </c>
      <c r="K185" t="s">
        <v>157</v>
      </c>
    </row>
    <row r="186" spans="1:12" customFormat="1" ht="14.4">
      <c r="A186" t="s">
        <v>850</v>
      </c>
      <c r="B186" t="s">
        <v>850</v>
      </c>
      <c r="C186">
        <v>437</v>
      </c>
      <c r="D186" t="s">
        <v>216</v>
      </c>
      <c r="E186" t="s">
        <v>155</v>
      </c>
      <c r="F186" s="1">
        <v>2731.3</v>
      </c>
      <c r="G186" s="7">
        <v>46081</v>
      </c>
      <c r="H186" t="str">
        <f t="shared" si="10"/>
        <v>Moriah Global</v>
      </c>
      <c r="I186" t="str">
        <f t="shared" si="10"/>
        <v>Moriah Global</v>
      </c>
      <c r="J186" t="s">
        <v>156</v>
      </c>
      <c r="K186" t="s">
        <v>157</v>
      </c>
    </row>
    <row r="187" spans="1:12" customFormat="1" ht="14.4">
      <c r="A187" t="s">
        <v>850</v>
      </c>
      <c r="B187" t="s">
        <v>850</v>
      </c>
      <c r="C187">
        <v>437</v>
      </c>
      <c r="D187" t="s">
        <v>216</v>
      </c>
      <c r="E187" t="s">
        <v>222</v>
      </c>
      <c r="F187" s="1">
        <v>527.30999999999995</v>
      </c>
      <c r="G187" s="7">
        <v>46081</v>
      </c>
      <c r="H187" t="str">
        <f t="shared" si="10"/>
        <v>Stable Offshore</v>
      </c>
      <c r="I187" t="str">
        <f t="shared" si="10"/>
        <v>Stable Offshore</v>
      </c>
      <c r="J187" t="s">
        <v>156</v>
      </c>
      <c r="K187" t="s">
        <v>157</v>
      </c>
    </row>
    <row r="188" spans="1:12" customFormat="1" ht="14.4">
      <c r="A188" t="s">
        <v>851</v>
      </c>
      <c r="B188" t="s">
        <v>851</v>
      </c>
      <c r="C188">
        <v>444</v>
      </c>
      <c r="D188" t="s">
        <v>217</v>
      </c>
      <c r="E188" t="s">
        <v>155</v>
      </c>
      <c r="F188" s="1">
        <v>701.01</v>
      </c>
      <c r="G188" s="7">
        <v>46081</v>
      </c>
      <c r="H188" t="str">
        <f t="shared" si="10"/>
        <v>Moriah Global</v>
      </c>
      <c r="I188" t="str">
        <f t="shared" si="10"/>
        <v>Moriah Global</v>
      </c>
      <c r="J188" t="s">
        <v>156</v>
      </c>
      <c r="K188" t="s">
        <v>157</v>
      </c>
    </row>
    <row r="189" spans="1:12" customFormat="1" ht="14.4">
      <c r="A189" t="s">
        <v>851</v>
      </c>
      <c r="B189" t="s">
        <v>851</v>
      </c>
      <c r="C189">
        <v>444</v>
      </c>
      <c r="D189" t="s">
        <v>217</v>
      </c>
      <c r="E189" t="s">
        <v>857</v>
      </c>
      <c r="F189" s="1">
        <v>1846.21</v>
      </c>
      <c r="G189" s="7">
        <v>46081</v>
      </c>
      <c r="H189" t="str">
        <f t="shared" si="10"/>
        <v>Equity Offshore</v>
      </c>
      <c r="I189" t="str">
        <f t="shared" si="10"/>
        <v>Equity Offshore</v>
      </c>
      <c r="J189" t="s">
        <v>156</v>
      </c>
      <c r="K189" t="s">
        <v>157</v>
      </c>
    </row>
    <row r="190" spans="1:12" ht="12.75" customHeight="1">
      <c r="A190" t="s">
        <v>852</v>
      </c>
      <c r="B190" t="s">
        <v>852</v>
      </c>
      <c r="C190">
        <v>445</v>
      </c>
      <c r="D190" t="s">
        <v>218</v>
      </c>
      <c r="E190" t="s">
        <v>155</v>
      </c>
      <c r="F190" s="1">
        <v>878.03</v>
      </c>
      <c r="G190" s="7">
        <v>46081</v>
      </c>
      <c r="H190" t="str">
        <f t="shared" si="10"/>
        <v>Moriah Global</v>
      </c>
      <c r="I190" t="str">
        <f t="shared" si="10"/>
        <v>Moriah Global</v>
      </c>
      <c r="J190" t="s">
        <v>156</v>
      </c>
      <c r="K190" t="s">
        <v>157</v>
      </c>
    </row>
    <row r="191" spans="1:12" ht="12.75" customHeight="1">
      <c r="A191" t="s">
        <v>852</v>
      </c>
      <c r="B191" t="s">
        <v>852</v>
      </c>
      <c r="C191">
        <v>445</v>
      </c>
      <c r="D191" t="s">
        <v>218</v>
      </c>
      <c r="E191" t="s">
        <v>857</v>
      </c>
      <c r="F191" s="1">
        <v>1049.06</v>
      </c>
      <c r="G191" s="7">
        <v>46081</v>
      </c>
      <c r="H191" t="str">
        <f t="shared" si="10"/>
        <v>Equity Offshore</v>
      </c>
      <c r="I191" t="str">
        <f t="shared" si="10"/>
        <v>Equity Offshore</v>
      </c>
      <c r="J191" t="s">
        <v>156</v>
      </c>
      <c r="K191" t="s">
        <v>157</v>
      </c>
      <c r="L191"/>
    </row>
    <row r="192" spans="1:12" ht="12.75" customHeight="1">
      <c r="A192" t="s">
        <v>852</v>
      </c>
      <c r="B192" t="s">
        <v>852</v>
      </c>
      <c r="C192">
        <v>445</v>
      </c>
      <c r="D192" t="s">
        <v>218</v>
      </c>
      <c r="E192" t="s">
        <v>900</v>
      </c>
      <c r="F192" s="1">
        <v>118.12</v>
      </c>
      <c r="G192" s="7">
        <v>46081</v>
      </c>
      <c r="H192" t="str">
        <f t="shared" si="10"/>
        <v>Trading account - Interactive Brokers LLC (USD)</v>
      </c>
      <c r="I192" t="str">
        <f t="shared" si="10"/>
        <v>Trading account - Interactive Brokers LLC (USD)</v>
      </c>
      <c r="J192" t="s">
        <v>156</v>
      </c>
      <c r="K192" t="s">
        <v>157</v>
      </c>
      <c r="L192"/>
    </row>
    <row r="193" spans="1:12" ht="12.75" customHeight="1">
      <c r="A193" t="s">
        <v>852</v>
      </c>
      <c r="B193" t="s">
        <v>852</v>
      </c>
      <c r="C193">
        <v>445</v>
      </c>
      <c r="D193" t="s">
        <v>218</v>
      </c>
      <c r="E193" t="s">
        <v>901</v>
      </c>
      <c r="F193" s="1">
        <v>1191.19</v>
      </c>
      <c r="G193" s="7">
        <v>46081</v>
      </c>
      <c r="H193" t="str">
        <f t="shared" si="10"/>
        <v>Great Pacific Gold Corp Ordinary Shares</v>
      </c>
      <c r="I193" t="str">
        <f t="shared" si="10"/>
        <v>Great Pacific Gold Corp Ordinary Shares</v>
      </c>
      <c r="J193" t="s">
        <v>156</v>
      </c>
      <c r="K193" t="s">
        <v>157</v>
      </c>
      <c r="L193"/>
    </row>
    <row r="194" spans="1:12" customFormat="1" ht="14.4">
      <c r="A194" t="s">
        <v>853</v>
      </c>
      <c r="B194" t="s">
        <v>853</v>
      </c>
      <c r="C194">
        <v>448</v>
      </c>
      <c r="D194" t="s">
        <v>219</v>
      </c>
      <c r="E194" t="s">
        <v>155</v>
      </c>
      <c r="F194" s="1">
        <v>299970.86</v>
      </c>
      <c r="G194" s="7">
        <v>46081</v>
      </c>
      <c r="H194" t="str">
        <f t="shared" si="10"/>
        <v>Moriah Global</v>
      </c>
      <c r="I194" t="str">
        <f t="shared" si="10"/>
        <v>Moriah Global</v>
      </c>
      <c r="J194" t="s">
        <v>156</v>
      </c>
      <c r="K194" t="s">
        <v>157</v>
      </c>
    </row>
    <row r="195" spans="1:12" customFormat="1" ht="14.4">
      <c r="A195" t="s">
        <v>853</v>
      </c>
      <c r="B195" t="s">
        <v>853</v>
      </c>
      <c r="C195">
        <v>448</v>
      </c>
      <c r="D195" t="s">
        <v>219</v>
      </c>
      <c r="E195" t="s">
        <v>222</v>
      </c>
      <c r="F195" s="1">
        <v>231549.24</v>
      </c>
      <c r="G195" s="7">
        <v>46081</v>
      </c>
      <c r="H195" t="str">
        <f t="shared" si="10"/>
        <v>Stable Offshore</v>
      </c>
      <c r="I195" t="str">
        <f t="shared" si="10"/>
        <v>Stable Offshore</v>
      </c>
      <c r="J195" t="s">
        <v>156</v>
      </c>
      <c r="K195" t="s">
        <v>157</v>
      </c>
    </row>
    <row r="196" spans="1:12" customFormat="1" ht="14.4">
      <c r="A196" t="s">
        <v>853</v>
      </c>
      <c r="B196" t="s">
        <v>853</v>
      </c>
      <c r="C196">
        <v>448</v>
      </c>
      <c r="D196" t="s">
        <v>219</v>
      </c>
      <c r="E196" t="s">
        <v>857</v>
      </c>
      <c r="F196" s="1">
        <v>101458.57</v>
      </c>
      <c r="G196" s="7">
        <v>46081</v>
      </c>
      <c r="H196" t="str">
        <f t="shared" si="10"/>
        <v>Equity Offshore</v>
      </c>
      <c r="I196" t="str">
        <f t="shared" si="10"/>
        <v>Equity Offshore</v>
      </c>
      <c r="J196" t="s">
        <v>156</v>
      </c>
      <c r="K196" t="s">
        <v>157</v>
      </c>
    </row>
    <row r="197" spans="1:12" customFormat="1" ht="14.4">
      <c r="A197" t="s">
        <v>855</v>
      </c>
      <c r="B197" t="s">
        <v>855</v>
      </c>
      <c r="C197">
        <v>82</v>
      </c>
      <c r="D197" s="4" t="s">
        <v>136</v>
      </c>
      <c r="E197" t="s">
        <v>155</v>
      </c>
      <c r="F197" s="1">
        <v>142706.63</v>
      </c>
      <c r="G197" s="7">
        <v>46081</v>
      </c>
      <c r="H197" t="str">
        <f t="shared" si="10"/>
        <v>Moriah Global</v>
      </c>
      <c r="I197" t="str">
        <f t="shared" si="10"/>
        <v>Moriah Global</v>
      </c>
      <c r="J197" t="s">
        <v>156</v>
      </c>
      <c r="K197" t="s">
        <v>157</v>
      </c>
    </row>
    <row r="198" spans="1:12" customFormat="1" ht="14.4">
      <c r="A198" t="s">
        <v>855</v>
      </c>
      <c r="B198" t="s">
        <v>855</v>
      </c>
      <c r="C198">
        <v>82</v>
      </c>
      <c r="D198" s="4" t="s">
        <v>136</v>
      </c>
      <c r="E198" t="s">
        <v>222</v>
      </c>
      <c r="F198" s="1">
        <v>8695.32</v>
      </c>
      <c r="G198" s="7">
        <v>46081</v>
      </c>
      <c r="H198" t="str">
        <f t="shared" si="10"/>
        <v>Stable Offshore</v>
      </c>
      <c r="I198" t="str">
        <f t="shared" si="10"/>
        <v>Stable Offshore</v>
      </c>
      <c r="J198" t="s">
        <v>156</v>
      </c>
      <c r="K198" t="s">
        <v>157</v>
      </c>
    </row>
    <row r="199" spans="1:12" customFormat="1" ht="14.4">
      <c r="A199" t="s">
        <v>855</v>
      </c>
      <c r="B199" t="s">
        <v>855</v>
      </c>
      <c r="C199">
        <v>82</v>
      </c>
      <c r="D199" s="4" t="s">
        <v>136</v>
      </c>
      <c r="E199" t="s">
        <v>857</v>
      </c>
      <c r="F199" s="1">
        <v>78319.649999999994</v>
      </c>
      <c r="G199" s="7">
        <v>46081</v>
      </c>
      <c r="H199" t="str">
        <f t="shared" si="10"/>
        <v>Equity Offshore</v>
      </c>
      <c r="I199" t="str">
        <f t="shared" si="10"/>
        <v>Equity Offshore</v>
      </c>
      <c r="J199" t="s">
        <v>156</v>
      </c>
      <c r="K199" t="s">
        <v>157</v>
      </c>
    </row>
    <row r="200" spans="1:12" customFormat="1" ht="14.4">
      <c r="A200" t="s">
        <v>854</v>
      </c>
      <c r="B200" t="s">
        <v>854</v>
      </c>
      <c r="C200">
        <v>373</v>
      </c>
      <c r="D200" t="s">
        <v>220</v>
      </c>
      <c r="E200" t="s">
        <v>155</v>
      </c>
      <c r="F200" s="1">
        <v>55819.77</v>
      </c>
      <c r="G200" s="7">
        <v>46081</v>
      </c>
      <c r="H200" t="str">
        <f t="shared" ref="H200:I220" si="11">$E200</f>
        <v>Moriah Global</v>
      </c>
      <c r="I200" t="str">
        <f t="shared" si="11"/>
        <v>Moriah Global</v>
      </c>
      <c r="J200" t="s">
        <v>156</v>
      </c>
      <c r="K200" t="s">
        <v>157</v>
      </c>
    </row>
    <row r="201" spans="1:12" customFormat="1" ht="14.4">
      <c r="A201" t="s">
        <v>854</v>
      </c>
      <c r="B201" t="s">
        <v>854</v>
      </c>
      <c r="C201">
        <v>373</v>
      </c>
      <c r="D201" t="s">
        <v>220</v>
      </c>
      <c r="E201" t="s">
        <v>222</v>
      </c>
      <c r="F201" s="1">
        <v>4427.9399999999996</v>
      </c>
      <c r="G201" s="7">
        <v>46081</v>
      </c>
      <c r="H201" t="str">
        <f t="shared" si="11"/>
        <v>Stable Offshore</v>
      </c>
      <c r="I201" t="str">
        <f t="shared" si="11"/>
        <v>Stable Offshore</v>
      </c>
      <c r="J201" t="s">
        <v>156</v>
      </c>
      <c r="K201" t="s">
        <v>157</v>
      </c>
    </row>
    <row r="202" spans="1:12" customFormat="1" ht="14.4">
      <c r="A202" t="s">
        <v>854</v>
      </c>
      <c r="B202" t="s">
        <v>854</v>
      </c>
      <c r="C202">
        <v>373</v>
      </c>
      <c r="D202" t="s">
        <v>220</v>
      </c>
      <c r="E202" t="s">
        <v>857</v>
      </c>
      <c r="F202" s="1">
        <v>89605.09</v>
      </c>
      <c r="G202" s="7">
        <v>46081</v>
      </c>
      <c r="H202" t="str">
        <f t="shared" si="11"/>
        <v>Equity Offshore</v>
      </c>
      <c r="I202" t="str">
        <f t="shared" si="11"/>
        <v>Equity Offshore</v>
      </c>
      <c r="J202" t="s">
        <v>156</v>
      </c>
      <c r="K202" t="s">
        <v>157</v>
      </c>
    </row>
    <row r="203" spans="1:12" ht="12.75" customHeight="1">
      <c r="A203" t="s">
        <v>856</v>
      </c>
      <c r="B203" t="s">
        <v>856</v>
      </c>
      <c r="C203">
        <v>195</v>
      </c>
      <c r="D203" t="s">
        <v>129</v>
      </c>
      <c r="E203" t="s">
        <v>155</v>
      </c>
      <c r="F203" s="1">
        <v>47449.69</v>
      </c>
      <c r="G203" s="7">
        <v>46081</v>
      </c>
      <c r="H203" t="str">
        <f t="shared" si="11"/>
        <v>Moriah Global</v>
      </c>
      <c r="I203" t="str">
        <f t="shared" si="11"/>
        <v>Moriah Global</v>
      </c>
      <c r="J203" t="s">
        <v>156</v>
      </c>
      <c r="K203" t="s">
        <v>157</v>
      </c>
      <c r="L203"/>
    </row>
    <row r="204" spans="1:12" ht="12.75" customHeight="1">
      <c r="A204" t="s">
        <v>856</v>
      </c>
      <c r="B204" t="s">
        <v>856</v>
      </c>
      <c r="C204">
        <v>195</v>
      </c>
      <c r="D204" t="s">
        <v>129</v>
      </c>
      <c r="E204" t="s">
        <v>222</v>
      </c>
      <c r="F204" s="1">
        <v>20559.18</v>
      </c>
      <c r="G204" s="7">
        <v>46081</v>
      </c>
      <c r="H204" t="str">
        <f t="shared" si="11"/>
        <v>Stable Offshore</v>
      </c>
      <c r="I204" t="str">
        <f t="shared" si="11"/>
        <v>Stable Offshore</v>
      </c>
      <c r="J204" t="s">
        <v>156</v>
      </c>
      <c r="K204" t="s">
        <v>157</v>
      </c>
      <c r="L204"/>
    </row>
    <row r="205" spans="1:12" ht="12.75" customHeight="1">
      <c r="A205" t="s">
        <v>856</v>
      </c>
      <c r="B205" t="s">
        <v>856</v>
      </c>
      <c r="C205">
        <v>195</v>
      </c>
      <c r="D205" t="s">
        <v>129</v>
      </c>
      <c r="E205" t="s">
        <v>857</v>
      </c>
      <c r="F205" s="1">
        <v>4761.2299999999996</v>
      </c>
      <c r="G205" s="7">
        <v>46081</v>
      </c>
      <c r="H205" t="str">
        <f t="shared" si="11"/>
        <v>Equity Offshore</v>
      </c>
      <c r="I205" t="str">
        <f t="shared" si="11"/>
        <v>Equity Offshore</v>
      </c>
      <c r="J205" t="s">
        <v>156</v>
      </c>
      <c r="K205" t="s">
        <v>157</v>
      </c>
      <c r="L205"/>
    </row>
    <row r="206" spans="1:12" customFormat="1" ht="14.4">
      <c r="A206" t="s">
        <v>860</v>
      </c>
      <c r="B206" t="s">
        <v>860</v>
      </c>
      <c r="C206">
        <v>188</v>
      </c>
      <c r="D206" t="s">
        <v>861</v>
      </c>
      <c r="E206" t="s">
        <v>155</v>
      </c>
      <c r="F206" s="1">
        <v>8671.0400000000009</v>
      </c>
      <c r="G206" s="7">
        <v>46081</v>
      </c>
      <c r="H206" t="str">
        <f t="shared" si="11"/>
        <v>Moriah Global</v>
      </c>
      <c r="I206" t="str">
        <f t="shared" si="11"/>
        <v>Moriah Global</v>
      </c>
      <c r="J206" t="s">
        <v>156</v>
      </c>
      <c r="K206" t="s">
        <v>157</v>
      </c>
    </row>
    <row r="207" spans="1:12" customFormat="1" ht="14.4">
      <c r="A207" t="s">
        <v>860</v>
      </c>
      <c r="B207" t="s">
        <v>860</v>
      </c>
      <c r="C207">
        <v>188</v>
      </c>
      <c r="D207" t="s">
        <v>861</v>
      </c>
      <c r="E207" t="s">
        <v>222</v>
      </c>
      <c r="F207" s="1">
        <v>2553.4899999999998</v>
      </c>
      <c r="G207" s="7">
        <v>46081</v>
      </c>
      <c r="H207" t="str">
        <f t="shared" si="11"/>
        <v>Stable Offshore</v>
      </c>
      <c r="I207" t="str">
        <f t="shared" si="11"/>
        <v>Stable Offshore</v>
      </c>
      <c r="J207" t="s">
        <v>156</v>
      </c>
      <c r="K207" t="s">
        <v>157</v>
      </c>
    </row>
    <row r="208" spans="1:12" customFormat="1" ht="14.4">
      <c r="A208" t="s">
        <v>860</v>
      </c>
      <c r="B208" t="s">
        <v>860</v>
      </c>
      <c r="C208">
        <v>188</v>
      </c>
      <c r="D208" t="s">
        <v>861</v>
      </c>
      <c r="E208" t="s">
        <v>857</v>
      </c>
      <c r="F208" s="1">
        <v>3542.27</v>
      </c>
      <c r="G208" s="7">
        <v>46081</v>
      </c>
      <c r="H208" t="str">
        <f t="shared" si="11"/>
        <v>Equity Offshore</v>
      </c>
      <c r="I208" t="str">
        <f t="shared" si="11"/>
        <v>Equity Offshore</v>
      </c>
      <c r="J208" t="s">
        <v>156</v>
      </c>
      <c r="K208" t="s">
        <v>157</v>
      </c>
    </row>
    <row r="209" spans="1:11" customFormat="1" ht="14.4">
      <c r="A209" t="s">
        <v>862</v>
      </c>
      <c r="B209" t="s">
        <v>862</v>
      </c>
      <c r="C209">
        <v>150</v>
      </c>
      <c r="D209" t="s">
        <v>863</v>
      </c>
      <c r="E209" t="s">
        <v>155</v>
      </c>
      <c r="F209" s="1">
        <v>24213.01</v>
      </c>
      <c r="G209" s="7">
        <v>46081</v>
      </c>
      <c r="H209" t="str">
        <f t="shared" si="11"/>
        <v>Moriah Global</v>
      </c>
      <c r="I209" t="str">
        <f t="shared" si="11"/>
        <v>Moriah Global</v>
      </c>
      <c r="J209" t="s">
        <v>156</v>
      </c>
      <c r="K209" t="s">
        <v>157</v>
      </c>
    </row>
    <row r="210" spans="1:11" customFormat="1" ht="14.4">
      <c r="A210" t="s">
        <v>862</v>
      </c>
      <c r="B210" t="s">
        <v>862</v>
      </c>
      <c r="C210">
        <v>150</v>
      </c>
      <c r="D210" t="s">
        <v>863</v>
      </c>
      <c r="E210" t="s">
        <v>222</v>
      </c>
      <c r="F210" s="1">
        <v>7058</v>
      </c>
      <c r="G210" s="7">
        <v>46081</v>
      </c>
      <c r="H210" t="str">
        <f t="shared" si="11"/>
        <v>Stable Offshore</v>
      </c>
      <c r="I210" t="str">
        <f t="shared" si="11"/>
        <v>Stable Offshore</v>
      </c>
      <c r="J210" t="s">
        <v>156</v>
      </c>
      <c r="K210" t="s">
        <v>157</v>
      </c>
    </row>
    <row r="211" spans="1:11" customFormat="1" ht="14.4">
      <c r="A211" t="s">
        <v>862</v>
      </c>
      <c r="B211" t="s">
        <v>862</v>
      </c>
      <c r="C211">
        <v>150</v>
      </c>
      <c r="D211" t="s">
        <v>863</v>
      </c>
      <c r="E211" t="s">
        <v>857</v>
      </c>
      <c r="F211" s="1">
        <v>67744.55</v>
      </c>
      <c r="G211" s="7">
        <v>46081</v>
      </c>
      <c r="H211" t="str">
        <f t="shared" si="11"/>
        <v>Equity Offshore</v>
      </c>
      <c r="I211" t="str">
        <f t="shared" si="11"/>
        <v>Equity Offshore</v>
      </c>
      <c r="J211" t="s">
        <v>156</v>
      </c>
      <c r="K211" t="s">
        <v>157</v>
      </c>
    </row>
    <row r="212" spans="1:11" customFormat="1" ht="14.4">
      <c r="A212" t="s">
        <v>862</v>
      </c>
      <c r="B212" t="s">
        <v>862</v>
      </c>
      <c r="C212">
        <v>150</v>
      </c>
      <c r="D212" t="s">
        <v>863</v>
      </c>
      <c r="E212" t="s">
        <v>895</v>
      </c>
      <c r="F212" s="1">
        <v>4917.8</v>
      </c>
      <c r="G212" s="7">
        <v>46081</v>
      </c>
      <c r="H212" t="str">
        <f t="shared" si="11"/>
        <v>BCP cash account (USD)</v>
      </c>
      <c r="I212" t="str">
        <f t="shared" si="11"/>
        <v>BCP cash account (USD)</v>
      </c>
      <c r="J212" t="s">
        <v>156</v>
      </c>
      <c r="K212" t="s">
        <v>157</v>
      </c>
    </row>
    <row r="213" spans="1:11" customFormat="1" ht="14.4">
      <c r="A213" t="s">
        <v>864</v>
      </c>
      <c r="B213" t="s">
        <v>864</v>
      </c>
      <c r="C213">
        <v>458</v>
      </c>
      <c r="D213" t="s">
        <v>868</v>
      </c>
      <c r="E213" t="s">
        <v>902</v>
      </c>
      <c r="F213" s="1">
        <v>17158.75</v>
      </c>
      <c r="G213" s="7">
        <v>46081</v>
      </c>
      <c r="H213" t="str">
        <f t="shared" si="11"/>
        <v>CIL Treasury account (USD)</v>
      </c>
      <c r="I213" t="str">
        <f t="shared" si="11"/>
        <v>CIL Treasury account (USD)</v>
      </c>
      <c r="J213" t="s">
        <v>156</v>
      </c>
      <c r="K213" t="s">
        <v>157</v>
      </c>
    </row>
    <row r="214" spans="1:11" customFormat="1" ht="14.4">
      <c r="A214" t="s">
        <v>865</v>
      </c>
      <c r="B214" t="s">
        <v>865</v>
      </c>
      <c r="C214">
        <v>299</v>
      </c>
      <c r="D214" t="s">
        <v>866</v>
      </c>
      <c r="E214" t="s">
        <v>155</v>
      </c>
      <c r="F214" s="1">
        <v>22636.73</v>
      </c>
      <c r="G214" s="7">
        <v>46081</v>
      </c>
      <c r="H214" t="str">
        <f t="shared" si="11"/>
        <v>Moriah Global</v>
      </c>
      <c r="I214" t="str">
        <f t="shared" si="11"/>
        <v>Moriah Global</v>
      </c>
      <c r="J214" t="s">
        <v>156</v>
      </c>
      <c r="K214" t="s">
        <v>157</v>
      </c>
    </row>
    <row r="215" spans="1:11" customFormat="1" ht="14.4">
      <c r="A215" t="s">
        <v>865</v>
      </c>
      <c r="B215" t="s">
        <v>865</v>
      </c>
      <c r="C215">
        <v>299</v>
      </c>
      <c r="D215" t="s">
        <v>866</v>
      </c>
      <c r="E215" t="s">
        <v>222</v>
      </c>
      <c r="F215" s="1">
        <v>4831.16</v>
      </c>
      <c r="G215" s="7">
        <v>46081</v>
      </c>
      <c r="H215" t="str">
        <f t="shared" si="11"/>
        <v>Stable Offshore</v>
      </c>
      <c r="I215" t="str">
        <f t="shared" si="11"/>
        <v>Stable Offshore</v>
      </c>
      <c r="J215" t="s">
        <v>156</v>
      </c>
      <c r="K215" t="s">
        <v>157</v>
      </c>
    </row>
    <row r="216" spans="1:11" customFormat="1" ht="14.4">
      <c r="A216" t="s">
        <v>865</v>
      </c>
      <c r="B216" t="s">
        <v>865</v>
      </c>
      <c r="C216">
        <v>299</v>
      </c>
      <c r="D216" t="s">
        <v>866</v>
      </c>
      <c r="E216" t="s">
        <v>857</v>
      </c>
      <c r="F216" s="1">
        <v>44812.45</v>
      </c>
      <c r="G216" s="7">
        <v>46081</v>
      </c>
      <c r="H216" t="str">
        <f t="shared" si="11"/>
        <v>Equity Offshore</v>
      </c>
      <c r="I216" t="str">
        <f t="shared" si="11"/>
        <v>Equity Offshore</v>
      </c>
      <c r="J216" t="s">
        <v>156</v>
      </c>
      <c r="K216" t="s">
        <v>157</v>
      </c>
    </row>
    <row r="217" spans="1:11" customFormat="1" ht="14.4">
      <c r="A217" t="s">
        <v>872</v>
      </c>
      <c r="B217" t="s">
        <v>872</v>
      </c>
      <c r="C217">
        <v>459</v>
      </c>
      <c r="D217" t="s">
        <v>873</v>
      </c>
      <c r="E217" t="s">
        <v>155</v>
      </c>
      <c r="F217" s="1">
        <v>41677.760000000002</v>
      </c>
      <c r="G217" s="7">
        <v>46081</v>
      </c>
      <c r="H217" t="str">
        <f t="shared" si="11"/>
        <v>Moriah Global</v>
      </c>
      <c r="I217" t="str">
        <f t="shared" si="11"/>
        <v>Moriah Global</v>
      </c>
      <c r="J217" t="s">
        <v>156</v>
      </c>
      <c r="K217" t="s">
        <v>157</v>
      </c>
    </row>
    <row r="218" spans="1:11" customFormat="1" ht="14.4">
      <c r="A218" t="s">
        <v>872</v>
      </c>
      <c r="B218" t="s">
        <v>872</v>
      </c>
      <c r="C218">
        <v>459</v>
      </c>
      <c r="D218" t="s">
        <v>873</v>
      </c>
      <c r="E218" t="s">
        <v>222</v>
      </c>
      <c r="F218" s="1">
        <v>8772.4699999999993</v>
      </c>
      <c r="G218" s="7">
        <v>46081</v>
      </c>
      <c r="H218" t="str">
        <f t="shared" si="11"/>
        <v>Stable Offshore</v>
      </c>
      <c r="I218" t="str">
        <f t="shared" si="11"/>
        <v>Stable Offshore</v>
      </c>
      <c r="J218" t="s">
        <v>156</v>
      </c>
      <c r="K218" t="s">
        <v>157</v>
      </c>
    </row>
    <row r="219" spans="1:11" customFormat="1" ht="14.4">
      <c r="A219" t="s">
        <v>872</v>
      </c>
      <c r="B219" t="s">
        <v>872</v>
      </c>
      <c r="C219">
        <v>459</v>
      </c>
      <c r="D219" t="s">
        <v>873</v>
      </c>
      <c r="E219" t="s">
        <v>857</v>
      </c>
      <c r="F219" s="1">
        <v>26187.09</v>
      </c>
      <c r="G219" s="7">
        <v>46081</v>
      </c>
      <c r="H219" t="str">
        <f t="shared" si="11"/>
        <v>Equity Offshore</v>
      </c>
      <c r="I219" t="str">
        <f t="shared" si="11"/>
        <v>Equity Offshore</v>
      </c>
      <c r="J219" t="s">
        <v>156</v>
      </c>
      <c r="K219" t="s">
        <v>157</v>
      </c>
    </row>
    <row r="220" spans="1:11" customFormat="1" ht="14.4">
      <c r="A220" t="s">
        <v>874</v>
      </c>
      <c r="B220" t="s">
        <v>874</v>
      </c>
      <c r="C220">
        <v>40</v>
      </c>
      <c r="D220" t="s">
        <v>875</v>
      </c>
      <c r="E220" t="s">
        <v>155</v>
      </c>
      <c r="F220" s="1">
        <v>3645.75</v>
      </c>
      <c r="G220" s="7">
        <v>46081</v>
      </c>
      <c r="H220" t="str">
        <f t="shared" si="11"/>
        <v>Moriah Global</v>
      </c>
      <c r="I220" t="str">
        <f t="shared" si="11"/>
        <v>Moriah Global</v>
      </c>
      <c r="J220" t="s">
        <v>156</v>
      </c>
      <c r="K220" t="s">
        <v>157</v>
      </c>
    </row>
    <row r="221" spans="1:11" customFormat="1" ht="14.4">
      <c r="A221" t="s">
        <v>874</v>
      </c>
      <c r="B221" t="s">
        <v>874</v>
      </c>
      <c r="C221">
        <v>40</v>
      </c>
      <c r="D221" t="s">
        <v>875</v>
      </c>
      <c r="E221" t="s">
        <v>857</v>
      </c>
      <c r="F221" s="1">
        <v>827.04</v>
      </c>
      <c r="G221" s="7">
        <v>46081</v>
      </c>
      <c r="H221" t="str">
        <f t="shared" ref="H221:I233" si="12">$E221</f>
        <v>Equity Offshore</v>
      </c>
      <c r="I221" t="str">
        <f t="shared" si="12"/>
        <v>Equity Offshore</v>
      </c>
      <c r="J221" t="s">
        <v>156</v>
      </c>
      <c r="K221" t="s">
        <v>157</v>
      </c>
    </row>
    <row r="222" spans="1:11" customFormat="1" ht="14.4">
      <c r="A222" t="s">
        <v>877</v>
      </c>
      <c r="B222" t="s">
        <v>877</v>
      </c>
      <c r="C222">
        <v>272</v>
      </c>
      <c r="D222" t="s">
        <v>876</v>
      </c>
      <c r="E222" t="s">
        <v>155</v>
      </c>
      <c r="F222" s="1">
        <v>12946.81</v>
      </c>
      <c r="G222" s="7">
        <v>46081</v>
      </c>
      <c r="H222" t="str">
        <f t="shared" si="12"/>
        <v>Moriah Global</v>
      </c>
      <c r="I222" t="str">
        <f t="shared" si="12"/>
        <v>Moriah Global</v>
      </c>
      <c r="J222" t="s">
        <v>156</v>
      </c>
      <c r="K222" t="s">
        <v>157</v>
      </c>
    </row>
    <row r="223" spans="1:11" customFormat="1" ht="14.4">
      <c r="A223" t="s">
        <v>877</v>
      </c>
      <c r="B223" t="s">
        <v>877</v>
      </c>
      <c r="C223">
        <v>272</v>
      </c>
      <c r="D223" t="s">
        <v>876</v>
      </c>
      <c r="E223" t="s">
        <v>857</v>
      </c>
      <c r="F223" s="1">
        <v>10522.77</v>
      </c>
      <c r="G223" s="7">
        <v>46081</v>
      </c>
      <c r="H223" t="str">
        <f t="shared" si="12"/>
        <v>Equity Offshore</v>
      </c>
      <c r="I223" t="str">
        <f t="shared" si="12"/>
        <v>Equity Offshore</v>
      </c>
      <c r="J223" t="s">
        <v>156</v>
      </c>
      <c r="K223" t="s">
        <v>157</v>
      </c>
    </row>
    <row r="224" spans="1:11" customFormat="1" ht="14.4">
      <c r="A224" t="s">
        <v>878</v>
      </c>
      <c r="B224" t="s">
        <v>878</v>
      </c>
      <c r="C224">
        <v>469</v>
      </c>
      <c r="D224" t="s">
        <v>883</v>
      </c>
      <c r="E224" t="s">
        <v>155</v>
      </c>
      <c r="F224" s="1">
        <v>85355.23</v>
      </c>
      <c r="G224" s="7">
        <v>46081</v>
      </c>
      <c r="H224" t="str">
        <f t="shared" si="12"/>
        <v>Moriah Global</v>
      </c>
      <c r="I224" t="str">
        <f t="shared" si="12"/>
        <v>Moriah Global</v>
      </c>
      <c r="J224" t="s">
        <v>156</v>
      </c>
      <c r="K224" t="s">
        <v>157</v>
      </c>
    </row>
    <row r="225" spans="1:11" customFormat="1" ht="14.4">
      <c r="A225" t="s">
        <v>878</v>
      </c>
      <c r="B225" t="s">
        <v>878</v>
      </c>
      <c r="C225">
        <v>469</v>
      </c>
      <c r="D225" t="s">
        <v>883</v>
      </c>
      <c r="E225" t="s">
        <v>222</v>
      </c>
      <c r="F225" s="1">
        <v>9769.2900000000009</v>
      </c>
      <c r="G225" s="7">
        <v>46081</v>
      </c>
      <c r="H225" t="str">
        <f t="shared" si="12"/>
        <v>Stable Offshore</v>
      </c>
      <c r="I225" t="str">
        <f t="shared" si="12"/>
        <v>Stable Offshore</v>
      </c>
      <c r="J225" t="s">
        <v>156</v>
      </c>
      <c r="K225" t="s">
        <v>157</v>
      </c>
    </row>
    <row r="226" spans="1:11" customFormat="1" ht="14.4">
      <c r="A226" t="s">
        <v>878</v>
      </c>
      <c r="B226" t="s">
        <v>878</v>
      </c>
      <c r="C226">
        <v>469</v>
      </c>
      <c r="D226" t="s">
        <v>883</v>
      </c>
      <c r="E226" t="s">
        <v>857</v>
      </c>
      <c r="F226" s="1">
        <v>49527.06</v>
      </c>
      <c r="G226" s="7">
        <v>46081</v>
      </c>
      <c r="H226" t="str">
        <f t="shared" si="12"/>
        <v>Equity Offshore</v>
      </c>
      <c r="I226" t="str">
        <f t="shared" si="12"/>
        <v>Equity Offshore</v>
      </c>
      <c r="J226" t="s">
        <v>156</v>
      </c>
      <c r="K226" t="s">
        <v>157</v>
      </c>
    </row>
    <row r="227" spans="1:11" customFormat="1" ht="14.4">
      <c r="A227" t="s">
        <v>885</v>
      </c>
      <c r="B227" t="s">
        <v>885</v>
      </c>
      <c r="C227">
        <v>193</v>
      </c>
      <c r="D227" t="s">
        <v>130</v>
      </c>
      <c r="E227" t="s">
        <v>155</v>
      </c>
      <c r="F227" s="1">
        <v>108161.49</v>
      </c>
      <c r="G227" s="7">
        <v>46081</v>
      </c>
      <c r="H227" t="str">
        <f t="shared" si="12"/>
        <v>Moriah Global</v>
      </c>
      <c r="I227" t="str">
        <f t="shared" si="12"/>
        <v>Moriah Global</v>
      </c>
      <c r="J227" t="s">
        <v>156</v>
      </c>
      <c r="K227" t="s">
        <v>157</v>
      </c>
    </row>
    <row r="228" spans="1:11" customFormat="1" ht="14.4">
      <c r="A228" t="s">
        <v>885</v>
      </c>
      <c r="B228" t="s">
        <v>885</v>
      </c>
      <c r="C228">
        <v>193</v>
      </c>
      <c r="D228" t="s">
        <v>130</v>
      </c>
      <c r="E228" t="s">
        <v>222</v>
      </c>
      <c r="F228" s="1">
        <v>15036.12</v>
      </c>
      <c r="G228" s="7">
        <v>46081</v>
      </c>
      <c r="H228" t="str">
        <f t="shared" si="12"/>
        <v>Stable Offshore</v>
      </c>
      <c r="I228" t="str">
        <f t="shared" si="12"/>
        <v>Stable Offshore</v>
      </c>
      <c r="J228" t="s">
        <v>156</v>
      </c>
      <c r="K228" t="s">
        <v>157</v>
      </c>
    </row>
    <row r="229" spans="1:11" customFormat="1" ht="14.4">
      <c r="A229" t="s">
        <v>885</v>
      </c>
      <c r="B229" t="s">
        <v>885</v>
      </c>
      <c r="C229">
        <v>193</v>
      </c>
      <c r="D229" t="s">
        <v>130</v>
      </c>
      <c r="E229" t="s">
        <v>857</v>
      </c>
      <c r="F229" s="1">
        <v>1986.46</v>
      </c>
      <c r="G229" s="7">
        <v>46081</v>
      </c>
      <c r="H229" t="str">
        <f t="shared" si="12"/>
        <v>Equity Offshore</v>
      </c>
      <c r="I229" t="str">
        <f t="shared" si="12"/>
        <v>Equity Offshore</v>
      </c>
      <c r="J229" t="s">
        <v>156</v>
      </c>
      <c r="K229" t="s">
        <v>157</v>
      </c>
    </row>
    <row r="230" spans="1:11" customFormat="1" ht="14.4">
      <c r="A230" t="s">
        <v>886</v>
      </c>
      <c r="B230" t="s">
        <v>886</v>
      </c>
      <c r="C230">
        <v>83</v>
      </c>
      <c r="D230" t="s">
        <v>887</v>
      </c>
      <c r="E230" t="s">
        <v>155</v>
      </c>
      <c r="F230" s="1">
        <v>8651.23</v>
      </c>
      <c r="G230" s="7">
        <v>46081</v>
      </c>
      <c r="H230" t="str">
        <f t="shared" si="12"/>
        <v>Moriah Global</v>
      </c>
      <c r="I230" t="str">
        <f t="shared" si="12"/>
        <v>Moriah Global</v>
      </c>
      <c r="J230" t="s">
        <v>156</v>
      </c>
      <c r="K230" t="s">
        <v>157</v>
      </c>
    </row>
    <row r="231" spans="1:11" customFormat="1" ht="14.4">
      <c r="A231" t="s">
        <v>889</v>
      </c>
      <c r="B231" t="s">
        <v>889</v>
      </c>
      <c r="C231">
        <v>471</v>
      </c>
      <c r="D231" t="s">
        <v>892</v>
      </c>
      <c r="E231" t="s">
        <v>155</v>
      </c>
      <c r="F231" s="1">
        <v>17295.12</v>
      </c>
      <c r="G231" s="7">
        <v>46081</v>
      </c>
      <c r="H231" t="str">
        <f t="shared" si="12"/>
        <v>Moriah Global</v>
      </c>
      <c r="I231" t="str">
        <f t="shared" si="12"/>
        <v>Moriah Global</v>
      </c>
      <c r="J231" t="s">
        <v>156</v>
      </c>
      <c r="K231" t="s">
        <v>157</v>
      </c>
    </row>
    <row r="232" spans="1:11" customFormat="1" ht="14.4">
      <c r="A232" t="s">
        <v>889</v>
      </c>
      <c r="B232" t="s">
        <v>889</v>
      </c>
      <c r="C232">
        <v>471</v>
      </c>
      <c r="D232" t="s">
        <v>892</v>
      </c>
      <c r="E232" t="s">
        <v>222</v>
      </c>
      <c r="F232" s="1">
        <v>6909.45</v>
      </c>
      <c r="G232" s="7">
        <v>46081</v>
      </c>
      <c r="H232" t="str">
        <f t="shared" si="12"/>
        <v>Stable Offshore</v>
      </c>
      <c r="I232" t="str">
        <f t="shared" si="12"/>
        <v>Stable Offshore</v>
      </c>
      <c r="J232" t="s">
        <v>156</v>
      </c>
      <c r="K232" t="s">
        <v>157</v>
      </c>
    </row>
    <row r="233" spans="1:11" customFormat="1" ht="14.4">
      <c r="A233" t="s">
        <v>889</v>
      </c>
      <c r="B233" t="s">
        <v>889</v>
      </c>
      <c r="C233">
        <v>471</v>
      </c>
      <c r="D233" t="s">
        <v>892</v>
      </c>
      <c r="E233" t="s">
        <v>857</v>
      </c>
      <c r="F233" s="1">
        <v>9128.7900000000009</v>
      </c>
      <c r="G233" s="7">
        <v>46081</v>
      </c>
      <c r="H233" t="str">
        <f t="shared" si="12"/>
        <v>Equity Offshore</v>
      </c>
      <c r="I233" t="str">
        <f t="shared" si="12"/>
        <v>Equity Offshore</v>
      </c>
      <c r="J233" t="s">
        <v>156</v>
      </c>
      <c r="K233" t="s">
        <v>157</v>
      </c>
    </row>
    <row r="234" spans="1:11" customFormat="1" ht="14.4">
      <c r="A234" t="s">
        <v>896</v>
      </c>
      <c r="B234" t="s">
        <v>896</v>
      </c>
      <c r="C234">
        <v>475</v>
      </c>
      <c r="D234" t="s">
        <v>898</v>
      </c>
      <c r="E234" t="s">
        <v>155</v>
      </c>
      <c r="F234" s="1">
        <v>25936.69</v>
      </c>
      <c r="G234" s="7">
        <v>46081</v>
      </c>
      <c r="H234" t="str">
        <f t="shared" ref="H234:I250" si="13">$E234</f>
        <v>Moriah Global</v>
      </c>
      <c r="I234" t="str">
        <f t="shared" si="13"/>
        <v>Moriah Global</v>
      </c>
      <c r="J234" t="s">
        <v>156</v>
      </c>
      <c r="K234" t="s">
        <v>157</v>
      </c>
    </row>
    <row r="235" spans="1:11" customFormat="1" ht="14.4">
      <c r="A235" t="s">
        <v>896</v>
      </c>
      <c r="B235" t="s">
        <v>896</v>
      </c>
      <c r="C235">
        <v>475</v>
      </c>
      <c r="D235" t="s">
        <v>898</v>
      </c>
      <c r="E235" t="s">
        <v>222</v>
      </c>
      <c r="F235" s="1">
        <v>4884.8</v>
      </c>
      <c r="G235" s="7">
        <v>46081</v>
      </c>
      <c r="H235" t="str">
        <f t="shared" si="13"/>
        <v>Stable Offshore</v>
      </c>
      <c r="I235" t="str">
        <f t="shared" si="13"/>
        <v>Stable Offshore</v>
      </c>
      <c r="J235" t="s">
        <v>156</v>
      </c>
      <c r="K235" t="s">
        <v>157</v>
      </c>
    </row>
    <row r="236" spans="1:11" customFormat="1" ht="14.4">
      <c r="A236" t="s">
        <v>896</v>
      </c>
      <c r="B236" t="s">
        <v>896</v>
      </c>
      <c r="C236">
        <v>475</v>
      </c>
      <c r="D236" t="s">
        <v>898</v>
      </c>
      <c r="E236" t="s">
        <v>857</v>
      </c>
      <c r="F236" s="1">
        <v>19769.32</v>
      </c>
      <c r="G236" s="7">
        <v>46081</v>
      </c>
      <c r="H236" t="str">
        <f t="shared" si="13"/>
        <v>Equity Offshore</v>
      </c>
      <c r="I236" t="str">
        <f t="shared" si="13"/>
        <v>Equity Offshore</v>
      </c>
      <c r="J236" t="s">
        <v>156</v>
      </c>
      <c r="K236" t="s">
        <v>157</v>
      </c>
    </row>
    <row r="237" spans="1:11" customFormat="1" ht="14.4">
      <c r="A237" t="s">
        <v>893</v>
      </c>
      <c r="B237" t="s">
        <v>893</v>
      </c>
      <c r="C237">
        <v>474</v>
      </c>
      <c r="D237" t="s">
        <v>894</v>
      </c>
      <c r="E237" t="s">
        <v>155</v>
      </c>
      <c r="F237" s="1">
        <v>4491.1000000000004</v>
      </c>
      <c r="G237" s="7">
        <v>46081</v>
      </c>
      <c r="H237" t="str">
        <f t="shared" si="13"/>
        <v>Moriah Global</v>
      </c>
      <c r="I237" t="str">
        <f t="shared" si="13"/>
        <v>Moriah Global</v>
      </c>
      <c r="J237" t="s">
        <v>156</v>
      </c>
      <c r="K237" t="s">
        <v>157</v>
      </c>
    </row>
    <row r="238" spans="1:11" customFormat="1" ht="14.4">
      <c r="A238" t="s">
        <v>893</v>
      </c>
      <c r="B238" t="s">
        <v>893</v>
      </c>
      <c r="C238">
        <v>474</v>
      </c>
      <c r="D238" t="s">
        <v>894</v>
      </c>
      <c r="E238" t="s">
        <v>222</v>
      </c>
      <c r="F238" s="1">
        <v>1094.44</v>
      </c>
      <c r="G238" s="7">
        <v>46081</v>
      </c>
      <c r="H238" t="str">
        <f t="shared" si="13"/>
        <v>Stable Offshore</v>
      </c>
      <c r="I238" t="str">
        <f t="shared" si="13"/>
        <v>Stable Offshore</v>
      </c>
      <c r="J238" t="s">
        <v>156</v>
      </c>
      <c r="K238" t="s">
        <v>157</v>
      </c>
    </row>
    <row r="239" spans="1:11" customFormat="1" ht="14.4">
      <c r="A239" t="s">
        <v>893</v>
      </c>
      <c r="B239" t="s">
        <v>893</v>
      </c>
      <c r="C239">
        <v>474</v>
      </c>
      <c r="D239" t="s">
        <v>894</v>
      </c>
      <c r="E239" t="s">
        <v>857</v>
      </c>
      <c r="F239" s="1">
        <v>4795.57</v>
      </c>
      <c r="G239" s="7">
        <v>46081</v>
      </c>
      <c r="H239" t="str">
        <f t="shared" si="13"/>
        <v>Equity Offshore</v>
      </c>
      <c r="I239" t="str">
        <f t="shared" si="13"/>
        <v>Equity Offshore</v>
      </c>
      <c r="J239" t="s">
        <v>156</v>
      </c>
      <c r="K239" t="s">
        <v>157</v>
      </c>
    </row>
    <row r="240" spans="1:11" customFormat="1" ht="14.4">
      <c r="A240" s="25" t="s">
        <v>905</v>
      </c>
      <c r="B240" s="25" t="s">
        <v>905</v>
      </c>
      <c r="C240">
        <v>477</v>
      </c>
      <c r="D240" t="s">
        <v>906</v>
      </c>
      <c r="E240" t="s">
        <v>155</v>
      </c>
      <c r="F240" s="1">
        <v>25544.42</v>
      </c>
      <c r="G240" s="7">
        <v>46081</v>
      </c>
      <c r="H240" t="str">
        <f t="shared" si="13"/>
        <v>Moriah Global</v>
      </c>
      <c r="I240" t="str">
        <f t="shared" si="13"/>
        <v>Moriah Global</v>
      </c>
      <c r="J240" t="s">
        <v>156</v>
      </c>
      <c r="K240" t="s">
        <v>157</v>
      </c>
    </row>
    <row r="241" spans="1:11" customFormat="1" ht="14.4">
      <c r="A241" s="25" t="s">
        <v>905</v>
      </c>
      <c r="B241" s="25" t="s">
        <v>905</v>
      </c>
      <c r="C241">
        <v>477</v>
      </c>
      <c r="D241" t="s">
        <v>906</v>
      </c>
      <c r="E241" t="s">
        <v>222</v>
      </c>
      <c r="F241" s="1">
        <v>9778.98</v>
      </c>
      <c r="G241" s="7">
        <v>46081</v>
      </c>
      <c r="H241" t="str">
        <f t="shared" si="13"/>
        <v>Stable Offshore</v>
      </c>
      <c r="I241" t="str">
        <f t="shared" si="13"/>
        <v>Stable Offshore</v>
      </c>
      <c r="J241" t="s">
        <v>156</v>
      </c>
      <c r="K241" t="s">
        <v>157</v>
      </c>
    </row>
    <row r="242" spans="1:11" customFormat="1" ht="14.4">
      <c r="A242" s="25" t="s">
        <v>905</v>
      </c>
      <c r="B242" s="25" t="s">
        <v>905</v>
      </c>
      <c r="C242">
        <v>477</v>
      </c>
      <c r="D242" t="s">
        <v>906</v>
      </c>
      <c r="E242" t="s">
        <v>857</v>
      </c>
      <c r="F242" s="1">
        <v>4757.3999999999996</v>
      </c>
      <c r="G242" s="7">
        <v>46081</v>
      </c>
      <c r="H242" t="str">
        <f t="shared" si="13"/>
        <v>Equity Offshore</v>
      </c>
      <c r="I242" t="str">
        <f t="shared" si="13"/>
        <v>Equity Offshore</v>
      </c>
      <c r="J242" t="s">
        <v>156</v>
      </c>
      <c r="K242" t="s">
        <v>157</v>
      </c>
    </row>
    <row r="243" spans="1:11" customFormat="1" ht="14.4">
      <c r="A243" s="25" t="s">
        <v>915</v>
      </c>
      <c r="B243" s="25" t="s">
        <v>915</v>
      </c>
      <c r="C243">
        <v>485</v>
      </c>
      <c r="D243" t="s">
        <v>916</v>
      </c>
      <c r="E243" t="s">
        <v>857</v>
      </c>
      <c r="F243" s="1">
        <v>6672.69</v>
      </c>
      <c r="G243" s="7">
        <v>46081</v>
      </c>
      <c r="H243" t="str">
        <f t="shared" si="13"/>
        <v>Equity Offshore</v>
      </c>
      <c r="I243" t="str">
        <f t="shared" si="13"/>
        <v>Equity Offshore</v>
      </c>
      <c r="J243" t="s">
        <v>156</v>
      </c>
      <c r="K243" t="s">
        <v>157</v>
      </c>
    </row>
    <row r="244" spans="1:11" customFormat="1" ht="14.4">
      <c r="A244" s="25" t="s">
        <v>915</v>
      </c>
      <c r="B244" s="25" t="s">
        <v>915</v>
      </c>
      <c r="C244">
        <v>485</v>
      </c>
      <c r="D244" t="s">
        <v>916</v>
      </c>
      <c r="E244" s="25" t="s">
        <v>930</v>
      </c>
      <c r="F244" s="1">
        <v>12728.09</v>
      </c>
      <c r="G244" s="7">
        <v>46081</v>
      </c>
      <c r="H244" t="str">
        <f t="shared" si="13"/>
        <v>Kanaan Income Offshore FoF (USD)</v>
      </c>
      <c r="I244" t="str">
        <f t="shared" si="13"/>
        <v>Kanaan Income Offshore FoF (USD)</v>
      </c>
      <c r="J244" t="s">
        <v>156</v>
      </c>
      <c r="K244" t="s">
        <v>157</v>
      </c>
    </row>
    <row r="245" spans="1:11" customFormat="1" ht="14.4">
      <c r="A245" t="s">
        <v>917</v>
      </c>
      <c r="B245" t="s">
        <v>917</v>
      </c>
      <c r="C245">
        <v>487</v>
      </c>
      <c r="D245" t="s">
        <v>919</v>
      </c>
      <c r="E245" t="s">
        <v>155</v>
      </c>
      <c r="F245" s="1">
        <v>3167.46</v>
      </c>
      <c r="G245" s="7">
        <v>46081</v>
      </c>
      <c r="H245" t="str">
        <f t="shared" si="13"/>
        <v>Moriah Global</v>
      </c>
      <c r="I245" t="str">
        <f t="shared" si="13"/>
        <v>Moriah Global</v>
      </c>
      <c r="J245" t="s">
        <v>156</v>
      </c>
      <c r="K245" t="s">
        <v>157</v>
      </c>
    </row>
    <row r="246" spans="1:11" customFormat="1" ht="14.4">
      <c r="A246" t="s">
        <v>917</v>
      </c>
      <c r="B246" t="s">
        <v>917</v>
      </c>
      <c r="C246">
        <v>487</v>
      </c>
      <c r="D246" t="s">
        <v>919</v>
      </c>
      <c r="E246" t="s">
        <v>857</v>
      </c>
      <c r="F246" s="1">
        <v>7239.95</v>
      </c>
      <c r="G246" s="7">
        <v>46081</v>
      </c>
      <c r="H246" t="str">
        <f t="shared" si="13"/>
        <v>Equity Offshore</v>
      </c>
      <c r="I246" t="str">
        <f t="shared" si="13"/>
        <v>Equity Offshore</v>
      </c>
      <c r="J246" t="s">
        <v>156</v>
      </c>
      <c r="K246" t="s">
        <v>157</v>
      </c>
    </row>
    <row r="247" spans="1:11" customFormat="1" ht="14.4">
      <c r="A247" t="s">
        <v>917</v>
      </c>
      <c r="B247" t="s">
        <v>917</v>
      </c>
      <c r="C247">
        <v>487</v>
      </c>
      <c r="D247" t="s">
        <v>919</v>
      </c>
      <c r="E247" t="s">
        <v>902</v>
      </c>
      <c r="F247" s="1">
        <v>643.79999999999995</v>
      </c>
      <c r="G247" s="7">
        <v>46081</v>
      </c>
      <c r="H247" t="str">
        <f t="shared" si="13"/>
        <v>CIL Treasury account (USD)</v>
      </c>
      <c r="I247" t="str">
        <f t="shared" si="13"/>
        <v>CIL Treasury account (USD)</v>
      </c>
      <c r="J247" t="s">
        <v>156</v>
      </c>
      <c r="K247" t="s">
        <v>157</v>
      </c>
    </row>
    <row r="248" spans="1:11" customFormat="1" ht="14.4">
      <c r="A248" t="s">
        <v>917</v>
      </c>
      <c r="B248" t="s">
        <v>917</v>
      </c>
      <c r="C248">
        <v>487</v>
      </c>
      <c r="D248" t="s">
        <v>919</v>
      </c>
      <c r="E248" s="25" t="s">
        <v>930</v>
      </c>
      <c r="F248" s="1">
        <v>2991.65</v>
      </c>
      <c r="G248" s="7">
        <v>46081</v>
      </c>
      <c r="H248" t="str">
        <f t="shared" si="13"/>
        <v>Kanaan Income Offshore FoF (USD)</v>
      </c>
      <c r="I248" t="str">
        <f t="shared" si="13"/>
        <v>Kanaan Income Offshore FoF (USD)</v>
      </c>
      <c r="J248" t="s">
        <v>156</v>
      </c>
      <c r="K248" t="s">
        <v>157</v>
      </c>
    </row>
    <row r="249" spans="1:11" customFormat="1" ht="14.4">
      <c r="A249" t="s">
        <v>921</v>
      </c>
      <c r="B249" t="s">
        <v>921</v>
      </c>
      <c r="C249">
        <v>486</v>
      </c>
      <c r="D249" t="s">
        <v>922</v>
      </c>
      <c r="E249" t="s">
        <v>155</v>
      </c>
      <c r="F249" s="1">
        <v>7526.37</v>
      </c>
      <c r="G249" s="7">
        <v>46081</v>
      </c>
      <c r="H249" t="str">
        <f t="shared" si="13"/>
        <v>Moriah Global</v>
      </c>
      <c r="I249" t="str">
        <f t="shared" si="13"/>
        <v>Moriah Global</v>
      </c>
      <c r="J249" t="s">
        <v>156</v>
      </c>
      <c r="K249" t="s">
        <v>157</v>
      </c>
    </row>
    <row r="250" spans="1:11" customFormat="1" ht="14.4">
      <c r="A250" t="s">
        <v>921</v>
      </c>
      <c r="B250" t="s">
        <v>921</v>
      </c>
      <c r="C250">
        <v>486</v>
      </c>
      <c r="D250" t="s">
        <v>922</v>
      </c>
      <c r="E250" t="s">
        <v>857</v>
      </c>
      <c r="F250" s="1">
        <v>10706.2</v>
      </c>
      <c r="G250" s="7">
        <v>46081</v>
      </c>
      <c r="H250" t="str">
        <f t="shared" si="13"/>
        <v>Equity Offshore</v>
      </c>
      <c r="I250" t="str">
        <f t="shared" si="13"/>
        <v>Equity Offshore</v>
      </c>
      <c r="J250" t="s">
        <v>156</v>
      </c>
      <c r="K250" t="s">
        <v>157</v>
      </c>
    </row>
    <row r="251" spans="1:11" customFormat="1" ht="14.4">
      <c r="A251" t="s">
        <v>921</v>
      </c>
      <c r="B251" t="s">
        <v>921</v>
      </c>
      <c r="C251">
        <v>486</v>
      </c>
      <c r="D251" t="s">
        <v>922</v>
      </c>
      <c r="E251" s="25" t="s">
        <v>895</v>
      </c>
      <c r="F251" s="1">
        <v>586.5</v>
      </c>
      <c r="G251" s="7">
        <v>46081</v>
      </c>
      <c r="H251" t="str">
        <f t="shared" ref="H251:I253" si="14">$E251</f>
        <v>BCP cash account (USD)</v>
      </c>
      <c r="I251" t="str">
        <f t="shared" si="14"/>
        <v>BCP cash account (USD)</v>
      </c>
      <c r="J251" t="s">
        <v>156</v>
      </c>
      <c r="K251" t="s">
        <v>157</v>
      </c>
    </row>
    <row r="252" spans="1:11" customFormat="1" ht="14.4">
      <c r="A252" t="s">
        <v>921</v>
      </c>
      <c r="B252" t="s">
        <v>921</v>
      </c>
      <c r="C252">
        <v>486</v>
      </c>
      <c r="D252" t="s">
        <v>922</v>
      </c>
      <c r="E252" s="25" t="s">
        <v>930</v>
      </c>
      <c r="F252" s="1">
        <v>4390.41</v>
      </c>
      <c r="G252" s="7">
        <v>46081</v>
      </c>
      <c r="H252" t="str">
        <f t="shared" si="14"/>
        <v>Kanaan Income Offshore FoF (USD)</v>
      </c>
      <c r="I252" t="str">
        <f t="shared" si="14"/>
        <v>Kanaan Income Offshore FoF (USD)</v>
      </c>
      <c r="J252" t="s">
        <v>156</v>
      </c>
      <c r="K252" t="s">
        <v>157</v>
      </c>
    </row>
    <row r="253" spans="1:11" customFormat="1" ht="14.4">
      <c r="A253" t="s">
        <v>932</v>
      </c>
      <c r="B253" t="s">
        <v>932</v>
      </c>
      <c r="C253">
        <v>418</v>
      </c>
      <c r="D253" s="4" t="s">
        <v>181</v>
      </c>
      <c r="E253" t="s">
        <v>933</v>
      </c>
      <c r="F253" s="1">
        <v>100912.5</v>
      </c>
      <c r="G253" s="7">
        <v>46081</v>
      </c>
      <c r="H253" t="str">
        <f t="shared" si="14"/>
        <v>CIL Treasury account (GBP)</v>
      </c>
      <c r="I253" t="str">
        <f t="shared" si="14"/>
        <v>CIL Treasury account (GBP)</v>
      </c>
      <c r="J253" t="s">
        <v>156</v>
      </c>
      <c r="K253" t="s">
        <v>157</v>
      </c>
    </row>
  </sheetData>
  <pageMargins left="0.39374999999999999" right="0.39374999999999999" top="0.39374999999999999" bottom="0.39374999999999999" header="0" footer="0"/>
  <pageSetup paperSize="9" fitToWidth="0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L443"/>
  <sheetViews>
    <sheetView workbookViewId="0">
      <pane ySplit="1" topLeftCell="A424" activePane="bottomLeft" state="frozen"/>
      <selection pane="bottomLeft" activeCell="C442" sqref="C442"/>
    </sheetView>
  </sheetViews>
  <sheetFormatPr defaultColWidth="9.109375" defaultRowHeight="13.2"/>
  <cols>
    <col min="1" max="1" width="4" style="5" bestFit="1" customWidth="1"/>
    <col min="2" max="2" width="8.6640625" style="5" bestFit="1" customWidth="1"/>
    <col min="3" max="3" width="31.88671875" style="5" bestFit="1" customWidth="1"/>
    <col min="4" max="4" width="11.109375" style="5" bestFit="1" customWidth="1"/>
    <col min="5" max="7" width="11.88671875" style="5" customWidth="1"/>
    <col min="8" max="16384" width="9.109375" style="3"/>
  </cols>
  <sheetData>
    <row r="1" spans="1:12" ht="13.8">
      <c r="A1" s="2" t="s">
        <v>223</v>
      </c>
      <c r="B1" s="2" t="s">
        <v>224</v>
      </c>
      <c r="C1" s="2" t="s">
        <v>225</v>
      </c>
      <c r="D1" s="2" t="s">
        <v>226</v>
      </c>
      <c r="E1" s="2"/>
      <c r="F1" s="2"/>
      <c r="G1" s="2" t="s">
        <v>227</v>
      </c>
    </row>
    <row r="2" spans="1:12" ht="14.4">
      <c r="A2" s="4">
        <v>1</v>
      </c>
      <c r="B2" s="4">
        <v>29</v>
      </c>
      <c r="C2" s="4" t="s">
        <v>118</v>
      </c>
      <c r="D2" s="5" t="s">
        <v>228</v>
      </c>
      <c r="E2" s="4" t="str">
        <f t="shared" ref="E2:E73" si="0">LEFT(D2,1)</f>
        <v/>
      </c>
      <c r="F2" s="4" t="str">
        <f t="shared" ref="F2:F73" si="1">IF(MID(D2,2,1)=" ",MID(D2,3,1),MID(D2,2,1))</f>
        <v/>
      </c>
      <c r="G2" s="5" t="str">
        <f t="shared" ref="G2:G73" si="2">IF(D2="",C2,CONCATENATE(E2,F2," ",C2))</f>
        <v>Badger Trust</v>
      </c>
      <c r="I2"/>
      <c r="J2"/>
      <c r="K2"/>
      <c r="L2"/>
    </row>
    <row r="3" spans="1:12" ht="14.4">
      <c r="A3" s="4">
        <v>2</v>
      </c>
      <c r="B3" s="4">
        <v>132</v>
      </c>
      <c r="C3" s="4" t="s">
        <v>229</v>
      </c>
      <c r="D3" s="4" t="s">
        <v>230</v>
      </c>
      <c r="E3" s="4" t="str">
        <f t="shared" si="0"/>
        <v>C</v>
      </c>
      <c r="F3" s="4" t="str">
        <f t="shared" si="1"/>
        <v>V</v>
      </c>
      <c r="G3" s="5" t="str">
        <f t="shared" si="2"/>
        <v>CV Bond-Myatt</v>
      </c>
      <c r="I3"/>
      <c r="J3"/>
      <c r="K3"/>
      <c r="L3"/>
    </row>
    <row r="4" spans="1:12" ht="14.4">
      <c r="A4" s="4">
        <v>3</v>
      </c>
      <c r="B4" s="4">
        <v>132</v>
      </c>
      <c r="C4" s="4" t="s">
        <v>229</v>
      </c>
      <c r="D4" s="4" t="s">
        <v>231</v>
      </c>
      <c r="E4" s="4" t="str">
        <f t="shared" si="0"/>
        <v>D</v>
      </c>
      <c r="F4" s="4" t="str">
        <f t="shared" si="1"/>
        <v>E</v>
      </c>
      <c r="G4" s="5" t="str">
        <f t="shared" si="2"/>
        <v>DE Bond-Myatt</v>
      </c>
      <c r="I4"/>
      <c r="J4"/>
      <c r="K4"/>
      <c r="L4"/>
    </row>
    <row r="5" spans="1:12" ht="14.4">
      <c r="A5" s="4">
        <v>4</v>
      </c>
      <c r="B5" s="4">
        <v>163</v>
      </c>
      <c r="C5" s="4" t="s">
        <v>232</v>
      </c>
      <c r="D5" s="4" t="s">
        <v>233</v>
      </c>
      <c r="E5" s="4" t="str">
        <f t="shared" si="0"/>
        <v>C</v>
      </c>
      <c r="F5" s="4" t="str">
        <f t="shared" si="1"/>
        <v>S</v>
      </c>
      <c r="G5" s="5" t="str">
        <f t="shared" si="2"/>
        <v>CS Bradley</v>
      </c>
      <c r="I5"/>
      <c r="J5"/>
      <c r="K5"/>
      <c r="L5"/>
    </row>
    <row r="6" spans="1:12" ht="14.4">
      <c r="A6" s="4">
        <v>5</v>
      </c>
      <c r="B6" s="4">
        <v>29</v>
      </c>
      <c r="C6" s="4" t="s">
        <v>234</v>
      </c>
      <c r="D6" s="4" t="s">
        <v>235</v>
      </c>
      <c r="E6" s="4" t="str">
        <f t="shared" si="0"/>
        <v>J</v>
      </c>
      <c r="F6" s="4" t="str">
        <f t="shared" si="1"/>
        <v/>
      </c>
      <c r="G6" s="5" t="str">
        <f t="shared" si="2"/>
        <v>J Caulkin</v>
      </c>
      <c r="I6"/>
      <c r="J6"/>
      <c r="K6"/>
      <c r="L6"/>
    </row>
    <row r="7" spans="1:12" ht="14.4">
      <c r="A7" s="4">
        <v>6</v>
      </c>
      <c r="B7" s="4">
        <v>76</v>
      </c>
      <c r="C7" s="4" t="s">
        <v>236</v>
      </c>
      <c r="D7" s="4" t="s">
        <v>237</v>
      </c>
      <c r="E7" s="4" t="str">
        <f t="shared" si="0"/>
        <v>G</v>
      </c>
      <c r="F7" s="4" t="str">
        <f t="shared" si="1"/>
        <v>R</v>
      </c>
      <c r="G7" s="5" t="str">
        <f t="shared" si="2"/>
        <v>GR Cavanagh</v>
      </c>
      <c r="I7"/>
      <c r="J7"/>
      <c r="K7"/>
      <c r="L7"/>
    </row>
    <row r="8" spans="1:12" ht="14.4">
      <c r="A8" s="4">
        <v>7</v>
      </c>
      <c r="B8" s="4">
        <v>58</v>
      </c>
      <c r="C8" s="4" t="s">
        <v>238</v>
      </c>
      <c r="D8" s="4" t="s">
        <v>239</v>
      </c>
      <c r="E8" s="4" t="str">
        <f t="shared" si="0"/>
        <v>C</v>
      </c>
      <c r="F8" s="4" t="str">
        <f t="shared" si="1"/>
        <v>E</v>
      </c>
      <c r="G8" s="5" t="str">
        <f t="shared" si="2"/>
        <v>CE Charlton</v>
      </c>
      <c r="I8"/>
      <c r="J8"/>
      <c r="K8"/>
      <c r="L8"/>
    </row>
    <row r="9" spans="1:12" ht="14.4">
      <c r="A9" s="4">
        <v>8</v>
      </c>
      <c r="B9" s="4">
        <v>34</v>
      </c>
      <c r="C9" s="4" t="s">
        <v>240</v>
      </c>
      <c r="D9" s="5" t="s">
        <v>241</v>
      </c>
      <c r="E9" s="4" t="str">
        <f t="shared" si="0"/>
        <v>P</v>
      </c>
      <c r="F9" s="4" t="str">
        <f t="shared" si="1"/>
        <v>J</v>
      </c>
      <c r="G9" s="5" t="str">
        <f t="shared" si="2"/>
        <v>PJ van Jaarsveld</v>
      </c>
      <c r="I9"/>
      <c r="J9"/>
      <c r="K9"/>
      <c r="L9"/>
    </row>
    <row r="10" spans="1:12" ht="14.4">
      <c r="A10" s="4">
        <v>9</v>
      </c>
      <c r="B10" s="4">
        <v>436</v>
      </c>
      <c r="C10" s="4" t="s">
        <v>242</v>
      </c>
      <c r="D10" s="4" t="s">
        <v>243</v>
      </c>
      <c r="E10" s="4" t="str">
        <f t="shared" si="0"/>
        <v>P</v>
      </c>
      <c r="F10" s="4" t="str">
        <f t="shared" si="1"/>
        <v/>
      </c>
      <c r="G10" s="5" t="str">
        <f t="shared" si="2"/>
        <v>P van Greunen</v>
      </c>
      <c r="I10"/>
      <c r="J10"/>
      <c r="K10"/>
      <c r="L10"/>
    </row>
    <row r="11" spans="1:12" ht="14.4">
      <c r="A11" s="4">
        <v>10</v>
      </c>
      <c r="B11" s="4">
        <v>357</v>
      </c>
      <c r="C11" s="4" t="s">
        <v>244</v>
      </c>
      <c r="D11" s="4" t="s">
        <v>245</v>
      </c>
      <c r="E11" s="4" t="str">
        <f t="shared" si="0"/>
        <v>G</v>
      </c>
      <c r="F11" s="4" t="str">
        <f t="shared" si="1"/>
        <v>A</v>
      </c>
      <c r="G11" s="5" t="str">
        <f t="shared" si="2"/>
        <v>GA Cormack</v>
      </c>
      <c r="I11"/>
      <c r="J11"/>
      <c r="K11"/>
      <c r="L11"/>
    </row>
    <row r="12" spans="1:12" ht="14.4">
      <c r="A12" s="4">
        <v>11</v>
      </c>
      <c r="B12" s="4">
        <v>73</v>
      </c>
      <c r="C12" s="4" t="s">
        <v>246</v>
      </c>
      <c r="D12" s="4" t="s">
        <v>247</v>
      </c>
      <c r="E12" s="4" t="str">
        <f t="shared" si="0"/>
        <v>C</v>
      </c>
      <c r="F12" s="4" t="str">
        <f t="shared" si="1"/>
        <v>J</v>
      </c>
      <c r="G12" s="5" t="str">
        <f t="shared" si="2"/>
        <v>CJ Costella</v>
      </c>
      <c r="I12"/>
      <c r="J12"/>
      <c r="K12"/>
      <c r="L12"/>
    </row>
    <row r="13" spans="1:12" ht="14.4">
      <c r="A13" s="4">
        <v>12</v>
      </c>
      <c r="B13" s="4">
        <v>73</v>
      </c>
      <c r="C13" s="4" t="s">
        <v>246</v>
      </c>
      <c r="D13" s="4" t="s">
        <v>248</v>
      </c>
      <c r="E13" s="4" t="str">
        <f t="shared" si="0"/>
        <v>R</v>
      </c>
      <c r="F13" s="4" t="str">
        <f t="shared" si="1"/>
        <v/>
      </c>
      <c r="G13" s="5" t="str">
        <f t="shared" si="2"/>
        <v>R Costella</v>
      </c>
      <c r="I13"/>
      <c r="J13"/>
      <c r="K13"/>
      <c r="L13"/>
    </row>
    <row r="14" spans="1:12" ht="14.4">
      <c r="A14" s="4">
        <v>13</v>
      </c>
      <c r="B14" s="4">
        <v>185</v>
      </c>
      <c r="C14" s="4" t="s">
        <v>249</v>
      </c>
      <c r="D14" s="4" t="s">
        <v>250</v>
      </c>
      <c r="E14" s="4" t="str">
        <f t="shared" si="0"/>
        <v>P</v>
      </c>
      <c r="F14" s="4" t="str">
        <f t="shared" si="1"/>
        <v>J</v>
      </c>
      <c r="G14" s="5" t="str">
        <f t="shared" si="2"/>
        <v>PJ Dennison</v>
      </c>
      <c r="I14"/>
      <c r="J14"/>
      <c r="K14"/>
      <c r="L14"/>
    </row>
    <row r="15" spans="1:12" ht="14.4">
      <c r="A15" s="4">
        <v>14</v>
      </c>
      <c r="B15" s="4">
        <v>483</v>
      </c>
      <c r="C15" s="4" t="s">
        <v>251</v>
      </c>
      <c r="D15" s="4" t="s">
        <v>252</v>
      </c>
      <c r="E15" s="4" t="str">
        <f t="shared" si="0"/>
        <v>C</v>
      </c>
      <c r="F15" s="4" t="str">
        <f t="shared" si="1"/>
        <v>Z</v>
      </c>
      <c r="G15" s="5" t="str">
        <f t="shared" si="2"/>
        <v>CZ Dladla</v>
      </c>
      <c r="I15"/>
      <c r="J15"/>
      <c r="K15"/>
      <c r="L15"/>
    </row>
    <row r="16" spans="1:12" ht="14.4">
      <c r="A16" s="4">
        <v>15</v>
      </c>
      <c r="B16" s="4">
        <v>296</v>
      </c>
      <c r="C16" s="4" t="s">
        <v>253</v>
      </c>
      <c r="D16" s="4" t="s">
        <v>254</v>
      </c>
      <c r="E16" s="4" t="str">
        <f t="shared" si="0"/>
        <v>J</v>
      </c>
      <c r="F16" s="4" t="str">
        <f t="shared" si="1"/>
        <v>H</v>
      </c>
      <c r="G16" s="5" t="str">
        <f t="shared" si="2"/>
        <v>JH van Niekerk</v>
      </c>
      <c r="I16"/>
      <c r="J16"/>
      <c r="K16"/>
      <c r="L16"/>
    </row>
    <row r="17" spans="1:12" ht="14.4">
      <c r="A17" s="4">
        <v>16</v>
      </c>
      <c r="B17" s="4">
        <v>256</v>
      </c>
      <c r="C17" s="4" t="s">
        <v>255</v>
      </c>
      <c r="D17" s="4" t="s">
        <v>256</v>
      </c>
      <c r="E17" s="4" t="str">
        <f t="shared" si="0"/>
        <v>D</v>
      </c>
      <c r="F17" s="4" t="str">
        <f t="shared" si="1"/>
        <v>J</v>
      </c>
      <c r="G17" s="5" t="str">
        <f t="shared" si="2"/>
        <v>DJ Du Toit</v>
      </c>
      <c r="I17"/>
      <c r="J17"/>
      <c r="K17"/>
      <c r="L17"/>
    </row>
    <row r="18" spans="1:12" ht="14.4">
      <c r="A18" s="4">
        <v>17</v>
      </c>
      <c r="B18" s="4">
        <v>60</v>
      </c>
      <c r="C18" s="4" t="s">
        <v>257</v>
      </c>
      <c r="D18" s="4" t="s">
        <v>258</v>
      </c>
      <c r="E18" s="4" t="str">
        <f t="shared" si="0"/>
        <v>G</v>
      </c>
      <c r="F18" s="4" t="str">
        <f t="shared" si="1"/>
        <v>M</v>
      </c>
      <c r="G18" s="5" t="str">
        <f t="shared" si="2"/>
        <v>GM Ebben</v>
      </c>
      <c r="I18"/>
      <c r="J18"/>
      <c r="K18"/>
      <c r="L18"/>
    </row>
    <row r="19" spans="1:12" ht="14.4">
      <c r="A19" s="4">
        <v>18</v>
      </c>
      <c r="B19" s="4">
        <v>348</v>
      </c>
      <c r="C19" s="4" t="s">
        <v>259</v>
      </c>
      <c r="D19" s="4" t="s">
        <v>260</v>
      </c>
      <c r="E19" s="4" t="str">
        <f t="shared" si="0"/>
        <v>S</v>
      </c>
      <c r="F19" s="4" t="str">
        <f t="shared" si="1"/>
        <v>A</v>
      </c>
      <c r="G19" s="5" t="str">
        <f t="shared" si="2"/>
        <v>SA Engelbrecht</v>
      </c>
      <c r="I19"/>
      <c r="J19"/>
      <c r="K19"/>
      <c r="L19"/>
    </row>
    <row r="20" spans="1:12" ht="14.4">
      <c r="A20" s="4">
        <v>19</v>
      </c>
      <c r="B20" s="4">
        <v>373</v>
      </c>
      <c r="C20" s="4" t="s">
        <v>261</v>
      </c>
      <c r="D20" s="4" t="s">
        <v>262</v>
      </c>
      <c r="E20" s="4" t="str">
        <f t="shared" si="0"/>
        <v>C</v>
      </c>
      <c r="F20" s="4" t="str">
        <f t="shared" si="1"/>
        <v/>
      </c>
      <c r="G20" s="5" t="str">
        <f t="shared" si="2"/>
        <v>C Fitzpatrick</v>
      </c>
      <c r="I20"/>
      <c r="J20"/>
      <c r="K20"/>
      <c r="L20"/>
    </row>
    <row r="21" spans="1:12" ht="14.4">
      <c r="A21" s="4">
        <v>20</v>
      </c>
      <c r="B21" s="4">
        <v>165</v>
      </c>
      <c r="C21" s="4" t="s">
        <v>263</v>
      </c>
      <c r="D21" s="4" t="s">
        <v>264</v>
      </c>
      <c r="E21" s="4" t="str">
        <f t="shared" si="0"/>
        <v>A</v>
      </c>
      <c r="F21" s="4" t="str">
        <f t="shared" si="1"/>
        <v>O</v>
      </c>
      <c r="G21" s="5" t="str">
        <f t="shared" si="2"/>
        <v>AO Friederang</v>
      </c>
      <c r="I21"/>
      <c r="J21"/>
      <c r="K21"/>
      <c r="L21"/>
    </row>
    <row r="22" spans="1:12" ht="14.4">
      <c r="A22" s="4">
        <v>21</v>
      </c>
      <c r="B22" s="4">
        <v>165</v>
      </c>
      <c r="C22" s="4" t="s">
        <v>263</v>
      </c>
      <c r="D22" s="4" t="s">
        <v>262</v>
      </c>
      <c r="E22" s="4" t="str">
        <f t="shared" si="0"/>
        <v>C</v>
      </c>
      <c r="F22" s="4" t="str">
        <f t="shared" si="1"/>
        <v/>
      </c>
      <c r="G22" s="5" t="str">
        <f t="shared" si="2"/>
        <v>C Friederang</v>
      </c>
      <c r="I22"/>
      <c r="J22"/>
      <c r="K22"/>
      <c r="L22"/>
    </row>
    <row r="23" spans="1:12" ht="14.4">
      <c r="A23" s="4">
        <v>22</v>
      </c>
      <c r="B23" s="4">
        <v>106</v>
      </c>
      <c r="C23" s="4" t="s">
        <v>265</v>
      </c>
      <c r="D23" s="4" t="s">
        <v>243</v>
      </c>
      <c r="E23" s="4" t="str">
        <f t="shared" si="0"/>
        <v>P</v>
      </c>
      <c r="F23" s="4" t="str">
        <f t="shared" si="1"/>
        <v/>
      </c>
      <c r="G23" s="5" t="str">
        <f t="shared" si="2"/>
        <v>P de Villiers</v>
      </c>
      <c r="I23"/>
      <c r="J23"/>
      <c r="K23"/>
      <c r="L23"/>
    </row>
    <row r="24" spans="1:12" ht="14.4">
      <c r="A24" s="4">
        <v>23</v>
      </c>
      <c r="B24" s="4">
        <v>225</v>
      </c>
      <c r="C24" s="4" t="s">
        <v>266</v>
      </c>
      <c r="D24" s="5" t="s">
        <v>228</v>
      </c>
      <c r="E24" s="4" t="str">
        <f t="shared" si="0"/>
        <v/>
      </c>
      <c r="F24" s="4" t="str">
        <f t="shared" si="1"/>
        <v/>
      </c>
      <c r="G24" s="5" t="str">
        <f t="shared" si="2"/>
        <v>Hamden Trust</v>
      </c>
      <c r="I24"/>
      <c r="J24"/>
      <c r="K24"/>
      <c r="L24"/>
    </row>
    <row r="25" spans="1:12" ht="14.4">
      <c r="A25" s="4">
        <v>24</v>
      </c>
      <c r="B25" s="4">
        <v>218</v>
      </c>
      <c r="C25" s="4" t="s">
        <v>99</v>
      </c>
      <c r="E25" s="4" t="str">
        <f t="shared" si="0"/>
        <v/>
      </c>
      <c r="F25" s="4" t="str">
        <f t="shared" ref="F25" si="3">IF(MID(D25,2,1)=" ",MID(D25,3,1),MID(D25,2,1))</f>
        <v/>
      </c>
      <c r="G25" s="5" t="str">
        <f t="shared" ref="G25" si="4">IF(D25="",C25,CONCATENATE(E25,F25," ",C25))</f>
        <v>Kanaan Trust</v>
      </c>
      <c r="I25"/>
      <c r="J25"/>
      <c r="K25"/>
      <c r="L25"/>
    </row>
    <row r="26" spans="1:12" ht="14.4">
      <c r="A26" s="4">
        <v>25</v>
      </c>
      <c r="B26" s="4">
        <v>281</v>
      </c>
      <c r="C26" s="4" t="s">
        <v>267</v>
      </c>
      <c r="D26" s="5" t="s">
        <v>268</v>
      </c>
      <c r="E26" s="4" t="str">
        <f t="shared" si="0"/>
        <v>J</v>
      </c>
      <c r="F26" s="4" t="str">
        <f t="shared" si="1"/>
        <v>G</v>
      </c>
      <c r="G26" s="5" t="str">
        <f t="shared" si="2"/>
        <v>JG Hericourt</v>
      </c>
      <c r="I26"/>
      <c r="J26"/>
      <c r="K26"/>
      <c r="L26"/>
    </row>
    <row r="27" spans="1:12" ht="14.4">
      <c r="A27" s="4">
        <v>26</v>
      </c>
      <c r="B27" s="4">
        <v>86</v>
      </c>
      <c r="C27" s="4" t="s">
        <v>269</v>
      </c>
      <c r="D27" s="4" t="s">
        <v>270</v>
      </c>
      <c r="E27" s="4" t="str">
        <f t="shared" si="0"/>
        <v>A</v>
      </c>
      <c r="F27" s="4" t="str">
        <f t="shared" si="1"/>
        <v>L</v>
      </c>
      <c r="G27" s="5" t="str">
        <f t="shared" si="2"/>
        <v>AL Hoon</v>
      </c>
      <c r="I27"/>
      <c r="J27"/>
      <c r="K27"/>
      <c r="L27"/>
    </row>
    <row r="28" spans="1:12" ht="14.4">
      <c r="A28" s="4">
        <v>27</v>
      </c>
      <c r="B28" s="4">
        <v>294</v>
      </c>
      <c r="C28" s="4" t="s">
        <v>271</v>
      </c>
      <c r="D28" s="4" t="s">
        <v>272</v>
      </c>
      <c r="E28" s="4" t="str">
        <f t="shared" si="0"/>
        <v>B</v>
      </c>
      <c r="F28" s="4" t="str">
        <f t="shared" si="1"/>
        <v>J</v>
      </c>
      <c r="G28" s="5" t="str">
        <f t="shared" si="2"/>
        <v>BJ Hudson</v>
      </c>
      <c r="I28"/>
      <c r="J28"/>
      <c r="K28"/>
      <c r="L28"/>
    </row>
    <row r="29" spans="1:12" ht="14.4">
      <c r="A29" s="4">
        <v>28</v>
      </c>
      <c r="B29" s="4">
        <v>196</v>
      </c>
      <c r="C29" s="4" t="s">
        <v>273</v>
      </c>
      <c r="D29" s="4" t="s">
        <v>274</v>
      </c>
      <c r="E29" s="4" t="str">
        <f t="shared" si="0"/>
        <v>I</v>
      </c>
      <c r="F29" s="4" t="str">
        <f t="shared" si="1"/>
        <v/>
      </c>
      <c r="G29" s="5" t="str">
        <f t="shared" si="2"/>
        <v>I Jacobs</v>
      </c>
      <c r="I29"/>
      <c r="J29"/>
      <c r="K29"/>
      <c r="L29"/>
    </row>
    <row r="30" spans="1:12" ht="14.4">
      <c r="A30" s="4">
        <v>29</v>
      </c>
      <c r="B30" s="4">
        <v>377</v>
      </c>
      <c r="C30" s="4" t="s">
        <v>275</v>
      </c>
      <c r="D30" s="4" t="s">
        <v>276</v>
      </c>
      <c r="E30" s="4" t="str">
        <f t="shared" si="0"/>
        <v>L</v>
      </c>
      <c r="F30" s="4" t="str">
        <f t="shared" si="1"/>
        <v>B</v>
      </c>
      <c r="G30" s="5" t="str">
        <f t="shared" si="2"/>
        <v>LB James</v>
      </c>
      <c r="I30"/>
      <c r="J30"/>
      <c r="K30"/>
      <c r="L30"/>
    </row>
    <row r="31" spans="1:12" ht="14.4">
      <c r="A31" s="4">
        <v>30</v>
      </c>
      <c r="B31" s="4">
        <v>179</v>
      </c>
      <c r="C31" s="4" t="s">
        <v>277</v>
      </c>
      <c r="D31" s="4" t="s">
        <v>278</v>
      </c>
      <c r="E31" s="4" t="str">
        <f t="shared" si="0"/>
        <v>M</v>
      </c>
      <c r="F31" s="4" t="str">
        <f t="shared" si="1"/>
        <v>M</v>
      </c>
      <c r="G31" s="5" t="str">
        <f t="shared" si="2"/>
        <v>MM Higgins</v>
      </c>
      <c r="I31"/>
      <c r="J31"/>
      <c r="K31"/>
      <c r="L31"/>
    </row>
    <row r="32" spans="1:12" ht="14.4">
      <c r="A32" s="4">
        <v>31</v>
      </c>
      <c r="B32" s="4">
        <v>265</v>
      </c>
      <c r="C32" s="4" t="s">
        <v>279</v>
      </c>
      <c r="D32" s="4" t="s">
        <v>280</v>
      </c>
      <c r="E32" s="4" t="str">
        <f t="shared" si="0"/>
        <v>M</v>
      </c>
      <c r="F32" s="4" t="str">
        <f t="shared" si="1"/>
        <v>D</v>
      </c>
      <c r="G32" s="5" t="str">
        <f t="shared" si="2"/>
        <v>MD Jelley</v>
      </c>
      <c r="I32"/>
      <c r="J32"/>
      <c r="K32"/>
      <c r="L32"/>
    </row>
    <row r="33" spans="1:12" ht="14.4">
      <c r="A33" s="4">
        <v>32</v>
      </c>
      <c r="B33" s="4">
        <v>481</v>
      </c>
      <c r="C33" s="4" t="s">
        <v>281</v>
      </c>
      <c r="D33" s="4" t="s">
        <v>282</v>
      </c>
      <c r="E33" s="4" t="str">
        <f t="shared" si="0"/>
        <v>M</v>
      </c>
      <c r="F33" s="4" t="str">
        <f t="shared" si="1"/>
        <v>F</v>
      </c>
      <c r="G33" s="5" t="str">
        <f t="shared" si="2"/>
        <v>MF Stonestreet</v>
      </c>
      <c r="I33"/>
      <c r="J33"/>
      <c r="K33"/>
      <c r="L33"/>
    </row>
    <row r="34" spans="1:12" ht="14.4">
      <c r="A34" s="4">
        <v>33</v>
      </c>
      <c r="B34" s="4">
        <v>162</v>
      </c>
      <c r="C34" s="4" t="s">
        <v>283</v>
      </c>
      <c r="D34" s="4" t="s">
        <v>284</v>
      </c>
      <c r="E34" s="4" t="str">
        <f t="shared" si="0"/>
        <v>K</v>
      </c>
      <c r="F34" s="4" t="str">
        <f t="shared" si="1"/>
        <v>R</v>
      </c>
      <c r="G34" s="5" t="str">
        <f t="shared" si="2"/>
        <v>KR Kelly</v>
      </c>
      <c r="I34"/>
      <c r="J34"/>
      <c r="K34"/>
      <c r="L34"/>
    </row>
    <row r="35" spans="1:12" ht="14.4">
      <c r="A35" s="4">
        <v>34</v>
      </c>
      <c r="B35" s="4">
        <v>266</v>
      </c>
      <c r="C35" s="4" t="s">
        <v>285</v>
      </c>
      <c r="D35" s="4" t="s">
        <v>286</v>
      </c>
      <c r="E35" s="4" t="str">
        <f t="shared" si="0"/>
        <v>W</v>
      </c>
      <c r="F35" s="4" t="str">
        <f t="shared" si="1"/>
        <v>J</v>
      </c>
      <c r="G35" s="5" t="str">
        <f t="shared" si="2"/>
        <v>WJ Kerr</v>
      </c>
      <c r="I35"/>
      <c r="J35"/>
      <c r="K35"/>
      <c r="L35"/>
    </row>
    <row r="36" spans="1:12" ht="14.4">
      <c r="A36" s="4">
        <v>35</v>
      </c>
      <c r="B36" s="4">
        <v>194</v>
      </c>
      <c r="C36" s="4" t="s">
        <v>287</v>
      </c>
      <c r="D36" s="4" t="s">
        <v>288</v>
      </c>
      <c r="E36" s="4" t="str">
        <f t="shared" si="0"/>
        <v>A</v>
      </c>
      <c r="F36" s="4" t="str">
        <f t="shared" si="1"/>
        <v>J</v>
      </c>
      <c r="G36" s="5" t="str">
        <f t="shared" si="2"/>
        <v>AJ Kijko</v>
      </c>
      <c r="I36"/>
      <c r="J36"/>
      <c r="K36"/>
      <c r="L36"/>
    </row>
    <row r="37" spans="1:12" ht="14.4">
      <c r="A37" s="4">
        <v>36</v>
      </c>
      <c r="B37" s="4">
        <v>7</v>
      </c>
      <c r="C37" s="4" t="s">
        <v>289</v>
      </c>
      <c r="D37" s="4" t="s">
        <v>247</v>
      </c>
      <c r="E37" s="4" t="str">
        <f t="shared" si="0"/>
        <v>C</v>
      </c>
      <c r="F37" s="4" t="str">
        <f t="shared" si="1"/>
        <v>J</v>
      </c>
      <c r="G37" s="5" t="str">
        <f t="shared" si="2"/>
        <v>CJ du Toit</v>
      </c>
      <c r="I37"/>
      <c r="J37"/>
      <c r="K37"/>
      <c r="L37"/>
    </row>
    <row r="38" spans="1:12" ht="14.4">
      <c r="A38" s="4">
        <v>37</v>
      </c>
      <c r="B38" s="4">
        <v>138</v>
      </c>
      <c r="C38" s="4" t="s">
        <v>290</v>
      </c>
      <c r="D38" s="4" t="s">
        <v>291</v>
      </c>
      <c r="E38" s="4" t="str">
        <f t="shared" si="0"/>
        <v>W</v>
      </c>
      <c r="F38" s="4" t="str">
        <f t="shared" si="1"/>
        <v>E</v>
      </c>
      <c r="G38" s="5" t="str">
        <f t="shared" si="2"/>
        <v>WE Klingenberg</v>
      </c>
      <c r="I38"/>
      <c r="J38"/>
      <c r="K38"/>
      <c r="L38"/>
    </row>
    <row r="39" spans="1:12" ht="14.4">
      <c r="A39" s="4">
        <v>38</v>
      </c>
      <c r="B39" s="4">
        <v>138</v>
      </c>
      <c r="C39" s="4" t="s">
        <v>290</v>
      </c>
      <c r="D39" s="4" t="s">
        <v>256</v>
      </c>
      <c r="E39" s="4" t="str">
        <f t="shared" si="0"/>
        <v>D</v>
      </c>
      <c r="F39" s="4" t="str">
        <f t="shared" si="1"/>
        <v>J</v>
      </c>
      <c r="G39" s="5" t="str">
        <f t="shared" si="2"/>
        <v>DJ Klingenberg</v>
      </c>
      <c r="I39"/>
      <c r="J39"/>
      <c r="K39"/>
      <c r="L39"/>
    </row>
    <row r="40" spans="1:12" ht="14.4">
      <c r="A40" s="4">
        <v>39</v>
      </c>
      <c r="B40" s="4">
        <v>356</v>
      </c>
      <c r="C40" s="4" t="s">
        <v>292</v>
      </c>
      <c r="D40" s="4" t="s">
        <v>228</v>
      </c>
      <c r="E40" s="4" t="str">
        <f t="shared" si="0"/>
        <v/>
      </c>
      <c r="F40" s="4" t="str">
        <f t="shared" si="1"/>
        <v/>
      </c>
      <c r="G40" s="5" t="str">
        <f t="shared" si="2"/>
        <v>Knight Trust</v>
      </c>
      <c r="I40"/>
      <c r="J40"/>
      <c r="K40"/>
      <c r="L40"/>
    </row>
    <row r="41" spans="1:12" ht="14.4">
      <c r="A41" s="4">
        <v>40</v>
      </c>
      <c r="B41" s="4">
        <v>15</v>
      </c>
      <c r="C41" s="4" t="s">
        <v>293</v>
      </c>
      <c r="D41" s="4" t="s">
        <v>294</v>
      </c>
      <c r="E41" s="4" t="str">
        <f t="shared" si="0"/>
        <v>R</v>
      </c>
      <c r="F41" s="4" t="str">
        <f t="shared" si="1"/>
        <v>J</v>
      </c>
      <c r="G41" s="5" t="str">
        <f t="shared" si="2"/>
        <v>RJ Kusel</v>
      </c>
      <c r="I41"/>
      <c r="J41"/>
      <c r="K41"/>
      <c r="L41"/>
    </row>
    <row r="42" spans="1:12" ht="14.4">
      <c r="A42" s="4">
        <v>41</v>
      </c>
      <c r="B42" s="4">
        <v>395</v>
      </c>
      <c r="C42" s="4" t="s">
        <v>295</v>
      </c>
      <c r="D42" s="4" t="s">
        <v>247</v>
      </c>
      <c r="E42" s="4" t="str">
        <f t="shared" si="0"/>
        <v>C</v>
      </c>
      <c r="F42" s="4" t="str">
        <f t="shared" si="1"/>
        <v>J</v>
      </c>
      <c r="G42" s="5" t="str">
        <f t="shared" si="2"/>
        <v>CJ Louw</v>
      </c>
      <c r="I42"/>
      <c r="J42"/>
      <c r="K42"/>
      <c r="L42"/>
    </row>
    <row r="43" spans="1:12" ht="14.4">
      <c r="A43" s="4">
        <v>42</v>
      </c>
      <c r="B43" s="4">
        <v>72</v>
      </c>
      <c r="C43" s="4" t="s">
        <v>296</v>
      </c>
      <c r="D43" s="4" t="s">
        <v>297</v>
      </c>
      <c r="E43" s="4" t="str">
        <f t="shared" si="0"/>
        <v>A</v>
      </c>
      <c r="F43" s="4" t="str">
        <f t="shared" si="1"/>
        <v/>
      </c>
      <c r="G43" s="5" t="str">
        <f t="shared" si="2"/>
        <v>A Delport</v>
      </c>
      <c r="I43"/>
      <c r="J43"/>
      <c r="K43"/>
      <c r="L43"/>
    </row>
    <row r="44" spans="1:12" ht="14.4">
      <c r="A44" s="4">
        <v>43</v>
      </c>
      <c r="B44" s="4">
        <v>477</v>
      </c>
      <c r="C44" s="4" t="s">
        <v>298</v>
      </c>
      <c r="D44" s="5" t="s">
        <v>299</v>
      </c>
      <c r="E44" s="4" t="str">
        <f t="shared" si="0"/>
        <v>P</v>
      </c>
      <c r="F44" s="4" t="str">
        <f t="shared" si="1"/>
        <v>E</v>
      </c>
      <c r="G44" s="5" t="str">
        <f t="shared" si="2"/>
        <v>PE Lombard</v>
      </c>
      <c r="I44"/>
      <c r="J44"/>
      <c r="K44"/>
      <c r="L44"/>
    </row>
    <row r="45" spans="1:12" ht="14.4">
      <c r="A45" s="4">
        <v>44</v>
      </c>
      <c r="B45" s="4">
        <v>363</v>
      </c>
      <c r="C45" s="4" t="s">
        <v>300</v>
      </c>
      <c r="D45" s="4" t="s">
        <v>301</v>
      </c>
      <c r="E45" s="4" t="str">
        <f t="shared" si="0"/>
        <v>R</v>
      </c>
      <c r="F45" s="4" t="str">
        <f t="shared" si="1"/>
        <v>C</v>
      </c>
      <c r="G45" s="5" t="str">
        <f t="shared" si="2"/>
        <v>RC Mack</v>
      </c>
      <c r="I45"/>
      <c r="J45"/>
      <c r="K45"/>
      <c r="L45"/>
    </row>
    <row r="46" spans="1:12" ht="14.4">
      <c r="A46" s="4">
        <v>45</v>
      </c>
      <c r="B46" s="4">
        <v>203</v>
      </c>
      <c r="C46" s="4" t="s">
        <v>302</v>
      </c>
      <c r="D46" s="4" t="s">
        <v>303</v>
      </c>
      <c r="E46" s="4" t="str">
        <f t="shared" si="0"/>
        <v>R</v>
      </c>
      <c r="F46" s="4" t="str">
        <f t="shared" si="1"/>
        <v>L</v>
      </c>
      <c r="G46" s="5" t="str">
        <f t="shared" si="2"/>
        <v>RL Maggs</v>
      </c>
      <c r="I46"/>
      <c r="J46"/>
      <c r="K46"/>
      <c r="L46"/>
    </row>
    <row r="47" spans="1:12" ht="14.4">
      <c r="A47" s="4">
        <v>46</v>
      </c>
      <c r="B47" s="4">
        <v>232</v>
      </c>
      <c r="C47" s="4" t="s">
        <v>304</v>
      </c>
      <c r="D47" s="4" t="s">
        <v>305</v>
      </c>
      <c r="E47" s="4" t="str">
        <f t="shared" si="0"/>
        <v>S</v>
      </c>
      <c r="F47" s="4" t="str">
        <f t="shared" si="1"/>
        <v>M</v>
      </c>
      <c r="G47" s="5" t="str">
        <f t="shared" si="2"/>
        <v>SM Maharaj</v>
      </c>
      <c r="I47"/>
      <c r="J47"/>
      <c r="K47"/>
      <c r="L47"/>
    </row>
    <row r="48" spans="1:12" ht="14.4">
      <c r="A48" s="4">
        <v>47</v>
      </c>
      <c r="B48" s="4">
        <v>8</v>
      </c>
      <c r="C48" s="4" t="s">
        <v>306</v>
      </c>
      <c r="D48" s="4" t="s">
        <v>307</v>
      </c>
      <c r="E48" s="4" t="str">
        <f t="shared" si="0"/>
        <v>M</v>
      </c>
      <c r="F48" s="4" t="str">
        <f t="shared" si="1"/>
        <v>E</v>
      </c>
      <c r="G48" s="5" t="str">
        <f t="shared" si="2"/>
        <v>ME Strydom</v>
      </c>
      <c r="I48"/>
      <c r="J48"/>
      <c r="K48"/>
      <c r="L48"/>
    </row>
    <row r="49" spans="1:12" ht="14.4">
      <c r="A49" s="4">
        <v>48</v>
      </c>
      <c r="B49" s="4">
        <v>323</v>
      </c>
      <c r="C49" s="4" t="s">
        <v>308</v>
      </c>
      <c r="D49" s="4" t="s">
        <v>309</v>
      </c>
      <c r="E49" s="4" t="str">
        <f t="shared" si="0"/>
        <v>S</v>
      </c>
      <c r="F49" s="4" t="str">
        <f t="shared" si="1"/>
        <v>S</v>
      </c>
      <c r="G49" s="5" t="str">
        <f t="shared" si="2"/>
        <v>SS Masondo</v>
      </c>
      <c r="I49"/>
      <c r="J49"/>
      <c r="K49"/>
      <c r="L49"/>
    </row>
    <row r="50" spans="1:12" ht="14.4">
      <c r="A50" s="4">
        <v>49</v>
      </c>
      <c r="B50" s="4">
        <v>17</v>
      </c>
      <c r="C50" s="4" t="s">
        <v>310</v>
      </c>
      <c r="D50" s="4" t="s">
        <v>311</v>
      </c>
      <c r="E50" s="4" t="str">
        <f t="shared" si="0"/>
        <v>D</v>
      </c>
      <c r="F50" s="4" t="str">
        <f t="shared" si="1"/>
        <v>W</v>
      </c>
      <c r="G50" s="5" t="str">
        <f t="shared" si="2"/>
        <v>DW Mays</v>
      </c>
      <c r="I50"/>
      <c r="J50"/>
      <c r="K50"/>
      <c r="L50"/>
    </row>
    <row r="51" spans="1:12" ht="14.4">
      <c r="A51" s="4">
        <v>50</v>
      </c>
      <c r="B51" s="4">
        <v>45</v>
      </c>
      <c r="C51" s="4" t="s">
        <v>310</v>
      </c>
      <c r="D51" s="4" t="s">
        <v>312</v>
      </c>
      <c r="E51" s="4" t="str">
        <f t="shared" si="0"/>
        <v>J</v>
      </c>
      <c r="F51" s="4" t="str">
        <f t="shared" si="1"/>
        <v>M</v>
      </c>
      <c r="G51" s="5" t="str">
        <f t="shared" si="2"/>
        <v>JM Mays</v>
      </c>
      <c r="I51"/>
      <c r="J51"/>
      <c r="K51"/>
      <c r="L51"/>
    </row>
    <row r="52" spans="1:12" ht="14.4">
      <c r="A52" s="4">
        <v>51</v>
      </c>
      <c r="B52" s="4">
        <v>17</v>
      </c>
      <c r="C52" s="4" t="s">
        <v>310</v>
      </c>
      <c r="D52" s="4" t="s">
        <v>313</v>
      </c>
      <c r="E52" s="4" t="str">
        <f t="shared" si="0"/>
        <v>J</v>
      </c>
      <c r="F52" s="4" t="str">
        <f t="shared" si="1"/>
        <v>P</v>
      </c>
      <c r="G52" s="5" t="str">
        <f t="shared" si="2"/>
        <v>JP Mays</v>
      </c>
      <c r="I52"/>
      <c r="J52"/>
      <c r="K52"/>
      <c r="L52"/>
    </row>
    <row r="53" spans="1:12" ht="14.4">
      <c r="A53" s="4">
        <v>52</v>
      </c>
      <c r="B53" s="4">
        <v>25</v>
      </c>
      <c r="C53" s="4" t="s">
        <v>314</v>
      </c>
      <c r="D53" s="4" t="s">
        <v>315</v>
      </c>
      <c r="E53" s="4" t="str">
        <f t="shared" si="0"/>
        <v>H</v>
      </c>
      <c r="F53" s="4" t="str">
        <f t="shared" si="1"/>
        <v/>
      </c>
      <c r="G53" s="5" t="str">
        <f t="shared" si="2"/>
        <v>H McBeth</v>
      </c>
      <c r="I53"/>
      <c r="J53"/>
      <c r="K53"/>
      <c r="L53"/>
    </row>
    <row r="54" spans="1:12" ht="14.4">
      <c r="A54" s="4">
        <v>53</v>
      </c>
      <c r="B54" s="4">
        <v>25</v>
      </c>
      <c r="C54" s="4" t="s">
        <v>314</v>
      </c>
      <c r="D54" s="4" t="s">
        <v>316</v>
      </c>
      <c r="E54" s="4" t="str">
        <f t="shared" si="0"/>
        <v>V</v>
      </c>
      <c r="F54" s="4" t="str">
        <f t="shared" si="1"/>
        <v>K</v>
      </c>
      <c r="G54" s="5" t="str">
        <f t="shared" si="2"/>
        <v>VK McBeth</v>
      </c>
      <c r="I54"/>
      <c r="J54"/>
      <c r="K54"/>
      <c r="L54"/>
    </row>
    <row r="55" spans="1:12" ht="14.4">
      <c r="A55" s="4">
        <v>54</v>
      </c>
      <c r="B55" s="4">
        <v>39</v>
      </c>
      <c r="C55" s="4" t="s">
        <v>317</v>
      </c>
      <c r="D55" s="4" t="s">
        <v>318</v>
      </c>
      <c r="E55" s="4" t="str">
        <f t="shared" si="0"/>
        <v>G</v>
      </c>
      <c r="F55" s="4" t="str">
        <f t="shared" si="1"/>
        <v>J</v>
      </c>
      <c r="G55" s="5" t="str">
        <f t="shared" si="2"/>
        <v>GJ McGill</v>
      </c>
      <c r="I55"/>
      <c r="J55"/>
      <c r="K55"/>
      <c r="L55"/>
    </row>
    <row r="56" spans="1:12" ht="14.4">
      <c r="A56" s="4">
        <v>55</v>
      </c>
      <c r="B56" s="4">
        <v>138</v>
      </c>
      <c r="C56" s="4" t="s">
        <v>319</v>
      </c>
      <c r="D56" s="4"/>
      <c r="E56" s="4" t="str">
        <f t="shared" si="0"/>
        <v/>
      </c>
      <c r="F56" s="4" t="str">
        <f t="shared" si="1"/>
        <v/>
      </c>
      <c r="G56" s="5" t="str">
        <f t="shared" si="2"/>
        <v>WE &amp; DJ Klingenberg</v>
      </c>
      <c r="I56"/>
      <c r="J56"/>
      <c r="K56"/>
      <c r="L56"/>
    </row>
    <row r="57" spans="1:12" ht="14.4">
      <c r="A57" s="4">
        <v>56</v>
      </c>
      <c r="B57" s="4">
        <v>14</v>
      </c>
      <c r="C57" s="4" t="s">
        <v>320</v>
      </c>
      <c r="D57" s="4" t="s">
        <v>288</v>
      </c>
      <c r="E57" s="4" t="str">
        <f t="shared" si="0"/>
        <v>A</v>
      </c>
      <c r="F57" s="4" t="str">
        <f t="shared" si="1"/>
        <v>J</v>
      </c>
      <c r="G57" s="5" t="str">
        <f t="shared" si="2"/>
        <v>AJ Mendecki</v>
      </c>
      <c r="I57"/>
      <c r="J57"/>
      <c r="K57"/>
      <c r="L57"/>
    </row>
    <row r="58" spans="1:12" ht="14.4">
      <c r="A58" s="4">
        <v>57</v>
      </c>
      <c r="B58" s="4">
        <v>459</v>
      </c>
      <c r="C58" s="4" t="s">
        <v>321</v>
      </c>
      <c r="D58" s="4" t="s">
        <v>322</v>
      </c>
      <c r="E58" s="4" t="str">
        <f t="shared" si="0"/>
        <v>G</v>
      </c>
      <c r="F58" s="4" t="str">
        <f t="shared" si="1"/>
        <v>G</v>
      </c>
      <c r="G58" s="5" t="str">
        <f t="shared" si="2"/>
        <v>GG Meyer</v>
      </c>
      <c r="I58"/>
      <c r="J58"/>
      <c r="K58"/>
      <c r="L58"/>
    </row>
    <row r="59" spans="1:12" ht="14.4">
      <c r="A59" s="4">
        <v>58</v>
      </c>
      <c r="B59" s="4">
        <v>68</v>
      </c>
      <c r="C59" s="4" t="s">
        <v>323</v>
      </c>
      <c r="D59" s="4" t="s">
        <v>278</v>
      </c>
      <c r="E59" s="4" t="str">
        <f t="shared" si="0"/>
        <v>M</v>
      </c>
      <c r="F59" s="4" t="str">
        <f t="shared" si="1"/>
        <v>M</v>
      </c>
      <c r="G59" s="5" t="str">
        <f t="shared" si="2"/>
        <v>MM Pretorius (Rita)01</v>
      </c>
      <c r="I59"/>
      <c r="J59"/>
      <c r="K59"/>
      <c r="L59"/>
    </row>
    <row r="60" spans="1:12" ht="14.4">
      <c r="A60" s="4">
        <v>59</v>
      </c>
      <c r="B60" s="4">
        <v>355</v>
      </c>
      <c r="C60" s="4" t="s">
        <v>324</v>
      </c>
      <c r="D60" s="4" t="s">
        <v>325</v>
      </c>
      <c r="E60" s="4" t="str">
        <f t="shared" si="0"/>
        <v>A</v>
      </c>
      <c r="F60" s="4" t="str">
        <f t="shared" si="1"/>
        <v>P</v>
      </c>
      <c r="G60" s="5" t="str">
        <f t="shared" si="2"/>
        <v>AP Moll</v>
      </c>
      <c r="I60"/>
      <c r="J60"/>
      <c r="K60"/>
      <c r="L60"/>
    </row>
    <row r="61" spans="1:12" ht="14.4">
      <c r="A61" s="4">
        <v>60</v>
      </c>
      <c r="B61" s="4">
        <v>52</v>
      </c>
      <c r="C61" s="4" t="s">
        <v>326</v>
      </c>
      <c r="D61" s="4" t="s">
        <v>327</v>
      </c>
      <c r="E61" s="4" t="str">
        <f t="shared" si="0"/>
        <v>K</v>
      </c>
      <c r="F61" s="4" t="str">
        <f t="shared" si="1"/>
        <v>A</v>
      </c>
      <c r="G61" s="5" t="str">
        <f t="shared" si="2"/>
        <v>KA Moxham</v>
      </c>
      <c r="I61"/>
      <c r="J61"/>
      <c r="K61"/>
      <c r="L61"/>
    </row>
    <row r="62" spans="1:12" ht="14.4">
      <c r="A62" s="4">
        <v>61</v>
      </c>
      <c r="B62" s="4">
        <v>32</v>
      </c>
      <c r="C62" s="4" t="s">
        <v>328</v>
      </c>
      <c r="D62" s="4" t="s">
        <v>228</v>
      </c>
      <c r="E62" s="4" t="str">
        <f t="shared" si="0"/>
        <v/>
      </c>
      <c r="F62" s="4" t="str">
        <f t="shared" si="1"/>
        <v/>
      </c>
      <c r="G62" s="5" t="str">
        <f t="shared" si="2"/>
        <v>MSJM Trust</v>
      </c>
      <c r="I62"/>
      <c r="J62"/>
      <c r="K62"/>
      <c r="L62"/>
    </row>
    <row r="63" spans="1:12" ht="14.4">
      <c r="A63" s="4">
        <v>62</v>
      </c>
      <c r="B63" s="4">
        <v>208</v>
      </c>
      <c r="C63" s="4" t="s">
        <v>329</v>
      </c>
      <c r="D63" s="4" t="s">
        <v>330</v>
      </c>
      <c r="E63" s="4" t="str">
        <f t="shared" si="0"/>
        <v>A</v>
      </c>
      <c r="F63" s="4" t="str">
        <f t="shared" si="1"/>
        <v>M</v>
      </c>
      <c r="G63" s="5" t="str">
        <f t="shared" si="2"/>
        <v>AM Muir</v>
      </c>
      <c r="I63"/>
      <c r="J63"/>
      <c r="K63"/>
      <c r="L63"/>
    </row>
    <row r="64" spans="1:12" ht="14.4">
      <c r="A64" s="4">
        <v>63</v>
      </c>
      <c r="B64" s="4">
        <v>155</v>
      </c>
      <c r="C64" s="4" t="s">
        <v>331</v>
      </c>
      <c r="D64" s="4"/>
      <c r="E64" s="4" t="str">
        <f t="shared" ref="E64" si="5">LEFT(D64,1)</f>
        <v/>
      </c>
      <c r="F64" s="4" t="str">
        <f t="shared" ref="F64" si="6">IF(MID(D64,2,1)=" ",MID(D64,3,1),MID(D64,2,1))</f>
        <v/>
      </c>
      <c r="G64" s="5" t="str">
        <f t="shared" ref="G64" si="7">IF(D64="",C64,CONCATENATE(E64,F64," ",C64))</f>
        <v>KSB Durban Trust</v>
      </c>
      <c r="I64"/>
      <c r="J64"/>
      <c r="K64"/>
      <c r="L64"/>
    </row>
    <row r="65" spans="1:12" ht="14.4">
      <c r="A65" s="4">
        <v>64</v>
      </c>
      <c r="B65" s="4">
        <v>243</v>
      </c>
      <c r="C65" s="4" t="s">
        <v>332</v>
      </c>
      <c r="D65" s="4" t="s">
        <v>333</v>
      </c>
      <c r="E65" s="4" t="str">
        <f t="shared" si="0"/>
        <v>J</v>
      </c>
      <c r="F65" s="4" t="str">
        <f t="shared" si="1"/>
        <v>T</v>
      </c>
      <c r="G65" s="5" t="str">
        <f t="shared" si="2"/>
        <v>JT Munroe</v>
      </c>
      <c r="I65"/>
      <c r="J65"/>
      <c r="K65"/>
      <c r="L65"/>
    </row>
    <row r="66" spans="1:12" ht="14.4">
      <c r="A66" s="4">
        <v>65</v>
      </c>
      <c r="B66" s="4">
        <v>243</v>
      </c>
      <c r="C66" s="4" t="s">
        <v>332</v>
      </c>
      <c r="D66" s="4" t="s">
        <v>334</v>
      </c>
      <c r="E66" s="4" t="str">
        <f t="shared" si="0"/>
        <v>L</v>
      </c>
      <c r="F66" s="4" t="str">
        <f t="shared" si="1"/>
        <v>J</v>
      </c>
      <c r="G66" s="5" t="str">
        <f t="shared" si="2"/>
        <v>LJ Munroe</v>
      </c>
      <c r="I66"/>
      <c r="J66"/>
      <c r="K66"/>
      <c r="L66"/>
    </row>
    <row r="67" spans="1:12" ht="14.4">
      <c r="A67" s="4">
        <v>66</v>
      </c>
      <c r="B67" s="4">
        <v>440</v>
      </c>
      <c r="C67" s="4" t="s">
        <v>335</v>
      </c>
      <c r="D67" s="4" t="s">
        <v>336</v>
      </c>
      <c r="E67" s="4" t="str">
        <f t="shared" si="0"/>
        <v>P</v>
      </c>
      <c r="F67" s="4" t="str">
        <f t="shared" si="1"/>
        <v>G</v>
      </c>
      <c r="G67" s="5" t="str">
        <f t="shared" si="2"/>
        <v>PG Naude</v>
      </c>
      <c r="I67"/>
      <c r="J67"/>
      <c r="K67"/>
      <c r="L67"/>
    </row>
    <row r="68" spans="1:12" ht="14.4">
      <c r="A68" s="4">
        <v>67</v>
      </c>
      <c r="B68" s="4">
        <v>410</v>
      </c>
      <c r="C68" s="4" t="s">
        <v>337</v>
      </c>
      <c r="D68" s="4" t="s">
        <v>338</v>
      </c>
      <c r="E68" s="4" t="str">
        <f t="shared" si="0"/>
        <v>R</v>
      </c>
      <c r="F68" s="4" t="str">
        <f t="shared" si="1"/>
        <v>H</v>
      </c>
      <c r="G68" s="5" t="str">
        <f t="shared" si="2"/>
        <v>RH Nautsch</v>
      </c>
      <c r="I68"/>
      <c r="J68"/>
      <c r="K68"/>
      <c r="L68"/>
    </row>
    <row r="69" spans="1:12" ht="14.4">
      <c r="A69" s="4">
        <v>68</v>
      </c>
      <c r="B69" s="4">
        <v>98</v>
      </c>
      <c r="C69" s="4" t="s">
        <v>339</v>
      </c>
      <c r="D69" s="5" t="s">
        <v>340</v>
      </c>
      <c r="E69" s="4" t="str">
        <f t="shared" si="0"/>
        <v>E</v>
      </c>
      <c r="F69" s="4" t="str">
        <f t="shared" si="1"/>
        <v/>
      </c>
      <c r="G69" s="5" t="str">
        <f t="shared" si="2"/>
        <v>E Ndobe</v>
      </c>
      <c r="I69"/>
      <c r="J69"/>
      <c r="K69"/>
      <c r="L69"/>
    </row>
    <row r="70" spans="1:12" ht="14.4">
      <c r="A70" s="4">
        <v>69</v>
      </c>
      <c r="B70" s="4">
        <v>239</v>
      </c>
      <c r="C70" s="4" t="s">
        <v>341</v>
      </c>
      <c r="D70" s="4" t="s">
        <v>342</v>
      </c>
      <c r="E70" s="4" t="str">
        <f t="shared" si="0"/>
        <v>N</v>
      </c>
      <c r="F70" s="4" t="str">
        <f t="shared" si="1"/>
        <v>A</v>
      </c>
      <c r="G70" s="5" t="str">
        <f t="shared" si="2"/>
        <v>NA Ngcece</v>
      </c>
      <c r="I70"/>
      <c r="J70"/>
      <c r="K70"/>
      <c r="L70"/>
    </row>
    <row r="71" spans="1:12" ht="14.4">
      <c r="A71" s="4">
        <v>70</v>
      </c>
      <c r="B71" s="4"/>
      <c r="C71" s="4" t="s">
        <v>343</v>
      </c>
      <c r="D71" s="4" t="s">
        <v>237</v>
      </c>
      <c r="E71" s="4" t="str">
        <f t="shared" si="0"/>
        <v>G</v>
      </c>
      <c r="F71" s="4" t="str">
        <f t="shared" si="1"/>
        <v>R</v>
      </c>
      <c r="G71" s="5" t="str">
        <f t="shared" si="2"/>
        <v>GR Drakes</v>
      </c>
      <c r="I71"/>
      <c r="J71"/>
      <c r="K71"/>
      <c r="L71"/>
    </row>
    <row r="72" spans="1:12" ht="14.4">
      <c r="A72" s="4">
        <v>71</v>
      </c>
      <c r="B72" s="4">
        <v>412</v>
      </c>
      <c r="C72" s="4" t="s">
        <v>344</v>
      </c>
      <c r="D72" s="4" t="s">
        <v>345</v>
      </c>
      <c r="E72" s="4" t="str">
        <f t="shared" si="0"/>
        <v>P</v>
      </c>
      <c r="F72" s="4" t="str">
        <f t="shared" si="1"/>
        <v>M</v>
      </c>
      <c r="G72" s="5" t="str">
        <f t="shared" si="2"/>
        <v>PM North</v>
      </c>
      <c r="I72"/>
      <c r="J72"/>
      <c r="K72"/>
      <c r="L72"/>
    </row>
    <row r="73" spans="1:12" ht="14.4">
      <c r="A73" s="4">
        <v>72</v>
      </c>
      <c r="B73" s="4">
        <v>412</v>
      </c>
      <c r="C73" s="4" t="s">
        <v>344</v>
      </c>
      <c r="D73" s="4" t="s">
        <v>288</v>
      </c>
      <c r="E73" s="4" t="str">
        <f t="shared" si="0"/>
        <v>A</v>
      </c>
      <c r="F73" s="4" t="str">
        <f t="shared" si="1"/>
        <v>J</v>
      </c>
      <c r="G73" s="5" t="str">
        <f t="shared" si="2"/>
        <v>AJ North</v>
      </c>
      <c r="I73"/>
      <c r="J73"/>
      <c r="K73"/>
      <c r="L73"/>
    </row>
    <row r="74" spans="1:12" ht="14.4">
      <c r="A74" s="4">
        <v>73</v>
      </c>
      <c r="B74" s="4">
        <v>36</v>
      </c>
      <c r="C74" s="4" t="s">
        <v>346</v>
      </c>
      <c r="D74" s="4" t="s">
        <v>347</v>
      </c>
      <c r="E74" s="4" t="str">
        <f t="shared" ref="E74:E151" si="8">LEFT(D74,1)</f>
        <v>F</v>
      </c>
      <c r="F74" s="4" t="str">
        <f t="shared" ref="F74:F151" si="9">IF(MID(D74,2,1)=" ",MID(D74,3,1),MID(D74,2,1))</f>
        <v/>
      </c>
      <c r="G74" s="5" t="str">
        <f t="shared" ref="G74:G151" si="10">IF(D74="",C74,CONCATENATE(E74,F74," ",C74))</f>
        <v>F Ohsiek</v>
      </c>
      <c r="I74"/>
      <c r="J74"/>
      <c r="K74"/>
      <c r="L74"/>
    </row>
    <row r="75" spans="1:12" ht="14.4">
      <c r="A75" s="4">
        <v>74</v>
      </c>
      <c r="B75" s="4">
        <v>113</v>
      </c>
      <c r="C75" s="4" t="s">
        <v>348</v>
      </c>
      <c r="D75" s="4"/>
      <c r="E75" s="4"/>
      <c r="F75" s="4"/>
      <c r="G75" s="5" t="str">
        <f t="shared" si="10"/>
        <v>Nethering Travel Limited</v>
      </c>
      <c r="I75"/>
      <c r="J75"/>
      <c r="K75"/>
      <c r="L75"/>
    </row>
    <row r="76" spans="1:12" ht="14.4">
      <c r="A76" s="4">
        <v>75</v>
      </c>
      <c r="B76" s="4">
        <v>91</v>
      </c>
      <c r="C76" s="4" t="s">
        <v>349</v>
      </c>
      <c r="D76" s="4" t="s">
        <v>350</v>
      </c>
      <c r="E76" s="4" t="str">
        <f t="shared" si="8"/>
        <v>B</v>
      </c>
      <c r="F76" s="4" t="str">
        <f t="shared" si="9"/>
        <v>H</v>
      </c>
      <c r="G76" s="5" t="str">
        <f t="shared" si="10"/>
        <v>BH Phipson</v>
      </c>
      <c r="I76"/>
      <c r="J76"/>
      <c r="K76"/>
      <c r="L76"/>
    </row>
    <row r="77" spans="1:12" ht="14.4">
      <c r="A77" s="4">
        <v>76</v>
      </c>
      <c r="B77" s="4">
        <v>80</v>
      </c>
      <c r="C77" s="4" t="s">
        <v>351</v>
      </c>
      <c r="D77" s="4" t="s">
        <v>318</v>
      </c>
      <c r="E77" s="4" t="str">
        <f t="shared" si="8"/>
        <v>G</v>
      </c>
      <c r="F77" s="4" t="str">
        <f t="shared" si="9"/>
        <v>J</v>
      </c>
      <c r="G77" s="5" t="str">
        <f t="shared" si="10"/>
        <v>GJ Ralph</v>
      </c>
      <c r="I77"/>
      <c r="J77"/>
      <c r="K77"/>
      <c r="L77"/>
    </row>
    <row r="78" spans="1:12" ht="14.4">
      <c r="A78" s="4">
        <v>77</v>
      </c>
      <c r="B78" s="4">
        <v>193</v>
      </c>
      <c r="C78" s="4" t="s">
        <v>352</v>
      </c>
      <c r="D78" s="4" t="s">
        <v>353</v>
      </c>
      <c r="E78" s="4" t="str">
        <f t="shared" si="8"/>
        <v>J</v>
      </c>
      <c r="F78" s="4" t="str">
        <f t="shared" si="9"/>
        <v>J</v>
      </c>
      <c r="G78" s="5" t="str">
        <f t="shared" si="10"/>
        <v>JJ Randall</v>
      </c>
      <c r="I78"/>
      <c r="J78"/>
      <c r="K78"/>
      <c r="L78"/>
    </row>
    <row r="79" spans="1:12" ht="14.4">
      <c r="A79" s="4">
        <v>78</v>
      </c>
      <c r="B79" s="4">
        <v>32</v>
      </c>
      <c r="C79" s="4" t="s">
        <v>354</v>
      </c>
      <c r="D79" s="4" t="s">
        <v>355</v>
      </c>
      <c r="E79" s="4" t="str">
        <f t="shared" si="8"/>
        <v>M</v>
      </c>
      <c r="F79" s="4" t="str">
        <f t="shared" si="9"/>
        <v/>
      </c>
      <c r="G79" s="5" t="str">
        <f t="shared" si="10"/>
        <v>M Render</v>
      </c>
      <c r="I79"/>
      <c r="J79"/>
      <c r="K79"/>
      <c r="L79"/>
    </row>
    <row r="80" spans="1:12" ht="14.4">
      <c r="A80" s="4">
        <v>79</v>
      </c>
      <c r="B80" s="4">
        <v>320</v>
      </c>
      <c r="C80" s="4" t="s">
        <v>356</v>
      </c>
      <c r="D80" s="4" t="s">
        <v>247</v>
      </c>
      <c r="E80" s="4" t="str">
        <f t="shared" si="8"/>
        <v>C</v>
      </c>
      <c r="F80" s="4" t="str">
        <f t="shared" si="9"/>
        <v>J</v>
      </c>
      <c r="G80" s="5" t="str">
        <f t="shared" si="10"/>
        <v>CJ Roberts</v>
      </c>
      <c r="I80"/>
      <c r="J80"/>
      <c r="K80"/>
      <c r="L80"/>
    </row>
    <row r="81" spans="1:12" ht="14.4">
      <c r="A81" s="4">
        <v>80</v>
      </c>
      <c r="B81" s="4">
        <v>320</v>
      </c>
      <c r="C81" s="4" t="s">
        <v>356</v>
      </c>
      <c r="D81" s="4" t="s">
        <v>357</v>
      </c>
      <c r="E81" s="4" t="str">
        <f t="shared" si="8"/>
        <v>D</v>
      </c>
      <c r="F81" s="4" t="str">
        <f t="shared" si="9"/>
        <v>A</v>
      </c>
      <c r="G81" s="5" t="str">
        <f t="shared" si="10"/>
        <v>DA Roberts</v>
      </c>
      <c r="I81"/>
      <c r="J81"/>
      <c r="K81"/>
      <c r="L81"/>
    </row>
    <row r="82" spans="1:12" ht="14.4">
      <c r="A82" s="4">
        <v>81</v>
      </c>
      <c r="B82" s="4">
        <v>40</v>
      </c>
      <c r="C82" s="4" t="s">
        <v>358</v>
      </c>
      <c r="D82" s="4" t="s">
        <v>359</v>
      </c>
      <c r="E82" s="4" t="str">
        <f t="shared" si="8"/>
        <v>B</v>
      </c>
      <c r="F82" s="4" t="str">
        <f t="shared" si="9"/>
        <v/>
      </c>
      <c r="G82" s="5" t="str">
        <f t="shared" si="10"/>
        <v>B Robinson</v>
      </c>
      <c r="I82"/>
      <c r="J82"/>
      <c r="K82"/>
      <c r="L82"/>
    </row>
    <row r="83" spans="1:12" ht="14.4">
      <c r="A83" s="4">
        <v>82</v>
      </c>
      <c r="B83" s="4">
        <v>48</v>
      </c>
      <c r="C83" s="4" t="s">
        <v>360</v>
      </c>
      <c r="D83" s="4" t="s">
        <v>361</v>
      </c>
      <c r="E83" s="4" t="str">
        <f t="shared" si="8"/>
        <v>H</v>
      </c>
      <c r="F83" s="4" t="str">
        <f t="shared" si="9"/>
        <v>R</v>
      </c>
      <c r="G83" s="5" t="str">
        <f t="shared" si="10"/>
        <v>HR Schon</v>
      </c>
      <c r="I83"/>
      <c r="J83"/>
      <c r="K83"/>
      <c r="L83"/>
    </row>
    <row r="84" spans="1:12" ht="14.4">
      <c r="A84" s="4">
        <v>83</v>
      </c>
      <c r="B84" s="4">
        <v>11</v>
      </c>
      <c r="C84" s="4" t="s">
        <v>362</v>
      </c>
      <c r="D84" s="4" t="s">
        <v>363</v>
      </c>
      <c r="E84" s="4" t="str">
        <f t="shared" si="8"/>
        <v>J</v>
      </c>
      <c r="F84" s="4" t="str">
        <f t="shared" si="9"/>
        <v>L</v>
      </c>
      <c r="G84" s="5" t="str">
        <f t="shared" si="10"/>
        <v>JL Schroder</v>
      </c>
      <c r="I84"/>
      <c r="J84"/>
      <c r="K84"/>
      <c r="L84"/>
    </row>
    <row r="85" spans="1:12" ht="14.4">
      <c r="A85" s="4">
        <v>84</v>
      </c>
      <c r="B85" s="4">
        <v>222</v>
      </c>
      <c r="C85" s="4" t="s">
        <v>364</v>
      </c>
      <c r="D85" s="4" t="s">
        <v>363</v>
      </c>
      <c r="E85" s="4" t="str">
        <f t="shared" si="8"/>
        <v>J</v>
      </c>
      <c r="F85" s="4" t="str">
        <f t="shared" si="9"/>
        <v>L</v>
      </c>
      <c r="G85" s="5" t="str">
        <f t="shared" si="10"/>
        <v>JL Sellors</v>
      </c>
      <c r="I85"/>
      <c r="J85"/>
      <c r="K85"/>
      <c r="L85"/>
    </row>
    <row r="86" spans="1:12" ht="14.4">
      <c r="A86" s="4">
        <v>85</v>
      </c>
      <c r="B86" s="4">
        <v>165</v>
      </c>
      <c r="C86" s="4" t="s">
        <v>365</v>
      </c>
      <c r="D86" s="4"/>
      <c r="E86" s="4"/>
      <c r="F86" s="4"/>
      <c r="G86" s="5" t="str">
        <f t="shared" ref="G86" si="11">IF(D86="",C86,CONCATENATE(E86,F86," ",C86))</f>
        <v>AO and C Friederang</v>
      </c>
      <c r="I86"/>
      <c r="J86"/>
      <c r="K86"/>
      <c r="L86"/>
    </row>
    <row r="87" spans="1:12" ht="14.4">
      <c r="A87" s="4">
        <v>86</v>
      </c>
      <c r="B87" s="4">
        <v>69</v>
      </c>
      <c r="C87" s="4" t="s">
        <v>366</v>
      </c>
      <c r="D87" s="4"/>
      <c r="E87" s="4" t="str">
        <f t="shared" ref="E87" si="12">LEFT(D87,1)</f>
        <v/>
      </c>
      <c r="F87" s="4" t="str">
        <f t="shared" ref="F87" si="13">IF(MID(D87,2,1)=" ",MID(D87,3,1),MID(D87,2,1))</f>
        <v/>
      </c>
      <c r="G87" s="5" t="str">
        <f t="shared" ref="G87" si="14">IF(D87="",C87,CONCATENATE(E87,F87," ",C87))</f>
        <v>MM Pretorius (Markus)</v>
      </c>
      <c r="I87"/>
      <c r="J87"/>
      <c r="K87"/>
      <c r="L87"/>
    </row>
    <row r="88" spans="1:12" ht="14.4">
      <c r="A88" s="4">
        <v>87</v>
      </c>
      <c r="B88" s="4">
        <v>313</v>
      </c>
      <c r="C88" s="4" t="s">
        <v>367</v>
      </c>
      <c r="D88" s="4" t="s">
        <v>368</v>
      </c>
      <c r="E88" s="4" t="str">
        <f t="shared" si="8"/>
        <v>I</v>
      </c>
      <c r="F88" s="4" t="str">
        <f t="shared" si="9"/>
        <v>N</v>
      </c>
      <c r="G88" s="5" t="str">
        <f t="shared" si="10"/>
        <v>IN Sinclair</v>
      </c>
      <c r="I88"/>
      <c r="J88"/>
      <c r="K88"/>
      <c r="L88"/>
    </row>
    <row r="89" spans="1:12" ht="14.4">
      <c r="A89" s="4">
        <v>88</v>
      </c>
      <c r="B89" s="4">
        <v>405</v>
      </c>
      <c r="C89" s="4" t="s">
        <v>369</v>
      </c>
      <c r="D89" s="4" t="s">
        <v>248</v>
      </c>
      <c r="E89" s="4" t="str">
        <f t="shared" si="8"/>
        <v>R</v>
      </c>
      <c r="F89" s="4" t="str">
        <f t="shared" si="9"/>
        <v/>
      </c>
      <c r="G89" s="5" t="str">
        <f t="shared" si="10"/>
        <v>R Slater</v>
      </c>
      <c r="I89"/>
      <c r="J89"/>
      <c r="K89"/>
      <c r="L89"/>
    </row>
    <row r="90" spans="1:12" ht="14.4">
      <c r="A90" s="4">
        <v>89</v>
      </c>
      <c r="B90" s="4">
        <v>225</v>
      </c>
      <c r="C90" s="4" t="s">
        <v>370</v>
      </c>
      <c r="D90" s="4" t="s">
        <v>371</v>
      </c>
      <c r="E90" s="4" t="str">
        <f t="shared" si="8"/>
        <v>V</v>
      </c>
      <c r="F90" s="4" t="str">
        <f t="shared" si="9"/>
        <v>J</v>
      </c>
      <c r="G90" s="5" t="str">
        <f t="shared" si="10"/>
        <v>VJ Smithers</v>
      </c>
      <c r="I90"/>
      <c r="J90"/>
      <c r="K90"/>
      <c r="L90"/>
    </row>
    <row r="91" spans="1:12" ht="14.4">
      <c r="A91" s="4">
        <v>90</v>
      </c>
      <c r="B91" s="4">
        <v>358</v>
      </c>
      <c r="C91" s="4" t="s">
        <v>372</v>
      </c>
      <c r="D91" s="4" t="s">
        <v>373</v>
      </c>
      <c r="E91" s="4" t="str">
        <f t="shared" si="8"/>
        <v>M</v>
      </c>
      <c r="F91" s="4" t="str">
        <f t="shared" si="9"/>
        <v>P</v>
      </c>
      <c r="G91" s="5" t="str">
        <f t="shared" si="10"/>
        <v>MP Smit</v>
      </c>
      <c r="I91"/>
      <c r="J91"/>
      <c r="K91"/>
      <c r="L91"/>
    </row>
    <row r="92" spans="1:12" ht="14.4">
      <c r="A92" s="4">
        <v>91</v>
      </c>
      <c r="B92" s="4">
        <v>168</v>
      </c>
      <c r="C92" s="4" t="s">
        <v>374</v>
      </c>
      <c r="D92" s="4" t="s">
        <v>375</v>
      </c>
      <c r="E92" s="4" t="str">
        <f t="shared" si="8"/>
        <v>G</v>
      </c>
      <c r="F92" s="4" t="str">
        <f t="shared" si="9"/>
        <v>D</v>
      </c>
      <c r="G92" s="5" t="str">
        <f t="shared" si="10"/>
        <v>GD Snyman</v>
      </c>
      <c r="I92"/>
      <c r="J92"/>
      <c r="K92"/>
      <c r="L92"/>
    </row>
    <row r="93" spans="1:12" ht="14.4">
      <c r="A93" s="4">
        <v>92</v>
      </c>
      <c r="B93" s="4">
        <v>181</v>
      </c>
      <c r="C93" s="4" t="s">
        <v>376</v>
      </c>
      <c r="D93" s="4" t="s">
        <v>377</v>
      </c>
      <c r="E93" s="4" t="str">
        <f t="shared" si="8"/>
        <v>P</v>
      </c>
      <c r="F93" s="4" t="str">
        <f t="shared" si="9"/>
        <v>P</v>
      </c>
      <c r="G93" s="5" t="str">
        <f t="shared" si="10"/>
        <v>PP Staley</v>
      </c>
      <c r="I93"/>
      <c r="J93"/>
      <c r="K93"/>
      <c r="L93"/>
    </row>
    <row r="94" spans="1:12" ht="14.4">
      <c r="A94" s="4">
        <v>93</v>
      </c>
      <c r="B94" s="4">
        <v>213</v>
      </c>
      <c r="C94" s="4" t="s">
        <v>378</v>
      </c>
      <c r="D94" s="4" t="s">
        <v>248</v>
      </c>
      <c r="E94" s="4" t="str">
        <f t="shared" si="8"/>
        <v>R</v>
      </c>
      <c r="F94" s="4" t="str">
        <f t="shared" si="9"/>
        <v/>
      </c>
      <c r="G94" s="5" t="str">
        <f t="shared" si="10"/>
        <v>R Standish</v>
      </c>
      <c r="I94"/>
      <c r="J94"/>
      <c r="K94"/>
      <c r="L94"/>
    </row>
    <row r="95" spans="1:12" ht="14.4">
      <c r="A95" s="4">
        <v>94</v>
      </c>
      <c r="B95" s="4">
        <v>171</v>
      </c>
      <c r="C95" s="4" t="s">
        <v>379</v>
      </c>
      <c r="D95" s="4" t="s">
        <v>380</v>
      </c>
      <c r="E95" s="4" t="str">
        <f t="shared" si="8"/>
        <v>D</v>
      </c>
      <c r="F95" s="4" t="str">
        <f t="shared" si="9"/>
        <v>M</v>
      </c>
      <c r="G95" s="5" t="str">
        <f t="shared" si="10"/>
        <v>DM Stanton</v>
      </c>
      <c r="I95"/>
      <c r="J95"/>
      <c r="K95"/>
      <c r="L95"/>
    </row>
    <row r="96" spans="1:12" ht="14.4">
      <c r="A96" s="4">
        <v>95</v>
      </c>
      <c r="B96" s="4">
        <v>13</v>
      </c>
      <c r="C96" s="4" t="s">
        <v>381</v>
      </c>
      <c r="D96" s="4" t="s">
        <v>382</v>
      </c>
      <c r="E96" s="4" t="str">
        <f t="shared" si="8"/>
        <v>C</v>
      </c>
      <c r="F96" s="4" t="str">
        <f t="shared" si="9"/>
        <v>A</v>
      </c>
      <c r="G96" s="5" t="str">
        <f t="shared" si="10"/>
        <v>CA Stark</v>
      </c>
      <c r="I96"/>
      <c r="J96"/>
      <c r="K96"/>
      <c r="L96"/>
    </row>
    <row r="97" spans="1:12" ht="14.4">
      <c r="A97" s="4">
        <v>96</v>
      </c>
      <c r="B97" s="4">
        <v>139</v>
      </c>
      <c r="C97" s="4" t="s">
        <v>281</v>
      </c>
      <c r="D97" s="5" t="s">
        <v>383</v>
      </c>
      <c r="E97" s="4" t="str">
        <f t="shared" si="8"/>
        <v>K</v>
      </c>
      <c r="F97" s="4" t="str">
        <f t="shared" si="9"/>
        <v>F</v>
      </c>
      <c r="G97" s="5" t="str">
        <f t="shared" si="10"/>
        <v>KF Stonestreet</v>
      </c>
      <c r="I97"/>
      <c r="J97"/>
      <c r="K97"/>
      <c r="L97"/>
    </row>
    <row r="98" spans="1:12" ht="14.4">
      <c r="A98" s="4">
        <v>97</v>
      </c>
      <c r="B98" s="4">
        <v>139</v>
      </c>
      <c r="C98" s="4" t="s">
        <v>281</v>
      </c>
      <c r="D98" s="4" t="s">
        <v>384</v>
      </c>
      <c r="E98" s="4" t="str">
        <f t="shared" si="8"/>
        <v>M</v>
      </c>
      <c r="F98" s="4" t="str">
        <f t="shared" si="9"/>
        <v>E</v>
      </c>
      <c r="G98" s="5" t="str">
        <f t="shared" si="10"/>
        <v>ME Stonestreet</v>
      </c>
      <c r="I98"/>
      <c r="J98"/>
      <c r="K98"/>
      <c r="L98"/>
    </row>
    <row r="99" spans="1:12" ht="14.4">
      <c r="A99" s="4">
        <v>98</v>
      </c>
      <c r="B99" s="4">
        <v>139</v>
      </c>
      <c r="C99" s="4" t="s">
        <v>140</v>
      </c>
      <c r="D99" s="4" t="s">
        <v>228</v>
      </c>
      <c r="E99" s="4" t="str">
        <f t="shared" si="8"/>
        <v/>
      </c>
      <c r="F99" s="4" t="str">
        <f t="shared" si="9"/>
        <v/>
      </c>
      <c r="G99" s="5" t="str">
        <f t="shared" si="10"/>
        <v>Stonestreet Family Trust</v>
      </c>
      <c r="I99"/>
      <c r="J99"/>
      <c r="K99"/>
      <c r="L99"/>
    </row>
    <row r="100" spans="1:12" ht="14.4">
      <c r="A100" s="4">
        <v>99</v>
      </c>
      <c r="B100" s="4">
        <v>269</v>
      </c>
      <c r="C100" s="4" t="s">
        <v>385</v>
      </c>
      <c r="D100" s="4" t="s">
        <v>386</v>
      </c>
      <c r="E100" s="4" t="str">
        <f t="shared" si="8"/>
        <v>A</v>
      </c>
      <c r="F100" s="4" t="str">
        <f t="shared" si="9"/>
        <v>D</v>
      </c>
      <c r="G100" s="5" t="str">
        <f t="shared" si="10"/>
        <v>AD Sutton</v>
      </c>
      <c r="I100"/>
      <c r="J100"/>
      <c r="K100"/>
      <c r="L100"/>
    </row>
    <row r="101" spans="1:12" ht="14.4">
      <c r="A101" s="4">
        <v>100</v>
      </c>
      <c r="B101" s="4">
        <v>431</v>
      </c>
      <c r="C101" s="4" t="s">
        <v>385</v>
      </c>
      <c r="D101" s="4" t="s">
        <v>387</v>
      </c>
      <c r="E101" s="4" t="str">
        <f t="shared" si="8"/>
        <v>L</v>
      </c>
      <c r="F101" s="4" t="str">
        <f t="shared" si="9"/>
        <v>A</v>
      </c>
      <c r="G101" s="5" t="str">
        <f t="shared" si="10"/>
        <v>LA Sutton</v>
      </c>
      <c r="I101"/>
      <c r="J101"/>
      <c r="K101"/>
      <c r="L101"/>
    </row>
    <row r="102" spans="1:12" ht="14.4">
      <c r="A102" s="4">
        <v>101</v>
      </c>
      <c r="B102" s="4">
        <v>70</v>
      </c>
      <c r="C102" s="4" t="s">
        <v>388</v>
      </c>
      <c r="D102" s="4"/>
      <c r="E102" s="4" t="str">
        <f t="shared" si="8"/>
        <v/>
      </c>
      <c r="F102" s="4" t="str">
        <f t="shared" si="9"/>
        <v/>
      </c>
      <c r="G102" s="5" t="str">
        <f t="shared" si="10"/>
        <v>WP Pretorius (Pieter)</v>
      </c>
      <c r="I102"/>
      <c r="J102"/>
      <c r="K102"/>
      <c r="L102"/>
    </row>
    <row r="103" spans="1:12" ht="14.4">
      <c r="A103" s="4">
        <v>102</v>
      </c>
      <c r="B103" s="4">
        <v>185</v>
      </c>
      <c r="C103" s="4" t="s">
        <v>389</v>
      </c>
      <c r="D103" s="4"/>
      <c r="E103" s="4" t="str">
        <f t="shared" si="8"/>
        <v/>
      </c>
      <c r="F103" s="4" t="str">
        <f t="shared" si="9"/>
        <v/>
      </c>
      <c r="G103" s="5" t="str">
        <f t="shared" si="10"/>
        <v>The Dennison Domestic Workers Fund</v>
      </c>
      <c r="I103"/>
      <c r="J103"/>
      <c r="K103"/>
      <c r="L103"/>
    </row>
    <row r="104" spans="1:12" ht="14.4">
      <c r="A104" s="4">
        <v>103</v>
      </c>
      <c r="B104" s="4">
        <v>75</v>
      </c>
      <c r="C104" s="4" t="s">
        <v>390</v>
      </c>
      <c r="D104" s="4"/>
      <c r="E104" s="4" t="str">
        <f t="shared" ref="E104" si="15">LEFT(D104,1)</f>
        <v/>
      </c>
      <c r="F104" s="4" t="str">
        <f t="shared" ref="F104" si="16">IF(MID(D104,2,1)=" ",MID(D104,3,1),MID(D104,2,1))</f>
        <v/>
      </c>
      <c r="G104" s="5" t="str">
        <f t="shared" ref="G104" si="17">IF(D104="",C104,CONCATENATE(E104,F104," ",C104))</f>
        <v>M Pretorius (Marius)</v>
      </c>
      <c r="I104"/>
      <c r="J104"/>
      <c r="K104"/>
      <c r="L104"/>
    </row>
    <row r="105" spans="1:12" ht="14.4">
      <c r="A105" s="4">
        <v>104</v>
      </c>
      <c r="B105" s="4">
        <v>113</v>
      </c>
      <c r="C105" s="4" t="s">
        <v>391</v>
      </c>
      <c r="D105" s="4" t="s">
        <v>392</v>
      </c>
      <c r="E105" s="4" t="str">
        <f t="shared" si="8"/>
        <v>N</v>
      </c>
      <c r="F105" s="4" t="str">
        <f t="shared" si="9"/>
        <v>C</v>
      </c>
      <c r="G105" s="5" t="str">
        <f t="shared" si="10"/>
        <v>NC Trevarthen</v>
      </c>
      <c r="I105"/>
      <c r="J105"/>
      <c r="K105"/>
      <c r="L105"/>
    </row>
    <row r="106" spans="1:12" ht="14.4">
      <c r="A106" s="4">
        <v>105</v>
      </c>
      <c r="B106" s="4">
        <v>27</v>
      </c>
      <c r="C106" s="4" t="s">
        <v>393</v>
      </c>
      <c r="D106" s="4" t="s">
        <v>394</v>
      </c>
      <c r="E106" s="4" t="str">
        <f t="shared" si="8"/>
        <v>V</v>
      </c>
      <c r="F106" s="4" t="str">
        <f t="shared" si="9"/>
        <v>M</v>
      </c>
      <c r="G106" s="5" t="str">
        <f t="shared" si="10"/>
        <v>VM Turner</v>
      </c>
      <c r="I106"/>
      <c r="J106"/>
      <c r="K106"/>
      <c r="L106"/>
    </row>
    <row r="107" spans="1:12" ht="14.4">
      <c r="A107" s="4">
        <v>106</v>
      </c>
      <c r="B107" s="4">
        <v>313</v>
      </c>
      <c r="C107" s="4" t="s">
        <v>67</v>
      </c>
      <c r="D107" s="4" t="s">
        <v>228</v>
      </c>
      <c r="E107" s="4" t="str">
        <f t="shared" si="8"/>
        <v/>
      </c>
      <c r="F107" s="4" t="str">
        <f t="shared" si="9"/>
        <v/>
      </c>
      <c r="G107" s="5" t="str">
        <f t="shared" si="10"/>
        <v>Vansin Trust</v>
      </c>
      <c r="I107"/>
      <c r="J107"/>
      <c r="K107"/>
      <c r="L107"/>
    </row>
    <row r="108" spans="1:12" ht="14.4">
      <c r="A108" s="4">
        <v>107</v>
      </c>
      <c r="B108" s="4">
        <v>101</v>
      </c>
      <c r="C108" s="4" t="s">
        <v>395</v>
      </c>
      <c r="D108" s="4" t="s">
        <v>396</v>
      </c>
      <c r="E108" s="4" t="str">
        <f t="shared" si="8"/>
        <v>C</v>
      </c>
      <c r="F108" s="4" t="str">
        <f t="shared" si="9"/>
        <v>T</v>
      </c>
      <c r="G108" s="5" t="str">
        <f t="shared" si="10"/>
        <v>CT Wilson</v>
      </c>
      <c r="I108"/>
      <c r="J108"/>
      <c r="K108"/>
      <c r="L108"/>
    </row>
    <row r="109" spans="1:12" ht="14.4">
      <c r="A109" s="4">
        <v>108</v>
      </c>
      <c r="B109" s="4">
        <v>357</v>
      </c>
      <c r="C109" s="4" t="s">
        <v>397</v>
      </c>
      <c r="D109" s="4"/>
      <c r="E109" s="4" t="str">
        <f t="shared" si="8"/>
        <v/>
      </c>
      <c r="F109" s="4" t="str">
        <f t="shared" si="9"/>
        <v/>
      </c>
      <c r="G109" s="5" t="str">
        <f t="shared" si="10"/>
        <v>Winners Trust</v>
      </c>
      <c r="I109"/>
      <c r="J109"/>
      <c r="K109"/>
      <c r="L109"/>
    </row>
    <row r="110" spans="1:12" ht="14.4">
      <c r="A110" s="4">
        <v>109</v>
      </c>
      <c r="B110" s="4">
        <v>249</v>
      </c>
      <c r="C110" s="4" t="s">
        <v>398</v>
      </c>
      <c r="D110" s="4" t="s">
        <v>399</v>
      </c>
      <c r="E110" s="4" t="str">
        <f t="shared" si="8"/>
        <v>R</v>
      </c>
      <c r="F110" s="4" t="str">
        <f t="shared" si="9"/>
        <v>W</v>
      </c>
      <c r="G110" s="5" t="str">
        <f t="shared" si="10"/>
        <v>RW Whittle</v>
      </c>
      <c r="I110"/>
      <c r="J110"/>
      <c r="K110"/>
      <c r="L110"/>
    </row>
    <row r="111" spans="1:12" ht="14.4">
      <c r="A111" s="4">
        <v>110</v>
      </c>
      <c r="B111" s="4">
        <v>118</v>
      </c>
      <c r="C111" s="4" t="s">
        <v>400</v>
      </c>
      <c r="D111" s="4" t="s">
        <v>260</v>
      </c>
      <c r="E111" s="4" t="str">
        <f t="shared" si="8"/>
        <v>S</v>
      </c>
      <c r="F111" s="4" t="str">
        <f t="shared" si="9"/>
        <v>A</v>
      </c>
      <c r="G111" s="5" t="str">
        <f t="shared" si="10"/>
        <v>SA Wrigley</v>
      </c>
      <c r="I111"/>
      <c r="J111"/>
      <c r="K111"/>
      <c r="L111"/>
    </row>
    <row r="112" spans="1:12" ht="14.4">
      <c r="A112" s="4">
        <v>111</v>
      </c>
      <c r="B112" s="4">
        <v>247</v>
      </c>
      <c r="C112" s="4" t="s">
        <v>401</v>
      </c>
      <c r="D112" s="5" t="s">
        <v>402</v>
      </c>
      <c r="E112" s="4" t="str">
        <f t="shared" si="8"/>
        <v>H</v>
      </c>
      <c r="F112" s="4" t="str">
        <f t="shared" si="9"/>
        <v>J</v>
      </c>
      <c r="G112" s="5" t="str">
        <f t="shared" si="10"/>
        <v>HJ Zajac</v>
      </c>
      <c r="I112"/>
      <c r="J112"/>
      <c r="K112"/>
      <c r="L112"/>
    </row>
    <row r="113" spans="1:12" ht="14.4">
      <c r="A113" s="4">
        <v>112</v>
      </c>
      <c r="B113" s="4">
        <v>42</v>
      </c>
      <c r="C113" s="4" t="s">
        <v>403</v>
      </c>
      <c r="D113" s="4" t="s">
        <v>315</v>
      </c>
      <c r="E113" s="4" t="str">
        <f t="shared" si="8"/>
        <v>H</v>
      </c>
      <c r="F113" s="4" t="str">
        <f t="shared" si="9"/>
        <v/>
      </c>
      <c r="G113" s="5" t="str">
        <f t="shared" si="10"/>
        <v>H Savege</v>
      </c>
      <c r="I113"/>
      <c r="J113"/>
      <c r="K113"/>
      <c r="L113"/>
    </row>
    <row r="114" spans="1:12" ht="14.4">
      <c r="A114" s="4">
        <v>113</v>
      </c>
      <c r="B114" s="4">
        <v>71</v>
      </c>
      <c r="C114" s="4" t="s">
        <v>404</v>
      </c>
      <c r="D114" s="4" t="s">
        <v>405</v>
      </c>
      <c r="E114" s="4" t="str">
        <f t="shared" si="8"/>
        <v>T</v>
      </c>
      <c r="F114" s="4" t="str">
        <f t="shared" si="9"/>
        <v>H</v>
      </c>
      <c r="G114" s="5" t="str">
        <f t="shared" si="10"/>
        <v>TH Zarnack</v>
      </c>
      <c r="I114"/>
      <c r="J114"/>
      <c r="K114"/>
      <c r="L114"/>
    </row>
    <row r="115" spans="1:12" ht="14.4">
      <c r="A115" s="4">
        <v>114</v>
      </c>
      <c r="B115" s="4">
        <v>10</v>
      </c>
      <c r="C115" s="4" t="s">
        <v>406</v>
      </c>
      <c r="D115" s="4" t="s">
        <v>407</v>
      </c>
      <c r="E115" s="4" t="str">
        <f t="shared" si="8"/>
        <v>A</v>
      </c>
      <c r="F115" s="4" t="str">
        <f t="shared" si="9"/>
        <v>F</v>
      </c>
      <c r="G115" s="5" t="str">
        <f t="shared" si="10"/>
        <v>AF Fullard</v>
      </c>
      <c r="I115"/>
      <c r="J115"/>
      <c r="K115"/>
      <c r="L115"/>
    </row>
    <row r="116" spans="1:12" ht="14.4">
      <c r="A116" s="4">
        <v>115</v>
      </c>
      <c r="B116" s="4">
        <v>354</v>
      </c>
      <c r="C116" s="4" t="s">
        <v>408</v>
      </c>
      <c r="D116" s="4" t="s">
        <v>409</v>
      </c>
      <c r="E116" s="4" t="str">
        <f t="shared" si="8"/>
        <v>P</v>
      </c>
      <c r="F116" s="4" t="str">
        <f t="shared" si="9"/>
        <v>N</v>
      </c>
      <c r="G116" s="5" t="str">
        <f t="shared" si="10"/>
        <v>PN Badenhorst</v>
      </c>
      <c r="I116"/>
      <c r="J116"/>
      <c r="K116"/>
      <c r="L116"/>
    </row>
    <row r="117" spans="1:12" ht="14.4">
      <c r="A117" s="4">
        <v>116</v>
      </c>
      <c r="B117" s="4">
        <v>406</v>
      </c>
      <c r="C117" s="4" t="s">
        <v>410</v>
      </c>
      <c r="D117" s="5" t="s">
        <v>411</v>
      </c>
      <c r="E117" s="4" t="str">
        <f t="shared" si="8"/>
        <v>C</v>
      </c>
      <c r="F117" s="4" t="str">
        <f t="shared" si="9"/>
        <v>I</v>
      </c>
      <c r="G117" s="5" t="str">
        <f t="shared" si="10"/>
        <v>CI Benade</v>
      </c>
      <c r="I117"/>
      <c r="J117"/>
      <c r="K117"/>
      <c r="L117"/>
    </row>
    <row r="118" spans="1:12" ht="14.4">
      <c r="A118" s="4">
        <v>117</v>
      </c>
      <c r="B118" s="4">
        <v>209</v>
      </c>
      <c r="C118" s="4" t="s">
        <v>410</v>
      </c>
      <c r="D118" s="4" t="s">
        <v>412</v>
      </c>
      <c r="E118" s="4" t="str">
        <f t="shared" si="8"/>
        <v>J</v>
      </c>
      <c r="F118" s="4" t="str">
        <f t="shared" si="9"/>
        <v>C</v>
      </c>
      <c r="G118" s="5" t="str">
        <f t="shared" si="10"/>
        <v>JC Benade</v>
      </c>
      <c r="I118"/>
      <c r="J118"/>
      <c r="K118"/>
      <c r="L118"/>
    </row>
    <row r="119" spans="1:12" ht="14.4">
      <c r="A119" s="4">
        <v>118</v>
      </c>
      <c r="B119" s="4">
        <v>105</v>
      </c>
      <c r="C119" s="4" t="s">
        <v>410</v>
      </c>
      <c r="D119" s="4" t="s">
        <v>305</v>
      </c>
      <c r="E119" s="4" t="str">
        <f t="shared" si="8"/>
        <v>S</v>
      </c>
      <c r="F119" s="4" t="str">
        <f t="shared" si="9"/>
        <v>M</v>
      </c>
      <c r="G119" s="5" t="str">
        <f t="shared" si="10"/>
        <v>SM Benade</v>
      </c>
      <c r="I119"/>
      <c r="J119"/>
      <c r="K119"/>
      <c r="L119"/>
    </row>
    <row r="120" spans="1:12" ht="14.4">
      <c r="A120" s="4">
        <v>119</v>
      </c>
      <c r="B120" s="4">
        <v>366</v>
      </c>
      <c r="C120" s="4" t="s">
        <v>413</v>
      </c>
      <c r="D120" s="4" t="s">
        <v>228</v>
      </c>
      <c r="E120" s="4" t="str">
        <f t="shared" si="8"/>
        <v/>
      </c>
      <c r="F120" s="4" t="str">
        <f t="shared" si="9"/>
        <v/>
      </c>
      <c r="G120" s="5" t="str">
        <f t="shared" si="10"/>
        <v>Bezuidenhout Familie Trust</v>
      </c>
      <c r="I120"/>
      <c r="J120"/>
      <c r="K120"/>
      <c r="L120"/>
    </row>
    <row r="121" spans="1:12" ht="14.4">
      <c r="A121" s="4">
        <v>120</v>
      </c>
      <c r="B121" s="4">
        <v>366</v>
      </c>
      <c r="C121" s="4" t="s">
        <v>414</v>
      </c>
      <c r="D121" s="5" t="s">
        <v>402</v>
      </c>
      <c r="E121" s="4" t="str">
        <f t="shared" si="8"/>
        <v>H</v>
      </c>
      <c r="F121" s="4" t="str">
        <f t="shared" si="9"/>
        <v>J</v>
      </c>
      <c r="G121" s="5" t="str">
        <f t="shared" si="10"/>
        <v>HJ Bezuidenhout</v>
      </c>
      <c r="I121"/>
      <c r="J121"/>
      <c r="K121"/>
      <c r="L121"/>
    </row>
    <row r="122" spans="1:12" ht="14.4">
      <c r="A122" s="4">
        <v>121</v>
      </c>
      <c r="B122" s="4">
        <v>366</v>
      </c>
      <c r="C122" s="4" t="s">
        <v>414</v>
      </c>
      <c r="D122" s="4" t="s">
        <v>235</v>
      </c>
      <c r="E122" s="4" t="str">
        <f t="shared" si="8"/>
        <v>J</v>
      </c>
      <c r="F122" s="4" t="str">
        <f t="shared" si="9"/>
        <v/>
      </c>
      <c r="G122" s="5" t="str">
        <f t="shared" si="10"/>
        <v>J Bezuidenhout</v>
      </c>
      <c r="I122"/>
      <c r="J122"/>
      <c r="K122"/>
      <c r="L122"/>
    </row>
    <row r="123" spans="1:12" ht="14.4">
      <c r="A123" s="4">
        <v>122</v>
      </c>
      <c r="B123" s="4">
        <v>307</v>
      </c>
      <c r="C123" s="4" t="s">
        <v>296</v>
      </c>
      <c r="D123" s="5" t="s">
        <v>415</v>
      </c>
      <c r="E123" s="4" t="str">
        <f t="shared" si="8"/>
        <v>R</v>
      </c>
      <c r="F123" s="4" t="str">
        <f t="shared" si="9"/>
        <v>G</v>
      </c>
      <c r="G123" s="5" t="str">
        <f t="shared" si="10"/>
        <v>RG Delport</v>
      </c>
      <c r="I123"/>
      <c r="J123"/>
      <c r="K123"/>
      <c r="L123"/>
    </row>
    <row r="124" spans="1:12" ht="14.4">
      <c r="A124" s="4">
        <v>123</v>
      </c>
      <c r="B124" s="4">
        <v>64</v>
      </c>
      <c r="C124" s="4" t="s">
        <v>416</v>
      </c>
      <c r="D124" s="4" t="s">
        <v>417</v>
      </c>
      <c r="E124" s="4" t="str">
        <f t="shared" si="8"/>
        <v>H</v>
      </c>
      <c r="F124" s="4" t="str">
        <f t="shared" si="9"/>
        <v>W</v>
      </c>
      <c r="G124" s="5" t="str">
        <f t="shared" si="10"/>
        <v>HW Bloemhof</v>
      </c>
      <c r="I124"/>
      <c r="J124"/>
      <c r="K124"/>
      <c r="L124"/>
    </row>
    <row r="125" spans="1:12" ht="14.4">
      <c r="A125" s="4">
        <v>124</v>
      </c>
      <c r="B125" s="4"/>
      <c r="C125" s="4" t="s">
        <v>418</v>
      </c>
      <c r="D125" s="4" t="s">
        <v>419</v>
      </c>
      <c r="E125" s="4" t="str">
        <f t="shared" si="8"/>
        <v>N</v>
      </c>
      <c r="F125" s="4" t="str">
        <f t="shared" si="9"/>
        <v/>
      </c>
      <c r="G125" s="5" t="str">
        <f t="shared" si="10"/>
        <v>N Breet</v>
      </c>
      <c r="I125"/>
      <c r="J125"/>
      <c r="K125"/>
      <c r="L125"/>
    </row>
    <row r="126" spans="1:12" ht="14.4">
      <c r="A126" s="4">
        <v>125</v>
      </c>
      <c r="B126" s="4">
        <v>94</v>
      </c>
      <c r="C126" s="4" t="s">
        <v>420</v>
      </c>
      <c r="D126" s="4" t="s">
        <v>421</v>
      </c>
      <c r="E126" s="4" t="str">
        <f t="shared" si="8"/>
        <v>W</v>
      </c>
      <c r="F126" s="4" t="str">
        <f t="shared" si="9"/>
        <v>H</v>
      </c>
      <c r="G126" s="5" t="str">
        <f t="shared" si="10"/>
        <v>WH Marks</v>
      </c>
      <c r="I126"/>
      <c r="J126"/>
      <c r="K126"/>
      <c r="L126"/>
    </row>
    <row r="127" spans="1:12" ht="14.4">
      <c r="A127" s="4">
        <v>126</v>
      </c>
      <c r="B127" s="4">
        <v>250</v>
      </c>
      <c r="C127" s="4" t="s">
        <v>422</v>
      </c>
      <c r="D127" s="4" t="s">
        <v>423</v>
      </c>
      <c r="E127" s="4" t="str">
        <f t="shared" si="8"/>
        <v>M</v>
      </c>
      <c r="F127" s="4" t="str">
        <f t="shared" si="9"/>
        <v>J</v>
      </c>
      <c r="G127" s="5" t="str">
        <f t="shared" si="10"/>
        <v>MJ Boshoff</v>
      </c>
      <c r="I127"/>
      <c r="J127"/>
      <c r="K127"/>
      <c r="L127"/>
    </row>
    <row r="128" spans="1:12" ht="14.4">
      <c r="A128" s="4">
        <v>127</v>
      </c>
      <c r="B128" s="4">
        <v>276</v>
      </c>
      <c r="C128" s="4" t="s">
        <v>424</v>
      </c>
      <c r="D128" s="4" t="s">
        <v>425</v>
      </c>
      <c r="E128" s="4" t="str">
        <f t="shared" si="8"/>
        <v>P</v>
      </c>
      <c r="F128" s="4" t="str">
        <f t="shared" si="9"/>
        <v>R</v>
      </c>
      <c r="G128" s="5" t="str">
        <f t="shared" si="10"/>
        <v>PR Botha</v>
      </c>
      <c r="I128"/>
      <c r="J128"/>
      <c r="K128"/>
      <c r="L128"/>
    </row>
    <row r="129" spans="1:12" ht="14.4">
      <c r="A129" s="4">
        <v>128</v>
      </c>
      <c r="B129" s="4">
        <v>62</v>
      </c>
      <c r="C129" s="4" t="s">
        <v>426</v>
      </c>
      <c r="D129" s="4" t="s">
        <v>247</v>
      </c>
      <c r="E129" s="4" t="str">
        <f t="shared" si="8"/>
        <v>C</v>
      </c>
      <c r="F129" s="4" t="str">
        <f t="shared" si="9"/>
        <v>J</v>
      </c>
      <c r="G129" s="5" t="str">
        <f t="shared" si="10"/>
        <v>CJ Theron</v>
      </c>
      <c r="I129"/>
      <c r="J129"/>
      <c r="K129"/>
      <c r="L129"/>
    </row>
    <row r="130" spans="1:12" ht="14.4">
      <c r="A130" s="4">
        <v>129</v>
      </c>
      <c r="B130" s="4">
        <v>41</v>
      </c>
      <c r="C130" s="4" t="s">
        <v>427</v>
      </c>
      <c r="D130" s="4" t="s">
        <v>428</v>
      </c>
      <c r="E130" s="4" t="str">
        <f t="shared" si="8"/>
        <v>I</v>
      </c>
      <c r="F130" s="4" t="str">
        <f t="shared" si="9"/>
        <v>M</v>
      </c>
      <c r="G130" s="5" t="str">
        <f t="shared" si="10"/>
        <v>IM Briedenhann</v>
      </c>
      <c r="I130"/>
      <c r="J130"/>
      <c r="K130"/>
      <c r="L130"/>
    </row>
    <row r="131" spans="1:12" ht="14.4">
      <c r="A131" s="4">
        <v>130</v>
      </c>
      <c r="B131" s="4">
        <v>211</v>
      </c>
      <c r="C131" s="4" t="s">
        <v>429</v>
      </c>
      <c r="D131" s="4" t="s">
        <v>430</v>
      </c>
      <c r="E131" s="4" t="str">
        <f t="shared" si="8"/>
        <v>A</v>
      </c>
      <c r="F131" s="4" t="str">
        <f t="shared" si="9"/>
        <v>E</v>
      </c>
      <c r="G131" s="5" t="str">
        <f t="shared" si="10"/>
        <v>AE Brooks</v>
      </c>
      <c r="I131"/>
      <c r="J131"/>
      <c r="K131"/>
      <c r="L131"/>
    </row>
    <row r="132" spans="1:12" ht="14.4">
      <c r="A132" s="4">
        <v>131</v>
      </c>
      <c r="B132" s="4">
        <v>388</v>
      </c>
      <c r="C132" s="4" t="s">
        <v>431</v>
      </c>
      <c r="D132" s="4" t="s">
        <v>334</v>
      </c>
      <c r="E132" s="4" t="str">
        <f t="shared" si="8"/>
        <v>L</v>
      </c>
      <c r="F132" s="4" t="str">
        <f t="shared" si="9"/>
        <v>J</v>
      </c>
      <c r="G132" s="5" t="str">
        <f t="shared" si="10"/>
        <v>LJ Coetzee</v>
      </c>
      <c r="I132"/>
      <c r="J132"/>
      <c r="K132"/>
      <c r="L132"/>
    </row>
    <row r="133" spans="1:12" ht="14.4">
      <c r="A133" s="4">
        <v>132</v>
      </c>
      <c r="B133" s="4">
        <v>419</v>
      </c>
      <c r="C133" s="4" t="s">
        <v>432</v>
      </c>
      <c r="D133" s="4" t="s">
        <v>402</v>
      </c>
      <c r="E133" s="4" t="str">
        <f t="shared" si="8"/>
        <v>H</v>
      </c>
      <c r="F133" s="4" t="str">
        <f t="shared" si="9"/>
        <v>J</v>
      </c>
      <c r="G133" s="5" t="str">
        <f t="shared" si="10"/>
        <v>HJ Combrink</v>
      </c>
      <c r="I133"/>
      <c r="J133"/>
      <c r="K133"/>
      <c r="L133"/>
    </row>
    <row r="134" spans="1:12" ht="14.4">
      <c r="A134" s="4">
        <v>133</v>
      </c>
      <c r="B134" s="4">
        <v>67</v>
      </c>
      <c r="C134" s="4" t="s">
        <v>432</v>
      </c>
      <c r="D134" s="4" t="s">
        <v>433</v>
      </c>
      <c r="E134" s="4" t="str">
        <f t="shared" si="8"/>
        <v>J</v>
      </c>
      <c r="F134" s="4" t="str">
        <f t="shared" si="9"/>
        <v>A</v>
      </c>
      <c r="G134" s="5" t="str">
        <f t="shared" si="10"/>
        <v>JA Combrink</v>
      </c>
      <c r="I134"/>
      <c r="J134"/>
      <c r="K134"/>
      <c r="L134"/>
    </row>
    <row r="135" spans="1:12" ht="14.4">
      <c r="A135" s="4">
        <v>134</v>
      </c>
      <c r="B135" s="4">
        <v>421</v>
      </c>
      <c r="C135" s="4" t="s">
        <v>432</v>
      </c>
      <c r="D135" s="4" t="s">
        <v>434</v>
      </c>
      <c r="E135" s="4" t="str">
        <f t="shared" si="8"/>
        <v>M</v>
      </c>
      <c r="F135" s="4" t="str">
        <f t="shared" si="9"/>
        <v>S</v>
      </c>
      <c r="G135" s="5" t="str">
        <f t="shared" si="10"/>
        <v>MS Combrink</v>
      </c>
      <c r="I135"/>
      <c r="J135"/>
      <c r="K135"/>
      <c r="L135"/>
    </row>
    <row r="136" spans="1:12" ht="14.4">
      <c r="A136" s="4">
        <v>135</v>
      </c>
      <c r="B136" s="4">
        <v>112</v>
      </c>
      <c r="C136" s="4" t="s">
        <v>435</v>
      </c>
      <c r="D136" s="5" t="s">
        <v>330</v>
      </c>
      <c r="E136" s="4" t="str">
        <f t="shared" si="8"/>
        <v>A</v>
      </c>
      <c r="F136" s="4" t="str">
        <f t="shared" si="9"/>
        <v>M</v>
      </c>
      <c r="G136" s="5" t="str">
        <f t="shared" si="10"/>
        <v>AM Cornelius</v>
      </c>
      <c r="I136"/>
      <c r="J136"/>
      <c r="K136"/>
      <c r="L136"/>
    </row>
    <row r="137" spans="1:12" ht="14.4">
      <c r="A137" s="4">
        <v>136</v>
      </c>
      <c r="B137" s="4">
        <v>112</v>
      </c>
      <c r="C137" s="4" t="s">
        <v>435</v>
      </c>
      <c r="D137" s="4" t="s">
        <v>345</v>
      </c>
      <c r="E137" s="4" t="str">
        <f t="shared" si="8"/>
        <v>P</v>
      </c>
      <c r="F137" s="4" t="str">
        <f t="shared" si="9"/>
        <v>M</v>
      </c>
      <c r="G137" s="5" t="str">
        <f t="shared" si="10"/>
        <v>PM Cornelius</v>
      </c>
      <c r="I137"/>
      <c r="J137"/>
      <c r="K137"/>
      <c r="L137"/>
    </row>
    <row r="138" spans="1:12" ht="14.4">
      <c r="A138" s="4">
        <v>137</v>
      </c>
      <c r="B138" s="4">
        <v>307</v>
      </c>
      <c r="C138" s="4" t="s">
        <v>296</v>
      </c>
      <c r="D138" s="4" t="s">
        <v>436</v>
      </c>
      <c r="E138" s="4" t="str">
        <f t="shared" si="8"/>
        <v>O</v>
      </c>
      <c r="F138" s="4" t="str">
        <f t="shared" si="9"/>
        <v>A</v>
      </c>
      <c r="G138" s="5" t="str">
        <f t="shared" si="10"/>
        <v>OA Delport</v>
      </c>
      <c r="I138"/>
      <c r="J138"/>
      <c r="K138"/>
      <c r="L138"/>
    </row>
    <row r="139" spans="1:12" ht="14.4">
      <c r="A139" s="4">
        <v>138</v>
      </c>
      <c r="B139" s="4">
        <v>319</v>
      </c>
      <c r="C139" s="4" t="s">
        <v>437</v>
      </c>
      <c r="D139" s="4"/>
      <c r="E139" s="4" t="str">
        <f t="shared" si="8"/>
        <v/>
      </c>
      <c r="F139" s="4" t="str">
        <f t="shared" si="9"/>
        <v/>
      </c>
      <c r="G139" s="5" t="str">
        <f t="shared" si="10"/>
        <v>DCK Trust</v>
      </c>
      <c r="I139"/>
      <c r="J139"/>
      <c r="K139"/>
      <c r="L139"/>
    </row>
    <row r="140" spans="1:12" ht="14.4">
      <c r="A140" s="4">
        <v>139</v>
      </c>
      <c r="B140" s="4">
        <v>7</v>
      </c>
      <c r="C140" s="4" t="s">
        <v>289</v>
      </c>
      <c r="D140" s="4" t="s">
        <v>305</v>
      </c>
      <c r="E140" s="4" t="str">
        <f t="shared" ref="E140" si="18">LEFT(D140,1)</f>
        <v>S</v>
      </c>
      <c r="F140" s="4" t="str">
        <f t="shared" ref="F140" si="19">IF(MID(D140,2,1)=" ",MID(D140,3,1),MID(D140,2,1))</f>
        <v>M</v>
      </c>
      <c r="G140" s="5" t="str">
        <f t="shared" ref="G140" si="20">IF(D140="",C140,CONCATENATE(E140,F140," ",C140))</f>
        <v>SM du Toit</v>
      </c>
      <c r="I140"/>
      <c r="J140"/>
      <c r="K140"/>
      <c r="L140"/>
    </row>
    <row r="141" spans="1:12" ht="14.4">
      <c r="A141" s="4">
        <v>140</v>
      </c>
      <c r="B141" s="4">
        <v>333</v>
      </c>
      <c r="C141" s="4" t="s">
        <v>438</v>
      </c>
      <c r="D141" s="4" t="s">
        <v>353</v>
      </c>
      <c r="E141" s="4" t="str">
        <f t="shared" si="8"/>
        <v>J</v>
      </c>
      <c r="F141" s="4" t="str">
        <f t="shared" si="9"/>
        <v>J</v>
      </c>
      <c r="G141" s="5" t="str">
        <f t="shared" si="10"/>
        <v>JJ De Lange</v>
      </c>
      <c r="I141"/>
      <c r="J141"/>
      <c r="K141"/>
      <c r="L141"/>
    </row>
    <row r="142" spans="1:12" ht="14.4">
      <c r="A142" s="4">
        <v>141</v>
      </c>
      <c r="B142" s="4">
        <v>333</v>
      </c>
      <c r="C142" s="4" t="s">
        <v>439</v>
      </c>
      <c r="D142" s="4" t="s">
        <v>440</v>
      </c>
      <c r="E142" s="4" t="str">
        <f t="shared" si="8"/>
        <v>D</v>
      </c>
      <c r="F142" s="4" t="str">
        <f t="shared" si="9"/>
        <v>e</v>
      </c>
      <c r="G142" s="5" t="str">
        <f t="shared" si="10"/>
        <v>De Lange Kleinkinders</v>
      </c>
      <c r="I142"/>
      <c r="J142"/>
      <c r="K142"/>
      <c r="L142"/>
    </row>
    <row r="143" spans="1:12" ht="14.4">
      <c r="A143" s="4">
        <v>142</v>
      </c>
      <c r="B143" s="4">
        <v>163</v>
      </c>
      <c r="C143" s="4" t="s">
        <v>232</v>
      </c>
      <c r="D143" s="4" t="s">
        <v>262</v>
      </c>
      <c r="E143" s="4" t="str">
        <f t="shared" si="8"/>
        <v>C</v>
      </c>
      <c r="F143" s="4" t="str">
        <f t="shared" si="9"/>
        <v/>
      </c>
      <c r="G143" s="5" t="str">
        <f t="shared" si="10"/>
        <v>C Bradley</v>
      </c>
      <c r="I143"/>
      <c r="J143"/>
      <c r="K143"/>
      <c r="L143"/>
    </row>
    <row r="144" spans="1:12" ht="14.4">
      <c r="A144" s="4">
        <v>143</v>
      </c>
      <c r="B144" s="4">
        <v>114</v>
      </c>
      <c r="C144" s="4" t="s">
        <v>441</v>
      </c>
      <c r="D144" s="4" t="s">
        <v>415</v>
      </c>
      <c r="E144" s="4" t="str">
        <f t="shared" si="8"/>
        <v>R</v>
      </c>
      <c r="F144" s="4" t="str">
        <f t="shared" si="9"/>
        <v>G</v>
      </c>
      <c r="G144" s="5" t="str">
        <f t="shared" si="10"/>
        <v>RG Deerans</v>
      </c>
      <c r="I144"/>
      <c r="J144"/>
      <c r="K144"/>
      <c r="L144"/>
    </row>
    <row r="145" spans="1:12" ht="14.4">
      <c r="A145" s="4">
        <v>144</v>
      </c>
      <c r="B145" s="4">
        <v>72</v>
      </c>
      <c r="C145" s="4" t="s">
        <v>296</v>
      </c>
      <c r="D145" s="4" t="s">
        <v>355</v>
      </c>
      <c r="E145" s="4" t="str">
        <f t="shared" si="8"/>
        <v>M</v>
      </c>
      <c r="F145" s="4" t="str">
        <f t="shared" si="9"/>
        <v/>
      </c>
      <c r="G145" s="5" t="str">
        <f t="shared" si="10"/>
        <v>M Delport</v>
      </c>
      <c r="I145"/>
      <c r="J145"/>
      <c r="K145"/>
      <c r="L145"/>
    </row>
    <row r="146" spans="1:12" ht="14.4">
      <c r="A146" s="4">
        <v>145</v>
      </c>
      <c r="B146" s="4">
        <v>43</v>
      </c>
      <c r="C146" s="4" t="s">
        <v>442</v>
      </c>
      <c r="D146" s="4" t="s">
        <v>443</v>
      </c>
      <c r="E146" s="4" t="str">
        <f t="shared" si="8"/>
        <v>B</v>
      </c>
      <c r="F146" s="4" t="str">
        <f t="shared" si="9"/>
        <v>R</v>
      </c>
      <c r="G146" s="5" t="str">
        <f t="shared" si="10"/>
        <v>BR Dummer</v>
      </c>
      <c r="I146"/>
      <c r="J146"/>
      <c r="K146"/>
      <c r="L146"/>
    </row>
    <row r="147" spans="1:12" ht="14.4">
      <c r="A147" s="4">
        <v>146</v>
      </c>
      <c r="B147" s="4">
        <v>345</v>
      </c>
      <c r="C147" s="4" t="s">
        <v>444</v>
      </c>
      <c r="D147" s="4" t="s">
        <v>445</v>
      </c>
      <c r="E147" s="4" t="str">
        <f t="shared" si="8"/>
        <v>A</v>
      </c>
      <c r="F147" s="4" t="str">
        <f t="shared" si="9"/>
        <v>R</v>
      </c>
      <c r="G147" s="5" t="str">
        <f t="shared" si="10"/>
        <v>AR Bodenstein</v>
      </c>
      <c r="I147"/>
      <c r="J147"/>
      <c r="K147"/>
      <c r="L147"/>
    </row>
    <row r="148" spans="1:12" ht="14.4">
      <c r="A148" s="4">
        <v>147</v>
      </c>
      <c r="B148" s="4">
        <v>226</v>
      </c>
      <c r="C148" s="4" t="s">
        <v>69</v>
      </c>
      <c r="D148" s="4" t="s">
        <v>228</v>
      </c>
      <c r="E148" s="4" t="str">
        <f t="shared" si="8"/>
        <v/>
      </c>
      <c r="F148" s="4" t="str">
        <f t="shared" si="9"/>
        <v/>
      </c>
      <c r="G148" s="5" t="str">
        <f t="shared" si="10"/>
        <v>Eldad Trust</v>
      </c>
      <c r="I148"/>
      <c r="J148"/>
      <c r="K148"/>
      <c r="L148"/>
    </row>
    <row r="149" spans="1:12" ht="14.4">
      <c r="A149" s="4">
        <v>148</v>
      </c>
      <c r="B149" s="4">
        <v>63</v>
      </c>
      <c r="C149" s="4" t="s">
        <v>446</v>
      </c>
      <c r="D149" s="4" t="s">
        <v>340</v>
      </c>
      <c r="E149" s="4" t="str">
        <f t="shared" si="8"/>
        <v>E</v>
      </c>
      <c r="F149" s="4" t="str">
        <f t="shared" si="9"/>
        <v/>
      </c>
      <c r="G149" s="5" t="str">
        <f t="shared" si="10"/>
        <v>E van Tonder</v>
      </c>
      <c r="I149"/>
      <c r="J149"/>
      <c r="K149"/>
      <c r="L149"/>
    </row>
    <row r="150" spans="1:12" ht="14.4">
      <c r="A150" s="4">
        <v>149</v>
      </c>
      <c r="B150" s="4">
        <v>128</v>
      </c>
      <c r="C150" s="4" t="s">
        <v>447</v>
      </c>
      <c r="D150" s="4" t="s">
        <v>448</v>
      </c>
      <c r="E150" s="4" t="str">
        <f t="shared" si="8"/>
        <v>C</v>
      </c>
      <c r="F150" s="4" t="str">
        <f t="shared" si="9"/>
        <v>C</v>
      </c>
      <c r="G150" s="5" t="str">
        <f t="shared" si="10"/>
        <v>CC Enslin</v>
      </c>
      <c r="I150"/>
      <c r="J150"/>
      <c r="K150"/>
      <c r="L150"/>
    </row>
    <row r="151" spans="1:12" ht="14.4">
      <c r="A151" s="4">
        <v>150</v>
      </c>
      <c r="B151" s="4">
        <v>115</v>
      </c>
      <c r="C151" s="4" t="s">
        <v>447</v>
      </c>
      <c r="D151" s="4" t="s">
        <v>449</v>
      </c>
      <c r="E151" s="4" t="str">
        <f t="shared" si="8"/>
        <v>W</v>
      </c>
      <c r="F151" s="4" t="str">
        <f t="shared" si="9"/>
        <v/>
      </c>
      <c r="G151" s="5" t="str">
        <f t="shared" si="10"/>
        <v>W Enslin</v>
      </c>
      <c r="I151"/>
      <c r="J151"/>
      <c r="K151"/>
      <c r="L151"/>
    </row>
    <row r="152" spans="1:12" ht="14.4">
      <c r="A152" s="4">
        <v>151</v>
      </c>
      <c r="B152" s="4">
        <v>3</v>
      </c>
      <c r="C152" s="4" t="s">
        <v>450</v>
      </c>
      <c r="D152" s="4" t="s">
        <v>318</v>
      </c>
      <c r="E152" s="4" t="str">
        <f t="shared" ref="E152:E229" si="21">LEFT(D152,1)</f>
        <v>G</v>
      </c>
      <c r="F152" s="4" t="str">
        <f t="shared" ref="F152:F229" si="22">IF(MID(D152,2,1)=" ",MID(D152,3,1),MID(D152,2,1))</f>
        <v>J</v>
      </c>
      <c r="G152" s="5" t="str">
        <f t="shared" ref="G152:G229" si="23">IF(D152="",C152,CONCATENATE(E152,F152," ",C152))</f>
        <v>GJ Ferreira</v>
      </c>
      <c r="I152"/>
      <c r="J152"/>
      <c r="K152"/>
      <c r="L152"/>
    </row>
    <row r="153" spans="1:12" ht="14.4">
      <c r="A153" s="4">
        <v>152</v>
      </c>
      <c r="B153" s="4">
        <v>150</v>
      </c>
      <c r="C153" s="4" t="s">
        <v>451</v>
      </c>
      <c r="D153" s="4" t="s">
        <v>452</v>
      </c>
      <c r="E153" s="4" t="str">
        <f t="shared" si="21"/>
        <v>S</v>
      </c>
      <c r="F153" s="4" t="str">
        <f t="shared" si="22"/>
        <v>P</v>
      </c>
      <c r="G153" s="5" t="str">
        <f t="shared" si="23"/>
        <v>SP Fouche</v>
      </c>
      <c r="I153"/>
      <c r="J153"/>
      <c r="K153"/>
      <c r="L153"/>
    </row>
    <row r="154" spans="1:12" ht="14.4">
      <c r="A154" s="4">
        <v>153</v>
      </c>
      <c r="B154" s="4">
        <v>264</v>
      </c>
      <c r="C154" s="4" t="s">
        <v>453</v>
      </c>
      <c r="D154" s="4" t="s">
        <v>454</v>
      </c>
      <c r="E154" s="4" t="str">
        <f t="shared" si="21"/>
        <v>A</v>
      </c>
      <c r="F154" s="4" t="str">
        <f t="shared" si="22"/>
        <v>G</v>
      </c>
      <c r="G154" s="5" t="str">
        <f t="shared" si="23"/>
        <v>AG Fourie</v>
      </c>
      <c r="I154"/>
      <c r="J154"/>
      <c r="K154"/>
      <c r="L154"/>
    </row>
    <row r="155" spans="1:12" ht="14.4">
      <c r="A155" s="4">
        <v>154</v>
      </c>
      <c r="B155" s="4">
        <v>95</v>
      </c>
      <c r="C155" s="4" t="s">
        <v>453</v>
      </c>
      <c r="D155" s="4" t="s">
        <v>288</v>
      </c>
      <c r="E155" s="4" t="str">
        <f t="shared" si="21"/>
        <v>A</v>
      </c>
      <c r="F155" s="4" t="str">
        <f t="shared" si="22"/>
        <v>J</v>
      </c>
      <c r="G155" s="5" t="str">
        <f t="shared" si="23"/>
        <v>AJ Fourie</v>
      </c>
      <c r="I155"/>
      <c r="J155"/>
      <c r="K155"/>
      <c r="L155"/>
    </row>
    <row r="156" spans="1:12" ht="14.4">
      <c r="A156" s="4">
        <v>155</v>
      </c>
      <c r="B156" s="4">
        <v>30</v>
      </c>
      <c r="C156" s="4" t="s">
        <v>453</v>
      </c>
      <c r="D156" s="4" t="s">
        <v>241</v>
      </c>
      <c r="E156" s="4" t="str">
        <f t="shared" si="21"/>
        <v>P</v>
      </c>
      <c r="F156" s="4" t="str">
        <f t="shared" si="22"/>
        <v>J</v>
      </c>
      <c r="G156" s="5" t="str">
        <f t="shared" si="23"/>
        <v>PJ Fourie</v>
      </c>
      <c r="I156"/>
      <c r="J156"/>
      <c r="K156"/>
      <c r="L156"/>
    </row>
    <row r="157" spans="1:12" ht="14.4">
      <c r="A157" s="4">
        <v>156</v>
      </c>
      <c r="B157" s="4">
        <v>30</v>
      </c>
      <c r="C157" s="4" t="s">
        <v>453</v>
      </c>
      <c r="D157" s="4" t="s">
        <v>455</v>
      </c>
      <c r="E157" s="4" t="str">
        <f t="shared" si="21"/>
        <v>A</v>
      </c>
      <c r="F157" s="4" t="str">
        <f t="shared" si="22"/>
        <v>E</v>
      </c>
      <c r="G157" s="5" t="str">
        <f t="shared" si="23"/>
        <v>AE Fourie</v>
      </c>
      <c r="I157"/>
      <c r="J157"/>
      <c r="K157"/>
      <c r="L157"/>
    </row>
    <row r="158" spans="1:12" ht="14.4">
      <c r="A158" s="4">
        <v>157</v>
      </c>
      <c r="B158" s="4">
        <v>306</v>
      </c>
      <c r="C158" s="4" t="s">
        <v>456</v>
      </c>
      <c r="D158" s="4" t="s">
        <v>457</v>
      </c>
      <c r="E158" s="4" t="str">
        <f t="shared" si="21"/>
        <v>J</v>
      </c>
      <c r="F158" s="4" t="str">
        <f t="shared" si="22"/>
        <v>B</v>
      </c>
      <c r="G158" s="5" t="str">
        <f t="shared" si="23"/>
        <v>JB Gelderbloem</v>
      </c>
      <c r="I158"/>
      <c r="J158"/>
      <c r="K158"/>
      <c r="L158"/>
    </row>
    <row r="159" spans="1:12" ht="14.4">
      <c r="A159" s="4">
        <v>158</v>
      </c>
      <c r="B159" s="4">
        <v>370</v>
      </c>
      <c r="C159" s="4" t="s">
        <v>458</v>
      </c>
      <c r="D159" s="4" t="s">
        <v>355</v>
      </c>
      <c r="E159" s="4" t="str">
        <f t="shared" si="21"/>
        <v>M</v>
      </c>
      <c r="F159" s="4" t="str">
        <f t="shared" si="22"/>
        <v/>
      </c>
      <c r="G159" s="5" t="str">
        <f t="shared" si="23"/>
        <v>M Gouws</v>
      </c>
      <c r="I159"/>
      <c r="J159"/>
      <c r="K159"/>
      <c r="L159"/>
    </row>
    <row r="160" spans="1:12" ht="14.4">
      <c r="A160" s="4">
        <v>159</v>
      </c>
      <c r="B160" s="4">
        <v>398</v>
      </c>
      <c r="C160" s="4" t="s">
        <v>459</v>
      </c>
      <c r="D160" s="4" t="s">
        <v>402</v>
      </c>
      <c r="E160" s="4" t="str">
        <f t="shared" si="21"/>
        <v>H</v>
      </c>
      <c r="F160" s="4" t="str">
        <f t="shared" si="22"/>
        <v>J</v>
      </c>
      <c r="G160" s="5" t="str">
        <f t="shared" si="23"/>
        <v>HJ Greyvenstein</v>
      </c>
      <c r="I160"/>
      <c r="J160"/>
      <c r="K160"/>
      <c r="L160"/>
    </row>
    <row r="161" spans="1:12" ht="14.4">
      <c r="A161" s="4">
        <v>160</v>
      </c>
      <c r="B161" s="4">
        <v>22</v>
      </c>
      <c r="C161" s="4" t="s">
        <v>460</v>
      </c>
      <c r="D161" s="4" t="s">
        <v>357</v>
      </c>
      <c r="E161" s="4" t="str">
        <f t="shared" si="21"/>
        <v>D</v>
      </c>
      <c r="F161" s="4" t="str">
        <f t="shared" si="22"/>
        <v>A</v>
      </c>
      <c r="G161" s="5" t="str">
        <f t="shared" si="23"/>
        <v>DA de Vries</v>
      </c>
      <c r="I161"/>
      <c r="J161"/>
      <c r="K161"/>
      <c r="L161"/>
    </row>
    <row r="162" spans="1:12" ht="14.4">
      <c r="A162" s="4">
        <v>161</v>
      </c>
      <c r="B162" s="4">
        <v>43</v>
      </c>
      <c r="C162" s="4" t="s">
        <v>442</v>
      </c>
      <c r="D162" s="4" t="s">
        <v>461</v>
      </c>
      <c r="E162" s="4" t="str">
        <f t="shared" si="21"/>
        <v>Z</v>
      </c>
      <c r="F162" s="4" t="str">
        <f t="shared" si="22"/>
        <v>J</v>
      </c>
      <c r="G162" s="5" t="str">
        <f t="shared" si="23"/>
        <v>ZJ Dummer</v>
      </c>
      <c r="I162"/>
      <c r="J162"/>
      <c r="K162"/>
      <c r="L162"/>
    </row>
    <row r="163" spans="1:12" ht="14.4">
      <c r="A163" s="4">
        <v>162</v>
      </c>
      <c r="B163" s="4">
        <v>380</v>
      </c>
      <c r="C163" s="4" t="s">
        <v>462</v>
      </c>
      <c r="D163" s="4" t="s">
        <v>262</v>
      </c>
      <c r="E163" s="4" t="str">
        <f t="shared" si="21"/>
        <v>C</v>
      </c>
      <c r="F163" s="4" t="str">
        <f t="shared" si="22"/>
        <v/>
      </c>
      <c r="G163" s="5" t="str">
        <f t="shared" si="23"/>
        <v>C Henning</v>
      </c>
      <c r="I163"/>
      <c r="J163"/>
      <c r="K163"/>
      <c r="L163"/>
    </row>
    <row r="164" spans="1:12" ht="14.4">
      <c r="A164" s="4">
        <v>163</v>
      </c>
      <c r="B164" s="4">
        <v>179</v>
      </c>
      <c r="C164" s="4" t="s">
        <v>277</v>
      </c>
      <c r="D164" s="5" t="s">
        <v>463</v>
      </c>
      <c r="E164" s="4" t="str">
        <f t="shared" si="21"/>
        <v>H</v>
      </c>
      <c r="F164" s="4" t="str">
        <f t="shared" si="22"/>
        <v>L</v>
      </c>
      <c r="G164" s="5" t="str">
        <f t="shared" si="23"/>
        <v>HL Higgins</v>
      </c>
      <c r="I164"/>
      <c r="J164"/>
      <c r="K164"/>
      <c r="L164"/>
    </row>
    <row r="165" spans="1:12" ht="14.4">
      <c r="A165" s="4">
        <v>164</v>
      </c>
      <c r="B165" s="4">
        <v>46</v>
      </c>
      <c r="C165" s="4" t="s">
        <v>464</v>
      </c>
      <c r="D165" s="5" t="s">
        <v>387</v>
      </c>
      <c r="E165" s="4" t="str">
        <f t="shared" si="21"/>
        <v>L</v>
      </c>
      <c r="F165" s="4" t="str">
        <f t="shared" si="22"/>
        <v>A</v>
      </c>
      <c r="G165" s="5" t="str">
        <f t="shared" si="23"/>
        <v>LA van der Merwe</v>
      </c>
      <c r="I165"/>
      <c r="J165"/>
      <c r="K165"/>
      <c r="L165"/>
    </row>
    <row r="166" spans="1:12" ht="14.4">
      <c r="A166" s="4">
        <v>165</v>
      </c>
      <c r="B166" s="4">
        <v>116</v>
      </c>
      <c r="C166" s="4" t="s">
        <v>29</v>
      </c>
      <c r="D166" s="4" t="s">
        <v>228</v>
      </c>
      <c r="E166" s="4" t="str">
        <f t="shared" si="21"/>
        <v/>
      </c>
      <c r="F166" s="4" t="str">
        <f t="shared" si="22"/>
        <v/>
      </c>
      <c r="G166" s="5" t="str">
        <f t="shared" si="23"/>
        <v>Jokar Trust</v>
      </c>
      <c r="I166"/>
      <c r="J166"/>
      <c r="K166"/>
      <c r="L166"/>
    </row>
    <row r="167" spans="1:12" ht="14.4">
      <c r="A167" s="4">
        <v>166</v>
      </c>
      <c r="B167" s="4">
        <v>416</v>
      </c>
      <c r="C167" s="4" t="s">
        <v>465</v>
      </c>
      <c r="D167" s="4" t="s">
        <v>318</v>
      </c>
      <c r="E167" s="4" t="str">
        <f t="shared" si="21"/>
        <v>G</v>
      </c>
      <c r="F167" s="4" t="str">
        <f t="shared" si="22"/>
        <v>J</v>
      </c>
      <c r="G167" s="5" t="str">
        <f t="shared" si="23"/>
        <v>GJ Joubert</v>
      </c>
      <c r="I167"/>
      <c r="J167"/>
      <c r="K167"/>
      <c r="L167"/>
    </row>
    <row r="168" spans="1:12" ht="14.4">
      <c r="A168" s="4">
        <v>167</v>
      </c>
      <c r="B168" s="4">
        <v>31</v>
      </c>
      <c r="C168" s="4" t="s">
        <v>296</v>
      </c>
      <c r="D168" s="5" t="s">
        <v>466</v>
      </c>
      <c r="E168" s="4" t="str">
        <f t="shared" si="21"/>
        <v>A</v>
      </c>
      <c r="F168" s="4" t="str">
        <f t="shared" si="22"/>
        <v>B</v>
      </c>
      <c r="G168" s="5" t="str">
        <f t="shared" si="23"/>
        <v>AB Delport</v>
      </c>
      <c r="I168"/>
      <c r="J168"/>
      <c r="K168"/>
      <c r="L168"/>
    </row>
    <row r="169" spans="1:12" ht="14.4">
      <c r="A169" s="4">
        <v>168</v>
      </c>
      <c r="B169" s="4">
        <v>104</v>
      </c>
      <c r="C169" s="4" t="s">
        <v>467</v>
      </c>
      <c r="D169" s="4" t="s">
        <v>466</v>
      </c>
      <c r="E169" s="4" t="str">
        <f t="shared" si="21"/>
        <v>A</v>
      </c>
      <c r="F169" s="4" t="str">
        <f t="shared" si="22"/>
        <v>B</v>
      </c>
      <c r="G169" s="5" t="str">
        <f t="shared" si="23"/>
        <v>AB Koorts</v>
      </c>
      <c r="I169"/>
      <c r="J169"/>
      <c r="K169"/>
      <c r="L169"/>
    </row>
    <row r="170" spans="1:12" ht="14.4">
      <c r="A170" s="4">
        <v>169</v>
      </c>
      <c r="B170" s="4">
        <v>154</v>
      </c>
      <c r="C170" s="4" t="s">
        <v>468</v>
      </c>
      <c r="D170" s="4" t="s">
        <v>469</v>
      </c>
      <c r="E170" s="4" t="str">
        <f t="shared" si="21"/>
        <v>M</v>
      </c>
      <c r="F170" s="4" t="str">
        <f t="shared" si="22"/>
        <v>L</v>
      </c>
      <c r="G170" s="5" t="str">
        <f t="shared" si="23"/>
        <v>ML Kotze</v>
      </c>
      <c r="I170"/>
      <c r="J170"/>
      <c r="K170"/>
      <c r="L170"/>
    </row>
    <row r="171" spans="1:12" ht="14.4">
      <c r="A171" s="4">
        <v>170</v>
      </c>
      <c r="B171" s="4">
        <v>97</v>
      </c>
      <c r="C171" s="4" t="s">
        <v>393</v>
      </c>
      <c r="D171" s="4" t="s">
        <v>470</v>
      </c>
      <c r="E171" s="4" t="str">
        <f t="shared" si="21"/>
        <v>B</v>
      </c>
      <c r="F171" s="4" t="str">
        <f t="shared" si="22"/>
        <v>G</v>
      </c>
      <c r="G171" s="5" t="str">
        <f t="shared" si="23"/>
        <v>BG Turner</v>
      </c>
      <c r="I171"/>
      <c r="J171"/>
      <c r="K171"/>
      <c r="L171"/>
    </row>
    <row r="172" spans="1:12" ht="14.4">
      <c r="A172" s="4">
        <v>171</v>
      </c>
      <c r="B172" s="4">
        <v>395</v>
      </c>
      <c r="C172" s="4" t="s">
        <v>295</v>
      </c>
      <c r="D172" s="4" t="s">
        <v>347</v>
      </c>
      <c r="E172" s="4" t="str">
        <f t="shared" si="21"/>
        <v>F</v>
      </c>
      <c r="F172" s="4" t="str">
        <f t="shared" si="22"/>
        <v/>
      </c>
      <c r="G172" s="5" t="str">
        <f t="shared" si="23"/>
        <v>F Louw</v>
      </c>
      <c r="I172"/>
      <c r="J172"/>
      <c r="K172"/>
      <c r="L172"/>
    </row>
    <row r="173" spans="1:12" ht="14.4">
      <c r="A173" s="4">
        <v>172</v>
      </c>
      <c r="B173" s="4">
        <v>234</v>
      </c>
      <c r="C173" s="4" t="s">
        <v>471</v>
      </c>
      <c r="D173" s="4" t="s">
        <v>472</v>
      </c>
      <c r="E173" s="4" t="str">
        <f t="shared" si="21"/>
        <v>H</v>
      </c>
      <c r="F173" s="4" t="str">
        <f t="shared" si="22"/>
        <v>E</v>
      </c>
      <c r="G173" s="5" t="str">
        <f t="shared" si="23"/>
        <v>HE Liebenberg</v>
      </c>
      <c r="I173"/>
      <c r="J173"/>
      <c r="K173"/>
      <c r="L173"/>
    </row>
    <row r="174" spans="1:12" ht="14.4">
      <c r="A174" s="4">
        <v>173</v>
      </c>
      <c r="B174" s="4">
        <v>12</v>
      </c>
      <c r="C174" s="4" t="s">
        <v>473</v>
      </c>
      <c r="D174" s="4" t="s">
        <v>454</v>
      </c>
      <c r="E174" s="4" t="str">
        <f t="shared" si="21"/>
        <v>A</v>
      </c>
      <c r="F174" s="4" t="str">
        <f t="shared" si="22"/>
        <v>G</v>
      </c>
      <c r="G174" s="5" t="str">
        <f t="shared" si="23"/>
        <v>AG Loots</v>
      </c>
      <c r="I174"/>
      <c r="J174"/>
      <c r="K174"/>
      <c r="L174"/>
    </row>
    <row r="175" spans="1:12" ht="14.4">
      <c r="A175" s="4">
        <v>174</v>
      </c>
      <c r="B175" s="4">
        <v>156</v>
      </c>
      <c r="C175" s="4" t="s">
        <v>473</v>
      </c>
      <c r="D175" s="4" t="s">
        <v>299</v>
      </c>
      <c r="E175" s="4" t="str">
        <f t="shared" si="21"/>
        <v>P</v>
      </c>
      <c r="F175" s="4" t="str">
        <f t="shared" si="22"/>
        <v>E</v>
      </c>
      <c r="G175" s="5" t="str">
        <f t="shared" si="23"/>
        <v>PE Loots</v>
      </c>
      <c r="I175"/>
      <c r="J175"/>
      <c r="K175"/>
      <c r="L175"/>
    </row>
    <row r="176" spans="1:12" ht="14.4">
      <c r="A176" s="4">
        <v>175</v>
      </c>
      <c r="B176" s="4">
        <v>100</v>
      </c>
      <c r="C176" s="4" t="s">
        <v>473</v>
      </c>
      <c r="D176" s="5" t="s">
        <v>340</v>
      </c>
      <c r="E176" s="4" t="str">
        <f t="shared" si="21"/>
        <v>E</v>
      </c>
      <c r="F176" s="4" t="str">
        <f t="shared" si="22"/>
        <v/>
      </c>
      <c r="G176" s="5" t="str">
        <f t="shared" si="23"/>
        <v>E Loots</v>
      </c>
      <c r="I176"/>
      <c r="J176"/>
      <c r="K176"/>
      <c r="L176"/>
    </row>
    <row r="177" spans="1:12" ht="14.4">
      <c r="A177" s="4">
        <v>176</v>
      </c>
      <c r="B177" s="4">
        <v>341</v>
      </c>
      <c r="C177" s="4" t="s">
        <v>473</v>
      </c>
      <c r="D177" s="4" t="s">
        <v>474</v>
      </c>
      <c r="E177" s="4" t="str">
        <f t="shared" si="21"/>
        <v>M</v>
      </c>
      <c r="F177" s="4" t="str">
        <f t="shared" si="22"/>
        <v>A</v>
      </c>
      <c r="G177" s="5" t="str">
        <f t="shared" si="23"/>
        <v>MA Loots</v>
      </c>
      <c r="I177"/>
      <c r="J177"/>
      <c r="K177"/>
      <c r="L177"/>
    </row>
    <row r="178" spans="1:12" ht="14.4">
      <c r="A178" s="4">
        <v>177</v>
      </c>
      <c r="B178" s="4">
        <v>100</v>
      </c>
      <c r="C178" s="4" t="s">
        <v>473</v>
      </c>
      <c r="D178" s="4" t="s">
        <v>475</v>
      </c>
      <c r="E178" s="4" t="str">
        <f t="shared" si="21"/>
        <v>Z</v>
      </c>
      <c r="F178" s="4" t="str">
        <f t="shared" si="22"/>
        <v>M</v>
      </c>
      <c r="G178" s="5" t="str">
        <f t="shared" si="23"/>
        <v>ZM Loots</v>
      </c>
      <c r="I178"/>
      <c r="J178"/>
      <c r="K178"/>
      <c r="L178"/>
    </row>
    <row r="179" spans="1:12" ht="14.4">
      <c r="A179" s="4">
        <v>178</v>
      </c>
      <c r="B179" s="4">
        <v>157</v>
      </c>
      <c r="C179" s="4" t="s">
        <v>295</v>
      </c>
      <c r="D179" s="4" t="s">
        <v>340</v>
      </c>
      <c r="E179" s="4" t="str">
        <f t="shared" si="21"/>
        <v>E</v>
      </c>
      <c r="F179" s="4" t="s">
        <v>476</v>
      </c>
      <c r="G179" s="5" t="str">
        <f t="shared" si="23"/>
        <v>EMrs Louw</v>
      </c>
      <c r="I179"/>
      <c r="J179"/>
      <c r="K179"/>
      <c r="L179"/>
    </row>
    <row r="180" spans="1:12" ht="14.4">
      <c r="A180" s="4">
        <v>179</v>
      </c>
      <c r="B180" s="4">
        <v>2</v>
      </c>
      <c r="C180" s="4" t="s">
        <v>464</v>
      </c>
      <c r="D180" s="4" t="s">
        <v>355</v>
      </c>
      <c r="E180" s="4" t="str">
        <f t="shared" si="21"/>
        <v>M</v>
      </c>
      <c r="F180" s="4" t="str">
        <f t="shared" si="22"/>
        <v/>
      </c>
      <c r="G180" s="5" t="str">
        <f t="shared" si="23"/>
        <v>M van der Merwe</v>
      </c>
      <c r="I180"/>
      <c r="J180"/>
      <c r="K180"/>
      <c r="L180"/>
    </row>
    <row r="181" spans="1:12" ht="14.4">
      <c r="A181" s="4">
        <v>180</v>
      </c>
      <c r="B181" s="4">
        <v>57</v>
      </c>
      <c r="C181" s="4" t="s">
        <v>477</v>
      </c>
      <c r="D181" s="4" t="s">
        <v>478</v>
      </c>
      <c r="E181" s="4" t="str">
        <f t="shared" si="21"/>
        <v>L</v>
      </c>
      <c r="F181" s="4" t="str">
        <f t="shared" si="22"/>
        <v/>
      </c>
      <c r="G181" s="5" t="str">
        <f t="shared" si="23"/>
        <v>L SCHEEPERS</v>
      </c>
      <c r="I181"/>
      <c r="J181"/>
      <c r="K181"/>
      <c r="L181"/>
    </row>
    <row r="182" spans="1:12" ht="14.4">
      <c r="A182" s="4">
        <v>181</v>
      </c>
      <c r="B182" s="4">
        <v>414</v>
      </c>
      <c r="C182" s="4" t="s">
        <v>479</v>
      </c>
      <c r="D182" s="4" t="s">
        <v>247</v>
      </c>
      <c r="E182" s="4" t="str">
        <f t="shared" si="21"/>
        <v>C</v>
      </c>
      <c r="F182" s="4" t="str">
        <f t="shared" si="22"/>
        <v>J</v>
      </c>
      <c r="G182" s="5" t="str">
        <f t="shared" si="23"/>
        <v>CJ Marais</v>
      </c>
      <c r="I182"/>
      <c r="J182"/>
      <c r="K182"/>
      <c r="L182"/>
    </row>
    <row r="183" spans="1:12" ht="14.4">
      <c r="A183" s="4">
        <v>182</v>
      </c>
      <c r="B183" s="4">
        <v>422</v>
      </c>
      <c r="C183" s="4" t="s">
        <v>480</v>
      </c>
      <c r="D183" s="4" t="s">
        <v>340</v>
      </c>
      <c r="E183" s="4" t="str">
        <f t="shared" si="21"/>
        <v>E</v>
      </c>
      <c r="F183" s="4" t="str">
        <f t="shared" si="22"/>
        <v/>
      </c>
      <c r="G183" s="5" t="str">
        <f t="shared" si="23"/>
        <v>E Massyn</v>
      </c>
      <c r="I183"/>
      <c r="J183"/>
      <c r="K183"/>
      <c r="L183"/>
    </row>
    <row r="184" spans="1:12" ht="14.4">
      <c r="A184" s="4">
        <v>183</v>
      </c>
      <c r="B184" s="4">
        <v>133</v>
      </c>
      <c r="C184" s="4" t="s">
        <v>480</v>
      </c>
      <c r="D184" s="4" t="s">
        <v>481</v>
      </c>
      <c r="E184" s="4" t="str">
        <f t="shared" si="21"/>
        <v>W</v>
      </c>
      <c r="F184" s="4" t="str">
        <f t="shared" si="22"/>
        <v>P</v>
      </c>
      <c r="G184" s="5" t="str">
        <f t="shared" si="23"/>
        <v>WP Massyn</v>
      </c>
      <c r="I184"/>
      <c r="J184"/>
      <c r="K184"/>
      <c r="L184"/>
    </row>
    <row r="185" spans="1:12" ht="14.4">
      <c r="A185" s="4">
        <v>184</v>
      </c>
      <c r="B185" s="4">
        <v>124</v>
      </c>
      <c r="C185" s="4" t="s">
        <v>482</v>
      </c>
      <c r="D185" s="4" t="s">
        <v>241</v>
      </c>
      <c r="E185" s="4" t="str">
        <f t="shared" si="21"/>
        <v>P</v>
      </c>
      <c r="F185" s="4" t="str">
        <f t="shared" si="22"/>
        <v>J</v>
      </c>
      <c r="G185" s="5" t="str">
        <f t="shared" si="23"/>
        <v>PJ Matthee</v>
      </c>
      <c r="I185"/>
      <c r="J185"/>
      <c r="K185"/>
      <c r="L185"/>
    </row>
    <row r="186" spans="1:12" ht="14.4">
      <c r="A186" s="4">
        <v>186</v>
      </c>
      <c r="B186" s="4">
        <v>184</v>
      </c>
      <c r="C186" s="4" t="s">
        <v>483</v>
      </c>
      <c r="D186" s="4" t="s">
        <v>484</v>
      </c>
      <c r="E186" s="4" t="str">
        <f t="shared" si="21"/>
        <v>P</v>
      </c>
      <c r="F186" s="4" t="str">
        <f t="shared" si="22"/>
        <v>A</v>
      </c>
      <c r="G186" s="5" t="str">
        <f t="shared" si="23"/>
        <v>PA Meintjies</v>
      </c>
      <c r="I186"/>
      <c r="J186"/>
      <c r="K186"/>
      <c r="L186"/>
    </row>
    <row r="187" spans="1:12" ht="14.4">
      <c r="A187" s="4">
        <v>188</v>
      </c>
      <c r="B187" s="4">
        <v>9</v>
      </c>
      <c r="C187" s="4" t="s">
        <v>485</v>
      </c>
      <c r="D187" s="4" t="s">
        <v>486</v>
      </c>
      <c r="E187" s="4" t="str">
        <f t="shared" si="21"/>
        <v>J</v>
      </c>
      <c r="F187" s="4" t="str">
        <f t="shared" si="22"/>
        <v>S</v>
      </c>
      <c r="G187" s="5" t="str">
        <f t="shared" si="23"/>
        <v>JS Schaffner</v>
      </c>
      <c r="I187"/>
      <c r="J187"/>
      <c r="K187"/>
      <c r="L187"/>
    </row>
    <row r="188" spans="1:12" ht="14.4">
      <c r="A188" s="4">
        <v>189</v>
      </c>
      <c r="B188" s="4">
        <v>289</v>
      </c>
      <c r="C188" s="4" t="s">
        <v>487</v>
      </c>
      <c r="D188" s="4" t="s">
        <v>488</v>
      </c>
      <c r="E188" s="4" t="str">
        <f t="shared" si="21"/>
        <v>H</v>
      </c>
      <c r="F188" s="4" t="str">
        <f t="shared" si="22"/>
        <v>J</v>
      </c>
      <c r="G188" s="5" t="str">
        <f t="shared" si="23"/>
        <v>HJ Minnie</v>
      </c>
      <c r="I188"/>
      <c r="J188"/>
      <c r="K188"/>
      <c r="L188"/>
    </row>
    <row r="189" spans="1:12" ht="14.4">
      <c r="A189" s="4">
        <v>190</v>
      </c>
      <c r="B189" s="4"/>
      <c r="C189" s="4" t="s">
        <v>489</v>
      </c>
      <c r="D189" s="4" t="s">
        <v>297</v>
      </c>
      <c r="E189" s="4" t="str">
        <f t="shared" ref="E189" si="24">LEFT(D189,1)</f>
        <v>A</v>
      </c>
      <c r="F189" s="4" t="str">
        <f t="shared" ref="F189" si="25">IF(MID(D189,2,1)=" ",MID(D189,3,1),MID(D189,2,1))</f>
        <v/>
      </c>
      <c r="G189" s="5" t="str">
        <f t="shared" ref="G189" si="26">IF(D189="",C189,CONCATENATE(E189,F189," ",C189))</f>
        <v>A Oosthuizen</v>
      </c>
      <c r="I189"/>
      <c r="J189"/>
      <c r="K189"/>
      <c r="L189"/>
    </row>
    <row r="190" spans="1:12" ht="14.4">
      <c r="A190" s="4">
        <v>191</v>
      </c>
      <c r="B190" s="4">
        <v>79</v>
      </c>
      <c r="C190" s="4" t="s">
        <v>116</v>
      </c>
      <c r="D190" s="4" t="s">
        <v>228</v>
      </c>
      <c r="E190" s="4" t="str">
        <f t="shared" si="21"/>
        <v/>
      </c>
      <c r="F190" s="4" t="str">
        <f t="shared" si="22"/>
        <v/>
      </c>
      <c r="G190" s="5" t="str">
        <f t="shared" si="23"/>
        <v>Neethling Trust</v>
      </c>
      <c r="I190"/>
      <c r="J190"/>
      <c r="K190"/>
      <c r="L190"/>
    </row>
    <row r="191" spans="1:12" ht="14.4">
      <c r="A191" s="4">
        <v>192</v>
      </c>
      <c r="B191" s="4">
        <v>33</v>
      </c>
      <c r="C191" s="4" t="s">
        <v>335</v>
      </c>
      <c r="D191" s="4" t="s">
        <v>490</v>
      </c>
      <c r="E191" s="4" t="str">
        <f t="shared" si="21"/>
        <v>J</v>
      </c>
      <c r="F191" s="4" t="str">
        <f t="shared" si="22"/>
        <v>D</v>
      </c>
      <c r="G191" s="5" t="str">
        <f t="shared" si="23"/>
        <v>JD Naude</v>
      </c>
      <c r="I191"/>
      <c r="J191"/>
      <c r="K191"/>
      <c r="L191"/>
    </row>
    <row r="192" spans="1:12" ht="14.4">
      <c r="A192" s="4">
        <v>193</v>
      </c>
      <c r="B192" s="4">
        <v>79</v>
      </c>
      <c r="C192" s="4" t="s">
        <v>491</v>
      </c>
      <c r="D192" s="4" t="s">
        <v>386</v>
      </c>
      <c r="E192" s="4" t="str">
        <f t="shared" si="21"/>
        <v>A</v>
      </c>
      <c r="F192" s="4" t="str">
        <f t="shared" si="22"/>
        <v>D</v>
      </c>
      <c r="G192" s="5" t="str">
        <f t="shared" si="23"/>
        <v>AD Neethling</v>
      </c>
      <c r="I192"/>
      <c r="J192"/>
      <c r="K192"/>
      <c r="L192"/>
    </row>
    <row r="193" spans="1:12" ht="14.4">
      <c r="A193" s="4">
        <v>194</v>
      </c>
      <c r="B193" s="4">
        <v>441</v>
      </c>
      <c r="C193" s="4" t="s">
        <v>491</v>
      </c>
      <c r="D193" s="4" t="s">
        <v>433</v>
      </c>
      <c r="E193" s="4" t="str">
        <f t="shared" si="21"/>
        <v>J</v>
      </c>
      <c r="F193" s="4" t="str">
        <f t="shared" si="22"/>
        <v>A</v>
      </c>
      <c r="G193" s="5" t="str">
        <f t="shared" si="23"/>
        <v>JA Neethling</v>
      </c>
      <c r="I193"/>
      <c r="J193"/>
      <c r="K193"/>
      <c r="L193"/>
    </row>
    <row r="194" spans="1:12" ht="14.4">
      <c r="A194" s="4">
        <v>195</v>
      </c>
      <c r="B194" s="4">
        <v>430</v>
      </c>
      <c r="C194" s="4" t="s">
        <v>491</v>
      </c>
      <c r="D194" s="4" t="s">
        <v>247</v>
      </c>
      <c r="E194" s="4" t="str">
        <f t="shared" si="21"/>
        <v>C</v>
      </c>
      <c r="F194" s="4" t="str">
        <f t="shared" si="22"/>
        <v>J</v>
      </c>
      <c r="G194" s="5" t="str">
        <f t="shared" si="23"/>
        <v>CJ Neethling</v>
      </c>
      <c r="I194"/>
      <c r="J194"/>
      <c r="K194"/>
      <c r="L194"/>
    </row>
    <row r="195" spans="1:12" ht="14.4">
      <c r="A195" s="4">
        <v>196</v>
      </c>
      <c r="B195" s="4">
        <v>223</v>
      </c>
      <c r="C195" s="4" t="s">
        <v>492</v>
      </c>
      <c r="D195" s="4" t="s">
        <v>493</v>
      </c>
      <c r="E195" s="4" t="str">
        <f t="shared" si="21"/>
        <v>B</v>
      </c>
      <c r="F195" s="4" t="str">
        <f t="shared" si="22"/>
        <v>O</v>
      </c>
      <c r="G195" s="5" t="str">
        <f t="shared" si="23"/>
        <v>BO Nel</v>
      </c>
      <c r="I195"/>
      <c r="J195"/>
      <c r="K195"/>
      <c r="L195"/>
    </row>
    <row r="196" spans="1:12" ht="14.4">
      <c r="A196" s="4">
        <v>197</v>
      </c>
      <c r="B196" s="4">
        <v>468</v>
      </c>
      <c r="C196" s="4" t="s">
        <v>446</v>
      </c>
      <c r="D196" s="4" t="s">
        <v>307</v>
      </c>
      <c r="E196" s="4" t="str">
        <f t="shared" si="21"/>
        <v>M</v>
      </c>
      <c r="F196" s="4" t="str">
        <f t="shared" si="22"/>
        <v>E</v>
      </c>
      <c r="G196" s="5" t="str">
        <f t="shared" si="23"/>
        <v>ME van Tonder</v>
      </c>
      <c r="I196"/>
      <c r="J196"/>
      <c r="K196"/>
      <c r="L196"/>
    </row>
    <row r="197" spans="1:12" ht="14.4">
      <c r="A197" s="4">
        <v>198</v>
      </c>
      <c r="B197" s="4">
        <v>372</v>
      </c>
      <c r="C197" s="4" t="s">
        <v>492</v>
      </c>
      <c r="D197" s="4" t="s">
        <v>494</v>
      </c>
      <c r="E197" s="4" t="str">
        <f t="shared" si="21"/>
        <v>J</v>
      </c>
      <c r="F197" s="4" t="str">
        <f t="shared" si="22"/>
        <v>W</v>
      </c>
      <c r="G197" s="5" t="str">
        <f t="shared" si="23"/>
        <v>JW Nel</v>
      </c>
      <c r="I197"/>
      <c r="J197"/>
      <c r="K197"/>
      <c r="L197"/>
    </row>
    <row r="198" spans="1:12" ht="14.4">
      <c r="A198" s="4">
        <v>199</v>
      </c>
      <c r="B198" s="4">
        <v>19</v>
      </c>
      <c r="C198" s="4" t="s">
        <v>495</v>
      </c>
      <c r="D198" s="4" t="s">
        <v>270</v>
      </c>
      <c r="E198" s="4" t="str">
        <f>LEFT(D198,1)</f>
        <v>A</v>
      </c>
      <c r="F198" s="4" t="str">
        <f>IF(MID(D198,2,1)=" ",MID(D198,3,1),MID(D198,2,1))</f>
        <v>L</v>
      </c>
      <c r="G198" s="5" t="str">
        <f>IF(D198="",C198,CONCATENATE(E198,F198," ",C198))</f>
        <v>AL Kennedy</v>
      </c>
      <c r="I198"/>
      <c r="J198"/>
      <c r="K198"/>
      <c r="L198"/>
    </row>
    <row r="199" spans="1:12" ht="14.4">
      <c r="A199" s="4">
        <v>200</v>
      </c>
      <c r="B199" s="4">
        <v>446</v>
      </c>
      <c r="C199" s="4" t="s">
        <v>346</v>
      </c>
      <c r="D199" s="5" t="s">
        <v>359</v>
      </c>
      <c r="E199" s="4" t="str">
        <f t="shared" si="21"/>
        <v>B</v>
      </c>
      <c r="F199" s="4" t="str">
        <f t="shared" si="22"/>
        <v/>
      </c>
      <c r="G199" s="5" t="str">
        <f t="shared" si="23"/>
        <v>B Ohsiek</v>
      </c>
      <c r="I199"/>
      <c r="J199"/>
      <c r="K199"/>
      <c r="L199"/>
    </row>
    <row r="200" spans="1:12" ht="14.4">
      <c r="A200" s="4">
        <v>201</v>
      </c>
      <c r="B200" s="4">
        <v>134</v>
      </c>
      <c r="C200" s="4" t="s">
        <v>489</v>
      </c>
      <c r="D200" s="4" t="s">
        <v>288</v>
      </c>
      <c r="E200" s="4" t="str">
        <f t="shared" si="21"/>
        <v>A</v>
      </c>
      <c r="F200" s="4" t="str">
        <f t="shared" si="22"/>
        <v>J</v>
      </c>
      <c r="G200" s="5" t="str">
        <f t="shared" si="23"/>
        <v>AJ Oosthuizen</v>
      </c>
      <c r="I200"/>
      <c r="J200"/>
      <c r="K200"/>
      <c r="L200"/>
    </row>
    <row r="201" spans="1:12" ht="14.4">
      <c r="A201" s="4">
        <v>202</v>
      </c>
      <c r="B201" s="4">
        <v>24</v>
      </c>
      <c r="C201" s="4" t="s">
        <v>489</v>
      </c>
      <c r="D201" s="5" t="s">
        <v>496</v>
      </c>
      <c r="E201" s="4" t="str">
        <f t="shared" si="21"/>
        <v>N</v>
      </c>
      <c r="F201" s="4" t="str">
        <f t="shared" si="22"/>
        <v>D</v>
      </c>
      <c r="G201" s="5" t="str">
        <f t="shared" si="23"/>
        <v>ND Oosthuizen</v>
      </c>
      <c r="I201"/>
      <c r="J201"/>
      <c r="K201"/>
      <c r="L201"/>
    </row>
    <row r="202" spans="1:12" ht="14.4">
      <c r="A202" s="4">
        <v>203</v>
      </c>
      <c r="B202" s="4">
        <v>295</v>
      </c>
      <c r="C202" s="4" t="s">
        <v>489</v>
      </c>
      <c r="D202" s="4" t="s">
        <v>497</v>
      </c>
      <c r="E202" s="4" t="str">
        <f t="shared" si="21"/>
        <v>S</v>
      </c>
      <c r="F202" s="4" t="str">
        <f t="shared" si="22"/>
        <v>C</v>
      </c>
      <c r="G202" s="5" t="str">
        <f t="shared" si="23"/>
        <v>SC Oosthuizen</v>
      </c>
      <c r="I202"/>
      <c r="J202"/>
      <c r="K202"/>
      <c r="L202"/>
    </row>
    <row r="203" spans="1:12" ht="14.4">
      <c r="A203" s="4">
        <v>204</v>
      </c>
      <c r="B203" s="4">
        <v>26</v>
      </c>
      <c r="C203" s="4" t="s">
        <v>498</v>
      </c>
      <c r="D203" s="4" t="s">
        <v>499</v>
      </c>
      <c r="E203" s="4" t="str">
        <f t="shared" si="21"/>
        <v>H</v>
      </c>
      <c r="F203" s="4" t="str">
        <f t="shared" si="22"/>
        <v>P</v>
      </c>
      <c r="G203" s="5" t="str">
        <f t="shared" si="23"/>
        <v>HP Pienaar</v>
      </c>
      <c r="I203"/>
      <c r="J203"/>
      <c r="K203"/>
      <c r="L203"/>
    </row>
    <row r="204" spans="1:12" ht="14.4">
      <c r="A204" s="4">
        <v>205</v>
      </c>
      <c r="B204" s="4">
        <v>22</v>
      </c>
      <c r="C204" s="4" t="s">
        <v>460</v>
      </c>
      <c r="D204" s="4" t="s">
        <v>500</v>
      </c>
      <c r="E204" s="4" t="str">
        <f t="shared" ref="E204" si="27">LEFT(D204,1)</f>
        <v>A</v>
      </c>
      <c r="F204" s="4" t="str">
        <f t="shared" ref="F204" si="28">IF(MID(D204,2,1)=" ",MID(D204,3,1),MID(D204,2,1))</f>
        <v>C</v>
      </c>
      <c r="G204" s="5" t="str">
        <f t="shared" ref="G204" si="29">IF(D204="",C204,CONCATENATE(E204,F204," ",C204))</f>
        <v>AC de Vries</v>
      </c>
      <c r="I204"/>
      <c r="J204"/>
      <c r="K204"/>
      <c r="L204"/>
    </row>
    <row r="205" spans="1:12" ht="14.4">
      <c r="A205" s="4">
        <v>206</v>
      </c>
      <c r="B205" s="4">
        <v>147</v>
      </c>
      <c r="C205" s="4" t="s">
        <v>501</v>
      </c>
      <c r="D205" s="4" t="s">
        <v>402</v>
      </c>
      <c r="E205" s="4" t="str">
        <f t="shared" si="21"/>
        <v>H</v>
      </c>
      <c r="F205" s="4" t="str">
        <f t="shared" si="22"/>
        <v>J</v>
      </c>
      <c r="G205" s="5" t="str">
        <f t="shared" si="23"/>
        <v>HJ Potgieter</v>
      </c>
      <c r="I205"/>
      <c r="J205"/>
      <c r="K205"/>
      <c r="L205"/>
    </row>
    <row r="206" spans="1:12" ht="14.4">
      <c r="A206" s="4">
        <v>207</v>
      </c>
      <c r="B206" s="4">
        <v>77</v>
      </c>
      <c r="C206" s="4" t="s">
        <v>502</v>
      </c>
      <c r="D206" s="4" t="s">
        <v>503</v>
      </c>
      <c r="E206" s="4" t="str">
        <f t="shared" si="21"/>
        <v>D</v>
      </c>
      <c r="F206" s="4" t="str">
        <f t="shared" si="22"/>
        <v/>
      </c>
      <c r="G206" s="5" t="str">
        <f t="shared" si="23"/>
        <v>D Pretorius</v>
      </c>
      <c r="I206"/>
      <c r="J206"/>
      <c r="K206"/>
      <c r="L206"/>
    </row>
    <row r="207" spans="1:12" ht="14.4">
      <c r="A207" s="4">
        <v>208</v>
      </c>
      <c r="B207" s="4">
        <v>260</v>
      </c>
      <c r="C207" s="4" t="s">
        <v>504</v>
      </c>
      <c r="D207" s="4" t="s">
        <v>228</v>
      </c>
      <c r="E207" s="4" t="str">
        <f t="shared" si="21"/>
        <v/>
      </c>
      <c r="F207" s="4" t="str">
        <f t="shared" si="22"/>
        <v/>
      </c>
      <c r="G207" s="5" t="str">
        <f t="shared" si="23"/>
        <v>Pretorius Familie Beleggings Trust</v>
      </c>
      <c r="I207"/>
      <c r="J207"/>
      <c r="K207"/>
      <c r="L207"/>
    </row>
    <row r="208" spans="1:12" ht="14.4">
      <c r="A208" s="4">
        <v>209</v>
      </c>
      <c r="B208" s="4">
        <v>390</v>
      </c>
      <c r="C208" s="4" t="s">
        <v>502</v>
      </c>
      <c r="D208" s="4" t="s">
        <v>505</v>
      </c>
      <c r="E208" s="4" t="str">
        <f t="shared" si="21"/>
        <v>H</v>
      </c>
      <c r="F208" s="4" t="str">
        <f t="shared" si="22"/>
        <v>P</v>
      </c>
      <c r="G208" s="5" t="str">
        <f t="shared" si="23"/>
        <v>HP Pretorius</v>
      </c>
      <c r="I208"/>
      <c r="J208"/>
      <c r="K208"/>
      <c r="L208"/>
    </row>
    <row r="209" spans="1:12" ht="14.4">
      <c r="A209" s="4">
        <v>210</v>
      </c>
      <c r="B209" s="4">
        <v>210</v>
      </c>
      <c r="C209" s="4" t="s">
        <v>506</v>
      </c>
      <c r="D209" s="4" t="s">
        <v>507</v>
      </c>
      <c r="E209" s="4" t="str">
        <f t="shared" si="21"/>
        <v>D</v>
      </c>
      <c r="F209" s="4" t="str">
        <f t="shared" si="22"/>
        <v>L</v>
      </c>
      <c r="G209" s="5" t="str">
        <f t="shared" si="23"/>
        <v>DL Swartz</v>
      </c>
      <c r="I209"/>
      <c r="J209"/>
      <c r="K209"/>
      <c r="L209"/>
    </row>
    <row r="210" spans="1:12" ht="14.4">
      <c r="A210" s="4">
        <v>211</v>
      </c>
      <c r="B210" s="4">
        <v>22</v>
      </c>
      <c r="C210" s="4" t="s">
        <v>460</v>
      </c>
      <c r="D210" s="4" t="s">
        <v>508</v>
      </c>
      <c r="E210" s="4" t="str">
        <f t="shared" si="21"/>
        <v>G</v>
      </c>
      <c r="F210" s="4" t="str">
        <f t="shared" si="22"/>
        <v>S</v>
      </c>
      <c r="G210" s="5" t="str">
        <f t="shared" si="23"/>
        <v>GS de Vries</v>
      </c>
      <c r="I210"/>
      <c r="J210"/>
      <c r="K210"/>
      <c r="L210"/>
    </row>
    <row r="211" spans="1:12" ht="14.4">
      <c r="A211" s="4">
        <v>212</v>
      </c>
      <c r="B211" s="4">
        <v>390</v>
      </c>
      <c r="C211" s="4" t="s">
        <v>502</v>
      </c>
      <c r="D211" s="4" t="s">
        <v>509</v>
      </c>
      <c r="E211" s="4" t="str">
        <f t="shared" si="21"/>
        <v>Z</v>
      </c>
      <c r="F211" s="4" t="str">
        <f t="shared" si="22"/>
        <v/>
      </c>
      <c r="G211" s="5" t="str">
        <f t="shared" si="23"/>
        <v>Z Pretorius</v>
      </c>
      <c r="I211"/>
      <c r="J211"/>
      <c r="K211"/>
      <c r="L211"/>
    </row>
    <row r="212" spans="1:12" ht="14.4">
      <c r="A212" s="4">
        <v>213</v>
      </c>
      <c r="B212" s="4">
        <v>334</v>
      </c>
      <c r="C212" s="4" t="s">
        <v>510</v>
      </c>
      <c r="D212" s="4" t="s">
        <v>511</v>
      </c>
      <c r="E212" s="4" t="str">
        <f t="shared" si="21"/>
        <v>E</v>
      </c>
      <c r="F212" s="4" t="str">
        <f t="shared" si="22"/>
        <v>A</v>
      </c>
      <c r="G212" s="5" t="str">
        <f t="shared" si="23"/>
        <v>EA Raath</v>
      </c>
      <c r="I212"/>
      <c r="J212"/>
      <c r="K212"/>
      <c r="L212"/>
    </row>
    <row r="213" spans="1:12" ht="14.4">
      <c r="A213" s="4">
        <v>214</v>
      </c>
      <c r="B213" s="4">
        <v>432</v>
      </c>
      <c r="C213" s="4" t="s">
        <v>512</v>
      </c>
      <c r="D213" s="4" t="s">
        <v>513</v>
      </c>
      <c r="E213" s="4" t="str">
        <f t="shared" si="21"/>
        <v>S</v>
      </c>
      <c r="F213" s="4" t="str">
        <f t="shared" si="22"/>
        <v>W</v>
      </c>
      <c r="G213" s="5" t="str">
        <f t="shared" si="23"/>
        <v>SW Radley</v>
      </c>
      <c r="I213"/>
      <c r="J213"/>
      <c r="K213"/>
      <c r="L213"/>
    </row>
    <row r="214" spans="1:12" ht="14.4">
      <c r="A214" s="4">
        <v>215</v>
      </c>
      <c r="B214" s="4">
        <v>41</v>
      </c>
      <c r="C214" s="4" t="s">
        <v>514</v>
      </c>
      <c r="D214" s="4" t="s">
        <v>228</v>
      </c>
      <c r="E214" s="4" t="str">
        <f t="shared" si="21"/>
        <v/>
      </c>
      <c r="F214" s="4" t="str">
        <f t="shared" si="22"/>
        <v/>
      </c>
      <c r="G214" s="5" t="str">
        <f t="shared" si="23"/>
        <v>Reebok Trust</v>
      </c>
      <c r="I214"/>
      <c r="J214"/>
      <c r="K214"/>
      <c r="L214"/>
    </row>
    <row r="215" spans="1:12" ht="14.4">
      <c r="A215" s="4">
        <v>216</v>
      </c>
      <c r="B215" s="4">
        <v>220</v>
      </c>
      <c r="C215" s="4" t="s">
        <v>515</v>
      </c>
      <c r="D215" s="4" t="s">
        <v>516</v>
      </c>
      <c r="E215" s="4" t="str">
        <f t="shared" si="21"/>
        <v>K</v>
      </c>
      <c r="F215" s="4" t="str">
        <f t="shared" si="22"/>
        <v/>
      </c>
      <c r="G215" s="5" t="str">
        <f t="shared" si="23"/>
        <v>K Roodman</v>
      </c>
      <c r="I215"/>
      <c r="J215"/>
      <c r="K215"/>
      <c r="L215"/>
    </row>
    <row r="216" spans="1:12" ht="14.4">
      <c r="A216" s="4">
        <v>218</v>
      </c>
      <c r="B216" s="4">
        <v>104</v>
      </c>
      <c r="C216" s="4" t="s">
        <v>142</v>
      </c>
      <c r="D216" s="4"/>
      <c r="E216" s="4" t="str">
        <f t="shared" ref="E216" si="30">LEFT(D216,1)</f>
        <v/>
      </c>
      <c r="F216" s="4" t="str">
        <f t="shared" ref="F216" si="31">IF(MID(D216,2,1)=" ",MID(D216,3,1),MID(D216,2,1))</f>
        <v/>
      </c>
      <c r="G216" s="5" t="str">
        <f t="shared" ref="G216" si="32">IF(D216="",C216,CONCATENATE(E216,F216," ",C216))</f>
        <v>Ora Et Labora Trust</v>
      </c>
      <c r="I216"/>
      <c r="J216"/>
      <c r="K216"/>
      <c r="L216"/>
    </row>
    <row r="217" spans="1:12" ht="14.4">
      <c r="A217" s="4">
        <v>219</v>
      </c>
      <c r="B217" s="4">
        <v>445</v>
      </c>
      <c r="C217" s="4" t="s">
        <v>517</v>
      </c>
      <c r="D217" s="4" t="s">
        <v>518</v>
      </c>
      <c r="E217" s="4" t="str">
        <f t="shared" si="21"/>
        <v>A</v>
      </c>
      <c r="F217" s="4" t="str">
        <f t="shared" si="22"/>
        <v>W</v>
      </c>
      <c r="G217" s="5" t="str">
        <f t="shared" si="23"/>
        <v>AW SCHOEMAN</v>
      </c>
      <c r="I217"/>
      <c r="J217"/>
      <c r="K217"/>
      <c r="L217"/>
    </row>
    <row r="218" spans="1:12" ht="14.4">
      <c r="A218" s="4">
        <v>220</v>
      </c>
      <c r="B218" s="4">
        <v>125</v>
      </c>
      <c r="C218" s="4" t="s">
        <v>519</v>
      </c>
      <c r="D218" s="4" t="s">
        <v>520</v>
      </c>
      <c r="E218" s="4" t="str">
        <f t="shared" si="21"/>
        <v>E</v>
      </c>
      <c r="F218" s="4" t="str">
        <f t="shared" si="22"/>
        <v>F</v>
      </c>
      <c r="G218" s="5" t="str">
        <f t="shared" si="23"/>
        <v>EF Slabber</v>
      </c>
      <c r="I218"/>
      <c r="J218"/>
      <c r="K218"/>
      <c r="L218"/>
    </row>
    <row r="219" spans="1:12" ht="14.4">
      <c r="A219" s="4">
        <v>221</v>
      </c>
      <c r="B219" s="4">
        <v>127</v>
      </c>
      <c r="C219" s="4" t="s">
        <v>521</v>
      </c>
      <c r="D219" s="4" t="s">
        <v>522</v>
      </c>
      <c r="E219" s="4" t="str">
        <f t="shared" si="21"/>
        <v>H</v>
      </c>
      <c r="F219" s="4" t="str">
        <f t="shared" si="22"/>
        <v>I</v>
      </c>
      <c r="G219" s="5" t="str">
        <f t="shared" si="23"/>
        <v>HI Slabbert</v>
      </c>
      <c r="I219"/>
      <c r="J219"/>
      <c r="K219"/>
      <c r="L219"/>
    </row>
    <row r="220" spans="1:12" ht="14.4">
      <c r="A220" s="4">
        <v>222</v>
      </c>
      <c r="B220" s="4">
        <v>35</v>
      </c>
      <c r="C220" s="4" t="s">
        <v>467</v>
      </c>
      <c r="D220" s="4" t="s">
        <v>359</v>
      </c>
      <c r="E220" s="4" t="str">
        <f t="shared" si="21"/>
        <v>B</v>
      </c>
      <c r="F220" s="4" t="str">
        <f t="shared" si="22"/>
        <v/>
      </c>
      <c r="G220" s="5" t="str">
        <f t="shared" si="23"/>
        <v>B Koorts</v>
      </c>
      <c r="I220"/>
      <c r="J220"/>
      <c r="K220"/>
      <c r="L220"/>
    </row>
    <row r="221" spans="1:12" ht="14.4">
      <c r="A221" s="4">
        <v>223</v>
      </c>
      <c r="B221" s="4">
        <v>120</v>
      </c>
      <c r="C221" s="4" t="s">
        <v>306</v>
      </c>
      <c r="D221" s="4" t="s">
        <v>523</v>
      </c>
      <c r="E221" s="4" t="str">
        <f t="shared" si="21"/>
        <v>P</v>
      </c>
      <c r="F221" s="4" t="str">
        <f t="shared" si="22"/>
        <v>J</v>
      </c>
      <c r="G221" s="5" t="str">
        <f t="shared" si="23"/>
        <v>PJ Strydom</v>
      </c>
      <c r="I221"/>
      <c r="J221"/>
      <c r="K221"/>
      <c r="L221"/>
    </row>
    <row r="222" spans="1:12" ht="14.4">
      <c r="A222" s="4">
        <v>224</v>
      </c>
      <c r="B222" s="4">
        <v>457</v>
      </c>
      <c r="C222" s="4" t="s">
        <v>524</v>
      </c>
      <c r="D222" s="4" t="s">
        <v>503</v>
      </c>
      <c r="E222" s="4" t="str">
        <f t="shared" si="21"/>
        <v>D</v>
      </c>
      <c r="F222" s="4" t="str">
        <f t="shared" si="22"/>
        <v/>
      </c>
      <c r="G222" s="5" t="str">
        <f t="shared" si="23"/>
        <v>D Swanepoel</v>
      </c>
      <c r="I222"/>
      <c r="J222"/>
      <c r="K222"/>
      <c r="L222"/>
    </row>
    <row r="223" spans="1:12" ht="14.4">
      <c r="A223" s="4">
        <v>225</v>
      </c>
      <c r="B223" s="4">
        <v>378</v>
      </c>
      <c r="C223" s="4" t="s">
        <v>525</v>
      </c>
      <c r="D223" s="4" t="s">
        <v>315</v>
      </c>
      <c r="E223" s="4" t="str">
        <f t="shared" si="21"/>
        <v>H</v>
      </c>
      <c r="F223" s="4" t="str">
        <f t="shared" si="22"/>
        <v/>
      </c>
      <c r="G223" s="5" t="str">
        <f t="shared" si="23"/>
        <v>H Swart</v>
      </c>
      <c r="I223"/>
      <c r="J223"/>
      <c r="K223"/>
      <c r="L223"/>
    </row>
    <row r="224" spans="1:12" ht="14.4">
      <c r="A224" s="4">
        <v>226</v>
      </c>
      <c r="B224" s="4">
        <v>271</v>
      </c>
      <c r="C224" s="4" t="s">
        <v>525</v>
      </c>
      <c r="D224" s="4" t="s">
        <v>526</v>
      </c>
      <c r="E224" s="4" t="str">
        <f t="shared" si="21"/>
        <v>H</v>
      </c>
      <c r="F224" s="4" t="str">
        <f t="shared" si="22"/>
        <v>B</v>
      </c>
      <c r="G224" s="5" t="str">
        <f t="shared" si="23"/>
        <v>HB Swart</v>
      </c>
      <c r="I224"/>
      <c r="J224"/>
      <c r="K224"/>
      <c r="L224"/>
    </row>
    <row r="225" spans="1:12" ht="14.4">
      <c r="A225" s="4">
        <v>227</v>
      </c>
      <c r="B225" s="4">
        <v>100</v>
      </c>
      <c r="C225" s="4" t="s">
        <v>527</v>
      </c>
      <c r="D225" s="4"/>
      <c r="E225" s="4" t="str">
        <f t="shared" si="21"/>
        <v/>
      </c>
      <c r="F225" s="4" t="str">
        <f t="shared" si="22"/>
        <v/>
      </c>
      <c r="G225" s="5" t="str">
        <f t="shared" si="23"/>
        <v>Tel Familie Trust</v>
      </c>
      <c r="I225"/>
      <c r="J225"/>
      <c r="K225"/>
      <c r="L225"/>
    </row>
    <row r="226" spans="1:12" ht="14.4">
      <c r="A226" s="4">
        <v>228</v>
      </c>
      <c r="B226" s="4">
        <v>66</v>
      </c>
      <c r="C226" s="4" t="s">
        <v>528</v>
      </c>
      <c r="D226" s="5" t="s">
        <v>529</v>
      </c>
      <c r="E226" s="4" t="str">
        <f t="shared" si="21"/>
        <v>D</v>
      </c>
      <c r="F226" s="4" t="str">
        <f t="shared" si="22"/>
        <v>P</v>
      </c>
      <c r="G226" s="5" t="str">
        <f t="shared" si="23"/>
        <v>DP Thompson</v>
      </c>
      <c r="I226"/>
      <c r="J226"/>
      <c r="K226"/>
      <c r="L226"/>
    </row>
    <row r="227" spans="1:12" ht="14.4">
      <c r="A227" s="4">
        <v>229</v>
      </c>
      <c r="B227" s="4">
        <v>2</v>
      </c>
      <c r="C227" s="4" t="s">
        <v>464</v>
      </c>
      <c r="D227" s="5" t="s">
        <v>340</v>
      </c>
      <c r="E227" s="4" t="str">
        <f t="shared" si="21"/>
        <v>E</v>
      </c>
      <c r="F227" s="4" t="str">
        <f t="shared" si="22"/>
        <v/>
      </c>
      <c r="G227" s="5" t="str">
        <f t="shared" si="23"/>
        <v>E van der Merwe</v>
      </c>
      <c r="I227"/>
      <c r="J227"/>
      <c r="K227"/>
      <c r="L227"/>
    </row>
    <row r="228" spans="1:12" ht="14.4">
      <c r="A228" s="4">
        <v>230</v>
      </c>
      <c r="B228" s="4">
        <v>278</v>
      </c>
      <c r="C228" s="4" t="s">
        <v>528</v>
      </c>
      <c r="D228" s="4" t="s">
        <v>241</v>
      </c>
      <c r="E228" s="4" t="str">
        <f t="shared" si="21"/>
        <v>P</v>
      </c>
      <c r="F228" s="4" t="str">
        <f t="shared" si="22"/>
        <v>J</v>
      </c>
      <c r="G228" s="5" t="str">
        <f t="shared" si="23"/>
        <v>PJ Thompson</v>
      </c>
      <c r="I228"/>
      <c r="J228"/>
      <c r="K228"/>
      <c r="L228"/>
    </row>
    <row r="229" spans="1:12" ht="14.4">
      <c r="A229" s="4">
        <v>231</v>
      </c>
      <c r="B229" s="4">
        <v>135</v>
      </c>
      <c r="C229" s="4" t="s">
        <v>530</v>
      </c>
      <c r="D229" s="4" t="s">
        <v>228</v>
      </c>
      <c r="E229" s="4" t="str">
        <f t="shared" si="21"/>
        <v/>
      </c>
      <c r="F229" s="4" t="str">
        <f t="shared" si="22"/>
        <v/>
      </c>
      <c r="G229" s="5" t="str">
        <f t="shared" si="23"/>
        <v>Toelina Trust</v>
      </c>
      <c r="I229"/>
      <c r="J229"/>
      <c r="K229"/>
      <c r="L229"/>
    </row>
    <row r="230" spans="1:12" ht="14.4">
      <c r="A230" s="4">
        <v>232</v>
      </c>
      <c r="B230" s="4">
        <v>420</v>
      </c>
      <c r="C230" s="4" t="s">
        <v>531</v>
      </c>
      <c r="D230" s="4" t="s">
        <v>228</v>
      </c>
      <c r="E230" s="4" t="str">
        <f t="shared" ref="E230:E294" si="33">LEFT(D230,1)</f>
        <v/>
      </c>
      <c r="F230" s="4" t="str">
        <f t="shared" ref="F230:F294" si="34">IF(MID(D230,2,1)=" ",MID(D230,3,1),MID(D230,2,1))</f>
        <v/>
      </c>
      <c r="G230" s="5" t="str">
        <f t="shared" ref="G230:G294" si="35">IF(D230="",C230,CONCATENATE(E230,F230," ",C230))</f>
        <v>Tomora Trust</v>
      </c>
      <c r="I230"/>
      <c r="J230"/>
      <c r="K230"/>
      <c r="L230"/>
    </row>
    <row r="231" spans="1:12" ht="14.4">
      <c r="A231" s="4">
        <v>233</v>
      </c>
      <c r="B231" s="4">
        <v>116</v>
      </c>
      <c r="C231" s="4" t="s">
        <v>532</v>
      </c>
      <c r="D231" s="4" t="s">
        <v>533</v>
      </c>
      <c r="E231" s="4" t="str">
        <f t="shared" si="33"/>
        <v>J</v>
      </c>
      <c r="F231" s="4" t="str">
        <f t="shared" si="34"/>
        <v>W</v>
      </c>
      <c r="G231" s="5" t="str">
        <f t="shared" si="35"/>
        <v>JW Van Antwerpen</v>
      </c>
      <c r="I231"/>
      <c r="J231"/>
      <c r="K231"/>
      <c r="L231"/>
    </row>
    <row r="232" spans="1:12" ht="14.4">
      <c r="A232" s="4">
        <v>234</v>
      </c>
      <c r="B232" s="4">
        <v>116</v>
      </c>
      <c r="C232" s="4" t="s">
        <v>534</v>
      </c>
      <c r="D232" s="4" t="s">
        <v>535</v>
      </c>
      <c r="E232" s="4" t="str">
        <f t="shared" si="33"/>
        <v>K</v>
      </c>
      <c r="F232" s="4" t="str">
        <f t="shared" si="34"/>
        <v>E</v>
      </c>
      <c r="G232" s="5" t="str">
        <f t="shared" si="35"/>
        <v>KE VAN ANTWERPEN</v>
      </c>
      <c r="I232"/>
      <c r="J232"/>
      <c r="K232"/>
      <c r="L232"/>
    </row>
    <row r="233" spans="1:12" ht="14.4">
      <c r="A233" s="4">
        <v>235</v>
      </c>
      <c r="B233" s="4">
        <v>443</v>
      </c>
      <c r="C233" s="4" t="s">
        <v>536</v>
      </c>
      <c r="D233" s="5" t="s">
        <v>537</v>
      </c>
      <c r="E233" s="4" t="str">
        <f t="shared" si="33"/>
        <v>M</v>
      </c>
      <c r="F233" s="4" t="str">
        <f t="shared" si="34"/>
        <v>W</v>
      </c>
      <c r="G233" s="5" t="str">
        <f t="shared" si="35"/>
        <v>MW Van Aswegen</v>
      </c>
      <c r="I233"/>
      <c r="J233"/>
      <c r="K233"/>
      <c r="L233"/>
    </row>
    <row r="234" spans="1:12" ht="14.4">
      <c r="A234" s="4">
        <v>236</v>
      </c>
      <c r="B234" s="4">
        <v>387</v>
      </c>
      <c r="C234" s="4" t="s">
        <v>538</v>
      </c>
      <c r="D234" s="4" t="s">
        <v>478</v>
      </c>
      <c r="E234" s="4" t="str">
        <f t="shared" si="33"/>
        <v>L</v>
      </c>
      <c r="F234" s="4" t="str">
        <f t="shared" si="34"/>
        <v/>
      </c>
      <c r="G234" s="5" t="str">
        <f t="shared" si="35"/>
        <v>L Van Den Berg</v>
      </c>
      <c r="I234"/>
      <c r="J234"/>
      <c r="K234"/>
      <c r="L234"/>
    </row>
    <row r="235" spans="1:12" ht="14.4">
      <c r="A235" s="4">
        <v>237</v>
      </c>
      <c r="B235" s="4">
        <v>351</v>
      </c>
      <c r="C235" s="4" t="s">
        <v>539</v>
      </c>
      <c r="D235" s="4" t="s">
        <v>540</v>
      </c>
      <c r="E235" s="4" t="str">
        <f t="shared" si="33"/>
        <v>M</v>
      </c>
      <c r="F235" s="4" t="str">
        <f t="shared" si="34"/>
        <v>H</v>
      </c>
      <c r="G235" s="5" t="str">
        <f t="shared" si="35"/>
        <v>MH Van den Berg</v>
      </c>
      <c r="I235"/>
      <c r="J235"/>
      <c r="K235"/>
      <c r="L235"/>
    </row>
    <row r="236" spans="1:12" ht="14.4">
      <c r="A236" s="4">
        <v>238</v>
      </c>
      <c r="B236" s="4">
        <v>37</v>
      </c>
      <c r="C236" s="4" t="s">
        <v>541</v>
      </c>
      <c r="D236" s="4" t="s">
        <v>542</v>
      </c>
      <c r="E236" s="4" t="str">
        <f t="shared" si="33"/>
        <v>H</v>
      </c>
      <c r="F236" s="4" t="str">
        <f t="shared" si="34"/>
        <v>J</v>
      </c>
      <c r="G236" s="5" t="str">
        <f t="shared" si="35"/>
        <v>HJ Jansen Van Rensburg</v>
      </c>
      <c r="I236"/>
      <c r="J236"/>
      <c r="K236"/>
      <c r="L236"/>
    </row>
    <row r="237" spans="1:12" ht="14.4">
      <c r="A237" s="4">
        <v>240</v>
      </c>
      <c r="B237" s="4">
        <v>329</v>
      </c>
      <c r="C237" s="4" t="s">
        <v>543</v>
      </c>
      <c r="D237" s="4" t="s">
        <v>544</v>
      </c>
      <c r="E237" s="4" t="str">
        <f t="shared" si="33"/>
        <v>C</v>
      </c>
      <c r="F237" s="4" t="str">
        <f t="shared" si="34"/>
        <v>M</v>
      </c>
      <c r="G237" s="5" t="str">
        <f t="shared" si="35"/>
        <v>CM Van der Vyver</v>
      </c>
      <c r="I237"/>
      <c r="J237"/>
      <c r="K237"/>
      <c r="L237"/>
    </row>
    <row r="238" spans="1:12" ht="14.4">
      <c r="A238" s="4">
        <v>241</v>
      </c>
      <c r="B238" s="4">
        <v>367</v>
      </c>
      <c r="C238" s="4" t="s">
        <v>545</v>
      </c>
      <c r="D238" s="4" t="s">
        <v>546</v>
      </c>
      <c r="E238" s="4" t="str">
        <f t="shared" si="33"/>
        <v>R</v>
      </c>
      <c r="F238" s="4" t="str">
        <f t="shared" si="34"/>
        <v>F</v>
      </c>
      <c r="G238" s="5" t="str">
        <f t="shared" si="35"/>
        <v>RF Van Der Watt</v>
      </c>
      <c r="I238"/>
      <c r="J238"/>
      <c r="K238"/>
      <c r="L238"/>
    </row>
    <row r="239" spans="1:12" ht="14.4">
      <c r="A239" s="4">
        <v>242</v>
      </c>
      <c r="B239" s="4">
        <v>447</v>
      </c>
      <c r="C239" s="4" t="s">
        <v>547</v>
      </c>
      <c r="D239" s="4" t="s">
        <v>402</v>
      </c>
      <c r="E239" s="4" t="str">
        <f t="shared" si="33"/>
        <v>H</v>
      </c>
      <c r="F239" s="4" t="str">
        <f t="shared" si="34"/>
        <v>J</v>
      </c>
      <c r="G239" s="5" t="str">
        <f t="shared" si="35"/>
        <v>HJ Van der Westhuizen</v>
      </c>
      <c r="I239"/>
      <c r="J239"/>
      <c r="K239"/>
      <c r="L239"/>
    </row>
    <row r="240" spans="1:12" ht="14.4">
      <c r="A240" s="4">
        <v>243</v>
      </c>
      <c r="B240" s="4">
        <v>283</v>
      </c>
      <c r="C240" s="4" t="s">
        <v>547</v>
      </c>
      <c r="D240" s="4" t="s">
        <v>548</v>
      </c>
      <c r="E240" s="4" t="str">
        <f t="shared" si="33"/>
        <v>D</v>
      </c>
      <c r="F240" s="4" t="str">
        <f t="shared" si="34"/>
        <v>E</v>
      </c>
      <c r="G240" s="5" t="str">
        <f t="shared" si="35"/>
        <v>DE Van der Westhuizen</v>
      </c>
      <c r="I240"/>
      <c r="J240"/>
      <c r="K240"/>
      <c r="L240"/>
    </row>
    <row r="241" spans="1:12" ht="14.4">
      <c r="A241" s="4">
        <v>245</v>
      </c>
      <c r="B241" s="4">
        <v>480</v>
      </c>
      <c r="C241" s="4" t="s">
        <v>549</v>
      </c>
      <c r="D241" s="4" t="s">
        <v>235</v>
      </c>
      <c r="E241" s="4" t="str">
        <f t="shared" si="33"/>
        <v>J</v>
      </c>
      <c r="F241" s="4" t="str">
        <f t="shared" si="34"/>
        <v/>
      </c>
      <c r="G241" s="5" t="str">
        <f t="shared" si="35"/>
        <v>J Van Eeden</v>
      </c>
      <c r="I241"/>
      <c r="J241"/>
      <c r="K241"/>
      <c r="L241"/>
    </row>
    <row r="242" spans="1:12" ht="14.4">
      <c r="A242" s="4">
        <v>246</v>
      </c>
      <c r="B242" s="4">
        <v>6</v>
      </c>
      <c r="C242" s="4" t="s">
        <v>550</v>
      </c>
      <c r="D242" s="4" t="s">
        <v>313</v>
      </c>
      <c r="E242" s="4" t="str">
        <f t="shared" si="33"/>
        <v>J</v>
      </c>
      <c r="F242" s="4" t="str">
        <f t="shared" si="34"/>
        <v>P</v>
      </c>
      <c r="G242" s="5" t="str">
        <f t="shared" si="35"/>
        <v>JP Van Jaarsveld</v>
      </c>
      <c r="I242"/>
      <c r="J242"/>
      <c r="K242"/>
      <c r="L242"/>
    </row>
    <row r="243" spans="1:12" ht="14.4">
      <c r="A243" s="4">
        <v>247</v>
      </c>
      <c r="B243" s="4">
        <v>240</v>
      </c>
      <c r="C243" s="4" t="s">
        <v>551</v>
      </c>
      <c r="D243" s="4" t="s">
        <v>309</v>
      </c>
      <c r="E243" s="4" t="str">
        <f t="shared" si="33"/>
        <v>S</v>
      </c>
      <c r="F243" s="4" t="str">
        <f t="shared" si="34"/>
        <v>S</v>
      </c>
      <c r="G243" s="5" t="str">
        <f t="shared" si="35"/>
        <v>SS Van Niekerk</v>
      </c>
      <c r="I243"/>
      <c r="J243"/>
      <c r="K243"/>
      <c r="L243"/>
    </row>
    <row r="244" spans="1:12" ht="14.4">
      <c r="A244" s="4">
        <v>248</v>
      </c>
      <c r="B244" s="4">
        <v>456</v>
      </c>
      <c r="C244" s="4" t="s">
        <v>552</v>
      </c>
      <c r="D244" s="4" t="s">
        <v>544</v>
      </c>
      <c r="E244" s="4" t="str">
        <f t="shared" si="33"/>
        <v>C</v>
      </c>
      <c r="F244" s="4" t="str">
        <f t="shared" si="34"/>
        <v>M</v>
      </c>
      <c r="G244" s="5" t="str">
        <f t="shared" si="35"/>
        <v>CM Van Rooyen</v>
      </c>
      <c r="I244"/>
      <c r="J244"/>
      <c r="K244"/>
      <c r="L244"/>
    </row>
    <row r="245" spans="1:12" ht="14.4">
      <c r="A245" s="4">
        <v>249</v>
      </c>
      <c r="B245" s="4">
        <v>290</v>
      </c>
      <c r="C245" s="4" t="s">
        <v>552</v>
      </c>
      <c r="D245" s="4" t="s">
        <v>553</v>
      </c>
      <c r="E245" s="4" t="str">
        <f t="shared" si="33"/>
        <v>G</v>
      </c>
      <c r="F245" s="4" t="str">
        <f t="shared" si="34"/>
        <v>H</v>
      </c>
      <c r="G245" s="5" t="str">
        <f t="shared" si="35"/>
        <v>GH Van Rooyen</v>
      </c>
      <c r="I245"/>
      <c r="J245"/>
      <c r="K245"/>
      <c r="L245"/>
    </row>
    <row r="246" spans="1:12" ht="14.4">
      <c r="A246" s="4">
        <v>250</v>
      </c>
      <c r="B246" s="4">
        <v>65</v>
      </c>
      <c r="C246" s="4" t="s">
        <v>554</v>
      </c>
      <c r="D246" s="4" t="s">
        <v>555</v>
      </c>
      <c r="E246" s="4" t="str">
        <f t="shared" si="33"/>
        <v>E</v>
      </c>
      <c r="F246" s="4" t="str">
        <f t="shared" si="34"/>
        <v>L</v>
      </c>
      <c r="G246" s="5" t="str">
        <f t="shared" si="35"/>
        <v>EL Van Staden</v>
      </c>
      <c r="I246"/>
      <c r="J246"/>
      <c r="K246"/>
      <c r="L246"/>
    </row>
    <row r="247" spans="1:12" ht="14.4">
      <c r="A247" s="4">
        <v>252</v>
      </c>
      <c r="B247" s="4">
        <v>468</v>
      </c>
      <c r="C247" s="4" t="s">
        <v>556</v>
      </c>
      <c r="D247" s="4" t="s">
        <v>288</v>
      </c>
      <c r="E247" s="4" t="str">
        <f t="shared" si="33"/>
        <v>A</v>
      </c>
      <c r="F247" s="4" t="str">
        <f t="shared" si="34"/>
        <v>J</v>
      </c>
      <c r="G247" s="5" t="str">
        <f t="shared" si="35"/>
        <v>AJ Van Tonder</v>
      </c>
      <c r="I247"/>
      <c r="J247"/>
      <c r="K247"/>
      <c r="L247"/>
    </row>
    <row r="248" spans="1:12" ht="14.4">
      <c r="A248" s="4">
        <v>253</v>
      </c>
      <c r="B248" s="4">
        <v>63</v>
      </c>
      <c r="C248" s="4" t="s">
        <v>557</v>
      </c>
      <c r="D248" s="5" t="s">
        <v>288</v>
      </c>
      <c r="E248" s="4" t="str">
        <f t="shared" si="33"/>
        <v>A</v>
      </c>
      <c r="F248" s="4" t="str">
        <f t="shared" si="34"/>
        <v>J</v>
      </c>
      <c r="G248" s="5" t="str">
        <f t="shared" si="35"/>
        <v>AJ Van Tonder (Jnr)</v>
      </c>
      <c r="I248"/>
      <c r="J248"/>
      <c r="K248"/>
      <c r="L248"/>
    </row>
    <row r="249" spans="1:12" ht="14.4">
      <c r="A249" s="4">
        <v>254</v>
      </c>
      <c r="B249" s="4">
        <v>437</v>
      </c>
      <c r="C249" s="4" t="s">
        <v>556</v>
      </c>
      <c r="D249" s="4" t="s">
        <v>433</v>
      </c>
      <c r="E249" s="4" t="str">
        <f t="shared" si="33"/>
        <v>J</v>
      </c>
      <c r="F249" s="4" t="str">
        <f t="shared" si="34"/>
        <v>A</v>
      </c>
      <c r="G249" s="5" t="str">
        <f t="shared" si="35"/>
        <v>JA Van Tonder</v>
      </c>
      <c r="I249"/>
      <c r="J249"/>
      <c r="K249"/>
      <c r="L249"/>
    </row>
    <row r="250" spans="1:12" ht="14.4">
      <c r="A250" s="4">
        <v>255</v>
      </c>
      <c r="B250" s="4">
        <v>16</v>
      </c>
      <c r="C250" s="4" t="s">
        <v>558</v>
      </c>
      <c r="D250" s="4" t="s">
        <v>559</v>
      </c>
      <c r="E250" s="4" t="str">
        <f t="shared" si="33"/>
        <v>W</v>
      </c>
      <c r="F250" s="4" t="str">
        <f t="shared" si="34"/>
        <v>C</v>
      </c>
      <c r="G250" s="5" t="str">
        <f t="shared" si="35"/>
        <v>WC Van Wyk</v>
      </c>
      <c r="I250"/>
      <c r="J250"/>
      <c r="K250"/>
      <c r="L250"/>
    </row>
    <row r="251" spans="1:12" ht="14.4">
      <c r="A251" s="4">
        <v>256</v>
      </c>
      <c r="B251" s="4">
        <v>437</v>
      </c>
      <c r="C251" s="4" t="s">
        <v>556</v>
      </c>
      <c r="D251" s="4" t="s">
        <v>254</v>
      </c>
      <c r="E251" s="4" t="str">
        <f t="shared" si="33"/>
        <v>J</v>
      </c>
      <c r="F251" s="4" t="str">
        <f t="shared" si="34"/>
        <v>H</v>
      </c>
      <c r="G251" s="5" t="str">
        <f t="shared" si="35"/>
        <v>JH Van Tonder</v>
      </c>
      <c r="I251"/>
      <c r="J251"/>
      <c r="K251"/>
      <c r="L251"/>
    </row>
    <row r="252" spans="1:12" ht="14.4">
      <c r="A252" s="4">
        <v>257</v>
      </c>
      <c r="B252" s="4">
        <v>308</v>
      </c>
      <c r="C252" s="4" t="s">
        <v>560</v>
      </c>
      <c r="D252" s="4" t="s">
        <v>561</v>
      </c>
      <c r="E252" s="4" t="str">
        <f t="shared" si="33"/>
        <v>I</v>
      </c>
      <c r="F252" s="4" t="str">
        <f t="shared" si="34"/>
        <v>E</v>
      </c>
      <c r="G252" s="5" t="str">
        <f t="shared" si="35"/>
        <v>IE Venter</v>
      </c>
      <c r="I252"/>
      <c r="J252"/>
      <c r="K252"/>
      <c r="L252"/>
    </row>
    <row r="253" spans="1:12" ht="14.4">
      <c r="A253" s="4">
        <v>258</v>
      </c>
      <c r="B253" s="4">
        <v>261</v>
      </c>
      <c r="C253" s="4" t="s">
        <v>560</v>
      </c>
      <c r="D253" s="4" t="s">
        <v>562</v>
      </c>
      <c r="E253" s="4" t="str">
        <f t="shared" si="33"/>
        <v>N</v>
      </c>
      <c r="F253" s="4" t="str">
        <f t="shared" si="34"/>
        <v>P</v>
      </c>
      <c r="G253" s="5" t="str">
        <f t="shared" si="35"/>
        <v>NP Venter</v>
      </c>
      <c r="I253"/>
      <c r="J253"/>
      <c r="K253"/>
      <c r="L253"/>
    </row>
    <row r="254" spans="1:12" ht="14.4">
      <c r="A254" s="4">
        <v>259</v>
      </c>
      <c r="B254" s="4">
        <v>54</v>
      </c>
      <c r="C254" s="4" t="s">
        <v>563</v>
      </c>
      <c r="D254" s="4" t="s">
        <v>340</v>
      </c>
      <c r="E254" s="4" t="str">
        <f t="shared" si="33"/>
        <v>E</v>
      </c>
      <c r="F254" s="4" t="str">
        <f t="shared" si="34"/>
        <v/>
      </c>
      <c r="G254" s="5" t="str">
        <f t="shared" si="35"/>
        <v>E du Plessis</v>
      </c>
      <c r="I254"/>
      <c r="J254"/>
      <c r="K254"/>
      <c r="L254"/>
    </row>
    <row r="255" spans="1:12" ht="14.4">
      <c r="A255" s="4">
        <v>260</v>
      </c>
      <c r="B255" s="4">
        <v>161</v>
      </c>
      <c r="C255" s="4" t="s">
        <v>564</v>
      </c>
      <c r="D255" s="4" t="s">
        <v>278</v>
      </c>
      <c r="E255" s="4" t="str">
        <f t="shared" si="33"/>
        <v>M</v>
      </c>
      <c r="F255" s="4" t="str">
        <f t="shared" si="34"/>
        <v>M</v>
      </c>
      <c r="G255" s="5" t="str">
        <f t="shared" si="35"/>
        <v>MM Vermaak</v>
      </c>
      <c r="I255"/>
      <c r="J255"/>
      <c r="K255"/>
      <c r="L255"/>
    </row>
    <row r="256" spans="1:12" ht="14.4">
      <c r="A256" s="4">
        <v>262</v>
      </c>
      <c r="B256" s="4">
        <v>82</v>
      </c>
      <c r="C256" s="4" t="s">
        <v>565</v>
      </c>
      <c r="D256" s="5" t="s">
        <v>566</v>
      </c>
      <c r="E256" s="4" t="str">
        <f t="shared" si="33"/>
        <v>M</v>
      </c>
      <c r="F256" s="4" t="str">
        <f t="shared" si="34"/>
        <v>C</v>
      </c>
      <c r="G256" s="5" t="str">
        <f t="shared" si="35"/>
        <v>MC Visser</v>
      </c>
      <c r="I256"/>
      <c r="J256"/>
      <c r="K256"/>
      <c r="L256"/>
    </row>
    <row r="257" spans="1:12" ht="14.4">
      <c r="A257" s="4">
        <v>263</v>
      </c>
      <c r="B257" s="4">
        <v>82</v>
      </c>
      <c r="C257" s="4" t="s">
        <v>565</v>
      </c>
      <c r="D257" s="4" t="s">
        <v>567</v>
      </c>
      <c r="E257" s="4" t="str">
        <f t="shared" si="33"/>
        <v>T</v>
      </c>
      <c r="F257" s="4" t="str">
        <f t="shared" si="34"/>
        <v>J</v>
      </c>
      <c r="G257" s="5" t="str">
        <f t="shared" si="35"/>
        <v>TJ Visser</v>
      </c>
      <c r="I257"/>
      <c r="J257"/>
      <c r="K257"/>
      <c r="L257"/>
    </row>
    <row r="258" spans="1:12" ht="14.4">
      <c r="A258" s="4">
        <v>265</v>
      </c>
      <c r="B258" s="4">
        <v>242</v>
      </c>
      <c r="C258" s="4" t="s">
        <v>568</v>
      </c>
      <c r="D258" s="4" t="s">
        <v>569</v>
      </c>
      <c r="E258" s="4" t="str">
        <f t="shared" si="33"/>
        <v>H</v>
      </c>
      <c r="F258" s="4" t="str">
        <f t="shared" si="34"/>
        <v>F</v>
      </c>
      <c r="G258" s="5" t="str">
        <f t="shared" si="35"/>
        <v>HF Weyer</v>
      </c>
      <c r="I258"/>
      <c r="J258"/>
      <c r="K258"/>
      <c r="L258"/>
    </row>
    <row r="259" spans="1:12" ht="14.4">
      <c r="A259" s="4">
        <v>267</v>
      </c>
      <c r="B259" s="4">
        <v>309</v>
      </c>
      <c r="C259" s="4" t="s">
        <v>570</v>
      </c>
      <c r="D259" s="4" t="s">
        <v>247</v>
      </c>
      <c r="E259" s="4" t="str">
        <f t="shared" si="33"/>
        <v>C</v>
      </c>
      <c r="F259" s="4" t="str">
        <f t="shared" si="34"/>
        <v>J</v>
      </c>
      <c r="G259" s="5" t="str">
        <f t="shared" si="35"/>
        <v>CJ Wiesner</v>
      </c>
      <c r="I259"/>
      <c r="J259"/>
      <c r="K259"/>
      <c r="L259"/>
    </row>
    <row r="260" spans="1:12" ht="14.4">
      <c r="A260" s="4">
        <v>268</v>
      </c>
      <c r="B260" s="4">
        <v>59</v>
      </c>
      <c r="C260" s="4" t="s">
        <v>571</v>
      </c>
      <c r="D260" s="4" t="s">
        <v>572</v>
      </c>
      <c r="E260" s="4" t="str">
        <f t="shared" si="33"/>
        <v>G</v>
      </c>
      <c r="F260" s="4" t="str">
        <f t="shared" si="34"/>
        <v>E</v>
      </c>
      <c r="G260" s="5" t="str">
        <f t="shared" si="35"/>
        <v>GE Woolridge</v>
      </c>
      <c r="I260"/>
      <c r="J260"/>
      <c r="K260"/>
      <c r="L260"/>
    </row>
    <row r="261" spans="1:12" ht="14.4">
      <c r="A261" s="4">
        <v>269</v>
      </c>
      <c r="B261" s="4">
        <v>217</v>
      </c>
      <c r="C261" s="4" t="s">
        <v>573</v>
      </c>
      <c r="D261" s="4" t="s">
        <v>574</v>
      </c>
      <c r="E261" s="4" t="str">
        <f t="shared" si="33"/>
        <v>H</v>
      </c>
      <c r="F261" s="4" t="str">
        <f t="shared" si="34"/>
        <v>J</v>
      </c>
      <c r="G261" s="5" t="str">
        <f t="shared" si="35"/>
        <v>HJ Yssel</v>
      </c>
      <c r="I261"/>
      <c r="J261"/>
      <c r="K261"/>
      <c r="L261"/>
    </row>
    <row r="262" spans="1:12" ht="14.4">
      <c r="A262" s="4">
        <v>270</v>
      </c>
      <c r="B262" s="4">
        <v>93</v>
      </c>
      <c r="C262" s="4" t="s">
        <v>575</v>
      </c>
      <c r="D262" s="4" t="s">
        <v>353</v>
      </c>
      <c r="E262" s="4" t="str">
        <f t="shared" si="33"/>
        <v>J</v>
      </c>
      <c r="F262" s="4" t="str">
        <f t="shared" si="34"/>
        <v>J</v>
      </c>
      <c r="G262" s="5" t="str">
        <f t="shared" si="35"/>
        <v>JJ Pressly</v>
      </c>
      <c r="I262"/>
      <c r="J262"/>
      <c r="K262"/>
      <c r="L262"/>
    </row>
    <row r="263" spans="1:12" ht="14.4">
      <c r="A263" s="4">
        <v>271</v>
      </c>
      <c r="B263" s="4">
        <v>190</v>
      </c>
      <c r="C263" s="4" t="s">
        <v>575</v>
      </c>
      <c r="D263" s="4" t="s">
        <v>478</v>
      </c>
      <c r="E263" s="4" t="str">
        <f t="shared" si="33"/>
        <v>L</v>
      </c>
      <c r="F263" s="4" t="str">
        <f t="shared" si="34"/>
        <v/>
      </c>
      <c r="G263" s="5" t="str">
        <f t="shared" si="35"/>
        <v>L Pressly</v>
      </c>
      <c r="I263"/>
      <c r="J263"/>
      <c r="K263"/>
      <c r="L263"/>
    </row>
    <row r="264" spans="1:12" ht="14.4">
      <c r="A264" s="4">
        <v>272</v>
      </c>
      <c r="B264" s="4">
        <v>307</v>
      </c>
      <c r="C264" s="4" t="s">
        <v>296</v>
      </c>
      <c r="D264" s="4" t="s">
        <v>576</v>
      </c>
      <c r="E264" s="4" t="str">
        <f t="shared" si="33"/>
        <v>G</v>
      </c>
      <c r="F264" s="4" t="str">
        <f t="shared" si="34"/>
        <v>P</v>
      </c>
      <c r="G264" s="5" t="str">
        <f t="shared" si="35"/>
        <v>GP Delport</v>
      </c>
      <c r="I264"/>
      <c r="J264"/>
      <c r="K264"/>
      <c r="L264"/>
    </row>
    <row r="265" spans="1:12" ht="14.4">
      <c r="A265" s="4">
        <v>273</v>
      </c>
      <c r="B265" s="4">
        <v>307</v>
      </c>
      <c r="C265" s="4" t="s">
        <v>296</v>
      </c>
      <c r="D265" s="4" t="s">
        <v>516</v>
      </c>
      <c r="E265" s="4" t="str">
        <f t="shared" si="33"/>
        <v>K</v>
      </c>
      <c r="F265" s="4" t="str">
        <f t="shared" si="34"/>
        <v/>
      </c>
      <c r="G265" s="5" t="str">
        <f t="shared" si="35"/>
        <v>K Delport</v>
      </c>
      <c r="I265"/>
      <c r="J265"/>
      <c r="K265"/>
      <c r="L265"/>
    </row>
    <row r="266" spans="1:12" ht="14.4">
      <c r="A266" s="4">
        <v>274</v>
      </c>
      <c r="B266" s="4">
        <v>107</v>
      </c>
      <c r="C266" s="4" t="s">
        <v>577</v>
      </c>
      <c r="D266" s="4" t="s">
        <v>578</v>
      </c>
      <c r="E266" s="4" t="str">
        <f t="shared" si="33"/>
        <v>S</v>
      </c>
      <c r="F266" s="4" t="str">
        <f t="shared" si="34"/>
        <v>J</v>
      </c>
      <c r="G266" s="5" t="str">
        <f t="shared" si="35"/>
        <v>SJ Schneider</v>
      </c>
      <c r="I266"/>
      <c r="J266"/>
      <c r="K266"/>
      <c r="L266"/>
    </row>
    <row r="267" spans="1:12" ht="14.4">
      <c r="A267" s="4">
        <v>275</v>
      </c>
      <c r="B267" s="4">
        <v>403</v>
      </c>
      <c r="C267" s="4" t="s">
        <v>579</v>
      </c>
      <c r="D267" s="4" t="s">
        <v>301</v>
      </c>
      <c r="E267" s="4" t="str">
        <f t="shared" si="33"/>
        <v>R</v>
      </c>
      <c r="F267" s="4" t="str">
        <f t="shared" si="34"/>
        <v>C</v>
      </c>
      <c r="G267" s="5" t="str">
        <f t="shared" si="35"/>
        <v>RC Hamman</v>
      </c>
      <c r="I267"/>
      <c r="J267"/>
      <c r="K267"/>
      <c r="L267"/>
    </row>
    <row r="268" spans="1:12" ht="14.4">
      <c r="A268" s="4">
        <v>276</v>
      </c>
      <c r="B268" s="4">
        <v>135</v>
      </c>
      <c r="C268" s="4" t="s">
        <v>580</v>
      </c>
      <c r="D268" s="5" t="s">
        <v>567</v>
      </c>
      <c r="E268" s="4" t="str">
        <f t="shared" si="33"/>
        <v>T</v>
      </c>
      <c r="F268" s="4" t="str">
        <f t="shared" si="34"/>
        <v>J</v>
      </c>
      <c r="G268" s="5" t="str">
        <f t="shared" si="35"/>
        <v>TJ Van Den Heever</v>
      </c>
      <c r="I268"/>
      <c r="J268"/>
      <c r="K268"/>
      <c r="L268"/>
    </row>
    <row r="269" spans="1:12" ht="14.4">
      <c r="A269" s="4">
        <v>277</v>
      </c>
      <c r="B269" s="4">
        <v>135</v>
      </c>
      <c r="C269" s="4" t="s">
        <v>580</v>
      </c>
      <c r="D269" s="4" t="s">
        <v>581</v>
      </c>
      <c r="E269" s="4" t="str">
        <f t="shared" si="33"/>
        <v>C</v>
      </c>
      <c r="F269" s="4" t="str">
        <f t="shared" si="34"/>
        <v>A</v>
      </c>
      <c r="G269" s="5" t="str">
        <f t="shared" si="35"/>
        <v>CA Van Den Heever</v>
      </c>
      <c r="I269"/>
      <c r="J269"/>
      <c r="K269"/>
      <c r="L269"/>
    </row>
    <row r="270" spans="1:12" ht="14.4">
      <c r="A270" s="4">
        <v>278</v>
      </c>
      <c r="B270" s="4">
        <v>99</v>
      </c>
      <c r="C270" s="4" t="s">
        <v>296</v>
      </c>
      <c r="D270" s="4" t="s">
        <v>363</v>
      </c>
      <c r="E270" s="4" t="str">
        <f t="shared" si="33"/>
        <v>J</v>
      </c>
      <c r="F270" s="4" t="str">
        <f t="shared" si="34"/>
        <v>L</v>
      </c>
      <c r="G270" s="5" t="str">
        <f t="shared" si="35"/>
        <v>JL Delport</v>
      </c>
      <c r="I270"/>
      <c r="J270"/>
      <c r="K270"/>
      <c r="L270"/>
    </row>
    <row r="271" spans="1:12" ht="14.4">
      <c r="A271" s="4">
        <v>280</v>
      </c>
      <c r="B271" s="4">
        <v>245</v>
      </c>
      <c r="C271" s="4" t="s">
        <v>568</v>
      </c>
      <c r="D271" s="5" t="s">
        <v>582</v>
      </c>
      <c r="E271" s="4" t="str">
        <f t="shared" si="33"/>
        <v>C</v>
      </c>
      <c r="F271" s="4" t="str">
        <f t="shared" si="34"/>
        <v>M</v>
      </c>
      <c r="G271" s="5" t="str">
        <f t="shared" si="35"/>
        <v>CM Weyer</v>
      </c>
      <c r="I271"/>
      <c r="J271"/>
      <c r="K271"/>
      <c r="L271"/>
    </row>
    <row r="272" spans="1:12" ht="14.4">
      <c r="A272" s="4">
        <v>281</v>
      </c>
      <c r="B272" s="4">
        <v>111</v>
      </c>
      <c r="C272" s="4" t="s">
        <v>568</v>
      </c>
      <c r="D272" s="5" t="s">
        <v>583</v>
      </c>
      <c r="E272" s="4" t="str">
        <f t="shared" si="33"/>
        <v>L</v>
      </c>
      <c r="F272" s="4" t="str">
        <f t="shared" si="34"/>
        <v>U</v>
      </c>
      <c r="G272" s="5" t="str">
        <f t="shared" si="35"/>
        <v>LU Weyer</v>
      </c>
      <c r="I272"/>
      <c r="J272"/>
      <c r="K272"/>
      <c r="L272"/>
    </row>
    <row r="273" spans="1:12" ht="14.4">
      <c r="A273" s="4">
        <v>282</v>
      </c>
      <c r="B273" s="4">
        <v>111</v>
      </c>
      <c r="C273" s="4" t="s">
        <v>584</v>
      </c>
      <c r="D273" s="4" t="s">
        <v>228</v>
      </c>
      <c r="E273" s="4" t="str">
        <f t="shared" si="33"/>
        <v/>
      </c>
      <c r="F273" s="4" t="str">
        <f t="shared" si="34"/>
        <v/>
      </c>
      <c r="G273" s="5" t="str">
        <f t="shared" si="35"/>
        <v>JOHANNA WEYER TESTAMENTERE TRUST</v>
      </c>
      <c r="I273"/>
      <c r="J273"/>
      <c r="K273"/>
      <c r="L273"/>
    </row>
    <row r="274" spans="1:12" ht="14.4">
      <c r="A274" s="4">
        <v>283</v>
      </c>
      <c r="B274" s="4">
        <v>90</v>
      </c>
      <c r="C274" s="4" t="s">
        <v>585</v>
      </c>
      <c r="D274" s="4" t="s">
        <v>325</v>
      </c>
      <c r="E274" s="4" t="str">
        <f t="shared" si="33"/>
        <v>A</v>
      </c>
      <c r="F274" s="4" t="str">
        <f t="shared" si="34"/>
        <v>P</v>
      </c>
      <c r="G274" s="5" t="str">
        <f t="shared" si="35"/>
        <v>AP Rice</v>
      </c>
      <c r="I274"/>
      <c r="J274"/>
      <c r="K274"/>
      <c r="L274"/>
    </row>
    <row r="275" spans="1:12" ht="14.4">
      <c r="A275" s="4">
        <v>284</v>
      </c>
      <c r="B275" s="4">
        <v>83</v>
      </c>
      <c r="C275" s="4" t="s">
        <v>586</v>
      </c>
      <c r="D275" s="4"/>
      <c r="E275" s="4" t="str">
        <f t="shared" si="33"/>
        <v/>
      </c>
      <c r="F275" s="4" t="str">
        <f t="shared" si="34"/>
        <v/>
      </c>
      <c r="G275" s="5" t="str">
        <f t="shared" si="35"/>
        <v>KSB Durban Trading CC</v>
      </c>
      <c r="I275"/>
      <c r="J275"/>
      <c r="K275"/>
      <c r="L275"/>
    </row>
    <row r="276" spans="1:12" ht="14.4">
      <c r="A276" s="4">
        <v>285</v>
      </c>
      <c r="B276" s="4">
        <v>289</v>
      </c>
      <c r="C276" s="4" t="s">
        <v>487</v>
      </c>
      <c r="D276" s="4" t="s">
        <v>278</v>
      </c>
      <c r="E276" s="4" t="str">
        <f t="shared" si="33"/>
        <v>M</v>
      </c>
      <c r="F276" s="4" t="str">
        <f t="shared" si="34"/>
        <v>M</v>
      </c>
      <c r="G276" s="5" t="str">
        <f t="shared" si="35"/>
        <v>MM Minnie</v>
      </c>
      <c r="I276"/>
      <c r="J276"/>
      <c r="K276"/>
      <c r="L276"/>
    </row>
    <row r="277" spans="1:12" ht="14.4">
      <c r="A277" s="4">
        <v>286</v>
      </c>
      <c r="B277" s="4">
        <v>61</v>
      </c>
      <c r="C277" s="4" t="s">
        <v>296</v>
      </c>
      <c r="D277" s="4" t="s">
        <v>445</v>
      </c>
      <c r="E277" s="4" t="str">
        <f t="shared" si="33"/>
        <v>A</v>
      </c>
      <c r="F277" s="4" t="str">
        <f t="shared" si="34"/>
        <v>R</v>
      </c>
      <c r="G277" s="5" t="str">
        <f t="shared" si="35"/>
        <v>AR Delport</v>
      </c>
      <c r="I277"/>
      <c r="J277"/>
      <c r="K277"/>
      <c r="L277"/>
    </row>
    <row r="278" spans="1:12" ht="14.4">
      <c r="A278" s="4">
        <v>287</v>
      </c>
      <c r="B278" s="4">
        <v>230</v>
      </c>
      <c r="C278" s="4" t="s">
        <v>587</v>
      </c>
      <c r="D278" s="4" t="s">
        <v>428</v>
      </c>
      <c r="E278" s="4" t="str">
        <f t="shared" si="33"/>
        <v>I</v>
      </c>
      <c r="F278" s="4" t="str">
        <f t="shared" si="34"/>
        <v>M</v>
      </c>
      <c r="G278" s="5" t="str">
        <f t="shared" si="35"/>
        <v>IM Buys</v>
      </c>
      <c r="I278"/>
      <c r="J278"/>
      <c r="K278"/>
      <c r="L278"/>
    </row>
    <row r="279" spans="1:12" ht="14.4">
      <c r="A279" s="4">
        <v>288</v>
      </c>
      <c r="B279" s="4">
        <v>230</v>
      </c>
      <c r="C279" s="4" t="s">
        <v>587</v>
      </c>
      <c r="D279" s="4" t="s">
        <v>588</v>
      </c>
      <c r="E279" s="4" t="str">
        <f t="shared" si="33"/>
        <v>I</v>
      </c>
      <c r="F279" s="4" t="str">
        <f t="shared" si="34"/>
        <v>B</v>
      </c>
      <c r="G279" s="5" t="str">
        <f t="shared" si="35"/>
        <v>IB Buys</v>
      </c>
      <c r="I279"/>
      <c r="J279"/>
      <c r="K279"/>
      <c r="L279"/>
    </row>
    <row r="280" spans="1:12" ht="14.4">
      <c r="A280" s="4">
        <v>289</v>
      </c>
      <c r="B280" s="4">
        <v>130</v>
      </c>
      <c r="C280" s="4" t="s">
        <v>589</v>
      </c>
      <c r="D280" s="4" t="s">
        <v>270</v>
      </c>
      <c r="E280" s="4" t="str">
        <f t="shared" si="33"/>
        <v>A</v>
      </c>
      <c r="F280" s="4" t="str">
        <f t="shared" si="34"/>
        <v>L</v>
      </c>
      <c r="G280" s="5" t="str">
        <f t="shared" si="35"/>
        <v>AL Darke</v>
      </c>
      <c r="I280"/>
      <c r="J280"/>
      <c r="K280"/>
      <c r="L280"/>
    </row>
    <row r="281" spans="1:12" ht="14.4">
      <c r="A281" s="4">
        <v>290</v>
      </c>
      <c r="B281" s="4">
        <v>464</v>
      </c>
      <c r="C281" s="4" t="s">
        <v>590</v>
      </c>
      <c r="D281" s="4" t="s">
        <v>591</v>
      </c>
      <c r="E281" s="4" t="str">
        <f t="shared" si="33"/>
        <v>F</v>
      </c>
      <c r="F281" s="4" t="str">
        <f t="shared" si="34"/>
        <v>M</v>
      </c>
      <c r="G281" s="5" t="str">
        <f t="shared" si="35"/>
        <v>FM Berry</v>
      </c>
      <c r="I281"/>
      <c r="J281"/>
      <c r="K281"/>
      <c r="L281"/>
    </row>
    <row r="282" spans="1:12" ht="14.4">
      <c r="A282" s="4">
        <v>291</v>
      </c>
      <c r="B282" s="4">
        <v>89</v>
      </c>
      <c r="C282" s="4" t="s">
        <v>592</v>
      </c>
      <c r="D282" s="4" t="s">
        <v>472</v>
      </c>
      <c r="E282" s="4" t="str">
        <f t="shared" si="33"/>
        <v>H</v>
      </c>
      <c r="F282" s="4" t="str">
        <f t="shared" si="34"/>
        <v>E</v>
      </c>
      <c r="G282" s="5" t="str">
        <f t="shared" si="35"/>
        <v>HE Schroeder</v>
      </c>
      <c r="I282"/>
      <c r="J282"/>
      <c r="K282"/>
      <c r="L282"/>
    </row>
    <row r="283" spans="1:12" ht="14.4">
      <c r="A283" s="4">
        <v>292</v>
      </c>
      <c r="B283" s="4">
        <v>84</v>
      </c>
      <c r="C283" s="4" t="s">
        <v>414</v>
      </c>
      <c r="D283" s="4" t="s">
        <v>593</v>
      </c>
      <c r="E283" s="4" t="str">
        <f t="shared" si="33"/>
        <v>S</v>
      </c>
      <c r="F283" s="4" t="str">
        <f t="shared" si="34"/>
        <v>M</v>
      </c>
      <c r="G283" s="5" t="str">
        <f t="shared" si="35"/>
        <v>SM Bezuidenhout</v>
      </c>
      <c r="I283"/>
      <c r="J283"/>
      <c r="K283"/>
      <c r="L283"/>
    </row>
    <row r="284" spans="1:12" ht="14.4">
      <c r="A284" s="4">
        <v>293</v>
      </c>
      <c r="B284" s="4">
        <v>104</v>
      </c>
      <c r="C284" s="4" t="s">
        <v>467</v>
      </c>
      <c r="D284" s="4" t="s">
        <v>340</v>
      </c>
      <c r="E284" s="4" t="str">
        <f t="shared" si="33"/>
        <v>E</v>
      </c>
      <c r="F284" s="4" t="str">
        <f t="shared" si="34"/>
        <v/>
      </c>
      <c r="G284" s="5" t="str">
        <f t="shared" si="35"/>
        <v>E Koorts</v>
      </c>
      <c r="I284"/>
      <c r="J284"/>
      <c r="K284"/>
      <c r="L284"/>
    </row>
    <row r="285" spans="1:12" ht="14.4">
      <c r="A285" s="4">
        <v>294</v>
      </c>
      <c r="B285" s="4">
        <v>113</v>
      </c>
      <c r="C285" s="4" t="s">
        <v>134</v>
      </c>
      <c r="D285" s="4" t="s">
        <v>228</v>
      </c>
      <c r="E285" s="4" t="str">
        <f t="shared" si="33"/>
        <v/>
      </c>
      <c r="F285" s="4" t="str">
        <f t="shared" si="34"/>
        <v/>
      </c>
      <c r="G285" s="5" t="str">
        <f t="shared" si="35"/>
        <v>Flying Dutchman Trust</v>
      </c>
      <c r="I285"/>
      <c r="J285"/>
      <c r="K285"/>
      <c r="L285"/>
    </row>
    <row r="286" spans="1:12" ht="14.4">
      <c r="A286" s="4">
        <v>295</v>
      </c>
      <c r="B286" s="4">
        <v>443</v>
      </c>
      <c r="C286" s="4" t="s">
        <v>536</v>
      </c>
      <c r="D286" s="4" t="s">
        <v>594</v>
      </c>
      <c r="E286" s="4" t="str">
        <f t="shared" si="33"/>
        <v>G</v>
      </c>
      <c r="F286" s="4" t="str">
        <f t="shared" si="34"/>
        <v/>
      </c>
      <c r="G286" s="5" t="str">
        <f t="shared" si="35"/>
        <v>G Van Aswegen</v>
      </c>
      <c r="I286"/>
      <c r="J286"/>
      <c r="K286"/>
      <c r="L286"/>
    </row>
    <row r="287" spans="1:12" ht="14.4">
      <c r="A287" s="4">
        <v>296</v>
      </c>
      <c r="B287" s="4">
        <v>113</v>
      </c>
      <c r="C287" s="4" t="s">
        <v>391</v>
      </c>
      <c r="D287" s="4" t="s">
        <v>595</v>
      </c>
      <c r="E287" s="4" t="str">
        <f t="shared" si="33"/>
        <v>S</v>
      </c>
      <c r="F287" s="4" t="str">
        <f t="shared" si="34"/>
        <v/>
      </c>
      <c r="G287" s="5" t="str">
        <f t="shared" si="35"/>
        <v>S Trevarthen</v>
      </c>
      <c r="I287"/>
      <c r="J287"/>
      <c r="K287"/>
      <c r="L287"/>
    </row>
    <row r="288" spans="1:12" ht="14.4">
      <c r="A288" s="4">
        <v>297</v>
      </c>
      <c r="B288" s="4">
        <v>440</v>
      </c>
      <c r="C288" s="4" t="s">
        <v>335</v>
      </c>
      <c r="D288" s="4" t="s">
        <v>315</v>
      </c>
      <c r="E288" s="4" t="str">
        <f t="shared" si="33"/>
        <v>H</v>
      </c>
      <c r="F288" s="4" t="str">
        <f t="shared" si="34"/>
        <v/>
      </c>
      <c r="G288" s="5" t="str">
        <f t="shared" si="35"/>
        <v>H Naude</v>
      </c>
      <c r="I288"/>
      <c r="J288"/>
      <c r="K288"/>
      <c r="L288"/>
    </row>
    <row r="289" spans="1:12" ht="14.4">
      <c r="A289" s="4">
        <v>298</v>
      </c>
      <c r="B289" s="4">
        <v>307</v>
      </c>
      <c r="C289" s="4" t="s">
        <v>296</v>
      </c>
      <c r="D289" s="4" t="s">
        <v>235</v>
      </c>
      <c r="E289" s="4" t="str">
        <f t="shared" si="33"/>
        <v>J</v>
      </c>
      <c r="F289" s="4" t="str">
        <f t="shared" si="34"/>
        <v/>
      </c>
      <c r="G289" s="5" t="str">
        <f t="shared" si="35"/>
        <v>J Delport</v>
      </c>
      <c r="I289"/>
      <c r="J289"/>
      <c r="K289"/>
      <c r="L289"/>
    </row>
    <row r="290" spans="1:12" ht="14.4">
      <c r="A290" s="4">
        <v>299</v>
      </c>
      <c r="B290" s="4">
        <v>275</v>
      </c>
      <c r="C290" s="4" t="s">
        <v>238</v>
      </c>
      <c r="D290" s="4" t="s">
        <v>596</v>
      </c>
      <c r="E290" s="4" t="str">
        <f t="shared" si="33"/>
        <v>Z</v>
      </c>
      <c r="F290" s="4" t="str">
        <f t="shared" si="34"/>
        <v>R</v>
      </c>
      <c r="G290" s="5" t="str">
        <f t="shared" si="35"/>
        <v>ZR Charlton</v>
      </c>
      <c r="I290"/>
      <c r="J290"/>
      <c r="K290"/>
      <c r="L290"/>
    </row>
    <row r="291" spans="1:12" ht="14.4">
      <c r="A291" s="4">
        <v>300</v>
      </c>
      <c r="B291" s="4">
        <v>200</v>
      </c>
      <c r="C291" s="4" t="s">
        <v>485</v>
      </c>
      <c r="D291" s="4" t="s">
        <v>597</v>
      </c>
      <c r="E291" s="4" t="str">
        <f t="shared" si="33"/>
        <v>J</v>
      </c>
      <c r="F291" s="4" t="str">
        <f t="shared" si="34"/>
        <v>R</v>
      </c>
      <c r="G291" s="5" t="str">
        <f t="shared" si="35"/>
        <v>JR Schaffner</v>
      </c>
      <c r="I291"/>
      <c r="J291"/>
      <c r="K291"/>
      <c r="L291"/>
    </row>
    <row r="292" spans="1:12" ht="14.4">
      <c r="A292" s="4">
        <v>301</v>
      </c>
      <c r="B292" s="4">
        <v>464</v>
      </c>
      <c r="C292" s="4" t="s">
        <v>590</v>
      </c>
      <c r="D292" s="4" t="s">
        <v>423</v>
      </c>
      <c r="E292" s="4" t="str">
        <f t="shared" si="33"/>
        <v>M</v>
      </c>
      <c r="F292" s="4" t="str">
        <f t="shared" si="34"/>
        <v>J</v>
      </c>
      <c r="G292" s="5" t="str">
        <f t="shared" si="35"/>
        <v>MJ Berry</v>
      </c>
      <c r="I292"/>
      <c r="J292"/>
      <c r="K292"/>
      <c r="L292"/>
    </row>
    <row r="293" spans="1:12" ht="14.4">
      <c r="A293" s="4">
        <v>302</v>
      </c>
      <c r="B293" s="4">
        <v>44</v>
      </c>
      <c r="C293" s="4" t="s">
        <v>598</v>
      </c>
      <c r="D293" s="4" t="s">
        <v>599</v>
      </c>
      <c r="E293" s="4" t="str">
        <f t="shared" si="33"/>
        <v>J</v>
      </c>
      <c r="F293" s="4" t="str">
        <f t="shared" si="34"/>
        <v>A</v>
      </c>
      <c r="G293" s="5" t="str">
        <f t="shared" si="35"/>
        <v>JA Carlisle</v>
      </c>
      <c r="I293"/>
      <c r="J293"/>
      <c r="K293"/>
      <c r="L293"/>
    </row>
    <row r="294" spans="1:12" ht="14.4">
      <c r="A294" s="4">
        <v>303</v>
      </c>
      <c r="B294" s="4">
        <v>183</v>
      </c>
      <c r="C294" s="4" t="s">
        <v>600</v>
      </c>
      <c r="D294" s="4" t="s">
        <v>417</v>
      </c>
      <c r="E294" s="4" t="str">
        <f t="shared" si="33"/>
        <v>H</v>
      </c>
      <c r="F294" s="4" t="str">
        <f t="shared" si="34"/>
        <v>W</v>
      </c>
      <c r="G294" s="5" t="str">
        <f t="shared" si="35"/>
        <v>HW De Hart</v>
      </c>
      <c r="I294"/>
      <c r="J294"/>
      <c r="K294"/>
      <c r="L294"/>
    </row>
    <row r="295" spans="1:12" ht="14.4">
      <c r="A295" s="4">
        <v>305</v>
      </c>
      <c r="B295" s="4"/>
      <c r="C295" s="4" t="s">
        <v>601</v>
      </c>
      <c r="D295" s="4" t="s">
        <v>602</v>
      </c>
      <c r="E295" s="4" t="str">
        <f t="shared" ref="E295:E443" si="36">LEFT(D295,1)</f>
        <v>E</v>
      </c>
      <c r="F295" s="4" t="str">
        <f t="shared" ref="F295:F443" si="37">IF(MID(D295,2,1)=" ",MID(D295,3,1),MID(D295,2,1))</f>
        <v>B</v>
      </c>
      <c r="G295" s="5" t="str">
        <f t="shared" ref="G295:G443" si="38">IF(D295="",C295,CONCATENATE(E295,F295," ",C295))</f>
        <v>EB Gavin</v>
      </c>
      <c r="I295"/>
      <c r="J295"/>
      <c r="K295"/>
      <c r="L295"/>
    </row>
    <row r="296" spans="1:12" ht="14.4">
      <c r="A296" s="4">
        <v>306</v>
      </c>
      <c r="B296" s="4"/>
      <c r="C296" s="4" t="s">
        <v>603</v>
      </c>
      <c r="D296" s="4" t="s">
        <v>313</v>
      </c>
      <c r="E296" s="4" t="str">
        <f t="shared" si="36"/>
        <v>J</v>
      </c>
      <c r="F296" s="4" t="str">
        <f t="shared" si="37"/>
        <v>P</v>
      </c>
      <c r="G296" s="5" t="str">
        <f t="shared" si="38"/>
        <v>JP Grobler</v>
      </c>
      <c r="I296"/>
      <c r="J296"/>
      <c r="K296"/>
      <c r="L296"/>
    </row>
    <row r="297" spans="1:12" ht="14.4">
      <c r="A297" s="4">
        <v>307</v>
      </c>
      <c r="B297" s="4"/>
      <c r="C297" s="4" t="s">
        <v>604</v>
      </c>
      <c r="D297" s="4" t="s">
        <v>248</v>
      </c>
      <c r="E297" s="4" t="str">
        <f t="shared" si="36"/>
        <v>R</v>
      </c>
      <c r="F297" s="4" t="str">
        <f t="shared" si="37"/>
        <v/>
      </c>
      <c r="G297" s="5" t="str">
        <f t="shared" si="38"/>
        <v>R Hansrajh</v>
      </c>
      <c r="I297"/>
      <c r="J297"/>
      <c r="K297"/>
      <c r="L297"/>
    </row>
    <row r="298" spans="1:12" ht="14.4">
      <c r="A298" s="4">
        <v>308</v>
      </c>
      <c r="B298" s="4"/>
      <c r="C298" s="4" t="s">
        <v>604</v>
      </c>
      <c r="D298" s="4" t="s">
        <v>516</v>
      </c>
      <c r="E298" s="4" t="str">
        <f t="shared" si="36"/>
        <v>K</v>
      </c>
      <c r="F298" s="4" t="str">
        <f t="shared" si="37"/>
        <v/>
      </c>
      <c r="G298" s="5" t="str">
        <f t="shared" si="38"/>
        <v>K Hansrajh</v>
      </c>
      <c r="I298"/>
      <c r="J298"/>
      <c r="K298"/>
      <c r="L298"/>
    </row>
    <row r="299" spans="1:12" ht="14.4">
      <c r="A299" s="4">
        <v>309</v>
      </c>
      <c r="B299" s="4"/>
      <c r="C299" s="4" t="s">
        <v>541</v>
      </c>
      <c r="D299" s="4" t="s">
        <v>605</v>
      </c>
      <c r="E299" s="4" t="str">
        <f t="shared" si="36"/>
        <v>G</v>
      </c>
      <c r="F299" s="4" t="str">
        <f t="shared" si="37"/>
        <v>C</v>
      </c>
      <c r="G299" s="5" t="str">
        <f t="shared" si="38"/>
        <v>GC Jansen Van Rensburg</v>
      </c>
      <c r="I299"/>
      <c r="J299"/>
      <c r="K299"/>
      <c r="L299"/>
    </row>
    <row r="300" spans="1:12" ht="14.4">
      <c r="A300" s="4">
        <v>310</v>
      </c>
      <c r="B300" s="4"/>
      <c r="C300" s="4" t="s">
        <v>606</v>
      </c>
      <c r="D300" s="4" t="s">
        <v>297</v>
      </c>
      <c r="E300" s="4" t="str">
        <f t="shared" si="36"/>
        <v>A</v>
      </c>
      <c r="F300" s="4" t="str">
        <f t="shared" si="37"/>
        <v/>
      </c>
      <c r="G300" s="5" t="str">
        <f t="shared" si="38"/>
        <v>A Maharajh</v>
      </c>
      <c r="I300"/>
      <c r="J300"/>
      <c r="K300"/>
      <c r="L300"/>
    </row>
    <row r="301" spans="1:12" ht="14.4">
      <c r="A301" s="4">
        <v>311</v>
      </c>
      <c r="B301" s="4"/>
      <c r="C301" s="4" t="s">
        <v>607</v>
      </c>
      <c r="D301" s="4" t="s">
        <v>608</v>
      </c>
      <c r="E301" s="4" t="str">
        <f t="shared" si="36"/>
        <v>V</v>
      </c>
      <c r="F301" s="4" t="str">
        <f t="shared" si="37"/>
        <v/>
      </c>
      <c r="G301" s="5" t="str">
        <f t="shared" si="38"/>
        <v>V Moodley</v>
      </c>
      <c r="I301"/>
      <c r="J301"/>
      <c r="K301"/>
      <c r="L301"/>
    </row>
    <row r="302" spans="1:12" ht="14.4">
      <c r="A302" s="4">
        <v>312</v>
      </c>
      <c r="B302" s="4">
        <v>5</v>
      </c>
      <c r="C302" s="4" t="s">
        <v>609</v>
      </c>
      <c r="D302" s="4" t="s">
        <v>610</v>
      </c>
      <c r="E302" s="4" t="str">
        <f t="shared" si="36"/>
        <v>T</v>
      </c>
      <c r="F302" s="4" t="str">
        <f t="shared" si="37"/>
        <v/>
      </c>
      <c r="G302" s="5" t="str">
        <f t="shared" si="38"/>
        <v>T Roos</v>
      </c>
      <c r="I302"/>
      <c r="J302"/>
      <c r="K302"/>
      <c r="L302"/>
    </row>
    <row r="303" spans="1:12" ht="14.4">
      <c r="A303" s="4">
        <v>313</v>
      </c>
      <c r="B303" s="4"/>
      <c r="C303" s="4" t="s">
        <v>611</v>
      </c>
      <c r="D303" s="4" t="s">
        <v>529</v>
      </c>
      <c r="E303" s="4" t="str">
        <f t="shared" si="36"/>
        <v>D</v>
      </c>
      <c r="F303" s="4" t="str">
        <f t="shared" si="37"/>
        <v>P</v>
      </c>
      <c r="G303" s="5" t="str">
        <f t="shared" si="38"/>
        <v>DP Thomson</v>
      </c>
      <c r="I303"/>
      <c r="J303"/>
      <c r="K303"/>
      <c r="L303"/>
    </row>
    <row r="304" spans="1:12" ht="14.4">
      <c r="A304" s="4">
        <v>314</v>
      </c>
      <c r="B304" s="4"/>
      <c r="C304" s="4" t="s">
        <v>612</v>
      </c>
      <c r="D304" s="4" t="s">
        <v>228</v>
      </c>
      <c r="E304" s="4" t="str">
        <f t="shared" si="36"/>
        <v/>
      </c>
      <c r="F304" s="4" t="str">
        <f t="shared" si="37"/>
        <v/>
      </c>
      <c r="G304" s="5" t="str">
        <f t="shared" si="38"/>
        <v>Bevedere Nominees Limited</v>
      </c>
      <c r="I304"/>
      <c r="J304"/>
      <c r="K304"/>
      <c r="L304"/>
    </row>
    <row r="305" spans="1:12" ht="14.4">
      <c r="A305" s="4">
        <v>315</v>
      </c>
      <c r="B305" s="4">
        <v>88</v>
      </c>
      <c r="C305" s="4" t="s">
        <v>420</v>
      </c>
      <c r="D305" s="4" t="s">
        <v>355</v>
      </c>
      <c r="E305" s="4" t="str">
        <f t="shared" si="36"/>
        <v>M</v>
      </c>
      <c r="F305" s="4" t="str">
        <f t="shared" si="37"/>
        <v/>
      </c>
      <c r="G305" s="5" t="str">
        <f t="shared" si="38"/>
        <v>M Marks</v>
      </c>
      <c r="I305"/>
      <c r="J305"/>
      <c r="K305"/>
      <c r="L305"/>
    </row>
    <row r="306" spans="1:12" ht="14.4">
      <c r="A306" s="4">
        <v>316</v>
      </c>
      <c r="B306" s="4">
        <v>233</v>
      </c>
      <c r="C306" s="4" t="s">
        <v>424</v>
      </c>
      <c r="D306" s="4" t="s">
        <v>503</v>
      </c>
      <c r="E306" s="4" t="str">
        <f t="shared" si="36"/>
        <v>D</v>
      </c>
      <c r="F306" s="4" t="str">
        <f t="shared" si="37"/>
        <v/>
      </c>
      <c r="G306" s="5" t="str">
        <f t="shared" si="38"/>
        <v>D Botha</v>
      </c>
      <c r="I306"/>
      <c r="J306"/>
      <c r="K306"/>
      <c r="L306"/>
    </row>
    <row r="307" spans="1:12" ht="14.4">
      <c r="A307" s="4">
        <v>317</v>
      </c>
      <c r="B307" s="4">
        <v>129</v>
      </c>
      <c r="C307" s="4" t="s">
        <v>613</v>
      </c>
      <c r="D307" s="4" t="s">
        <v>614</v>
      </c>
      <c r="E307" s="4" t="str">
        <f t="shared" si="36"/>
        <v>D</v>
      </c>
      <c r="F307" s="4" t="str">
        <f t="shared" si="37"/>
        <v>V</v>
      </c>
      <c r="G307" s="5" t="str">
        <f t="shared" si="38"/>
        <v>DV Borman</v>
      </c>
      <c r="I307"/>
      <c r="J307"/>
      <c r="K307"/>
      <c r="L307"/>
    </row>
    <row r="308" spans="1:12" ht="14.4">
      <c r="A308" s="4">
        <v>318</v>
      </c>
      <c r="B308" s="4">
        <v>282</v>
      </c>
      <c r="C308" s="4" t="s">
        <v>615</v>
      </c>
      <c r="D308" s="4" t="s">
        <v>434</v>
      </c>
      <c r="E308" s="4" t="str">
        <f t="shared" si="36"/>
        <v>M</v>
      </c>
      <c r="F308" s="4" t="str">
        <f t="shared" si="37"/>
        <v>S</v>
      </c>
      <c r="G308" s="5" t="str">
        <f t="shared" si="38"/>
        <v>MS Breytenbach</v>
      </c>
      <c r="I308"/>
      <c r="J308"/>
      <c r="K308"/>
      <c r="L308"/>
    </row>
    <row r="309" spans="1:12" ht="14.4">
      <c r="A309" s="4">
        <v>319</v>
      </c>
      <c r="B309" s="4">
        <v>345</v>
      </c>
      <c r="C309" s="4" t="s">
        <v>444</v>
      </c>
      <c r="D309" s="4" t="s">
        <v>272</v>
      </c>
      <c r="E309" s="4" t="str">
        <f t="shared" si="36"/>
        <v>B</v>
      </c>
      <c r="F309" s="4" t="str">
        <f t="shared" si="37"/>
        <v>J</v>
      </c>
      <c r="G309" s="5" t="str">
        <f t="shared" si="38"/>
        <v>BJ Bodenstein</v>
      </c>
      <c r="I309"/>
      <c r="J309"/>
      <c r="K309"/>
      <c r="L309"/>
    </row>
    <row r="310" spans="1:12" ht="14.4">
      <c r="A310" s="4">
        <v>320</v>
      </c>
      <c r="B310" s="4">
        <v>175</v>
      </c>
      <c r="C310" s="4" t="s">
        <v>616</v>
      </c>
      <c r="D310" s="4" t="s">
        <v>318</v>
      </c>
      <c r="E310" s="4" t="str">
        <f t="shared" si="36"/>
        <v>G</v>
      </c>
      <c r="F310" s="4" t="str">
        <f t="shared" si="37"/>
        <v>J</v>
      </c>
      <c r="G310" s="5" t="str">
        <f t="shared" si="38"/>
        <v>GJ Burn</v>
      </c>
      <c r="I310"/>
      <c r="J310"/>
      <c r="K310"/>
      <c r="L310"/>
    </row>
    <row r="311" spans="1:12" ht="14.4">
      <c r="A311" s="4">
        <v>321</v>
      </c>
      <c r="B311" s="4">
        <v>21</v>
      </c>
      <c r="C311" s="4" t="s">
        <v>617</v>
      </c>
      <c r="D311" s="4" t="s">
        <v>618</v>
      </c>
      <c r="E311" s="4" t="str">
        <f t="shared" si="36"/>
        <v>G</v>
      </c>
      <c r="F311" s="4" t="str">
        <f t="shared" si="37"/>
        <v>N</v>
      </c>
      <c r="G311" s="5" t="str">
        <f t="shared" si="38"/>
        <v>GN Cloete</v>
      </c>
      <c r="I311"/>
      <c r="J311"/>
      <c r="K311"/>
      <c r="L311"/>
    </row>
    <row r="312" spans="1:12" ht="14.4">
      <c r="A312" s="4">
        <v>322</v>
      </c>
      <c r="B312" s="4">
        <v>53</v>
      </c>
      <c r="C312" s="4" t="s">
        <v>432</v>
      </c>
      <c r="D312" s="4" t="s">
        <v>311</v>
      </c>
      <c r="E312" s="4" t="str">
        <f t="shared" si="36"/>
        <v>D</v>
      </c>
      <c r="F312" s="4" t="str">
        <f t="shared" si="37"/>
        <v>W</v>
      </c>
      <c r="G312" s="5" t="str">
        <f t="shared" si="38"/>
        <v>DW Combrink</v>
      </c>
      <c r="I312"/>
      <c r="J312"/>
      <c r="K312"/>
      <c r="L312"/>
    </row>
    <row r="313" spans="1:12" ht="14.4">
      <c r="A313" s="4">
        <v>323</v>
      </c>
      <c r="B313" s="4">
        <v>425</v>
      </c>
      <c r="C313" s="4" t="s">
        <v>619</v>
      </c>
      <c r="D313" s="4" t="s">
        <v>248</v>
      </c>
      <c r="E313" s="4" t="str">
        <f t="shared" si="36"/>
        <v>R</v>
      </c>
      <c r="F313" s="4" t="str">
        <f t="shared" si="37"/>
        <v/>
      </c>
      <c r="G313" s="5" t="str">
        <f t="shared" si="38"/>
        <v>R Chanderpresath</v>
      </c>
      <c r="I313"/>
      <c r="J313"/>
      <c r="K313"/>
      <c r="L313"/>
    </row>
    <row r="314" spans="1:12" ht="14.4">
      <c r="A314" s="4">
        <v>324</v>
      </c>
      <c r="B314" s="5">
        <v>384</v>
      </c>
      <c r="C314" s="4" t="s">
        <v>620</v>
      </c>
      <c r="D314" s="4" t="s">
        <v>621</v>
      </c>
      <c r="E314" s="4" t="str">
        <f t="shared" si="36"/>
        <v>C</v>
      </c>
      <c r="F314" s="4" t="str">
        <f t="shared" si="37"/>
        <v>W</v>
      </c>
      <c r="G314" s="5" t="str">
        <f t="shared" si="38"/>
        <v>CW Dodson</v>
      </c>
      <c r="I314"/>
      <c r="J314"/>
      <c r="K314"/>
      <c r="L314"/>
    </row>
    <row r="315" spans="1:12" ht="14.4">
      <c r="A315" s="4">
        <v>325</v>
      </c>
      <c r="B315" s="4">
        <v>374</v>
      </c>
      <c r="C315" s="4" t="s">
        <v>622</v>
      </c>
      <c r="D315" s="4" t="s">
        <v>386</v>
      </c>
      <c r="E315" s="4" t="str">
        <f t="shared" si="36"/>
        <v>A</v>
      </c>
      <c r="F315" s="4" t="str">
        <f t="shared" si="37"/>
        <v>D</v>
      </c>
      <c r="G315" s="5" t="str">
        <f t="shared" si="38"/>
        <v>AD Dzhafarov</v>
      </c>
      <c r="I315"/>
      <c r="J315"/>
      <c r="K315"/>
      <c r="L315"/>
    </row>
    <row r="316" spans="1:12" ht="14.4">
      <c r="A316" s="4">
        <v>326</v>
      </c>
      <c r="B316" s="4">
        <v>146</v>
      </c>
      <c r="C316" s="4" t="s">
        <v>623</v>
      </c>
      <c r="D316" s="4" t="s">
        <v>334</v>
      </c>
      <c r="E316" s="4" t="str">
        <f t="shared" si="36"/>
        <v>L</v>
      </c>
      <c r="F316" s="4" t="str">
        <f t="shared" si="37"/>
        <v>J</v>
      </c>
      <c r="G316" s="5" t="str">
        <f t="shared" si="38"/>
        <v>LJ Du Preez</v>
      </c>
      <c r="I316"/>
      <c r="J316"/>
      <c r="K316"/>
      <c r="L316"/>
    </row>
    <row r="317" spans="1:12" ht="14.4">
      <c r="A317" s="4">
        <v>327</v>
      </c>
      <c r="B317" s="4">
        <v>188</v>
      </c>
      <c r="C317" s="4" t="s">
        <v>450</v>
      </c>
      <c r="D317" s="4" t="s">
        <v>624</v>
      </c>
      <c r="E317" s="4" t="str">
        <f t="shared" si="36"/>
        <v>E</v>
      </c>
      <c r="F317" s="4" t="str">
        <f t="shared" si="37"/>
        <v>P</v>
      </c>
      <c r="G317" s="5" t="str">
        <f t="shared" si="38"/>
        <v>EP Ferreira</v>
      </c>
      <c r="I317"/>
      <c r="J317"/>
      <c r="K317"/>
      <c r="L317"/>
    </row>
    <row r="318" spans="1:12" ht="14.4">
      <c r="A318" s="4">
        <v>328</v>
      </c>
      <c r="B318" s="4">
        <v>368</v>
      </c>
      <c r="C318" s="4" t="s">
        <v>625</v>
      </c>
      <c r="D318" s="4" t="s">
        <v>626</v>
      </c>
      <c r="E318" s="4" t="str">
        <f t="shared" si="36"/>
        <v>C</v>
      </c>
      <c r="F318" s="4" t="str">
        <f t="shared" si="37"/>
        <v>H</v>
      </c>
      <c r="G318" s="5" t="str">
        <f t="shared" si="38"/>
        <v>CH Gerber</v>
      </c>
      <c r="I318"/>
      <c r="J318"/>
      <c r="K318"/>
      <c r="L318"/>
    </row>
    <row r="319" spans="1:12" ht="14.4">
      <c r="A319" s="4">
        <v>329</v>
      </c>
      <c r="B319" s="4">
        <v>92</v>
      </c>
      <c r="C319" s="4" t="s">
        <v>295</v>
      </c>
      <c r="D319" s="4" t="s">
        <v>340</v>
      </c>
      <c r="E319" s="4" t="str">
        <f t="shared" si="36"/>
        <v>E</v>
      </c>
      <c r="F319" s="4" t="s">
        <v>627</v>
      </c>
      <c r="G319" s="5" t="str">
        <f t="shared" si="38"/>
        <v>EMr Louw</v>
      </c>
      <c r="I319"/>
      <c r="J319"/>
      <c r="K319"/>
      <c r="L319"/>
    </row>
    <row r="320" spans="1:12" ht="14.4">
      <c r="A320" s="4">
        <v>330</v>
      </c>
      <c r="B320" s="4">
        <v>198</v>
      </c>
      <c r="C320" s="4" t="s">
        <v>450</v>
      </c>
      <c r="D320" s="4" t="s">
        <v>628</v>
      </c>
      <c r="E320" s="4" t="str">
        <f t="shared" si="36"/>
        <v>P</v>
      </c>
      <c r="F320" s="4" t="str">
        <f t="shared" si="37"/>
        <v>S</v>
      </c>
      <c r="G320" s="5" t="str">
        <f t="shared" si="38"/>
        <v>PS Ferreira</v>
      </c>
      <c r="I320"/>
      <c r="J320"/>
      <c r="K320"/>
      <c r="L320"/>
    </row>
    <row r="321" spans="1:12" ht="14.4">
      <c r="A321" s="4">
        <v>331</v>
      </c>
      <c r="B321" s="4">
        <v>224</v>
      </c>
      <c r="C321" s="4" t="s">
        <v>263</v>
      </c>
      <c r="D321" s="4" t="s">
        <v>274</v>
      </c>
      <c r="E321" s="4" t="str">
        <f t="shared" si="36"/>
        <v>I</v>
      </c>
      <c r="F321" s="4" t="str">
        <f t="shared" si="37"/>
        <v/>
      </c>
      <c r="G321" s="5" t="str">
        <f t="shared" si="38"/>
        <v>I Friederang</v>
      </c>
      <c r="I321"/>
      <c r="J321"/>
      <c r="K321"/>
      <c r="L321"/>
    </row>
    <row r="322" spans="1:12" ht="14.4">
      <c r="A322" s="4">
        <v>333</v>
      </c>
      <c r="B322" s="4">
        <v>202</v>
      </c>
      <c r="C322" s="4" t="s">
        <v>629</v>
      </c>
      <c r="D322" s="5" t="s">
        <v>630</v>
      </c>
      <c r="E322" s="4" t="str">
        <f t="shared" si="36"/>
        <v>B</v>
      </c>
      <c r="F322" s="4" t="str">
        <f t="shared" si="37"/>
        <v>R</v>
      </c>
      <c r="G322" s="5" t="str">
        <f t="shared" si="38"/>
        <v>BR Glover</v>
      </c>
      <c r="I322"/>
      <c r="J322"/>
      <c r="K322"/>
      <c r="L322"/>
    </row>
    <row r="323" spans="1:12" ht="14.4">
      <c r="A323" s="4">
        <v>335</v>
      </c>
      <c r="B323" s="4">
        <v>31</v>
      </c>
      <c r="C323" s="4" t="s">
        <v>296</v>
      </c>
      <c r="D323" s="5" t="s">
        <v>235</v>
      </c>
      <c r="E323" s="4" t="str">
        <f t="shared" si="36"/>
        <v>J</v>
      </c>
      <c r="F323" s="4" t="s">
        <v>631</v>
      </c>
      <c r="G323" s="5" t="str">
        <f t="shared" si="38"/>
        <v>J(Hannatjie) Delport</v>
      </c>
      <c r="I323"/>
      <c r="J323"/>
      <c r="K323"/>
      <c r="L323"/>
    </row>
    <row r="324" spans="1:12" ht="14.4">
      <c r="A324" s="4">
        <v>336</v>
      </c>
      <c r="B324">
        <v>207</v>
      </c>
      <c r="C324" s="4" t="s">
        <v>632</v>
      </c>
      <c r="D324" s="5" t="s">
        <v>633</v>
      </c>
      <c r="E324" s="4" t="str">
        <f t="shared" si="36"/>
        <v>H</v>
      </c>
      <c r="F324" s="4" t="str">
        <f t="shared" si="37"/>
        <v>Z</v>
      </c>
      <c r="G324" s="5" t="str">
        <f t="shared" si="38"/>
        <v>HZ Esterhuizen</v>
      </c>
      <c r="I324"/>
      <c r="J324"/>
      <c r="K324"/>
      <c r="L324"/>
    </row>
    <row r="325" spans="1:12" ht="14.4">
      <c r="A325" s="4">
        <v>337</v>
      </c>
      <c r="B325">
        <v>268</v>
      </c>
      <c r="C325" s="4" t="s">
        <v>634</v>
      </c>
      <c r="D325" s="4" t="s">
        <v>595</v>
      </c>
      <c r="E325" s="4" t="str">
        <f t="shared" si="36"/>
        <v>S</v>
      </c>
      <c r="F325" s="4" t="str">
        <f t="shared" si="37"/>
        <v/>
      </c>
      <c r="G325" s="5" t="str">
        <f t="shared" si="38"/>
        <v>S Ellis</v>
      </c>
      <c r="I325"/>
      <c r="J325"/>
      <c r="K325"/>
      <c r="L325"/>
    </row>
    <row r="326" spans="1:12" ht="14.4">
      <c r="A326" s="4">
        <v>338</v>
      </c>
      <c r="B326">
        <v>1</v>
      </c>
      <c r="C326" s="4" t="s">
        <v>635</v>
      </c>
      <c r="D326" s="4" t="s">
        <v>636</v>
      </c>
      <c r="E326" s="4" t="str">
        <f t="shared" si="36"/>
        <v>F</v>
      </c>
      <c r="F326" s="4" t="str">
        <f t="shared" si="37"/>
        <v>R</v>
      </c>
      <c r="G326" s="5" t="str">
        <f t="shared" si="38"/>
        <v>FR Grawe</v>
      </c>
      <c r="I326"/>
      <c r="J326"/>
      <c r="K326"/>
      <c r="L326"/>
    </row>
    <row r="327" spans="1:12" ht="14.4">
      <c r="A327" s="4">
        <v>339</v>
      </c>
      <c r="B327">
        <v>74</v>
      </c>
      <c r="C327" s="4" t="s">
        <v>255</v>
      </c>
      <c r="D327" s="4" t="s">
        <v>637</v>
      </c>
      <c r="E327" s="4" t="str">
        <f t="shared" si="36"/>
        <v>T</v>
      </c>
      <c r="F327" s="4" t="str">
        <f t="shared" si="37"/>
        <v>A</v>
      </c>
      <c r="G327" s="5" t="str">
        <f t="shared" si="38"/>
        <v>TA Du Toit</v>
      </c>
      <c r="I327"/>
      <c r="J327"/>
      <c r="K327"/>
      <c r="L327"/>
    </row>
    <row r="328" spans="1:12" ht="14.4">
      <c r="A328" s="4">
        <v>340</v>
      </c>
      <c r="B328" s="5">
        <v>321</v>
      </c>
      <c r="C328" s="4" t="s">
        <v>638</v>
      </c>
      <c r="D328" s="4" t="s">
        <v>297</v>
      </c>
      <c r="E328" s="4" t="str">
        <f t="shared" si="36"/>
        <v>A</v>
      </c>
      <c r="F328" s="4" t="str">
        <f t="shared" si="37"/>
        <v/>
      </c>
      <c r="G328" s="5" t="str">
        <f t="shared" si="38"/>
        <v>A Ioannou</v>
      </c>
      <c r="I328"/>
      <c r="J328"/>
      <c r="K328"/>
      <c r="L328"/>
    </row>
    <row r="329" spans="1:12" ht="14.4">
      <c r="A329" s="4">
        <v>341</v>
      </c>
      <c r="B329">
        <v>20</v>
      </c>
      <c r="C329" s="4" t="s">
        <v>639</v>
      </c>
      <c r="D329" s="4" t="s">
        <v>516</v>
      </c>
      <c r="E329" s="4" t="str">
        <f t="shared" si="36"/>
        <v>K</v>
      </c>
      <c r="F329" s="4" t="str">
        <f t="shared" si="37"/>
        <v/>
      </c>
      <c r="G329" s="5" t="str">
        <f t="shared" si="38"/>
        <v>K Kistan</v>
      </c>
      <c r="I329"/>
      <c r="J329"/>
      <c r="K329"/>
      <c r="L329"/>
    </row>
    <row r="330" spans="1:12" ht="14.4">
      <c r="A330" s="4">
        <v>342</v>
      </c>
      <c r="B330">
        <v>187</v>
      </c>
      <c r="C330" s="4" t="s">
        <v>640</v>
      </c>
      <c r="D330" s="4" t="s">
        <v>641</v>
      </c>
      <c r="E330" s="4" t="str">
        <f t="shared" si="36"/>
        <v>A</v>
      </c>
      <c r="F330" s="4" t="str">
        <f t="shared" si="37"/>
        <v>H</v>
      </c>
      <c r="G330" s="5" t="str">
        <f t="shared" si="38"/>
        <v>AH Lancaster</v>
      </c>
      <c r="I330"/>
      <c r="J330"/>
      <c r="K330"/>
      <c r="L330"/>
    </row>
    <row r="331" spans="1:12" ht="14.4">
      <c r="A331" s="4">
        <v>343</v>
      </c>
      <c r="B331" s="5">
        <v>415</v>
      </c>
      <c r="C331" s="4" t="s">
        <v>482</v>
      </c>
      <c r="D331" s="4" t="s">
        <v>330</v>
      </c>
      <c r="E331" s="4" t="str">
        <f t="shared" si="36"/>
        <v>A</v>
      </c>
      <c r="F331" s="4" t="str">
        <f t="shared" si="37"/>
        <v>M</v>
      </c>
      <c r="G331" s="5" t="str">
        <f t="shared" si="38"/>
        <v>AM Matthee</v>
      </c>
      <c r="I331"/>
      <c r="J331"/>
      <c r="K331"/>
      <c r="L331"/>
    </row>
    <row r="332" spans="1:12" ht="14.4">
      <c r="A332" s="4">
        <v>344</v>
      </c>
      <c r="B332" s="5">
        <v>182</v>
      </c>
      <c r="C332" s="4" t="s">
        <v>642</v>
      </c>
      <c r="D332" s="4" t="s">
        <v>301</v>
      </c>
      <c r="E332" s="4" t="str">
        <f t="shared" si="36"/>
        <v>R</v>
      </c>
      <c r="F332" s="4" t="str">
        <f t="shared" si="37"/>
        <v>C</v>
      </c>
      <c r="G332" s="5" t="str">
        <f t="shared" si="38"/>
        <v>RC Martheze</v>
      </c>
      <c r="I332"/>
      <c r="J332"/>
      <c r="K332"/>
      <c r="L332"/>
    </row>
    <row r="333" spans="1:12" ht="14.4">
      <c r="A333" s="4">
        <v>345</v>
      </c>
      <c r="B333" s="5">
        <v>298</v>
      </c>
      <c r="C333" s="4" t="s">
        <v>643</v>
      </c>
      <c r="D333" s="4" t="s">
        <v>423</v>
      </c>
      <c r="E333" s="4" t="str">
        <f t="shared" si="36"/>
        <v>M</v>
      </c>
      <c r="F333" s="4" t="str">
        <f t="shared" si="37"/>
        <v>J</v>
      </c>
      <c r="G333" s="5" t="str">
        <f t="shared" si="38"/>
        <v>MJ Nghatsane</v>
      </c>
      <c r="I333"/>
      <c r="J333"/>
      <c r="K333"/>
      <c r="L333"/>
    </row>
    <row r="334" spans="1:12" ht="14.4">
      <c r="A334" s="4">
        <v>346</v>
      </c>
      <c r="B334" s="5">
        <v>466</v>
      </c>
      <c r="C334" s="4" t="s">
        <v>644</v>
      </c>
      <c r="D334" s="5" t="s">
        <v>645</v>
      </c>
      <c r="E334" s="4" t="str">
        <f t="shared" si="36"/>
        <v>F</v>
      </c>
      <c r="F334" s="4" t="str">
        <f t="shared" si="37"/>
        <v>J</v>
      </c>
      <c r="G334" s="5" t="str">
        <f t="shared" si="38"/>
        <v>FJ Mildenhall</v>
      </c>
      <c r="I334"/>
      <c r="J334"/>
      <c r="K334"/>
      <c r="L334"/>
    </row>
    <row r="335" spans="1:12" ht="14.4">
      <c r="A335" s="4">
        <v>347</v>
      </c>
      <c r="B335" s="5">
        <v>404</v>
      </c>
      <c r="C335" s="4" t="s">
        <v>646</v>
      </c>
      <c r="D335" s="4" t="s">
        <v>288</v>
      </c>
      <c r="E335" s="4" t="str">
        <f t="shared" si="36"/>
        <v>A</v>
      </c>
      <c r="F335" s="4" t="str">
        <f t="shared" si="37"/>
        <v>J</v>
      </c>
      <c r="G335" s="5" t="str">
        <f t="shared" si="38"/>
        <v>AJ Osinski</v>
      </c>
      <c r="I335"/>
      <c r="J335"/>
      <c r="K335"/>
      <c r="L335"/>
    </row>
    <row r="336" spans="1:12" ht="14.4">
      <c r="A336" s="5">
        <v>348</v>
      </c>
      <c r="B336">
        <v>50</v>
      </c>
      <c r="C336" s="5" t="s">
        <v>498</v>
      </c>
      <c r="D336" s="5" t="s">
        <v>313</v>
      </c>
      <c r="E336" s="4" t="str">
        <f t="shared" si="36"/>
        <v>J</v>
      </c>
      <c r="F336" s="4" t="str">
        <f t="shared" si="37"/>
        <v>P</v>
      </c>
      <c r="G336" s="5" t="str">
        <f t="shared" si="38"/>
        <v>JP Pienaar</v>
      </c>
      <c r="I336"/>
      <c r="J336"/>
      <c r="K336"/>
      <c r="L336"/>
    </row>
    <row r="337" spans="1:12" ht="14.4">
      <c r="A337" s="5">
        <v>349</v>
      </c>
      <c r="B337" s="5">
        <v>167</v>
      </c>
      <c r="C337" s="5" t="s">
        <v>647</v>
      </c>
      <c r="D337" s="5" t="s">
        <v>256</v>
      </c>
      <c r="E337" s="4" t="str">
        <f t="shared" si="36"/>
        <v>D</v>
      </c>
      <c r="F337" s="4" t="str">
        <f t="shared" si="37"/>
        <v>J</v>
      </c>
      <c r="G337" s="5" t="str">
        <f t="shared" si="38"/>
        <v>DJ Postma</v>
      </c>
      <c r="I337"/>
      <c r="J337"/>
      <c r="K337"/>
      <c r="L337"/>
    </row>
    <row r="338" spans="1:12" ht="14.4">
      <c r="A338" s="5">
        <v>350</v>
      </c>
      <c r="B338">
        <v>303</v>
      </c>
      <c r="C338" s="5" t="s">
        <v>648</v>
      </c>
      <c r="D338" s="5" t="s">
        <v>649</v>
      </c>
      <c r="E338" s="4" t="str">
        <f t="shared" si="36"/>
        <v>H</v>
      </c>
      <c r="F338" s="4" t="str">
        <f t="shared" si="37"/>
        <v>S</v>
      </c>
      <c r="G338" s="5" t="str">
        <f t="shared" si="38"/>
        <v>HS Pelser</v>
      </c>
      <c r="I338"/>
      <c r="J338"/>
      <c r="K338"/>
      <c r="L338"/>
    </row>
    <row r="339" spans="1:12" ht="14.4">
      <c r="A339" s="5">
        <v>351</v>
      </c>
      <c r="B339">
        <v>140</v>
      </c>
      <c r="C339" s="5" t="s">
        <v>650</v>
      </c>
      <c r="D339" s="5" t="s">
        <v>651</v>
      </c>
      <c r="E339" s="4" t="str">
        <f t="shared" si="36"/>
        <v>A</v>
      </c>
      <c r="F339" s="4" t="str">
        <f t="shared" si="37"/>
        <v>S</v>
      </c>
      <c r="G339" s="5" t="str">
        <f t="shared" si="38"/>
        <v>AS Page</v>
      </c>
      <c r="I339"/>
      <c r="J339"/>
      <c r="K339"/>
      <c r="L339"/>
    </row>
    <row r="340" spans="1:12" ht="14.4">
      <c r="A340" s="5">
        <v>352</v>
      </c>
      <c r="B340">
        <v>134</v>
      </c>
      <c r="C340" s="5" t="s">
        <v>489</v>
      </c>
      <c r="D340" s="5" t="s">
        <v>562</v>
      </c>
      <c r="E340" s="4" t="str">
        <f t="shared" si="36"/>
        <v>N</v>
      </c>
      <c r="F340" s="4" t="str">
        <f t="shared" si="37"/>
        <v>P</v>
      </c>
      <c r="G340" s="5" t="str">
        <f t="shared" si="38"/>
        <v>NP Oosthuizen</v>
      </c>
      <c r="I340"/>
      <c r="J340"/>
      <c r="K340"/>
      <c r="L340"/>
    </row>
    <row r="341" spans="1:12" ht="14.4">
      <c r="A341" s="5">
        <v>353</v>
      </c>
      <c r="B341">
        <v>141</v>
      </c>
      <c r="C341" s="5" t="s">
        <v>652</v>
      </c>
      <c r="D341" s="5" t="s">
        <v>535</v>
      </c>
      <c r="E341" s="4" t="str">
        <f t="shared" si="36"/>
        <v>K</v>
      </c>
      <c r="F341" s="4" t="str">
        <f t="shared" si="37"/>
        <v>E</v>
      </c>
      <c r="G341" s="5" t="str">
        <f t="shared" si="38"/>
        <v>KE Olsen</v>
      </c>
      <c r="I341"/>
      <c r="J341"/>
      <c r="K341"/>
      <c r="L341"/>
    </row>
    <row r="342" spans="1:12" ht="14.4">
      <c r="A342" s="5">
        <v>354</v>
      </c>
      <c r="B342" s="5">
        <v>226</v>
      </c>
      <c r="C342" s="5" t="s">
        <v>653</v>
      </c>
      <c r="D342" s="5" t="s">
        <v>490</v>
      </c>
      <c r="E342" s="4" t="str">
        <f t="shared" si="36"/>
        <v>J</v>
      </c>
      <c r="F342" s="4" t="str">
        <f t="shared" si="37"/>
        <v>D</v>
      </c>
      <c r="G342" s="5" t="str">
        <f t="shared" si="38"/>
        <v>JD Spies</v>
      </c>
      <c r="I342"/>
      <c r="J342"/>
      <c r="K342"/>
      <c r="L342"/>
    </row>
    <row r="343" spans="1:12" ht="14.4">
      <c r="A343" s="5">
        <v>355</v>
      </c>
      <c r="B343" s="5">
        <v>216</v>
      </c>
      <c r="C343" s="5" t="s">
        <v>654</v>
      </c>
      <c r="D343" s="5" t="s">
        <v>503</v>
      </c>
      <c r="E343" s="4" t="str">
        <f t="shared" si="36"/>
        <v>D</v>
      </c>
      <c r="F343" s="4" t="str">
        <f t="shared" si="37"/>
        <v/>
      </c>
      <c r="G343" s="5" t="str">
        <f t="shared" si="38"/>
        <v>D Schraader</v>
      </c>
      <c r="I343"/>
      <c r="J343"/>
      <c r="K343"/>
      <c r="L343"/>
    </row>
    <row r="344" spans="1:12" ht="14.4">
      <c r="A344" s="5">
        <v>356</v>
      </c>
      <c r="B344" s="5">
        <v>18</v>
      </c>
      <c r="C344" s="5" t="s">
        <v>655</v>
      </c>
      <c r="D344" s="5" t="s">
        <v>548</v>
      </c>
      <c r="E344" s="4" t="str">
        <f t="shared" si="36"/>
        <v>D</v>
      </c>
      <c r="F344" s="4" t="str">
        <f t="shared" si="37"/>
        <v>E</v>
      </c>
      <c r="G344" s="5" t="str">
        <f t="shared" si="38"/>
        <v>DE Strauss</v>
      </c>
      <c r="I344"/>
      <c r="J344"/>
      <c r="K344"/>
      <c r="L344"/>
    </row>
    <row r="345" spans="1:12" ht="14.4">
      <c r="A345" s="5">
        <v>357</v>
      </c>
      <c r="B345" s="5">
        <v>382</v>
      </c>
      <c r="C345" s="5" t="s">
        <v>656</v>
      </c>
      <c r="D345" s="5" t="s">
        <v>313</v>
      </c>
      <c r="E345" s="4" t="str">
        <f t="shared" si="36"/>
        <v>J</v>
      </c>
      <c r="F345" s="4" t="str">
        <f t="shared" si="37"/>
        <v>P</v>
      </c>
      <c r="G345" s="5" t="str">
        <f t="shared" si="38"/>
        <v>JP Zweistra</v>
      </c>
      <c r="I345"/>
      <c r="J345"/>
      <c r="K345"/>
      <c r="L345"/>
    </row>
    <row r="346" spans="1:12" ht="14.4">
      <c r="A346" s="5">
        <v>358</v>
      </c>
      <c r="B346" s="5">
        <v>164</v>
      </c>
      <c r="C346" s="5" t="s">
        <v>560</v>
      </c>
      <c r="D346" s="5" t="s">
        <v>511</v>
      </c>
      <c r="E346" s="4" t="str">
        <f t="shared" si="36"/>
        <v>E</v>
      </c>
      <c r="F346" s="4" t="str">
        <f t="shared" si="37"/>
        <v>A</v>
      </c>
      <c r="G346" s="5" t="str">
        <f t="shared" si="38"/>
        <v>EA Venter</v>
      </c>
      <c r="I346"/>
      <c r="J346"/>
      <c r="K346"/>
      <c r="L346"/>
    </row>
    <row r="347" spans="1:12" ht="14.4">
      <c r="A347" s="5">
        <v>359</v>
      </c>
      <c r="B347" s="5">
        <v>219</v>
      </c>
      <c r="C347" s="5" t="s">
        <v>657</v>
      </c>
      <c r="D347" s="5" t="s">
        <v>658</v>
      </c>
      <c r="E347" s="4" t="str">
        <f t="shared" si="36"/>
        <v>P</v>
      </c>
      <c r="F347" s="4" t="str">
        <f t="shared" si="37"/>
        <v>A</v>
      </c>
      <c r="G347" s="5" t="str">
        <f t="shared" si="38"/>
        <v>PA van Straaten</v>
      </c>
      <c r="I347"/>
      <c r="J347"/>
      <c r="K347"/>
      <c r="L347"/>
    </row>
    <row r="348" spans="1:12" ht="14.4">
      <c r="A348" s="5">
        <v>360</v>
      </c>
      <c r="B348" s="5">
        <v>4</v>
      </c>
      <c r="C348" s="5" t="s">
        <v>659</v>
      </c>
      <c r="E348" s="4"/>
      <c r="F348" s="4"/>
      <c r="G348" s="5" t="s">
        <v>659</v>
      </c>
      <c r="I348"/>
      <c r="J348"/>
      <c r="K348"/>
      <c r="L348"/>
    </row>
    <row r="349" spans="1:12" ht="14.4">
      <c r="A349" s="4">
        <v>361</v>
      </c>
      <c r="B349" s="4">
        <v>210</v>
      </c>
      <c r="C349" s="4" t="s">
        <v>506</v>
      </c>
      <c r="D349" s="4" t="s">
        <v>262</v>
      </c>
      <c r="E349" s="4" t="str">
        <f t="shared" ref="E349" si="39">LEFT(D349,1)</f>
        <v>C</v>
      </c>
      <c r="F349" s="4" t="str">
        <f t="shared" ref="F349" si="40">IF(MID(D349,2,1)=" ",MID(D349,3,1),MID(D349,2,1))</f>
        <v/>
      </c>
      <c r="G349" s="5" t="str">
        <f t="shared" ref="G349:G352" si="41">IF(D349="",C349,CONCATENATE(E349,F349," ",C349))</f>
        <v>C Swartz</v>
      </c>
      <c r="I349"/>
      <c r="J349"/>
      <c r="K349"/>
      <c r="L349"/>
    </row>
    <row r="350" spans="1:12" ht="14.4">
      <c r="A350" s="4">
        <v>362</v>
      </c>
      <c r="B350" s="4">
        <v>179</v>
      </c>
      <c r="C350" s="4" t="s">
        <v>146</v>
      </c>
      <c r="D350" s="4"/>
      <c r="E350" s="4"/>
      <c r="F350" s="4"/>
      <c r="G350" s="5" t="str">
        <f t="shared" si="41"/>
        <v>Dieu Donne Trust</v>
      </c>
      <c r="I350"/>
      <c r="J350"/>
      <c r="K350"/>
      <c r="L350"/>
    </row>
    <row r="351" spans="1:12" ht="14.4">
      <c r="A351" s="5">
        <v>364</v>
      </c>
      <c r="B351" s="5">
        <v>109</v>
      </c>
      <c r="C351" s="5" t="s">
        <v>660</v>
      </c>
      <c r="D351" s="5" t="s">
        <v>272</v>
      </c>
      <c r="E351" s="4" t="str">
        <f t="shared" ref="E351:E352" si="42">LEFT(D351,1)</f>
        <v>B</v>
      </c>
      <c r="F351" s="4" t="str">
        <f t="shared" ref="F351:F352" si="43">IF(MID(D351,2,1)=" ",MID(D351,3,1),MID(D351,2,1))</f>
        <v>J</v>
      </c>
      <c r="G351" s="5" t="str">
        <f t="shared" si="41"/>
        <v>BJ Scheepers</v>
      </c>
      <c r="I351"/>
      <c r="J351"/>
      <c r="K351"/>
      <c r="L351"/>
    </row>
    <row r="352" spans="1:12" ht="14.4">
      <c r="A352" s="5">
        <v>365</v>
      </c>
      <c r="B352" s="5">
        <v>102</v>
      </c>
      <c r="C352" s="5" t="s">
        <v>232</v>
      </c>
      <c r="D352" s="5" t="s">
        <v>594</v>
      </c>
      <c r="E352" s="4" t="str">
        <f t="shared" si="42"/>
        <v>G</v>
      </c>
      <c r="F352" s="4" t="str">
        <f t="shared" si="43"/>
        <v/>
      </c>
      <c r="G352" s="5" t="str">
        <f t="shared" si="41"/>
        <v>G Bradley</v>
      </c>
      <c r="I352"/>
      <c r="J352"/>
      <c r="K352"/>
      <c r="L352"/>
    </row>
    <row r="353" spans="1:12" ht="14.4">
      <c r="A353" s="4">
        <v>366</v>
      </c>
      <c r="B353" s="4">
        <v>94</v>
      </c>
      <c r="C353" s="4" t="s">
        <v>420</v>
      </c>
      <c r="D353" s="4" t="s">
        <v>661</v>
      </c>
      <c r="E353" s="4" t="str">
        <f t="shared" ref="E353" si="44">LEFT(D353,1)</f>
        <v>M</v>
      </c>
      <c r="F353" s="4" t="str">
        <f t="shared" ref="F353" si="45">IF(MID(D353,2,1)=" ",MID(D353,3,1),MID(D353,2,1))</f>
        <v>H</v>
      </c>
      <c r="G353" s="5" t="str">
        <f t="shared" ref="G353" si="46">IF(D353="",C353,CONCATENATE(E353,F353," ",C353))</f>
        <v>MH Marks</v>
      </c>
      <c r="I353"/>
      <c r="J353"/>
      <c r="K353"/>
      <c r="L353"/>
    </row>
    <row r="354" spans="1:12" ht="14.4">
      <c r="A354" s="4">
        <v>367</v>
      </c>
      <c r="B354" s="4">
        <v>110</v>
      </c>
      <c r="C354" s="4" t="s">
        <v>662</v>
      </c>
      <c r="D354" s="4" t="s">
        <v>663</v>
      </c>
      <c r="E354" s="4" t="str">
        <f t="shared" ref="E354" si="47">LEFT(D354,1)</f>
        <v>K</v>
      </c>
      <c r="F354" s="4" t="str">
        <f t="shared" ref="F354" si="48">IF(MID(D354,2,1)=" ",MID(D354,3,1),MID(D354,2,1))</f>
        <v>L</v>
      </c>
      <c r="G354" s="5" t="str">
        <f t="shared" ref="G354" si="49">IF(D354="",C354,CONCATENATE(E354,F354," ",C354))</f>
        <v>KL Dolloway</v>
      </c>
      <c r="I354"/>
      <c r="J354"/>
      <c r="K354"/>
      <c r="L354"/>
    </row>
    <row r="355" spans="1:12" ht="14.4">
      <c r="A355" s="4">
        <v>368</v>
      </c>
      <c r="B355" s="4">
        <v>117</v>
      </c>
      <c r="C355" s="4" t="s">
        <v>664</v>
      </c>
      <c r="D355" s="4" t="s">
        <v>355</v>
      </c>
      <c r="E355" s="4" t="str">
        <f t="shared" ref="E355" si="50">LEFT(D355,1)</f>
        <v>M</v>
      </c>
      <c r="F355" s="4" t="str">
        <f t="shared" ref="F355" si="51">IF(MID(D355,2,1)=" ",MID(D355,3,1),MID(D355,2,1))</f>
        <v/>
      </c>
      <c r="G355" s="5" t="str">
        <f t="shared" ref="G355" si="52">IF(D355="",C355,CONCATENATE(E355,F355," ",C355))</f>
        <v>M Branford</v>
      </c>
      <c r="I355"/>
      <c r="J355"/>
      <c r="K355"/>
      <c r="L355"/>
    </row>
    <row r="356" spans="1:12" ht="14.4">
      <c r="A356" s="4">
        <v>369</v>
      </c>
      <c r="B356" s="4">
        <v>119</v>
      </c>
      <c r="C356" s="4" t="s">
        <v>665</v>
      </c>
      <c r="D356" s="4" t="s">
        <v>327</v>
      </c>
      <c r="E356" s="4" t="str">
        <f t="shared" ref="E356" si="53">LEFT(D356,1)</f>
        <v>K</v>
      </c>
      <c r="F356" s="4" t="str">
        <f t="shared" ref="F356" si="54">IF(MID(D356,2,1)=" ",MID(D356,3,1),MID(D356,2,1))</f>
        <v>A</v>
      </c>
      <c r="G356" s="5" t="str">
        <f t="shared" ref="G356" si="55">IF(D356="",C356,CONCATENATE(E356,F356," ",C356))</f>
        <v>KA Tavares</v>
      </c>
      <c r="I356"/>
      <c r="J356"/>
      <c r="K356"/>
      <c r="L356"/>
    </row>
    <row r="357" spans="1:12" ht="14.4">
      <c r="A357" s="4">
        <v>372</v>
      </c>
      <c r="B357" s="4">
        <v>123</v>
      </c>
      <c r="C357" s="4" t="s">
        <v>525</v>
      </c>
      <c r="D357" s="4" t="s">
        <v>666</v>
      </c>
      <c r="E357" s="4" t="str">
        <f t="shared" ref="E357" si="56">LEFT(D357,1)</f>
        <v>M</v>
      </c>
      <c r="F357" s="4" t="str">
        <f t="shared" ref="F357" si="57">IF(MID(D357,2,1)=" ",MID(D357,3,1),MID(D357,2,1))</f>
        <v>W</v>
      </c>
      <c r="G357" s="5" t="str">
        <f t="shared" ref="G357" si="58">IF(D357="",C357,CONCATENATE(E357,F357," ",C357))</f>
        <v>MW Swart</v>
      </c>
      <c r="I357"/>
      <c r="J357"/>
      <c r="K357"/>
      <c r="L357"/>
    </row>
    <row r="358" spans="1:12" ht="14.4">
      <c r="A358" s="4">
        <v>373</v>
      </c>
      <c r="B358" s="4">
        <v>131</v>
      </c>
      <c r="C358" s="4" t="s">
        <v>453</v>
      </c>
      <c r="D358" s="4" t="s">
        <v>243</v>
      </c>
      <c r="E358" s="4" t="str">
        <f t="shared" ref="E358" si="59">LEFT(D358,1)</f>
        <v>P</v>
      </c>
      <c r="F358" s="4" t="str">
        <f t="shared" ref="F358" si="60">IF(MID(D358,2,1)=" ",MID(D358,3,1),MID(D358,2,1))</f>
        <v/>
      </c>
      <c r="G358" s="5" t="str">
        <f t="shared" ref="G358" si="61">IF(D358="",C358,CONCATENATE(E358,F358," ",C358))</f>
        <v>P Fourie</v>
      </c>
      <c r="I358"/>
      <c r="J358"/>
      <c r="K358"/>
      <c r="L358"/>
    </row>
    <row r="359" spans="1:12" ht="14.4">
      <c r="A359" s="4">
        <v>375</v>
      </c>
      <c r="B359" s="4">
        <v>136</v>
      </c>
      <c r="C359" s="4" t="s">
        <v>667</v>
      </c>
      <c r="D359" s="4" t="s">
        <v>668</v>
      </c>
      <c r="E359" s="4" t="str">
        <f t="shared" ref="E359:E362" si="62">LEFT(D359,1)</f>
        <v>L</v>
      </c>
      <c r="F359" s="4" t="str">
        <f t="shared" ref="F359:F362" si="63">IF(MID(D359,2,1)=" ",MID(D359,3,1),MID(D359,2,1))</f>
        <v>L</v>
      </c>
      <c r="G359" s="5" t="str">
        <f t="shared" ref="G359:G366" si="64">IF(D359="",C359,CONCATENATE(E359,F359," ",C359))</f>
        <v>LL Mrwetyana</v>
      </c>
      <c r="I359"/>
      <c r="J359"/>
      <c r="K359"/>
      <c r="L359"/>
    </row>
    <row r="360" spans="1:12" ht="14.4">
      <c r="A360" s="4">
        <v>376</v>
      </c>
      <c r="B360" s="4">
        <v>137</v>
      </c>
      <c r="C360" s="4" t="s">
        <v>367</v>
      </c>
      <c r="D360" s="4" t="s">
        <v>669</v>
      </c>
      <c r="E360" s="4" t="str">
        <f t="shared" si="62"/>
        <v>M</v>
      </c>
      <c r="F360" s="4" t="str">
        <f t="shared" si="63"/>
        <v>G</v>
      </c>
      <c r="G360" s="5" t="str">
        <f t="shared" si="64"/>
        <v>MG Sinclair</v>
      </c>
      <c r="I360"/>
      <c r="J360"/>
      <c r="K360"/>
      <c r="L360"/>
    </row>
    <row r="361" spans="1:12" ht="14.4">
      <c r="A361" s="4">
        <v>377</v>
      </c>
      <c r="B361" s="4">
        <v>109</v>
      </c>
      <c r="C361" s="4" t="s">
        <v>670</v>
      </c>
      <c r="D361" s="4" t="s">
        <v>373</v>
      </c>
      <c r="E361" s="4" t="str">
        <f t="shared" ref="E361" si="65">LEFT(D361,1)</f>
        <v>M</v>
      </c>
      <c r="F361" s="4" t="str">
        <f t="shared" ref="F361" si="66">IF(MID(D361,2,1)=" ",MID(D361,3,1),MID(D361,2,1))</f>
        <v>P</v>
      </c>
      <c r="G361" s="5" t="str">
        <f t="shared" ref="G361" si="67">IF(D361="",C361,CONCATENATE(E361,F361," ",C361))</f>
        <v>MP Smith</v>
      </c>
      <c r="I361"/>
      <c r="J361"/>
      <c r="K361"/>
      <c r="L361"/>
    </row>
    <row r="362" spans="1:12" ht="14.4">
      <c r="A362" s="4">
        <v>378</v>
      </c>
      <c r="B362" s="4">
        <v>142</v>
      </c>
      <c r="C362" s="4" t="s">
        <v>671</v>
      </c>
      <c r="D362" s="4" t="s">
        <v>256</v>
      </c>
      <c r="E362" s="4" t="str">
        <f t="shared" si="62"/>
        <v>D</v>
      </c>
      <c r="F362" s="4" t="str">
        <f t="shared" si="63"/>
        <v>J</v>
      </c>
      <c r="G362" s="5" t="str">
        <f t="shared" si="64"/>
        <v>DJ Bosman</v>
      </c>
      <c r="I362"/>
      <c r="J362"/>
      <c r="K362"/>
      <c r="L362"/>
    </row>
    <row r="363" spans="1:12" ht="14.4">
      <c r="A363" s="4">
        <v>379</v>
      </c>
      <c r="B363" s="4">
        <v>179</v>
      </c>
      <c r="C363" s="4" t="s">
        <v>191</v>
      </c>
      <c r="D363" s="3"/>
      <c r="E363" s="4"/>
      <c r="F363" s="4"/>
      <c r="G363" s="5" t="str">
        <f t="shared" si="64"/>
        <v>HL and MM Higgins</v>
      </c>
      <c r="I363"/>
      <c r="J363"/>
      <c r="K363"/>
      <c r="L363"/>
    </row>
    <row r="364" spans="1:12" ht="14.4">
      <c r="A364" s="4">
        <v>380</v>
      </c>
      <c r="B364" s="4">
        <v>232</v>
      </c>
      <c r="C364" s="4" t="s">
        <v>304</v>
      </c>
      <c r="D364" s="3" t="s">
        <v>315</v>
      </c>
      <c r="E364" s="4" t="str">
        <f t="shared" ref="E364:E367" si="68">LEFT(D364,1)</f>
        <v>H</v>
      </c>
      <c r="F364" s="4" t="str">
        <f t="shared" ref="F364:F367" si="69">IF(MID(D364,2,1)=" ",MID(D364,3,1),MID(D364,2,1))</f>
        <v/>
      </c>
      <c r="G364" s="5" t="str">
        <f t="shared" si="64"/>
        <v>H Maharaj</v>
      </c>
      <c r="I364"/>
      <c r="J364"/>
      <c r="K364"/>
      <c r="L364"/>
    </row>
    <row r="365" spans="1:12" ht="14.4">
      <c r="A365" s="4">
        <v>381</v>
      </c>
      <c r="B365" s="4">
        <v>143</v>
      </c>
      <c r="C365" s="4" t="s">
        <v>672</v>
      </c>
      <c r="D365" s="3" t="s">
        <v>359</v>
      </c>
      <c r="E365" s="4" t="str">
        <f t="shared" ref="E365" si="70">LEFT(D365,1)</f>
        <v>B</v>
      </c>
      <c r="F365" s="4" t="str">
        <f t="shared" ref="F365" si="71">IF(MID(D365,2,1)=" ",MID(D365,3,1),MID(D365,2,1))</f>
        <v/>
      </c>
      <c r="G365" s="5" t="str">
        <f t="shared" ref="G365" si="72">IF(D365="",C365,CONCATENATE(E365,F365," ",C365))</f>
        <v>B Koekemoer</v>
      </c>
      <c r="I365"/>
      <c r="J365"/>
      <c r="K365"/>
      <c r="L365"/>
    </row>
    <row r="366" spans="1:12" ht="14.4">
      <c r="A366" s="4">
        <v>383</v>
      </c>
      <c r="B366" s="4">
        <v>345</v>
      </c>
      <c r="C366" s="4" t="s">
        <v>193</v>
      </c>
      <c r="D366" s="4"/>
      <c r="E366" s="4" t="str">
        <f t="shared" si="68"/>
        <v/>
      </c>
      <c r="F366" s="4" t="str">
        <f t="shared" si="69"/>
        <v/>
      </c>
      <c r="G366" s="5" t="str">
        <f t="shared" si="64"/>
        <v>BJ and AR Bodenstein</v>
      </c>
      <c r="I366"/>
      <c r="J366"/>
      <c r="K366"/>
      <c r="L366"/>
    </row>
    <row r="367" spans="1:12" ht="14.4">
      <c r="A367" s="4">
        <v>384</v>
      </c>
      <c r="B367" s="4">
        <v>145</v>
      </c>
      <c r="C367" s="4" t="s">
        <v>346</v>
      </c>
      <c r="D367" s="4" t="s">
        <v>445</v>
      </c>
      <c r="E367" s="4" t="str">
        <f t="shared" si="68"/>
        <v>A</v>
      </c>
      <c r="F367" s="4" t="str">
        <f t="shared" si="69"/>
        <v>R</v>
      </c>
      <c r="G367" s="5" t="str">
        <f t="shared" ref="G367:G371" si="73">IF(D367="",C367,CONCATENATE(E367,F367," ",C367))</f>
        <v>AR Ohsiek</v>
      </c>
      <c r="I367"/>
      <c r="J367"/>
      <c r="K367"/>
      <c r="L367"/>
    </row>
    <row r="368" spans="1:12" ht="14.4">
      <c r="A368" s="4">
        <v>387</v>
      </c>
      <c r="B368" s="4">
        <v>151</v>
      </c>
      <c r="C368" s="4" t="s">
        <v>367</v>
      </c>
      <c r="D368" s="4" t="s">
        <v>284</v>
      </c>
      <c r="E368" s="4" t="str">
        <f t="shared" ref="E368" si="74">LEFT(D368,1)</f>
        <v>K</v>
      </c>
      <c r="F368" s="4" t="str">
        <f t="shared" ref="F368" si="75">IF(MID(D368,2,1)=" ",MID(D368,3,1),MID(D368,2,1))</f>
        <v>R</v>
      </c>
      <c r="G368" s="5" t="str">
        <f t="shared" ref="G368" si="76">IF(D368="",C368,CONCATENATE(E368,F368," ",C368))</f>
        <v>KR Sinclair</v>
      </c>
      <c r="I368"/>
      <c r="J368"/>
      <c r="K368"/>
      <c r="L368"/>
    </row>
    <row r="369" spans="1:12" ht="14.4">
      <c r="A369" s="4">
        <v>388</v>
      </c>
      <c r="B369" s="4">
        <v>250</v>
      </c>
      <c r="C369" s="4" t="s">
        <v>164</v>
      </c>
      <c r="D369" s="4"/>
      <c r="E369" s="4" t="str">
        <f t="shared" ref="E369" si="77">LEFT(D369,1)</f>
        <v/>
      </c>
      <c r="F369" s="4" t="str">
        <f t="shared" ref="F369" si="78">IF(MID(D369,2,1)=" ",MID(D369,3,1),MID(D369,2,1))</f>
        <v/>
      </c>
      <c r="G369" s="5" t="str">
        <f t="shared" si="73"/>
        <v>MJ and MP Boshoff</v>
      </c>
      <c r="I369"/>
      <c r="J369"/>
      <c r="K369"/>
      <c r="L369"/>
    </row>
    <row r="370" spans="1:12" ht="14.4">
      <c r="A370" s="4">
        <v>389</v>
      </c>
      <c r="B370" s="4">
        <v>31</v>
      </c>
      <c r="C370" s="4" t="s">
        <v>187</v>
      </c>
      <c r="E370" s="4"/>
      <c r="F370" s="4"/>
      <c r="G370" s="5" t="str">
        <f t="shared" si="73"/>
        <v>AB and J Delport</v>
      </c>
      <c r="I370"/>
      <c r="J370"/>
      <c r="K370"/>
      <c r="L370"/>
    </row>
    <row r="371" spans="1:12" ht="14.4">
      <c r="A371" s="4">
        <v>390</v>
      </c>
      <c r="B371" s="4">
        <v>68</v>
      </c>
      <c r="C371" s="4" t="s">
        <v>104</v>
      </c>
      <c r="D371" s="4" t="s">
        <v>228</v>
      </c>
      <c r="E371" s="4" t="str">
        <f t="shared" ref="E371" si="79">LEFT(D371,1)</f>
        <v/>
      </c>
      <c r="F371" s="4" t="str">
        <f t="shared" ref="F371" si="80">IF(MID(D371,2,1)=" ",MID(D371,3,1),MID(D371,2,1))</f>
        <v/>
      </c>
      <c r="G371" s="5" t="str">
        <f t="shared" si="73"/>
        <v>Pretorius Familie Beleggings Trust, Rita Pretorius</v>
      </c>
      <c r="I371"/>
      <c r="J371"/>
      <c r="K371"/>
      <c r="L371"/>
    </row>
    <row r="372" spans="1:12" ht="14.4">
      <c r="A372" s="4">
        <v>391</v>
      </c>
      <c r="B372" s="4">
        <v>69</v>
      </c>
      <c r="C372" s="4" t="s">
        <v>21</v>
      </c>
      <c r="D372" s="4" t="s">
        <v>228</v>
      </c>
      <c r="E372" s="4" t="str">
        <f t="shared" ref="E372:E376" si="81">LEFT(D372,1)</f>
        <v/>
      </c>
      <c r="F372" s="4" t="str">
        <f t="shared" ref="F372:F376" si="82">IF(MID(D372,2,1)=" ",MID(D372,3,1),MID(D372,2,1))</f>
        <v/>
      </c>
      <c r="G372" s="5" t="str">
        <f t="shared" ref="G372:G377" si="83">IF(D372="",C372,CONCATENATE(E372,F372," ",C372))</f>
        <v>Pretorius Familie Beleggings Trust, Markus</v>
      </c>
      <c r="I372"/>
      <c r="J372"/>
      <c r="K372"/>
      <c r="L372"/>
    </row>
    <row r="373" spans="1:12" ht="14.4">
      <c r="A373" s="4">
        <v>392</v>
      </c>
      <c r="B373" s="4">
        <v>70</v>
      </c>
      <c r="C373" s="4" t="s">
        <v>22</v>
      </c>
      <c r="D373" s="4" t="s">
        <v>228</v>
      </c>
      <c r="E373" s="4" t="str">
        <f t="shared" si="81"/>
        <v/>
      </c>
      <c r="F373" s="4" t="str">
        <f t="shared" si="82"/>
        <v/>
      </c>
      <c r="G373" s="5" t="str">
        <f t="shared" si="83"/>
        <v>Pretorius Familie Beleggings Trust, Pieter</v>
      </c>
      <c r="I373"/>
      <c r="J373"/>
      <c r="K373"/>
      <c r="L373"/>
    </row>
    <row r="374" spans="1:12" ht="14.4">
      <c r="A374" s="4">
        <v>393</v>
      </c>
      <c r="B374" s="4">
        <v>75</v>
      </c>
      <c r="C374" s="4" t="s">
        <v>19</v>
      </c>
      <c r="D374" s="4" t="s">
        <v>228</v>
      </c>
      <c r="E374" s="4" t="str">
        <f t="shared" si="81"/>
        <v/>
      </c>
      <c r="F374" s="4" t="str">
        <f t="shared" si="82"/>
        <v/>
      </c>
      <c r="G374" s="5" t="str">
        <f t="shared" si="83"/>
        <v>Pretorius Familie Beleggings Trust, Marius</v>
      </c>
      <c r="I374"/>
      <c r="J374"/>
      <c r="K374"/>
      <c r="L374"/>
    </row>
    <row r="375" spans="1:12" ht="14.4">
      <c r="A375" s="4">
        <v>394</v>
      </c>
      <c r="B375" s="4">
        <v>77</v>
      </c>
      <c r="C375" s="4" t="s">
        <v>20</v>
      </c>
      <c r="D375" s="4" t="s">
        <v>228</v>
      </c>
      <c r="E375" s="4" t="str">
        <f t="shared" si="81"/>
        <v/>
      </c>
      <c r="F375" s="4" t="str">
        <f t="shared" si="82"/>
        <v/>
      </c>
      <c r="G375" s="5" t="str">
        <f t="shared" si="83"/>
        <v>Pretorius Familie Beleggings Trust, Dewald</v>
      </c>
      <c r="I375"/>
      <c r="J375"/>
      <c r="K375"/>
      <c r="L375"/>
    </row>
    <row r="376" spans="1:12" ht="14.4">
      <c r="A376" s="4">
        <v>395</v>
      </c>
      <c r="B376" s="4">
        <v>86</v>
      </c>
      <c r="C376" s="4" t="s">
        <v>673</v>
      </c>
      <c r="D376" s="4" t="s">
        <v>469</v>
      </c>
      <c r="E376" s="4" t="str">
        <f t="shared" si="81"/>
        <v>M</v>
      </c>
      <c r="F376" s="4" t="str">
        <f t="shared" si="82"/>
        <v>L</v>
      </c>
      <c r="G376" s="5" t="str">
        <f t="shared" si="83"/>
        <v>ML Sykes</v>
      </c>
      <c r="I376"/>
      <c r="J376"/>
      <c r="K376"/>
      <c r="L376"/>
    </row>
    <row r="377" spans="1:12" ht="14.4">
      <c r="A377" s="4">
        <v>396</v>
      </c>
      <c r="B377" s="4">
        <v>68</v>
      </c>
      <c r="C377" s="4" t="s">
        <v>200</v>
      </c>
      <c r="E377" s="4"/>
      <c r="F377" s="4"/>
      <c r="G377" s="5" t="str">
        <f t="shared" si="83"/>
        <v>MM and DP Pretorius</v>
      </c>
      <c r="I377"/>
      <c r="J377"/>
      <c r="K377"/>
      <c r="L377"/>
    </row>
    <row r="378" spans="1:12" ht="14.4">
      <c r="A378" s="4">
        <v>397</v>
      </c>
      <c r="B378" s="4">
        <v>17</v>
      </c>
      <c r="C378" s="4" t="s">
        <v>674</v>
      </c>
      <c r="E378" s="4"/>
      <c r="F378" s="4"/>
      <c r="G378" s="5" t="str">
        <f t="shared" ref="G378" si="84">IF(D378="",C378,CONCATENATE(E378,F378," ",C378))</f>
        <v>JP Mays and CA Stark</v>
      </c>
      <c r="I378"/>
      <c r="J378"/>
      <c r="K378"/>
      <c r="L378"/>
    </row>
    <row r="379" spans="1:12" ht="14.4">
      <c r="A379" s="4">
        <v>398</v>
      </c>
      <c r="B379" s="4">
        <v>39</v>
      </c>
      <c r="C379" s="4" t="s">
        <v>202</v>
      </c>
      <c r="E379" s="4"/>
      <c r="F379" s="4"/>
      <c r="G379" s="5" t="str">
        <f t="shared" ref="G379" si="85">IF(D379="",C379,CONCATENATE(E379,F379," ",C379))</f>
        <v>GJ and BM McGill</v>
      </c>
      <c r="I379"/>
      <c r="J379"/>
      <c r="K379"/>
      <c r="L379"/>
    </row>
    <row r="380" spans="1:12" ht="14.4">
      <c r="A380" s="4">
        <v>399</v>
      </c>
      <c r="B380" s="4">
        <v>137</v>
      </c>
      <c r="C380" s="4" t="s">
        <v>203</v>
      </c>
      <c r="E380" s="4"/>
      <c r="F380" s="4"/>
      <c r="G380" s="5" t="str">
        <f t="shared" ref="G380" si="86">IF(D380="",C380,CONCATENATE(E380,F380," ",C380))</f>
        <v>MG and KR Sinclair</v>
      </c>
      <c r="I380"/>
      <c r="J380"/>
      <c r="K380"/>
      <c r="L380"/>
    </row>
    <row r="381" spans="1:12" ht="14.4">
      <c r="A381" s="4">
        <v>400</v>
      </c>
      <c r="B381" s="4">
        <v>152</v>
      </c>
      <c r="C381" s="4" t="s">
        <v>204</v>
      </c>
      <c r="E381" s="4"/>
      <c r="F381" s="4"/>
      <c r="G381" s="5" t="str">
        <f t="shared" ref="G381" si="87">IF(D381="",C381,CONCATENATE(E381,F381," ",C381))</f>
        <v>LF Erasmus and SS Swart</v>
      </c>
      <c r="I381"/>
      <c r="J381"/>
      <c r="K381"/>
      <c r="L381"/>
    </row>
    <row r="382" spans="1:12" ht="14.4">
      <c r="A382" s="4">
        <v>401</v>
      </c>
      <c r="B382" s="4">
        <v>193</v>
      </c>
      <c r="C382" s="4" t="s">
        <v>205</v>
      </c>
      <c r="E382" s="4"/>
      <c r="F382" s="4"/>
      <c r="G382" s="5" t="str">
        <f t="shared" ref="G382" si="88">IF(D382="",C382,CONCATENATE(E382,F382," ",C382))</f>
        <v>JJ and P Randall</v>
      </c>
      <c r="I382"/>
      <c r="J382"/>
      <c r="K382"/>
      <c r="L382"/>
    </row>
    <row r="383" spans="1:12" ht="14.4">
      <c r="A383" s="4">
        <v>402</v>
      </c>
      <c r="B383" s="4">
        <v>222</v>
      </c>
      <c r="C383" s="4" t="s">
        <v>206</v>
      </c>
      <c r="E383" s="4"/>
      <c r="F383" s="4"/>
      <c r="G383" s="5" t="str">
        <f t="shared" ref="G383" si="89">IF(D383="",C383,CONCATENATE(E383,F383," ",C383))</f>
        <v>JL and LN Sellors</v>
      </c>
      <c r="I383"/>
      <c r="J383"/>
      <c r="K383"/>
      <c r="L383"/>
    </row>
    <row r="384" spans="1:12" ht="14.4">
      <c r="A384" s="4">
        <v>403</v>
      </c>
      <c r="B384" s="4">
        <v>468</v>
      </c>
      <c r="C384" s="4" t="s">
        <v>207</v>
      </c>
      <c r="E384" s="4"/>
      <c r="F384" s="4"/>
      <c r="G384" s="5" t="str">
        <f t="shared" ref="G384" si="90">IF(D384="",C384,CONCATENATE(E384,F384," ",C384))</f>
        <v>AJ and MEC Van Tonder</v>
      </c>
      <c r="I384"/>
      <c r="J384"/>
      <c r="K384"/>
      <c r="L384"/>
    </row>
    <row r="385" spans="1:12" ht="14.4">
      <c r="A385" s="4">
        <v>404</v>
      </c>
      <c r="B385" s="4">
        <v>26</v>
      </c>
      <c r="C385" s="4" t="s">
        <v>208</v>
      </c>
      <c r="E385" s="4"/>
      <c r="F385" s="4"/>
      <c r="G385" s="5" t="str">
        <f t="shared" ref="G385" si="91">IF(D385="",C385,CONCATENATE(E385,F385," ",C385))</f>
        <v>HJ and JC Pienaar</v>
      </c>
      <c r="I385"/>
      <c r="J385"/>
      <c r="K385"/>
      <c r="L385"/>
    </row>
    <row r="386" spans="1:12" ht="14.4">
      <c r="A386" s="4">
        <v>405</v>
      </c>
      <c r="B386" s="4">
        <v>430</v>
      </c>
      <c r="C386" s="4" t="s">
        <v>196</v>
      </c>
      <c r="E386" s="4"/>
      <c r="F386" s="4"/>
      <c r="G386" s="5" t="str">
        <f t="shared" ref="G386" si="92">IF(D386="",C386,CONCATENATE(E386,F386," ",C386))</f>
        <v>CJ Neethling and JC Howard</v>
      </c>
      <c r="I386"/>
      <c r="J386"/>
      <c r="K386"/>
      <c r="L386"/>
    </row>
    <row r="387" spans="1:12" ht="14.4">
      <c r="A387" s="4">
        <v>406</v>
      </c>
      <c r="B387" s="4">
        <v>79</v>
      </c>
      <c r="C387" s="4" t="s">
        <v>163</v>
      </c>
      <c r="E387" s="4"/>
      <c r="F387" s="4"/>
      <c r="G387" s="5" t="str">
        <f t="shared" ref="G387" si="93">IF(D387="",C387,CONCATENATE(E387,F387," ",C387))</f>
        <v>AD and CJ Neethling</v>
      </c>
      <c r="I387"/>
      <c r="J387"/>
      <c r="K387"/>
      <c r="L387"/>
    </row>
    <row r="388" spans="1:12" ht="14.4">
      <c r="A388" s="4">
        <v>407</v>
      </c>
      <c r="B388" s="4">
        <v>441</v>
      </c>
      <c r="C388" s="4" t="s">
        <v>194</v>
      </c>
      <c r="E388" s="4"/>
      <c r="F388" s="4"/>
      <c r="G388" s="5" t="str">
        <f t="shared" ref="G388" si="94">IF(D388="",C388,CONCATENATE(E388,F388," ",C388))</f>
        <v>JA and AD Neethling</v>
      </c>
      <c r="I388"/>
      <c r="J388"/>
      <c r="K388"/>
      <c r="L388"/>
    </row>
    <row r="389" spans="1:12" ht="14.4">
      <c r="A389" s="4">
        <v>408</v>
      </c>
      <c r="B389" s="4">
        <v>430</v>
      </c>
      <c r="C389" s="4" t="s">
        <v>197</v>
      </c>
      <c r="E389" s="4"/>
      <c r="F389" s="4"/>
      <c r="G389" s="5" t="str">
        <f t="shared" ref="G389" si="95">IF(D389="",C389,CONCATENATE(E389,F389," ",C389))</f>
        <v>CJ Neethling and RJ Nagel</v>
      </c>
      <c r="I389"/>
      <c r="J389"/>
      <c r="K389"/>
      <c r="L389"/>
    </row>
    <row r="390" spans="1:12" ht="14.4">
      <c r="A390" s="4">
        <v>409</v>
      </c>
      <c r="B390" s="4">
        <v>30</v>
      </c>
      <c r="C390" s="4" t="s">
        <v>212</v>
      </c>
      <c r="E390" s="4"/>
      <c r="F390" s="4"/>
      <c r="G390" s="5" t="str">
        <f t="shared" ref="G390:G417" si="96">IF(D390="",C390,CONCATENATE(E390,F390," ",C390))</f>
        <v>AE and PJ Fourie</v>
      </c>
      <c r="I390"/>
      <c r="J390"/>
      <c r="K390"/>
      <c r="L390"/>
    </row>
    <row r="391" spans="1:12" ht="14.4">
      <c r="A391" s="4">
        <v>410</v>
      </c>
      <c r="B391" s="4">
        <v>165</v>
      </c>
      <c r="C391" s="4" t="s">
        <v>161</v>
      </c>
      <c r="D391" s="4"/>
      <c r="E391" s="4"/>
      <c r="F391" s="4" t="str">
        <f t="shared" ref="F391" si="97">IF(MID(D391,2,1)=" ",MID(D391,3,1),MID(D391,2,1))</f>
        <v/>
      </c>
      <c r="G391" s="5" t="str">
        <f t="shared" si="96"/>
        <v>C Friederang and L van den Berg</v>
      </c>
      <c r="I391"/>
      <c r="J391"/>
      <c r="K391"/>
      <c r="L391"/>
    </row>
    <row r="392" spans="1:12" ht="14.4">
      <c r="A392" s="4">
        <v>411</v>
      </c>
      <c r="B392" s="4">
        <v>320</v>
      </c>
      <c r="C392" s="4" t="s">
        <v>190</v>
      </c>
      <c r="D392" s="4"/>
      <c r="E392" s="4"/>
      <c r="F392" s="4"/>
      <c r="G392" s="5" t="str">
        <f t="shared" si="96"/>
        <v>DA and CJ Roberts</v>
      </c>
      <c r="I392"/>
      <c r="J392"/>
      <c r="K392"/>
      <c r="L392"/>
    </row>
    <row r="393" spans="1:12" ht="14.4">
      <c r="A393" s="4">
        <v>412</v>
      </c>
      <c r="B393" s="4">
        <v>200</v>
      </c>
      <c r="C393" s="4" t="s">
        <v>209</v>
      </c>
      <c r="E393" s="4"/>
      <c r="F393" s="4"/>
      <c r="G393" s="5" t="str">
        <f t="shared" si="96"/>
        <v>JR and LI Schaffner</v>
      </c>
      <c r="I393"/>
      <c r="J393"/>
      <c r="K393"/>
      <c r="L393"/>
    </row>
    <row r="394" spans="1:12" ht="14.4">
      <c r="A394" s="4">
        <v>413</v>
      </c>
      <c r="B394" s="4">
        <v>48</v>
      </c>
      <c r="C394" s="4" t="s">
        <v>159</v>
      </c>
      <c r="D394" s="4"/>
      <c r="E394" s="4"/>
      <c r="F394" s="4"/>
      <c r="G394" s="5" t="str">
        <f>IF(D394="",C394,CONCATENATE(E394,F394," ",C394))</f>
        <v>HR Schon and RH Nautsch</v>
      </c>
      <c r="I394"/>
      <c r="J394"/>
      <c r="K394"/>
      <c r="L394"/>
    </row>
    <row r="395" spans="1:12" ht="14.4">
      <c r="A395" s="4">
        <v>414</v>
      </c>
      <c r="B395" s="4">
        <v>139</v>
      </c>
      <c r="C395" s="4" t="s">
        <v>160</v>
      </c>
      <c r="E395" s="4"/>
      <c r="F395" s="4"/>
      <c r="G395" s="5" t="str">
        <f t="shared" ref="G395" si="98">IF(D395="",C395,CONCATENATE(E395,F395," ",C395))</f>
        <v>KF and ME Stonestreet</v>
      </c>
      <c r="I395"/>
      <c r="J395"/>
      <c r="K395"/>
      <c r="L395"/>
    </row>
    <row r="396" spans="1:12" ht="14.4">
      <c r="A396" s="4">
        <v>415</v>
      </c>
      <c r="B396" s="4">
        <v>116</v>
      </c>
      <c r="C396" s="4" t="s">
        <v>154</v>
      </c>
      <c r="D396" s="4"/>
      <c r="E396" s="4"/>
      <c r="F396" s="4"/>
      <c r="G396" s="5" t="str">
        <f t="shared" ref="G396" si="99">IF(D396="",C396,CONCATENATE(E396,F396," ",C396))</f>
        <v>JWJ and KE Van Antwerpen</v>
      </c>
      <c r="I396"/>
      <c r="J396"/>
      <c r="K396"/>
      <c r="L396"/>
    </row>
    <row r="397" spans="1:12" ht="14.4">
      <c r="A397" s="4">
        <v>416</v>
      </c>
      <c r="B397" s="4">
        <v>269</v>
      </c>
      <c r="C397" s="4" t="s">
        <v>675</v>
      </c>
      <c r="D397" s="4"/>
      <c r="E397" s="4"/>
      <c r="F397" s="4"/>
      <c r="G397" s="5" t="str">
        <f t="shared" si="96"/>
        <v>AD and KR Sutton</v>
      </c>
      <c r="I397"/>
      <c r="J397"/>
      <c r="K397"/>
      <c r="L397"/>
    </row>
    <row r="398" spans="1:12" ht="14.4">
      <c r="A398" s="4">
        <v>417</v>
      </c>
      <c r="B398" s="4">
        <v>153</v>
      </c>
      <c r="C398" s="4" t="s">
        <v>444</v>
      </c>
      <c r="D398" s="4" t="s">
        <v>297</v>
      </c>
      <c r="E398" s="4" t="str">
        <f t="shared" ref="E398" si="100">LEFT(D398,1)</f>
        <v>A</v>
      </c>
      <c r="F398" s="4" t="str">
        <f t="shared" ref="F398" si="101">IF(MID(D398,2,1)=" ",MID(D398,3,1),MID(D398,2,1))</f>
        <v/>
      </c>
      <c r="G398" s="5" t="str">
        <f t="shared" si="96"/>
        <v>A Bodenstein</v>
      </c>
      <c r="I398"/>
      <c r="J398"/>
      <c r="K398"/>
      <c r="L398"/>
    </row>
    <row r="399" spans="1:12" ht="14.4">
      <c r="A399" s="4">
        <v>418</v>
      </c>
      <c r="B399" s="4">
        <v>113</v>
      </c>
      <c r="C399" s="4" t="s">
        <v>181</v>
      </c>
      <c r="D399" s="4"/>
      <c r="E399" s="4"/>
      <c r="F399" s="4"/>
      <c r="G399" s="5" t="str">
        <f t="shared" si="96"/>
        <v>NC and S Trevarthen</v>
      </c>
      <c r="I399"/>
      <c r="J399"/>
      <c r="K399"/>
      <c r="L399"/>
    </row>
    <row r="400" spans="1:12" ht="14.4">
      <c r="A400" s="4">
        <v>419</v>
      </c>
      <c r="B400" s="4">
        <v>142</v>
      </c>
      <c r="C400" s="4" t="s">
        <v>192</v>
      </c>
      <c r="D400" s="4"/>
      <c r="E400" s="4"/>
      <c r="F400" s="4"/>
      <c r="G400" s="5" t="str">
        <f t="shared" si="96"/>
        <v>DJ and EA Bosman</v>
      </c>
      <c r="I400"/>
      <c r="J400"/>
      <c r="K400"/>
      <c r="L400"/>
    </row>
    <row r="401" spans="1:12" ht="14.4">
      <c r="A401" s="4">
        <v>420</v>
      </c>
      <c r="B401" s="4">
        <v>163</v>
      </c>
      <c r="C401" s="4" t="s">
        <v>162</v>
      </c>
      <c r="D401" s="4"/>
      <c r="E401" s="4"/>
      <c r="F401" s="4"/>
      <c r="G401" s="5" t="str">
        <f t="shared" si="96"/>
        <v>CS and C Bradley</v>
      </c>
      <c r="I401"/>
      <c r="J401"/>
      <c r="K401"/>
      <c r="L401"/>
    </row>
    <row r="402" spans="1:12" ht="14.4">
      <c r="A402" s="4">
        <v>421</v>
      </c>
      <c r="B402" s="4">
        <v>10</v>
      </c>
      <c r="C402" s="4" t="s">
        <v>180</v>
      </c>
      <c r="D402" s="4"/>
      <c r="E402" s="4"/>
      <c r="F402" s="4"/>
      <c r="G402" s="5" t="str">
        <f t="shared" si="96"/>
        <v>AF and LS Fullard</v>
      </c>
      <c r="I402"/>
      <c r="J402"/>
      <c r="K402"/>
      <c r="L402"/>
    </row>
    <row r="403" spans="1:12" ht="14.4">
      <c r="A403" s="4">
        <v>422</v>
      </c>
      <c r="B403" s="4">
        <v>370</v>
      </c>
      <c r="C403" s="4" t="s">
        <v>165</v>
      </c>
      <c r="D403" s="4"/>
      <c r="E403" s="4"/>
      <c r="F403" s="4" t="str">
        <f t="shared" ref="F403" si="102">IF(MID(D403,2,1)=" ",MID(D403,3,1),MID(D403,2,1))</f>
        <v/>
      </c>
      <c r="G403" s="5" t="str">
        <f t="shared" si="96"/>
        <v>M and EJ Gouws</v>
      </c>
      <c r="I403"/>
      <c r="J403"/>
      <c r="K403"/>
      <c r="L403"/>
    </row>
    <row r="404" spans="1:12" ht="14.4">
      <c r="A404" s="4">
        <v>423</v>
      </c>
      <c r="B404" s="4">
        <v>104</v>
      </c>
      <c r="C404" s="4" t="s">
        <v>189</v>
      </c>
      <c r="D404" s="4"/>
      <c r="E404" s="4"/>
      <c r="F404" s="4"/>
      <c r="G404" s="5" t="str">
        <f t="shared" si="96"/>
        <v>AB &amp; KE Koorts</v>
      </c>
      <c r="I404"/>
      <c r="J404"/>
      <c r="K404"/>
      <c r="L404"/>
    </row>
    <row r="405" spans="1:12" ht="14.4">
      <c r="A405" s="4">
        <v>424</v>
      </c>
      <c r="B405" s="4">
        <v>395</v>
      </c>
      <c r="C405" s="4" t="s">
        <v>184</v>
      </c>
      <c r="D405" s="4"/>
      <c r="E405" s="4"/>
      <c r="F405" s="4" t="str">
        <f t="shared" ref="F405" si="103">IF(MID(D405,2,1)=" ",MID(D405,3,1),MID(D405,2,1))</f>
        <v/>
      </c>
      <c r="G405" s="5" t="str">
        <f t="shared" si="96"/>
        <v>F and CJ Louw</v>
      </c>
      <c r="I405"/>
      <c r="J405"/>
      <c r="K405"/>
      <c r="L405"/>
    </row>
    <row r="406" spans="1:12" ht="14.4">
      <c r="A406" s="4">
        <v>425</v>
      </c>
      <c r="B406" s="4">
        <v>363</v>
      </c>
      <c r="C406" s="4" t="s">
        <v>167</v>
      </c>
      <c r="D406" s="4"/>
      <c r="E406" s="4"/>
      <c r="F406" s="4"/>
      <c r="G406" s="5" t="str">
        <f t="shared" si="96"/>
        <v>RC and ZA Mack</v>
      </c>
      <c r="I406"/>
      <c r="J406"/>
      <c r="K406"/>
      <c r="L406"/>
    </row>
    <row r="407" spans="1:12" ht="14.4">
      <c r="A407" s="4">
        <v>426</v>
      </c>
      <c r="B407" s="4">
        <v>94</v>
      </c>
      <c r="C407" s="4" t="s">
        <v>185</v>
      </c>
      <c r="D407" s="4"/>
      <c r="E407" s="4"/>
      <c r="F407" s="4"/>
      <c r="G407" s="5" t="str">
        <f t="shared" si="96"/>
        <v>WH and MH Marks</v>
      </c>
      <c r="I407"/>
      <c r="J407"/>
      <c r="K407"/>
      <c r="L407"/>
    </row>
    <row r="408" spans="1:12" ht="14.4">
      <c r="A408" s="4">
        <v>427</v>
      </c>
      <c r="B408" s="4">
        <v>372</v>
      </c>
      <c r="C408" s="4" t="s">
        <v>169</v>
      </c>
      <c r="D408" s="4"/>
      <c r="E408" s="4"/>
      <c r="F408" s="4"/>
      <c r="G408" s="5" t="str">
        <f t="shared" si="96"/>
        <v>JW en LJ Nel</v>
      </c>
      <c r="I408"/>
      <c r="J408"/>
      <c r="K408"/>
      <c r="L408"/>
    </row>
    <row r="409" spans="1:12" ht="14.4">
      <c r="A409" s="4">
        <v>428</v>
      </c>
      <c r="B409" s="4">
        <v>410</v>
      </c>
      <c r="C409" s="4" t="s">
        <v>188</v>
      </c>
      <c r="D409" s="4"/>
      <c r="E409" s="4"/>
      <c r="F409" s="4"/>
      <c r="G409" s="5" t="str">
        <f t="shared" si="96"/>
        <v>RH Nautsch and HR Schon</v>
      </c>
      <c r="I409"/>
      <c r="J409"/>
      <c r="K409"/>
      <c r="L409"/>
    </row>
    <row r="410" spans="1:12" ht="14.4">
      <c r="A410" s="4">
        <v>429</v>
      </c>
      <c r="B410" s="4">
        <v>137</v>
      </c>
      <c r="C410" t="s">
        <v>213</v>
      </c>
      <c r="E410" s="4"/>
      <c r="F410" s="4"/>
      <c r="G410" s="5" t="str">
        <f t="shared" si="96"/>
        <v>KR and MG Sinclair</v>
      </c>
      <c r="I410"/>
      <c r="J410"/>
      <c r="K410"/>
      <c r="L410"/>
    </row>
    <row r="411" spans="1:12" ht="14.4">
      <c r="A411" s="4">
        <v>430</v>
      </c>
      <c r="B411" s="4">
        <v>390</v>
      </c>
      <c r="C411" s="4" t="s">
        <v>166</v>
      </c>
      <c r="D411" s="4"/>
      <c r="E411" s="4"/>
      <c r="F411" s="4"/>
      <c r="G411" s="5" t="str">
        <f t="shared" si="96"/>
        <v>HPJ and Z Pretorius</v>
      </c>
      <c r="I411"/>
      <c r="J411"/>
      <c r="K411"/>
      <c r="L411"/>
    </row>
    <row r="412" spans="1:12" ht="14.4">
      <c r="A412" s="4">
        <v>431</v>
      </c>
      <c r="B412" s="4">
        <v>107</v>
      </c>
      <c r="C412" s="4" t="s">
        <v>186</v>
      </c>
      <c r="D412" s="4"/>
      <c r="E412" s="4"/>
      <c r="F412" s="4"/>
      <c r="G412" s="5" t="str">
        <f t="shared" si="96"/>
        <v>SJ and CM Schneider</v>
      </c>
      <c r="I412"/>
      <c r="J412"/>
      <c r="K412"/>
      <c r="L412"/>
    </row>
    <row r="413" spans="1:12" ht="14.4">
      <c r="A413" s="4">
        <v>432</v>
      </c>
      <c r="B413" s="4">
        <v>283</v>
      </c>
      <c r="C413" s="4" t="s">
        <v>171</v>
      </c>
      <c r="D413" s="4"/>
      <c r="E413" s="4"/>
      <c r="F413" s="4"/>
      <c r="G413" s="5" t="str">
        <f t="shared" si="96"/>
        <v>DE and O Van der Westhuizen</v>
      </c>
      <c r="I413"/>
      <c r="J413"/>
      <c r="K413"/>
      <c r="L413"/>
    </row>
    <row r="414" spans="1:12" ht="14.4">
      <c r="A414" s="4">
        <v>433</v>
      </c>
      <c r="B414" s="4">
        <v>480</v>
      </c>
      <c r="C414" s="4" t="s">
        <v>172</v>
      </c>
      <c r="D414" s="4"/>
      <c r="E414" s="4"/>
      <c r="F414" s="4" t="str">
        <f t="shared" ref="F414" si="104">IF(MID(D414,2,1)=" ",MID(D414,3,1),MID(D414,2,1))</f>
        <v/>
      </c>
      <c r="G414" s="5" t="str">
        <f t="shared" si="96"/>
        <v>J and A Van Eeden</v>
      </c>
      <c r="I414"/>
      <c r="J414"/>
      <c r="K414"/>
      <c r="L414"/>
    </row>
    <row r="415" spans="1:12" ht="14.4">
      <c r="A415" s="4">
        <v>434</v>
      </c>
      <c r="B415" s="4">
        <v>82</v>
      </c>
      <c r="C415" s="4" t="s">
        <v>170</v>
      </c>
      <c r="D415" s="4"/>
      <c r="E415" s="4"/>
      <c r="F415" s="4"/>
      <c r="G415" s="5" t="str">
        <f t="shared" si="96"/>
        <v>TJ and MC Visser</v>
      </c>
      <c r="I415"/>
      <c r="J415"/>
      <c r="K415"/>
      <c r="L415"/>
    </row>
    <row r="416" spans="1:12" ht="14.4">
      <c r="A416" s="4">
        <v>437</v>
      </c>
      <c r="B416" s="4">
        <v>159</v>
      </c>
      <c r="C416" s="4" t="s">
        <v>676</v>
      </c>
      <c r="D416" s="4" t="s">
        <v>677</v>
      </c>
      <c r="E416" s="4" t="str">
        <f t="shared" ref="E416:E417" si="105">LEFT(D416,1)</f>
        <v>E</v>
      </c>
      <c r="F416" s="4" t="str">
        <f t="shared" ref="F416:F417" si="106">IF(MID(D416,2,1)=" ",MID(D416,3,1),MID(D416,2,1))</f>
        <v>H</v>
      </c>
      <c r="G416" s="5" t="str">
        <f t="shared" si="96"/>
        <v>EH Bonnet</v>
      </c>
      <c r="I416"/>
      <c r="J416"/>
      <c r="K416"/>
      <c r="L416"/>
    </row>
    <row r="417" spans="1:12" ht="14.4">
      <c r="A417" s="4">
        <v>438</v>
      </c>
      <c r="B417" s="4">
        <v>160</v>
      </c>
      <c r="C417" s="4" t="s">
        <v>678</v>
      </c>
      <c r="D417" s="4" t="s">
        <v>228</v>
      </c>
      <c r="E417" s="4" t="str">
        <f t="shared" si="105"/>
        <v/>
      </c>
      <c r="F417" s="4" t="str">
        <f t="shared" si="106"/>
        <v/>
      </c>
      <c r="G417" s="5" t="str">
        <f t="shared" si="96"/>
        <v>Anmar Trust</v>
      </c>
      <c r="I417"/>
      <c r="J417"/>
      <c r="K417"/>
      <c r="L417"/>
    </row>
    <row r="418" spans="1:12" ht="14.4">
      <c r="A418" s="4">
        <v>439</v>
      </c>
      <c r="B418" s="4">
        <v>166</v>
      </c>
      <c r="C418" s="4" t="s">
        <v>214</v>
      </c>
      <c r="D418" s="4"/>
      <c r="E418" s="4"/>
      <c r="F418" s="4"/>
      <c r="G418" s="5" t="str">
        <f t="shared" ref="G418:G423" si="107">IF(D418="",C418,CONCATENATE(E418,F418," ",C418))</f>
        <v>DR Mays</v>
      </c>
      <c r="I418"/>
      <c r="J418"/>
      <c r="K418"/>
      <c r="L418"/>
    </row>
    <row r="419" spans="1:12" ht="14.4">
      <c r="A419" s="4">
        <v>440</v>
      </c>
      <c r="B419" s="4">
        <v>169</v>
      </c>
      <c r="C419" s="4" t="s">
        <v>679</v>
      </c>
      <c r="D419" s="4" t="s">
        <v>228</v>
      </c>
      <c r="E419" s="4" t="str">
        <f t="shared" ref="E419:E422" si="108">LEFT(D419,1)</f>
        <v/>
      </c>
      <c r="F419" s="4" t="str">
        <f t="shared" ref="F419:F422" si="109">IF(MID(D419,2,1)=" ",MID(D419,3,1),MID(D419,2,1))</f>
        <v/>
      </c>
      <c r="G419" s="5" t="str">
        <f t="shared" si="107"/>
        <v>Seventh-day Adventist Church NC of SA</v>
      </c>
      <c r="I419"/>
      <c r="J419"/>
      <c r="K419"/>
      <c r="L419"/>
    </row>
    <row r="420" spans="1:12" ht="14.4">
      <c r="A420" s="4">
        <v>444</v>
      </c>
      <c r="B420" s="4">
        <v>174</v>
      </c>
      <c r="C420" s="4" t="s">
        <v>467</v>
      </c>
      <c r="D420" s="4" t="s">
        <v>256</v>
      </c>
      <c r="E420" s="4" t="str">
        <f t="shared" si="108"/>
        <v>D</v>
      </c>
      <c r="F420" s="4" t="str">
        <f t="shared" si="109"/>
        <v>J</v>
      </c>
      <c r="G420" s="5" t="str">
        <f t="shared" si="107"/>
        <v>DJ Koorts</v>
      </c>
      <c r="I420"/>
      <c r="J420"/>
      <c r="K420"/>
      <c r="L420"/>
    </row>
    <row r="421" spans="1:12" ht="14.4">
      <c r="A421" s="4">
        <v>445</v>
      </c>
      <c r="B421" s="4">
        <v>176</v>
      </c>
      <c r="C421" s="4" t="s">
        <v>680</v>
      </c>
      <c r="D421" s="4" t="s">
        <v>466</v>
      </c>
      <c r="E421" s="4" t="str">
        <f t="shared" si="108"/>
        <v>A</v>
      </c>
      <c r="F421" s="4" t="str">
        <f t="shared" si="109"/>
        <v>B</v>
      </c>
      <c r="G421" s="5" t="str">
        <f t="shared" si="107"/>
        <v>AB Koorts (Jnr)</v>
      </c>
      <c r="I421"/>
      <c r="J421"/>
      <c r="K421"/>
      <c r="L421"/>
    </row>
    <row r="422" spans="1:12" ht="14.4">
      <c r="A422" s="4">
        <v>447</v>
      </c>
      <c r="B422" s="4">
        <v>178</v>
      </c>
      <c r="C422" s="4" t="s">
        <v>681</v>
      </c>
      <c r="D422" s="4" t="s">
        <v>544</v>
      </c>
      <c r="E422" s="4" t="str">
        <f t="shared" si="108"/>
        <v>C</v>
      </c>
      <c r="F422" s="4" t="str">
        <f t="shared" si="109"/>
        <v>M</v>
      </c>
      <c r="G422" s="5" t="str">
        <f t="shared" ref="G422" si="110">IF(D422="",C422,CONCATENATE(E422,F422," ",C422))</f>
        <v>CM Sparrow</v>
      </c>
      <c r="I422"/>
      <c r="J422"/>
      <c r="K422"/>
      <c r="L422"/>
    </row>
    <row r="423" spans="1:12" ht="14.4">
      <c r="A423" s="4">
        <v>448</v>
      </c>
      <c r="B423" s="4">
        <v>186</v>
      </c>
      <c r="C423" s="4" t="s">
        <v>681</v>
      </c>
      <c r="D423" s="4" t="s">
        <v>682</v>
      </c>
      <c r="E423" s="4" t="str">
        <f t="shared" ref="E423" si="111">LEFT(D423,1)</f>
        <v>N</v>
      </c>
      <c r="F423" s="4" t="str">
        <f t="shared" ref="F423" si="112">IF(MID(D423,2,1)=" ",MID(D423,3,1),MID(D423,2,1))</f>
        <v>J</v>
      </c>
      <c r="G423" s="5" t="str">
        <f t="shared" si="107"/>
        <v>NJ Sparrow</v>
      </c>
      <c r="I423"/>
      <c r="J423"/>
      <c r="K423"/>
      <c r="L423"/>
    </row>
    <row r="424" spans="1:12" ht="14.4">
      <c r="A424" s="4">
        <v>449</v>
      </c>
      <c r="B424" s="4">
        <v>32</v>
      </c>
      <c r="C424" s="4" t="s">
        <v>354</v>
      </c>
      <c r="D424" s="4" t="s">
        <v>595</v>
      </c>
      <c r="E424" s="4" t="str">
        <f t="shared" ref="E424" si="113">LEFT(D424,1)</f>
        <v>S</v>
      </c>
      <c r="F424" s="4" t="str">
        <f t="shared" ref="F424" si="114">IF(MID(D424,2,1)=" ",MID(D424,3,1),MID(D424,2,1))</f>
        <v/>
      </c>
      <c r="G424" s="5" t="str">
        <f t="shared" ref="G424" si="115">IF(D424="",C424,CONCATENATE(E424,F424," ",C424))</f>
        <v>S Render</v>
      </c>
      <c r="I424"/>
      <c r="J424"/>
      <c r="K424"/>
      <c r="L424"/>
    </row>
    <row r="425" spans="1:12" ht="14.4">
      <c r="A425" s="4">
        <v>458</v>
      </c>
      <c r="B425" s="4">
        <v>108</v>
      </c>
      <c r="C425" s="4" t="s">
        <v>867</v>
      </c>
      <c r="D425" s="4" t="s">
        <v>478</v>
      </c>
      <c r="E425" s="4" t="str">
        <f t="shared" ref="E425:E427" si="116">LEFT(D425,1)</f>
        <v>L</v>
      </c>
      <c r="F425" s="4" t="str">
        <f t="shared" ref="F425:F427" si="117">IF(MID(D425,2,1)=" ",MID(D425,3,1),MID(D425,2,1))</f>
        <v/>
      </c>
      <c r="G425" s="5" t="str">
        <f t="shared" ref="G425:G427" si="118">IF(D425="",C425,CONCATENATE(E425,F425," ",C425))</f>
        <v>L Herbert</v>
      </c>
      <c r="I425"/>
      <c r="J425"/>
      <c r="K425"/>
      <c r="L425"/>
    </row>
    <row r="426" spans="1:12" ht="14.4">
      <c r="A426" s="4">
        <v>459</v>
      </c>
      <c r="B426" s="4">
        <v>201</v>
      </c>
      <c r="C426" s="4" t="s">
        <v>337</v>
      </c>
      <c r="D426" s="4" t="s">
        <v>869</v>
      </c>
      <c r="E426" s="4" t="str">
        <f t="shared" si="116"/>
        <v>R</v>
      </c>
      <c r="F426" s="4" t="str">
        <f t="shared" si="117"/>
        <v>S</v>
      </c>
      <c r="G426" s="5" t="str">
        <f t="shared" si="118"/>
        <v>RS Nautsch</v>
      </c>
      <c r="I426"/>
      <c r="J426"/>
      <c r="K426"/>
      <c r="L426"/>
    </row>
    <row r="427" spans="1:12" ht="14.4">
      <c r="A427" s="4">
        <v>460</v>
      </c>
      <c r="B427" s="4">
        <v>142</v>
      </c>
      <c r="C427" s="4" t="s">
        <v>671</v>
      </c>
      <c r="D427" s="4" t="s">
        <v>511</v>
      </c>
      <c r="E427" s="4" t="str">
        <f t="shared" si="116"/>
        <v>E</v>
      </c>
      <c r="F427" s="4" t="str">
        <f t="shared" si="117"/>
        <v>A</v>
      </c>
      <c r="G427" s="5" t="str">
        <f t="shared" si="118"/>
        <v>EA Bosman</v>
      </c>
      <c r="I427"/>
      <c r="J427"/>
      <c r="K427"/>
      <c r="L427"/>
    </row>
    <row r="428" spans="1:12" ht="14.4">
      <c r="A428" s="4">
        <v>464</v>
      </c>
      <c r="B428" s="4">
        <v>206</v>
      </c>
      <c r="C428" s="4" t="s">
        <v>879</v>
      </c>
      <c r="D428" s="4" t="s">
        <v>880</v>
      </c>
      <c r="E428" s="4" t="str">
        <f t="shared" ref="E428:E430" si="119">LEFT(D428,1)</f>
        <v>N</v>
      </c>
      <c r="F428" s="4" t="str">
        <f t="shared" ref="F428:F430" si="120">IF(MID(D428,2,1)=" ",MID(D428,3,1),MID(D428,2,1))</f>
        <v>M</v>
      </c>
      <c r="G428" s="5" t="str">
        <f t="shared" ref="G428:G430" si="121">IF(D428="",C428,CONCATENATE(E428,F428," ",C428))</f>
        <v>NM Ndlovu</v>
      </c>
      <c r="I428"/>
      <c r="J428"/>
      <c r="K428"/>
      <c r="L428"/>
    </row>
    <row r="429" spans="1:12" ht="14.4">
      <c r="A429" s="4">
        <v>465</v>
      </c>
      <c r="B429" s="4">
        <v>372</v>
      </c>
      <c r="C429" s="4" t="s">
        <v>492</v>
      </c>
      <c r="D429" s="4" t="s">
        <v>334</v>
      </c>
      <c r="E429" s="4" t="str">
        <f t="shared" si="119"/>
        <v>L</v>
      </c>
      <c r="F429" s="4" t="str">
        <f t="shared" si="120"/>
        <v>J</v>
      </c>
      <c r="G429" s="5" t="str">
        <f t="shared" si="121"/>
        <v>LJ Nel</v>
      </c>
      <c r="I429"/>
      <c r="J429"/>
      <c r="K429"/>
      <c r="L429"/>
    </row>
    <row r="430" spans="1:12" ht="14.4">
      <c r="A430" s="4">
        <v>467</v>
      </c>
      <c r="B430" s="4">
        <v>214</v>
      </c>
      <c r="C430" s="4" t="s">
        <v>881</v>
      </c>
      <c r="D430" s="4" t="s">
        <v>882</v>
      </c>
      <c r="E430" s="4" t="str">
        <f t="shared" si="119"/>
        <v>E</v>
      </c>
      <c r="F430" s="4" t="str">
        <f t="shared" si="120"/>
        <v>W</v>
      </c>
      <c r="G430" s="5" t="str">
        <f t="shared" si="121"/>
        <v>EW Zeiler</v>
      </c>
      <c r="I430"/>
      <c r="J430"/>
      <c r="K430"/>
      <c r="L430"/>
    </row>
    <row r="431" spans="1:12" ht="14.4">
      <c r="A431" s="4">
        <v>468</v>
      </c>
      <c r="B431" s="4">
        <v>215</v>
      </c>
      <c r="C431" s="4" t="s">
        <v>884</v>
      </c>
      <c r="D431" s="4" t="s">
        <v>243</v>
      </c>
      <c r="E431" s="4" t="str">
        <f t="shared" ref="E431" si="122">LEFT(D431,1)</f>
        <v>P</v>
      </c>
      <c r="F431" s="4" t="str">
        <f t="shared" ref="F431" si="123">IF(MID(D431,2,1)=" ",MID(D431,3,1),MID(D431,2,1))</f>
        <v/>
      </c>
      <c r="G431" s="5" t="str">
        <f t="shared" ref="G431:G434" si="124">IF(D431="",C431,CONCATENATE(E431,F431," ",C431))</f>
        <v>P Cilliers</v>
      </c>
      <c r="I431"/>
      <c r="J431"/>
      <c r="K431"/>
      <c r="L431"/>
    </row>
    <row r="432" spans="1:12" ht="14.4">
      <c r="A432" s="4">
        <v>469</v>
      </c>
      <c r="B432" s="4">
        <v>221</v>
      </c>
      <c r="C432" s="4" t="s">
        <v>883</v>
      </c>
      <c r="D432" s="4"/>
      <c r="E432" s="4"/>
      <c r="F432" s="4"/>
      <c r="G432" s="5" t="str">
        <f t="shared" ref="G432:G433" si="125">IF(D432="",C432,CONCATENATE(E432,F432," ",C432))</f>
        <v>Finplan Trust</v>
      </c>
      <c r="I432"/>
      <c r="J432"/>
      <c r="K432"/>
      <c r="L432"/>
    </row>
    <row r="433" spans="1:12" ht="14.4">
      <c r="A433" s="4">
        <v>470</v>
      </c>
      <c r="B433" s="4">
        <v>227</v>
      </c>
      <c r="C433" s="4" t="s">
        <v>890</v>
      </c>
      <c r="D433" s="4" t="s">
        <v>591</v>
      </c>
      <c r="E433" s="4" t="str">
        <f t="shared" ref="E433:E434" si="126">LEFT(D433,1)</f>
        <v>F</v>
      </c>
      <c r="F433" s="4" t="str">
        <f t="shared" ref="F433:F434" si="127">IF(MID(D433,2,1)=" ",MID(D433,3,1),MID(D433,2,1))</f>
        <v>M</v>
      </c>
      <c r="G433" s="5" t="str">
        <f t="shared" si="125"/>
        <v>FM Jali</v>
      </c>
      <c r="I433"/>
      <c r="J433"/>
      <c r="K433"/>
      <c r="L433"/>
    </row>
    <row r="434" spans="1:12" ht="14.4">
      <c r="A434" s="4">
        <v>471</v>
      </c>
      <c r="B434" s="4">
        <v>228</v>
      </c>
      <c r="C434" s="4" t="s">
        <v>891</v>
      </c>
      <c r="D434" s="4" t="s">
        <v>353</v>
      </c>
      <c r="E434" s="4" t="str">
        <f t="shared" si="126"/>
        <v>J</v>
      </c>
      <c r="F434" s="4" t="str">
        <f t="shared" si="127"/>
        <v>J</v>
      </c>
      <c r="G434" s="5" t="str">
        <f t="shared" si="124"/>
        <v>JJ van Zyl</v>
      </c>
      <c r="I434"/>
      <c r="J434"/>
      <c r="K434"/>
      <c r="L434"/>
    </row>
    <row r="435" spans="1:12" ht="14.4">
      <c r="A435" s="4">
        <v>474</v>
      </c>
      <c r="B435" s="4">
        <v>236</v>
      </c>
      <c r="C435" s="4" t="s">
        <v>364</v>
      </c>
      <c r="D435" s="4" t="s">
        <v>312</v>
      </c>
      <c r="E435" s="4" t="str">
        <f t="shared" ref="E435" si="128">LEFT(D435,1)</f>
        <v>J</v>
      </c>
      <c r="F435" s="4" t="str">
        <f t="shared" ref="F435" si="129">IF(MID(D435,2,1)=" ",MID(D435,3,1),MID(D435,2,1))</f>
        <v>M</v>
      </c>
      <c r="G435" s="5" t="str">
        <f t="shared" ref="G435" si="130">IF(D435="",C435,CONCATENATE(E435,F435," ",C435))</f>
        <v>JM Sellors</v>
      </c>
      <c r="I435"/>
      <c r="J435"/>
      <c r="K435"/>
      <c r="L435"/>
    </row>
    <row r="436" spans="1:12" ht="14.4">
      <c r="A436" s="4">
        <v>475</v>
      </c>
      <c r="B436" s="4">
        <v>237</v>
      </c>
      <c r="C436" s="4" t="s">
        <v>897</v>
      </c>
      <c r="D436" s="4" t="s">
        <v>312</v>
      </c>
      <c r="E436" s="4" t="str">
        <f t="shared" ref="E436" si="131">LEFT(D436,1)</f>
        <v>J</v>
      </c>
      <c r="F436" s="4" t="str">
        <f t="shared" ref="F436" si="132">IF(MID(D436,2,1)=" ",MID(D436,3,1),MID(D436,2,1))</f>
        <v>M</v>
      </c>
      <c r="G436" s="5" t="str">
        <f t="shared" ref="G436" si="133">IF(D436="",C436,CONCATENATE(E436,F436," ",C436))</f>
        <v>JM Sandler</v>
      </c>
      <c r="I436"/>
      <c r="J436"/>
      <c r="K436"/>
      <c r="L436"/>
    </row>
    <row r="437" spans="1:12" ht="14.4">
      <c r="A437" s="4">
        <v>477</v>
      </c>
      <c r="B437" s="4">
        <v>244</v>
      </c>
      <c r="C437" s="4" t="s">
        <v>907</v>
      </c>
      <c r="D437" s="4" t="s">
        <v>908</v>
      </c>
      <c r="E437" s="4" t="str">
        <f t="shared" ref="E437:E442" si="134">LEFT(D437,1)</f>
        <v>F</v>
      </c>
      <c r="F437" s="4" t="str">
        <f t="shared" ref="F437:F442" si="135">IF(MID(D437,2,1)=" ",MID(D437,3,1),MID(D437,2,1))</f>
        <v>N</v>
      </c>
      <c r="G437" s="5" t="str">
        <f t="shared" ref="G437:G442" si="136">IF(D437="",C437,CONCATENATE(E437,F437," ",C437))</f>
        <v>FN Walz</v>
      </c>
      <c r="I437"/>
      <c r="J437"/>
      <c r="K437"/>
      <c r="L437"/>
    </row>
    <row r="438" spans="1:12" ht="14.4">
      <c r="A438" s="4">
        <v>481</v>
      </c>
      <c r="B438" s="4">
        <v>252</v>
      </c>
      <c r="C438" s="4" t="s">
        <v>273</v>
      </c>
      <c r="D438" s="4" t="s">
        <v>918</v>
      </c>
      <c r="E438" s="4" t="str">
        <f t="shared" ref="E438" si="137">LEFT(D438,1)</f>
        <v>G</v>
      </c>
      <c r="F438" s="4" t="str">
        <f t="shared" ref="F438" si="138">IF(MID(D438,2,1)=" ",MID(D438,3,1),MID(D438,2,1))</f>
        <v>F</v>
      </c>
      <c r="G438" s="5" t="str">
        <f t="shared" ref="G438" si="139">IF(D438="",C438,CONCATENATE(E438,F438," ",C438))</f>
        <v>GF Jacobs</v>
      </c>
      <c r="I438"/>
      <c r="J438"/>
      <c r="K438"/>
      <c r="L438"/>
    </row>
    <row r="439" spans="1:12" ht="14.4">
      <c r="A439" s="4">
        <v>483</v>
      </c>
      <c r="B439" s="4">
        <v>71</v>
      </c>
      <c r="C439" s="4" t="s">
        <v>910</v>
      </c>
      <c r="D439" s="4"/>
      <c r="E439" s="4" t="str">
        <f t="shared" si="134"/>
        <v/>
      </c>
      <c r="F439" s="4" t="str">
        <f t="shared" si="135"/>
        <v/>
      </c>
      <c r="G439" s="5" t="str">
        <f t="shared" si="136"/>
        <v>HJ and PN Zarnack</v>
      </c>
      <c r="I439"/>
      <c r="J439"/>
      <c r="K439"/>
      <c r="L439"/>
    </row>
    <row r="440" spans="1:12" ht="14.4">
      <c r="A440" s="4">
        <v>485</v>
      </c>
      <c r="B440" s="4">
        <v>254</v>
      </c>
      <c r="C440" s="4" t="s">
        <v>549</v>
      </c>
      <c r="D440" s="4" t="s">
        <v>297</v>
      </c>
      <c r="E440" s="4" t="str">
        <f t="shared" si="134"/>
        <v>A</v>
      </c>
      <c r="F440" s="4" t="str">
        <f t="shared" si="135"/>
        <v/>
      </c>
      <c r="G440" s="5" t="str">
        <f t="shared" si="136"/>
        <v>A Van Eeden</v>
      </c>
      <c r="I440"/>
      <c r="J440"/>
      <c r="K440"/>
      <c r="L440"/>
    </row>
    <row r="441" spans="1:12" ht="14.4">
      <c r="A441" s="4">
        <v>486</v>
      </c>
      <c r="B441" s="4">
        <v>255</v>
      </c>
      <c r="C441" s="4" t="s">
        <v>446</v>
      </c>
      <c r="D441" s="4" t="s">
        <v>610</v>
      </c>
      <c r="E441" s="4" t="str">
        <f t="shared" ref="E441" si="140">LEFT(D441,1)</f>
        <v>T</v>
      </c>
      <c r="F441" s="4" t="str">
        <f t="shared" ref="F441" si="141">IF(MID(D441,2,1)=" ",MID(D441,3,1),MID(D441,2,1))</f>
        <v/>
      </c>
      <c r="G441" s="5" t="str">
        <f t="shared" ref="G441" si="142">IF(D441="",C441,CONCATENATE(E441,F441," ",C441))</f>
        <v>T van Tonder</v>
      </c>
      <c r="I441"/>
      <c r="J441"/>
      <c r="K441"/>
      <c r="L441"/>
    </row>
    <row r="442" spans="1:12" ht="14.4">
      <c r="A442" s="4">
        <v>487</v>
      </c>
      <c r="B442" s="4">
        <v>252</v>
      </c>
      <c r="C442" s="4" t="s">
        <v>919</v>
      </c>
      <c r="D442" s="4"/>
      <c r="E442" s="4" t="str">
        <f t="shared" si="134"/>
        <v/>
      </c>
      <c r="F442" s="4" t="str">
        <f t="shared" si="135"/>
        <v/>
      </c>
      <c r="G442" s="5" t="str">
        <f t="shared" si="136"/>
        <v>GF and SY Jacobs</v>
      </c>
      <c r="I442"/>
      <c r="J442"/>
      <c r="K442"/>
      <c r="L442"/>
    </row>
    <row r="443" spans="1:12" ht="13.95" customHeight="1">
      <c r="A443" s="5">
        <v>500</v>
      </c>
      <c r="B443" s="5">
        <v>235</v>
      </c>
      <c r="C443" s="5" t="s">
        <v>464</v>
      </c>
      <c r="D443" s="5" t="s">
        <v>533</v>
      </c>
      <c r="E443" s="4" t="str">
        <f t="shared" si="36"/>
        <v>J</v>
      </c>
      <c r="F443" s="4" t="str">
        <f t="shared" si="37"/>
        <v>W</v>
      </c>
      <c r="G443" s="5" t="str">
        <f t="shared" si="38"/>
        <v>JW van der Merwe</v>
      </c>
      <c r="I443"/>
      <c r="J443"/>
      <c r="K443"/>
      <c r="L44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M2"/>
  <sheetViews>
    <sheetView workbookViewId="0">
      <selection activeCell="G3" sqref="G3"/>
    </sheetView>
  </sheetViews>
  <sheetFormatPr defaultColWidth="8.88671875" defaultRowHeight="14.4"/>
  <cols>
    <col min="1" max="1" width="17.6640625" bestFit="1" customWidth="1"/>
    <col min="2" max="2" width="16" customWidth="1"/>
    <col min="3" max="3" width="8.5546875" bestFit="1" customWidth="1"/>
    <col min="4" max="4" width="28.6640625" bestFit="1" customWidth="1"/>
    <col min="5" max="5" width="30.44140625" bestFit="1" customWidth="1"/>
    <col min="6" max="6" width="11.5546875" style="1" bestFit="1" customWidth="1"/>
    <col min="7" max="7" width="10.109375" bestFit="1" customWidth="1"/>
    <col min="8" max="10" width="25.88671875" bestFit="1" customWidth="1"/>
  </cols>
  <sheetData>
    <row r="1" spans="1:13" ht="28.8">
      <c r="A1" t="s">
        <v>72</v>
      </c>
      <c r="B1" t="s">
        <v>73</v>
      </c>
      <c r="C1" t="s">
        <v>74</v>
      </c>
      <c r="D1" t="s">
        <v>75</v>
      </c>
      <c r="E1" t="s">
        <v>4</v>
      </c>
      <c r="F1" s="1" t="s">
        <v>76</v>
      </c>
      <c r="G1" t="s">
        <v>33</v>
      </c>
      <c r="H1" t="s">
        <v>3</v>
      </c>
      <c r="I1" t="s">
        <v>7</v>
      </c>
      <c r="J1" t="s">
        <v>8</v>
      </c>
      <c r="K1" s="6" t="s">
        <v>9</v>
      </c>
    </row>
    <row r="2" spans="1:13">
      <c r="A2" t="s">
        <v>80</v>
      </c>
      <c r="B2" t="s">
        <v>80</v>
      </c>
      <c r="C2">
        <v>315</v>
      </c>
      <c r="D2" t="s">
        <v>81</v>
      </c>
      <c r="E2" t="s">
        <v>11</v>
      </c>
      <c r="F2" s="22">
        <v>49639.25</v>
      </c>
      <c r="G2" s="7">
        <v>44734</v>
      </c>
      <c r="H2" s="1" t="s">
        <v>77</v>
      </c>
      <c r="I2" s="1" t="s">
        <v>77</v>
      </c>
      <c r="J2" s="1" t="str">
        <f t="shared" ref="J2" si="0">IF(I2="Retirement Income Option","Compulsory, LA","Compulsory, RA")</f>
        <v>Compulsory, RA</v>
      </c>
      <c r="K2" s="7" t="s">
        <v>78</v>
      </c>
      <c r="M2" s="9"/>
    </row>
  </sheetData>
  <sortState xmlns:xlrd2="http://schemas.microsoft.com/office/spreadsheetml/2017/richdata2" ref="A2:K3">
    <sortCondition ref="B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68"/>
  <sheetViews>
    <sheetView topLeftCell="A49" workbookViewId="0">
      <selection activeCell="E68" sqref="E68"/>
    </sheetView>
  </sheetViews>
  <sheetFormatPr defaultRowHeight="14.4"/>
  <cols>
    <col min="1" max="1" width="9.88671875" bestFit="1" customWidth="1"/>
    <col min="2" max="2" width="9" bestFit="1" customWidth="1"/>
    <col min="3" max="3" width="7.5546875" bestFit="1" customWidth="1"/>
    <col min="4" max="4" width="23" bestFit="1" customWidth="1"/>
    <col min="5" max="5" width="27" bestFit="1" customWidth="1"/>
    <col min="6" max="6" width="11.5546875" bestFit="1" customWidth="1"/>
    <col min="7" max="7" width="10.109375" bestFit="1" customWidth="1"/>
    <col min="8" max="8" width="12" style="1" bestFit="1" customWidth="1"/>
    <col min="9" max="9" width="13.6640625" bestFit="1" customWidth="1"/>
    <col min="10" max="10" width="12.5546875" bestFit="1" customWidth="1"/>
    <col min="11" max="11" width="13.44140625" bestFit="1" customWidth="1"/>
  </cols>
  <sheetData>
    <row r="1" spans="1:11">
      <c r="A1" t="s">
        <v>95</v>
      </c>
      <c r="B1" t="s">
        <v>96</v>
      </c>
      <c r="C1" t="s">
        <v>2</v>
      </c>
      <c r="D1" t="s">
        <v>97</v>
      </c>
      <c r="E1" t="s">
        <v>4</v>
      </c>
      <c r="F1" t="s">
        <v>98</v>
      </c>
      <c r="G1" t="s">
        <v>33</v>
      </c>
      <c r="H1" t="s">
        <v>3</v>
      </c>
      <c r="I1" t="s">
        <v>7</v>
      </c>
      <c r="J1" t="s">
        <v>8</v>
      </c>
      <c r="K1" t="s">
        <v>9</v>
      </c>
    </row>
    <row r="2" spans="1:11">
      <c r="A2">
        <v>12169</v>
      </c>
      <c r="B2">
        <v>12169</v>
      </c>
      <c r="C2">
        <v>24</v>
      </c>
      <c r="D2" t="s">
        <v>99</v>
      </c>
      <c r="E2" t="s">
        <v>100</v>
      </c>
      <c r="F2">
        <v>3376.72</v>
      </c>
      <c r="G2" s="7">
        <v>43830</v>
      </c>
      <c r="I2" s="9" t="s">
        <v>12</v>
      </c>
      <c r="J2" t="s">
        <v>13</v>
      </c>
      <c r="K2" t="s">
        <v>101</v>
      </c>
    </row>
    <row r="3" spans="1:11">
      <c r="A3">
        <v>12170</v>
      </c>
      <c r="B3">
        <v>12170</v>
      </c>
      <c r="C3">
        <v>153</v>
      </c>
      <c r="D3" t="s">
        <v>102</v>
      </c>
      <c r="E3" t="s">
        <v>100</v>
      </c>
      <c r="F3">
        <v>327972.49</v>
      </c>
      <c r="G3" s="7">
        <v>43830</v>
      </c>
      <c r="I3" s="9" t="s">
        <v>12</v>
      </c>
      <c r="J3" t="s">
        <v>13</v>
      </c>
      <c r="K3" t="s">
        <v>101</v>
      </c>
    </row>
    <row r="4" spans="1:11">
      <c r="A4">
        <v>12174</v>
      </c>
      <c r="B4">
        <v>12174</v>
      </c>
      <c r="C4">
        <v>209</v>
      </c>
      <c r="D4" t="s">
        <v>71</v>
      </c>
      <c r="E4" t="s">
        <v>100</v>
      </c>
      <c r="F4">
        <v>260776.75</v>
      </c>
      <c r="G4" s="7">
        <v>43830</v>
      </c>
      <c r="I4" s="9" t="s">
        <v>12</v>
      </c>
      <c r="J4" t="s">
        <v>13</v>
      </c>
      <c r="K4" t="s">
        <v>101</v>
      </c>
    </row>
    <row r="5" spans="1:11">
      <c r="A5">
        <v>12176</v>
      </c>
      <c r="B5">
        <v>12176</v>
      </c>
      <c r="C5">
        <v>99</v>
      </c>
      <c r="D5" t="s">
        <v>103</v>
      </c>
      <c r="E5" t="s">
        <v>100</v>
      </c>
      <c r="F5">
        <v>270599.67</v>
      </c>
      <c r="G5" s="7">
        <v>43830</v>
      </c>
      <c r="I5" s="9" t="s">
        <v>12</v>
      </c>
      <c r="J5" t="s">
        <v>13</v>
      </c>
      <c r="K5" t="s">
        <v>101</v>
      </c>
    </row>
    <row r="6" spans="1:11">
      <c r="A6">
        <v>12177</v>
      </c>
      <c r="B6">
        <v>12177</v>
      </c>
      <c r="C6">
        <v>393</v>
      </c>
      <c r="D6" t="s">
        <v>19</v>
      </c>
      <c r="E6" t="s">
        <v>100</v>
      </c>
      <c r="F6">
        <v>10236.279999999999</v>
      </c>
      <c r="G6" s="7">
        <v>43830</v>
      </c>
      <c r="I6" s="9" t="s">
        <v>12</v>
      </c>
      <c r="J6" t="s">
        <v>13</v>
      </c>
      <c r="K6" t="s">
        <v>101</v>
      </c>
    </row>
    <row r="7" spans="1:11">
      <c r="A7">
        <v>12178</v>
      </c>
      <c r="B7">
        <v>12178</v>
      </c>
      <c r="C7">
        <v>394</v>
      </c>
      <c r="D7" t="s">
        <v>20</v>
      </c>
      <c r="E7" t="s">
        <v>100</v>
      </c>
      <c r="F7">
        <v>13067.14</v>
      </c>
      <c r="G7" s="7">
        <v>43830</v>
      </c>
      <c r="I7" s="9" t="s">
        <v>12</v>
      </c>
      <c r="J7" t="s">
        <v>13</v>
      </c>
      <c r="K7" t="s">
        <v>101</v>
      </c>
    </row>
    <row r="8" spans="1:11">
      <c r="A8">
        <v>12179</v>
      </c>
      <c r="B8">
        <v>12179</v>
      </c>
      <c r="C8">
        <v>390</v>
      </c>
      <c r="D8" t="s">
        <v>104</v>
      </c>
      <c r="E8" t="s">
        <v>100</v>
      </c>
      <c r="F8">
        <v>285733.99</v>
      </c>
      <c r="G8" s="7">
        <v>43830</v>
      </c>
      <c r="I8" s="9" t="s">
        <v>12</v>
      </c>
      <c r="J8" t="s">
        <v>13</v>
      </c>
      <c r="K8" t="s">
        <v>101</v>
      </c>
    </row>
    <row r="9" spans="1:11">
      <c r="A9">
        <v>12183</v>
      </c>
      <c r="B9">
        <v>12183</v>
      </c>
      <c r="C9">
        <v>17</v>
      </c>
      <c r="D9" t="s">
        <v>105</v>
      </c>
      <c r="E9" t="s">
        <v>100</v>
      </c>
      <c r="F9">
        <v>175200.98</v>
      </c>
      <c r="G9" s="7">
        <v>43830</v>
      </c>
      <c r="I9" s="9" t="s">
        <v>12</v>
      </c>
      <c r="J9" t="s">
        <v>13</v>
      </c>
      <c r="K9" t="s">
        <v>101</v>
      </c>
    </row>
    <row r="10" spans="1:11">
      <c r="A10">
        <v>12184</v>
      </c>
      <c r="B10">
        <v>12184</v>
      </c>
      <c r="C10">
        <v>240</v>
      </c>
      <c r="D10" t="s">
        <v>106</v>
      </c>
      <c r="E10" t="s">
        <v>100</v>
      </c>
      <c r="F10">
        <v>148972.23000000001</v>
      </c>
      <c r="G10" s="7">
        <v>43830</v>
      </c>
      <c r="I10" s="9" t="s">
        <v>12</v>
      </c>
      <c r="J10" t="s">
        <v>13</v>
      </c>
      <c r="K10" t="s">
        <v>101</v>
      </c>
    </row>
    <row r="11" spans="1:11">
      <c r="A11">
        <v>12185</v>
      </c>
      <c r="B11">
        <v>12185</v>
      </c>
      <c r="C11">
        <v>28</v>
      </c>
      <c r="D11" t="s">
        <v>57</v>
      </c>
      <c r="E11" t="s">
        <v>100</v>
      </c>
      <c r="F11">
        <v>1397607.49</v>
      </c>
      <c r="G11" s="7">
        <v>43830</v>
      </c>
      <c r="I11" s="9" t="s">
        <v>12</v>
      </c>
      <c r="J11" t="s">
        <v>13</v>
      </c>
      <c r="K11" t="s">
        <v>101</v>
      </c>
    </row>
    <row r="12" spans="1:11">
      <c r="A12">
        <v>12186</v>
      </c>
      <c r="B12">
        <v>12186</v>
      </c>
      <c r="C12">
        <v>26</v>
      </c>
      <c r="D12" t="s">
        <v>107</v>
      </c>
      <c r="E12" t="s">
        <v>100</v>
      </c>
      <c r="F12">
        <v>369705.94999999995</v>
      </c>
      <c r="G12" s="7">
        <v>43830</v>
      </c>
      <c r="I12" s="9" t="s">
        <v>12</v>
      </c>
      <c r="J12" t="s">
        <v>13</v>
      </c>
      <c r="K12" t="s">
        <v>101</v>
      </c>
    </row>
    <row r="13" spans="1:11">
      <c r="A13">
        <v>12189</v>
      </c>
      <c r="B13">
        <v>12189</v>
      </c>
      <c r="C13">
        <v>285</v>
      </c>
      <c r="D13" t="s">
        <v>108</v>
      </c>
      <c r="E13" t="s">
        <v>100</v>
      </c>
      <c r="F13">
        <v>37606.229999999996</v>
      </c>
      <c r="G13" s="7">
        <v>43830</v>
      </c>
      <c r="I13" s="9" t="s">
        <v>12</v>
      </c>
      <c r="J13" t="s">
        <v>13</v>
      </c>
      <c r="K13" t="s">
        <v>101</v>
      </c>
    </row>
    <row r="14" spans="1:11">
      <c r="A14">
        <v>12190</v>
      </c>
      <c r="B14">
        <v>12190</v>
      </c>
      <c r="C14">
        <v>33</v>
      </c>
      <c r="D14" t="s">
        <v>109</v>
      </c>
      <c r="E14" t="s">
        <v>100</v>
      </c>
      <c r="F14">
        <v>53119.48</v>
      </c>
      <c r="G14" s="7">
        <v>43830</v>
      </c>
      <c r="I14" s="9" t="s">
        <v>12</v>
      </c>
      <c r="J14" t="s">
        <v>13</v>
      </c>
      <c r="K14" t="s">
        <v>101</v>
      </c>
    </row>
    <row r="15" spans="1:11">
      <c r="A15">
        <v>12192</v>
      </c>
      <c r="B15">
        <v>12192</v>
      </c>
      <c r="C15">
        <v>21</v>
      </c>
      <c r="D15" t="s">
        <v>42</v>
      </c>
      <c r="E15" t="s">
        <v>100</v>
      </c>
      <c r="F15">
        <v>672067.95</v>
      </c>
      <c r="G15" s="7">
        <v>43830</v>
      </c>
      <c r="I15" s="9" t="s">
        <v>12</v>
      </c>
      <c r="J15" t="s">
        <v>13</v>
      </c>
      <c r="K15" t="s">
        <v>101</v>
      </c>
    </row>
    <row r="16" spans="1:11">
      <c r="A16">
        <v>12195</v>
      </c>
      <c r="B16">
        <v>12195</v>
      </c>
      <c r="C16">
        <v>51</v>
      </c>
      <c r="D16" t="s">
        <v>110</v>
      </c>
      <c r="E16" t="s">
        <v>100</v>
      </c>
      <c r="F16">
        <v>138668.74</v>
      </c>
      <c r="G16" s="7">
        <v>43830</v>
      </c>
      <c r="I16" s="9" t="s">
        <v>12</v>
      </c>
      <c r="J16" t="s">
        <v>13</v>
      </c>
      <c r="K16" t="s">
        <v>101</v>
      </c>
    </row>
    <row r="17" spans="1:11">
      <c r="A17">
        <v>12196</v>
      </c>
      <c r="B17">
        <v>12196</v>
      </c>
      <c r="C17">
        <v>156</v>
      </c>
      <c r="D17" t="s">
        <v>111</v>
      </c>
      <c r="E17" t="s">
        <v>100</v>
      </c>
      <c r="F17">
        <v>58833.86</v>
      </c>
      <c r="G17" s="7">
        <v>43830</v>
      </c>
      <c r="I17" s="9" t="s">
        <v>12</v>
      </c>
      <c r="J17" t="s">
        <v>13</v>
      </c>
      <c r="K17" t="s">
        <v>101</v>
      </c>
    </row>
    <row r="18" spans="1:11">
      <c r="A18">
        <v>12198</v>
      </c>
      <c r="B18">
        <v>12198</v>
      </c>
      <c r="C18">
        <v>213</v>
      </c>
      <c r="D18" t="s">
        <v>112</v>
      </c>
      <c r="E18" t="s">
        <v>100</v>
      </c>
      <c r="F18">
        <v>109284.85</v>
      </c>
      <c r="G18" s="7">
        <v>43830</v>
      </c>
      <c r="I18" s="9" t="s">
        <v>12</v>
      </c>
      <c r="J18" t="s">
        <v>13</v>
      </c>
      <c r="K18" t="s">
        <v>101</v>
      </c>
    </row>
    <row r="19" spans="1:11">
      <c r="A19">
        <v>12199</v>
      </c>
      <c r="B19">
        <v>12199</v>
      </c>
      <c r="C19">
        <v>67</v>
      </c>
      <c r="D19" t="s">
        <v>83</v>
      </c>
      <c r="E19" t="s">
        <v>100</v>
      </c>
      <c r="F19">
        <v>863402.61</v>
      </c>
      <c r="G19" s="7">
        <v>43830</v>
      </c>
      <c r="I19" s="9" t="s">
        <v>12</v>
      </c>
      <c r="J19" t="s">
        <v>13</v>
      </c>
      <c r="K19" t="s">
        <v>101</v>
      </c>
    </row>
    <row r="20" spans="1:11">
      <c r="A20">
        <v>12204</v>
      </c>
      <c r="B20">
        <v>12204</v>
      </c>
      <c r="C20">
        <v>54</v>
      </c>
      <c r="D20" t="s">
        <v>113</v>
      </c>
      <c r="E20" t="s">
        <v>100</v>
      </c>
      <c r="F20">
        <v>132821.42000000001</v>
      </c>
      <c r="G20" s="7">
        <v>43830</v>
      </c>
      <c r="I20" s="9" t="s">
        <v>12</v>
      </c>
      <c r="J20" t="s">
        <v>13</v>
      </c>
      <c r="K20" t="s">
        <v>101</v>
      </c>
    </row>
    <row r="21" spans="1:11">
      <c r="A21">
        <v>12206</v>
      </c>
      <c r="B21">
        <v>12206</v>
      </c>
      <c r="C21">
        <v>169</v>
      </c>
      <c r="D21" t="s">
        <v>114</v>
      </c>
      <c r="E21" t="s">
        <v>100</v>
      </c>
      <c r="F21">
        <v>394096.17</v>
      </c>
      <c r="G21" s="7">
        <v>43830</v>
      </c>
      <c r="I21" s="9" t="s">
        <v>12</v>
      </c>
      <c r="J21" t="s">
        <v>13</v>
      </c>
      <c r="K21" t="s">
        <v>101</v>
      </c>
    </row>
    <row r="22" spans="1:11">
      <c r="A22">
        <v>12209</v>
      </c>
      <c r="B22">
        <v>12209</v>
      </c>
      <c r="C22">
        <v>268</v>
      </c>
      <c r="D22" t="s">
        <v>115</v>
      </c>
      <c r="E22" t="s">
        <v>100</v>
      </c>
      <c r="F22">
        <v>579002.78999999992</v>
      </c>
      <c r="G22" s="7">
        <v>43830</v>
      </c>
      <c r="I22" s="9" t="s">
        <v>12</v>
      </c>
      <c r="J22" t="s">
        <v>13</v>
      </c>
      <c r="K22" t="s">
        <v>101</v>
      </c>
    </row>
    <row r="23" spans="1:11">
      <c r="A23">
        <v>12212</v>
      </c>
      <c r="B23">
        <v>12212</v>
      </c>
      <c r="C23">
        <v>191</v>
      </c>
      <c r="D23" t="s">
        <v>116</v>
      </c>
      <c r="E23" t="s">
        <v>100</v>
      </c>
      <c r="F23">
        <v>1074217.2999999998</v>
      </c>
      <c r="G23" s="7">
        <v>43830</v>
      </c>
      <c r="I23" s="9" t="s">
        <v>12</v>
      </c>
      <c r="J23" t="s">
        <v>13</v>
      </c>
      <c r="K23" t="s">
        <v>101</v>
      </c>
    </row>
    <row r="24" spans="1:11">
      <c r="A24">
        <v>12215</v>
      </c>
      <c r="B24">
        <v>12215</v>
      </c>
      <c r="C24">
        <v>25</v>
      </c>
      <c r="D24" t="s">
        <v>117</v>
      </c>
      <c r="E24" t="s">
        <v>100</v>
      </c>
      <c r="F24">
        <v>525461.28999999992</v>
      </c>
      <c r="G24" s="7">
        <v>43830</v>
      </c>
      <c r="I24" s="9" t="s">
        <v>12</v>
      </c>
      <c r="J24" t="s">
        <v>13</v>
      </c>
      <c r="K24" t="s">
        <v>101</v>
      </c>
    </row>
    <row r="25" spans="1:11">
      <c r="A25">
        <v>12225</v>
      </c>
      <c r="B25">
        <v>12225</v>
      </c>
      <c r="C25">
        <v>1</v>
      </c>
      <c r="D25" t="s">
        <v>118</v>
      </c>
      <c r="E25" t="s">
        <v>100</v>
      </c>
      <c r="F25">
        <v>381911.55</v>
      </c>
      <c r="G25" s="7">
        <v>43830</v>
      </c>
      <c r="I25" s="9" t="s">
        <v>12</v>
      </c>
      <c r="J25" t="s">
        <v>13</v>
      </c>
      <c r="K25" t="s">
        <v>101</v>
      </c>
    </row>
    <row r="26" spans="1:11">
      <c r="A26">
        <v>12227</v>
      </c>
      <c r="B26">
        <v>12227</v>
      </c>
      <c r="C26">
        <v>115</v>
      </c>
      <c r="D26" t="s">
        <v>119</v>
      </c>
      <c r="E26" t="s">
        <v>100</v>
      </c>
      <c r="F26">
        <v>264771.13</v>
      </c>
      <c r="G26" s="7">
        <v>43830</v>
      </c>
      <c r="I26" s="9" t="s">
        <v>12</v>
      </c>
      <c r="J26" t="s">
        <v>13</v>
      </c>
      <c r="K26" t="s">
        <v>101</v>
      </c>
    </row>
    <row r="27" spans="1:11">
      <c r="A27">
        <v>12228</v>
      </c>
      <c r="B27">
        <v>12228</v>
      </c>
      <c r="C27">
        <v>97</v>
      </c>
      <c r="D27" t="s">
        <v>120</v>
      </c>
      <c r="E27" t="s">
        <v>100</v>
      </c>
      <c r="F27">
        <v>217812.99</v>
      </c>
      <c r="G27" s="7">
        <v>43830</v>
      </c>
      <c r="I27" s="9" t="s">
        <v>12</v>
      </c>
      <c r="J27" t="s">
        <v>13</v>
      </c>
      <c r="K27" t="s">
        <v>101</v>
      </c>
    </row>
    <row r="28" spans="1:11">
      <c r="A28">
        <v>12229</v>
      </c>
      <c r="B28">
        <v>12229</v>
      </c>
      <c r="C28">
        <v>165</v>
      </c>
      <c r="D28" t="s">
        <v>29</v>
      </c>
      <c r="E28" t="s">
        <v>100</v>
      </c>
      <c r="F28">
        <v>2882877.4499999997</v>
      </c>
      <c r="G28" s="7">
        <v>43830</v>
      </c>
      <c r="I28" s="9" t="s">
        <v>12</v>
      </c>
      <c r="J28" t="s">
        <v>13</v>
      </c>
      <c r="K28" t="s">
        <v>101</v>
      </c>
    </row>
    <row r="29" spans="1:11">
      <c r="A29">
        <v>12231</v>
      </c>
      <c r="B29">
        <v>12231</v>
      </c>
      <c r="C29">
        <v>77</v>
      </c>
      <c r="D29" t="s">
        <v>121</v>
      </c>
      <c r="E29" t="s">
        <v>100</v>
      </c>
      <c r="F29">
        <v>550472.41</v>
      </c>
      <c r="G29" s="7">
        <v>43830</v>
      </c>
      <c r="I29" s="9" t="s">
        <v>12</v>
      </c>
      <c r="J29" t="s">
        <v>13</v>
      </c>
      <c r="K29" t="s">
        <v>101</v>
      </c>
    </row>
    <row r="30" spans="1:11">
      <c r="A30">
        <v>12233</v>
      </c>
      <c r="B30">
        <v>12233</v>
      </c>
      <c r="C30">
        <v>117</v>
      </c>
      <c r="D30" t="s">
        <v>48</v>
      </c>
      <c r="E30" t="s">
        <v>100</v>
      </c>
      <c r="F30">
        <v>195991.98</v>
      </c>
      <c r="G30" s="7">
        <v>43830</v>
      </c>
      <c r="I30" s="9" t="s">
        <v>12</v>
      </c>
      <c r="J30" t="s">
        <v>13</v>
      </c>
      <c r="K30" t="s">
        <v>101</v>
      </c>
    </row>
    <row r="31" spans="1:11">
      <c r="A31">
        <v>12234</v>
      </c>
      <c r="B31">
        <v>12234</v>
      </c>
      <c r="C31">
        <v>50</v>
      </c>
      <c r="D31" t="s">
        <v>68</v>
      </c>
      <c r="E31" t="s">
        <v>100</v>
      </c>
      <c r="F31">
        <v>82974.259999999995</v>
      </c>
      <c r="G31" s="7">
        <v>43830</v>
      </c>
      <c r="I31" s="9" t="s">
        <v>12</v>
      </c>
      <c r="J31" t="s">
        <v>13</v>
      </c>
      <c r="K31" t="s">
        <v>101</v>
      </c>
    </row>
    <row r="32" spans="1:11">
      <c r="A32">
        <v>12238</v>
      </c>
      <c r="B32">
        <v>12238</v>
      </c>
      <c r="C32">
        <v>237</v>
      </c>
      <c r="D32" t="s">
        <v>122</v>
      </c>
      <c r="E32" t="s">
        <v>100</v>
      </c>
      <c r="F32">
        <v>183294.78</v>
      </c>
      <c r="G32" s="7">
        <v>43830</v>
      </c>
      <c r="I32" s="9" t="s">
        <v>12</v>
      </c>
      <c r="J32" t="s">
        <v>13</v>
      </c>
      <c r="K32" t="s">
        <v>101</v>
      </c>
    </row>
    <row r="33" spans="1:11">
      <c r="A33">
        <v>12242</v>
      </c>
      <c r="B33">
        <v>12242</v>
      </c>
      <c r="C33">
        <v>57</v>
      </c>
      <c r="D33" t="s">
        <v>51</v>
      </c>
      <c r="E33" t="s">
        <v>100</v>
      </c>
      <c r="F33">
        <v>124333.95</v>
      </c>
      <c r="G33" s="7">
        <v>43830</v>
      </c>
      <c r="I33" s="9" t="s">
        <v>12</v>
      </c>
      <c r="J33" t="s">
        <v>13</v>
      </c>
      <c r="K33" t="s">
        <v>101</v>
      </c>
    </row>
    <row r="34" spans="1:11">
      <c r="A34">
        <v>12246</v>
      </c>
      <c r="B34">
        <v>12246</v>
      </c>
      <c r="C34">
        <v>84</v>
      </c>
      <c r="D34" t="s">
        <v>62</v>
      </c>
      <c r="E34" t="s">
        <v>100</v>
      </c>
      <c r="F34">
        <v>435168.77999999997</v>
      </c>
      <c r="G34" s="7">
        <v>43830</v>
      </c>
      <c r="I34" s="9" t="s">
        <v>12</v>
      </c>
      <c r="J34" t="s">
        <v>13</v>
      </c>
      <c r="K34" t="s">
        <v>101</v>
      </c>
    </row>
    <row r="35" spans="1:11">
      <c r="A35">
        <v>12249</v>
      </c>
      <c r="B35">
        <v>12249</v>
      </c>
      <c r="C35">
        <v>92</v>
      </c>
      <c r="D35" t="s">
        <v>123</v>
      </c>
      <c r="E35" t="s">
        <v>100</v>
      </c>
      <c r="F35">
        <v>1430456.19</v>
      </c>
      <c r="G35" s="7">
        <v>43830</v>
      </c>
      <c r="I35" s="9" t="s">
        <v>12</v>
      </c>
      <c r="J35" t="s">
        <v>13</v>
      </c>
      <c r="K35" t="s">
        <v>101</v>
      </c>
    </row>
    <row r="36" spans="1:11">
      <c r="A36">
        <v>12251</v>
      </c>
      <c r="B36">
        <v>12251</v>
      </c>
      <c r="C36">
        <v>44</v>
      </c>
      <c r="D36" t="s">
        <v>124</v>
      </c>
      <c r="E36" t="s">
        <v>100</v>
      </c>
      <c r="F36">
        <v>124391.95</v>
      </c>
      <c r="G36" s="7">
        <v>43830</v>
      </c>
      <c r="I36" s="9" t="s">
        <v>12</v>
      </c>
      <c r="J36" t="s">
        <v>13</v>
      </c>
      <c r="K36" t="s">
        <v>101</v>
      </c>
    </row>
    <row r="37" spans="1:11">
      <c r="A37">
        <v>12254</v>
      </c>
      <c r="B37">
        <v>12254</v>
      </c>
      <c r="C37">
        <v>96</v>
      </c>
      <c r="D37" t="s">
        <v>125</v>
      </c>
      <c r="E37" t="s">
        <v>100</v>
      </c>
      <c r="F37">
        <v>706075.52</v>
      </c>
      <c r="G37" s="7">
        <v>43830</v>
      </c>
      <c r="I37" s="9" t="s">
        <v>12</v>
      </c>
      <c r="J37" t="s">
        <v>13</v>
      </c>
      <c r="K37" t="s">
        <v>101</v>
      </c>
    </row>
    <row r="38" spans="1:11">
      <c r="A38">
        <v>12256</v>
      </c>
      <c r="B38">
        <v>12256</v>
      </c>
      <c r="C38">
        <v>329</v>
      </c>
      <c r="D38" t="s">
        <v>126</v>
      </c>
      <c r="E38" t="s">
        <v>100</v>
      </c>
      <c r="F38">
        <v>232748.66</v>
      </c>
      <c r="G38" s="7">
        <v>43830</v>
      </c>
      <c r="I38" s="9" t="s">
        <v>12</v>
      </c>
      <c r="J38" t="s">
        <v>13</v>
      </c>
      <c r="K38" t="s">
        <v>101</v>
      </c>
    </row>
    <row r="39" spans="1:11">
      <c r="A39">
        <v>12258</v>
      </c>
      <c r="B39">
        <v>12258</v>
      </c>
      <c r="C39">
        <v>88</v>
      </c>
      <c r="D39" t="s">
        <v>127</v>
      </c>
      <c r="E39" t="s">
        <v>100</v>
      </c>
      <c r="F39">
        <v>122136.95999999999</v>
      </c>
      <c r="G39" s="7">
        <v>43830</v>
      </c>
      <c r="I39" s="9" t="s">
        <v>12</v>
      </c>
      <c r="J39" t="s">
        <v>13</v>
      </c>
      <c r="K39" t="s">
        <v>101</v>
      </c>
    </row>
    <row r="40" spans="1:11">
      <c r="A40">
        <v>12262</v>
      </c>
      <c r="B40">
        <v>12262</v>
      </c>
      <c r="C40">
        <v>252</v>
      </c>
      <c r="D40" t="s">
        <v>18</v>
      </c>
      <c r="E40" t="s">
        <v>100</v>
      </c>
      <c r="F40">
        <v>128948.51</v>
      </c>
      <c r="G40" s="7">
        <v>43830</v>
      </c>
      <c r="I40" s="9" t="s">
        <v>12</v>
      </c>
      <c r="J40" t="s">
        <v>13</v>
      </c>
      <c r="K40" t="s">
        <v>101</v>
      </c>
    </row>
    <row r="41" spans="1:11">
      <c r="A41">
        <v>12265</v>
      </c>
      <c r="B41">
        <v>12265</v>
      </c>
      <c r="C41">
        <v>45</v>
      </c>
      <c r="D41" t="s">
        <v>128</v>
      </c>
      <c r="E41" t="s">
        <v>100</v>
      </c>
      <c r="F41">
        <v>103403.1</v>
      </c>
      <c r="G41" s="7">
        <v>43830</v>
      </c>
      <c r="I41" s="9" t="s">
        <v>12</v>
      </c>
      <c r="J41" t="s">
        <v>13</v>
      </c>
      <c r="K41" t="s">
        <v>101</v>
      </c>
    </row>
    <row r="42" spans="1:11">
      <c r="A42">
        <v>12266</v>
      </c>
      <c r="B42">
        <v>12266</v>
      </c>
      <c r="C42">
        <v>195</v>
      </c>
      <c r="D42" t="s">
        <v>129</v>
      </c>
      <c r="E42" t="s">
        <v>100</v>
      </c>
      <c r="F42">
        <v>440976.18</v>
      </c>
      <c r="G42" s="7">
        <v>43830</v>
      </c>
      <c r="I42" s="9" t="s">
        <v>12</v>
      </c>
      <c r="J42" t="s">
        <v>13</v>
      </c>
      <c r="K42" t="s">
        <v>101</v>
      </c>
    </row>
    <row r="43" spans="1:11">
      <c r="A43">
        <v>12268</v>
      </c>
      <c r="B43">
        <v>12268</v>
      </c>
      <c r="C43">
        <v>193</v>
      </c>
      <c r="D43" t="s">
        <v>130</v>
      </c>
      <c r="E43" t="s">
        <v>100</v>
      </c>
      <c r="F43">
        <v>540132.94000000006</v>
      </c>
      <c r="G43" s="7">
        <v>43830</v>
      </c>
      <c r="I43" s="9" t="s">
        <v>12</v>
      </c>
      <c r="J43" t="s">
        <v>13</v>
      </c>
      <c r="K43" t="s">
        <v>101</v>
      </c>
    </row>
    <row r="44" spans="1:11">
      <c r="A44">
        <v>12269</v>
      </c>
      <c r="B44">
        <v>12269</v>
      </c>
      <c r="C44">
        <v>293</v>
      </c>
      <c r="D44" t="s">
        <v>131</v>
      </c>
      <c r="E44" t="s">
        <v>100</v>
      </c>
      <c r="F44">
        <v>207759.56</v>
      </c>
      <c r="G44" s="7">
        <v>43830</v>
      </c>
      <c r="I44" s="9" t="s">
        <v>12</v>
      </c>
      <c r="J44" t="s">
        <v>13</v>
      </c>
      <c r="K44" t="s">
        <v>101</v>
      </c>
    </row>
    <row r="45" spans="1:11">
      <c r="A45" s="19">
        <v>12270</v>
      </c>
      <c r="B45" s="19">
        <v>12270</v>
      </c>
      <c r="C45">
        <v>168</v>
      </c>
      <c r="D45" t="s">
        <v>132</v>
      </c>
      <c r="E45" t="s">
        <v>100</v>
      </c>
      <c r="F45">
        <v>153843.25</v>
      </c>
      <c r="G45" s="7">
        <v>43830</v>
      </c>
      <c r="I45" s="9" t="s">
        <v>12</v>
      </c>
      <c r="J45" t="s">
        <v>13</v>
      </c>
      <c r="K45" t="s">
        <v>101</v>
      </c>
    </row>
    <row r="46" spans="1:11">
      <c r="A46">
        <v>12276</v>
      </c>
      <c r="B46">
        <v>12276</v>
      </c>
      <c r="C46">
        <v>158</v>
      </c>
      <c r="D46" t="s">
        <v>133</v>
      </c>
      <c r="E46" t="s">
        <v>100</v>
      </c>
      <c r="F46">
        <v>3814.1600000000003</v>
      </c>
      <c r="G46" s="7">
        <v>43830</v>
      </c>
      <c r="I46" s="9" t="s">
        <v>12</v>
      </c>
      <c r="J46" t="s">
        <v>13</v>
      </c>
      <c r="K46" t="s">
        <v>101</v>
      </c>
    </row>
    <row r="47" spans="1:11">
      <c r="A47">
        <v>12277</v>
      </c>
      <c r="B47">
        <v>12277</v>
      </c>
      <c r="C47">
        <v>294</v>
      </c>
      <c r="D47" t="s">
        <v>134</v>
      </c>
      <c r="E47" t="s">
        <v>100</v>
      </c>
      <c r="F47">
        <v>2059185.0199999998</v>
      </c>
      <c r="G47" s="7">
        <v>43830</v>
      </c>
      <c r="I47" s="9" t="s">
        <v>12</v>
      </c>
      <c r="J47" t="s">
        <v>13</v>
      </c>
      <c r="K47" t="s">
        <v>101</v>
      </c>
    </row>
    <row r="48" spans="1:11">
      <c r="A48">
        <v>12279</v>
      </c>
      <c r="B48">
        <v>12279</v>
      </c>
      <c r="C48">
        <v>180</v>
      </c>
      <c r="D48" t="s">
        <v>135</v>
      </c>
      <c r="E48" t="s">
        <v>100</v>
      </c>
      <c r="F48">
        <v>289070.26</v>
      </c>
      <c r="G48" s="7">
        <v>43830</v>
      </c>
      <c r="I48" s="9" t="s">
        <v>12</v>
      </c>
      <c r="J48" t="s">
        <v>13</v>
      </c>
      <c r="K48" t="s">
        <v>101</v>
      </c>
    </row>
    <row r="49" spans="1:11">
      <c r="A49">
        <v>12282</v>
      </c>
      <c r="B49">
        <v>12282</v>
      </c>
      <c r="C49">
        <v>82</v>
      </c>
      <c r="D49" t="s">
        <v>136</v>
      </c>
      <c r="E49" t="s">
        <v>100</v>
      </c>
      <c r="F49">
        <v>100917.98000000001</v>
      </c>
      <c r="G49" s="7">
        <v>43830</v>
      </c>
      <c r="I49" s="9" t="s">
        <v>12</v>
      </c>
      <c r="J49" t="s">
        <v>13</v>
      </c>
      <c r="K49" t="s">
        <v>101</v>
      </c>
    </row>
    <row r="50" spans="1:11">
      <c r="A50">
        <v>12283</v>
      </c>
      <c r="B50">
        <v>12283</v>
      </c>
      <c r="C50">
        <v>118</v>
      </c>
      <c r="D50" t="s">
        <v>137</v>
      </c>
      <c r="E50" t="s">
        <v>100</v>
      </c>
      <c r="F50">
        <v>138879.65</v>
      </c>
      <c r="G50" s="7">
        <v>43830</v>
      </c>
      <c r="I50" s="9" t="s">
        <v>12</v>
      </c>
      <c r="J50" t="s">
        <v>13</v>
      </c>
      <c r="K50" t="s">
        <v>101</v>
      </c>
    </row>
    <row r="51" spans="1:11">
      <c r="A51">
        <v>12288</v>
      </c>
      <c r="B51">
        <v>12288</v>
      </c>
      <c r="C51">
        <v>300</v>
      </c>
      <c r="D51" t="s">
        <v>82</v>
      </c>
      <c r="E51" t="s">
        <v>100</v>
      </c>
      <c r="F51">
        <v>60338</v>
      </c>
      <c r="G51" s="7">
        <v>43830</v>
      </c>
      <c r="I51" s="9" t="s">
        <v>12</v>
      </c>
      <c r="J51" t="s">
        <v>13</v>
      </c>
      <c r="K51" t="s">
        <v>101</v>
      </c>
    </row>
    <row r="52" spans="1:11">
      <c r="A52">
        <v>12289</v>
      </c>
      <c r="B52">
        <v>12289</v>
      </c>
      <c r="C52">
        <v>47</v>
      </c>
      <c r="D52" t="s">
        <v>10</v>
      </c>
      <c r="E52" t="s">
        <v>100</v>
      </c>
      <c r="F52">
        <v>152679.25</v>
      </c>
      <c r="G52" s="7">
        <v>43830</v>
      </c>
      <c r="I52" s="9" t="s">
        <v>12</v>
      </c>
      <c r="J52" t="s">
        <v>13</v>
      </c>
      <c r="K52" t="s">
        <v>101</v>
      </c>
    </row>
    <row r="53" spans="1:11">
      <c r="A53">
        <v>12290</v>
      </c>
      <c r="B53">
        <v>12290</v>
      </c>
      <c r="C53">
        <v>4</v>
      </c>
      <c r="D53" t="s">
        <v>27</v>
      </c>
      <c r="E53" t="s">
        <v>100</v>
      </c>
      <c r="F53">
        <v>728987.89999999991</v>
      </c>
      <c r="G53" s="7">
        <v>43830</v>
      </c>
      <c r="I53" s="9" t="s">
        <v>12</v>
      </c>
      <c r="J53" t="s">
        <v>13</v>
      </c>
      <c r="K53" t="s">
        <v>101</v>
      </c>
    </row>
    <row r="54" spans="1:11">
      <c r="A54">
        <v>12291</v>
      </c>
      <c r="B54">
        <v>12291</v>
      </c>
      <c r="C54">
        <v>142</v>
      </c>
      <c r="D54" t="s">
        <v>26</v>
      </c>
      <c r="E54" t="s">
        <v>100</v>
      </c>
      <c r="F54">
        <v>2416541.71</v>
      </c>
      <c r="G54" s="7">
        <v>43830</v>
      </c>
      <c r="I54" s="9" t="s">
        <v>12</v>
      </c>
      <c r="J54" t="s">
        <v>13</v>
      </c>
      <c r="K54" t="s">
        <v>101</v>
      </c>
    </row>
    <row r="55" spans="1:11">
      <c r="A55">
        <v>12292</v>
      </c>
      <c r="B55">
        <v>12292</v>
      </c>
      <c r="C55">
        <v>243</v>
      </c>
      <c r="D55" t="s">
        <v>138</v>
      </c>
      <c r="E55" t="s">
        <v>100</v>
      </c>
      <c r="F55">
        <v>144859.65</v>
      </c>
      <c r="G55" s="7">
        <v>43830</v>
      </c>
      <c r="I55" s="9" t="s">
        <v>12</v>
      </c>
      <c r="J55" t="s">
        <v>13</v>
      </c>
      <c r="K55" t="s">
        <v>101</v>
      </c>
    </row>
    <row r="56" spans="1:11">
      <c r="A56">
        <v>12293</v>
      </c>
      <c r="B56">
        <v>12293</v>
      </c>
      <c r="C56">
        <v>167</v>
      </c>
      <c r="D56" t="s">
        <v>139</v>
      </c>
      <c r="E56" t="s">
        <v>100</v>
      </c>
      <c r="F56">
        <v>30116.489999999998</v>
      </c>
      <c r="G56" s="7">
        <v>43830</v>
      </c>
      <c r="I56" s="9" t="s">
        <v>12</v>
      </c>
      <c r="J56" t="s">
        <v>13</v>
      </c>
      <c r="K56" t="s">
        <v>101</v>
      </c>
    </row>
    <row r="57" spans="1:11">
      <c r="A57">
        <v>12296</v>
      </c>
      <c r="B57">
        <v>12296</v>
      </c>
      <c r="C57">
        <v>98</v>
      </c>
      <c r="D57" t="s">
        <v>140</v>
      </c>
      <c r="E57" t="s">
        <v>100</v>
      </c>
      <c r="F57">
        <v>330556.02</v>
      </c>
      <c r="G57" s="7">
        <v>43830</v>
      </c>
      <c r="I57" s="9" t="s">
        <v>12</v>
      </c>
      <c r="J57" t="s">
        <v>13</v>
      </c>
      <c r="K57" t="s">
        <v>101</v>
      </c>
    </row>
    <row r="58" spans="1:11">
      <c r="A58">
        <v>12297</v>
      </c>
      <c r="B58">
        <v>12297</v>
      </c>
      <c r="C58">
        <v>3</v>
      </c>
      <c r="D58" t="s">
        <v>28</v>
      </c>
      <c r="E58" t="s">
        <v>100</v>
      </c>
      <c r="F58">
        <v>1733178.72</v>
      </c>
      <c r="G58" s="7">
        <v>43830</v>
      </c>
      <c r="I58" s="9" t="s">
        <v>12</v>
      </c>
      <c r="J58" t="s">
        <v>13</v>
      </c>
      <c r="K58" t="s">
        <v>101</v>
      </c>
    </row>
    <row r="59" spans="1:11">
      <c r="A59">
        <v>12299</v>
      </c>
      <c r="B59">
        <v>12299</v>
      </c>
      <c r="C59">
        <v>163</v>
      </c>
      <c r="D59" t="s">
        <v>79</v>
      </c>
      <c r="E59" t="s">
        <v>100</v>
      </c>
      <c r="F59">
        <v>886027.11</v>
      </c>
      <c r="G59" s="7">
        <v>43830</v>
      </c>
      <c r="I59" s="9" t="s">
        <v>12</v>
      </c>
      <c r="J59" t="s">
        <v>13</v>
      </c>
      <c r="K59" t="s">
        <v>101</v>
      </c>
    </row>
    <row r="60" spans="1:11">
      <c r="A60">
        <v>12302</v>
      </c>
      <c r="B60">
        <v>12302</v>
      </c>
      <c r="C60">
        <v>114</v>
      </c>
      <c r="D60" t="s">
        <v>141</v>
      </c>
      <c r="E60" t="s">
        <v>100</v>
      </c>
      <c r="F60">
        <v>947104.79</v>
      </c>
      <c r="G60" s="7">
        <v>43830</v>
      </c>
      <c r="I60" s="9" t="s">
        <v>12</v>
      </c>
      <c r="J60" t="s">
        <v>13</v>
      </c>
      <c r="K60" t="s">
        <v>101</v>
      </c>
    </row>
    <row r="61" spans="1:11">
      <c r="A61">
        <v>12305</v>
      </c>
      <c r="B61">
        <v>12305</v>
      </c>
      <c r="C61">
        <v>218</v>
      </c>
      <c r="D61" t="s">
        <v>142</v>
      </c>
      <c r="E61" t="s">
        <v>100</v>
      </c>
      <c r="F61">
        <v>272487.67</v>
      </c>
      <c r="G61" s="7">
        <v>43830</v>
      </c>
      <c r="I61" s="9" t="s">
        <v>12</v>
      </c>
      <c r="J61" t="s">
        <v>13</v>
      </c>
      <c r="K61" t="s">
        <v>101</v>
      </c>
    </row>
    <row r="62" spans="1:11">
      <c r="A62">
        <v>12306</v>
      </c>
      <c r="B62">
        <v>12306</v>
      </c>
      <c r="C62">
        <v>259</v>
      </c>
      <c r="D62" t="s">
        <v>143</v>
      </c>
      <c r="E62" t="s">
        <v>100</v>
      </c>
      <c r="F62">
        <v>13020.650000000001</v>
      </c>
      <c r="G62" s="7">
        <v>43830</v>
      </c>
      <c r="I62" s="9" t="s">
        <v>12</v>
      </c>
      <c r="J62" t="s">
        <v>13</v>
      </c>
      <c r="K62" t="s">
        <v>101</v>
      </c>
    </row>
    <row r="63" spans="1:11">
      <c r="A63">
        <v>12307</v>
      </c>
      <c r="B63">
        <v>12307</v>
      </c>
      <c r="C63">
        <v>79</v>
      </c>
      <c r="D63" t="s">
        <v>144</v>
      </c>
      <c r="E63" t="s">
        <v>100</v>
      </c>
      <c r="F63">
        <v>626808.37</v>
      </c>
      <c r="G63" s="7">
        <v>43830</v>
      </c>
      <c r="I63" s="9" t="s">
        <v>12</v>
      </c>
      <c r="J63" t="s">
        <v>13</v>
      </c>
      <c r="K63" t="s">
        <v>101</v>
      </c>
    </row>
    <row r="64" spans="1:11">
      <c r="A64">
        <v>12308</v>
      </c>
      <c r="B64">
        <v>12308</v>
      </c>
      <c r="C64">
        <v>254</v>
      </c>
      <c r="D64" t="s">
        <v>145</v>
      </c>
      <c r="E64" t="s">
        <v>100</v>
      </c>
      <c r="F64">
        <v>117546.1</v>
      </c>
      <c r="G64" s="7">
        <v>43830</v>
      </c>
      <c r="I64" s="9" t="s">
        <v>12</v>
      </c>
      <c r="J64" t="s">
        <v>13</v>
      </c>
      <c r="K64" t="s">
        <v>101</v>
      </c>
    </row>
    <row r="65" spans="1:11">
      <c r="A65">
        <v>12309</v>
      </c>
      <c r="B65">
        <v>12309</v>
      </c>
      <c r="C65">
        <v>362</v>
      </c>
      <c r="D65" t="s">
        <v>146</v>
      </c>
      <c r="E65" t="s">
        <v>100</v>
      </c>
      <c r="F65">
        <v>138925.32999999999</v>
      </c>
      <c r="G65" s="7">
        <v>43830</v>
      </c>
      <c r="I65" s="9" t="s">
        <v>12</v>
      </c>
      <c r="J65" t="s">
        <v>13</v>
      </c>
      <c r="K65" t="s">
        <v>101</v>
      </c>
    </row>
    <row r="66" spans="1:11">
      <c r="A66">
        <v>12387</v>
      </c>
      <c r="B66">
        <v>12387</v>
      </c>
      <c r="C66">
        <v>178</v>
      </c>
      <c r="D66" t="s">
        <v>147</v>
      </c>
      <c r="E66" t="s">
        <v>100</v>
      </c>
      <c r="F66">
        <v>9234.4</v>
      </c>
      <c r="G66" s="7">
        <v>43830</v>
      </c>
      <c r="I66" s="9" t="s">
        <v>12</v>
      </c>
      <c r="J66" t="s">
        <v>13</v>
      </c>
      <c r="K66" t="s">
        <v>101</v>
      </c>
    </row>
    <row r="67" spans="1:11">
      <c r="A67">
        <v>13131</v>
      </c>
      <c r="B67">
        <v>13131</v>
      </c>
      <c r="C67">
        <v>236</v>
      </c>
      <c r="D67" t="s">
        <v>148</v>
      </c>
      <c r="E67" t="s">
        <v>100</v>
      </c>
      <c r="F67">
        <v>926240.47000000009</v>
      </c>
      <c r="G67" s="7">
        <v>43830</v>
      </c>
      <c r="I67" s="9" t="s">
        <v>12</v>
      </c>
      <c r="J67" t="s">
        <v>13</v>
      </c>
      <c r="K67" t="s">
        <v>101</v>
      </c>
    </row>
    <row r="68" spans="1:11">
      <c r="A68">
        <v>16627</v>
      </c>
      <c r="B68">
        <v>16627</v>
      </c>
      <c r="C68">
        <v>37</v>
      </c>
      <c r="D68" t="s">
        <v>84</v>
      </c>
      <c r="E68" t="s">
        <v>100</v>
      </c>
      <c r="F68">
        <v>777562.78</v>
      </c>
      <c r="G68" s="7">
        <v>43830</v>
      </c>
      <c r="I68" s="9" t="s">
        <v>12</v>
      </c>
      <c r="J68" t="s">
        <v>13</v>
      </c>
      <c r="K68" t="s">
        <v>101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2"/>
  <sheetViews>
    <sheetView workbookViewId="0">
      <selection activeCell="J3" sqref="J3"/>
    </sheetView>
  </sheetViews>
  <sheetFormatPr defaultRowHeight="14.4"/>
  <cols>
    <col min="1" max="1" width="16.88671875" bestFit="1" customWidth="1"/>
    <col min="2" max="2" width="19" bestFit="1" customWidth="1"/>
    <col min="3" max="3" width="4" bestFit="1" customWidth="1"/>
    <col min="4" max="4" width="17.5546875" bestFit="1" customWidth="1"/>
    <col min="5" max="5" width="23.109375" bestFit="1" customWidth="1"/>
    <col min="6" max="6" width="12" bestFit="1" customWidth="1"/>
    <col min="7" max="7" width="9.44140625" bestFit="1" customWidth="1"/>
    <col min="8" max="8" width="28.109375" bestFit="1" customWidth="1"/>
    <col min="9" max="9" width="13.6640625" bestFit="1" customWidth="1"/>
    <col min="10" max="10" width="12.5546875" bestFit="1" customWidth="1"/>
    <col min="11" max="11" width="9" bestFit="1" customWidth="1"/>
  </cols>
  <sheetData>
    <row r="1" spans="1:11" ht="28.8">
      <c r="A1" s="3" t="s">
        <v>85</v>
      </c>
      <c r="B1" s="3" t="s">
        <v>86</v>
      </c>
      <c r="C1" s="3" t="s">
        <v>87</v>
      </c>
      <c r="D1" s="3" t="s">
        <v>88</v>
      </c>
      <c r="E1" s="3" t="s">
        <v>4</v>
      </c>
      <c r="F1" s="3" t="s">
        <v>5</v>
      </c>
      <c r="G1" s="3" t="s">
        <v>33</v>
      </c>
      <c r="H1" t="s">
        <v>3</v>
      </c>
      <c r="I1" t="s">
        <v>7</v>
      </c>
      <c r="J1" t="s">
        <v>8</v>
      </c>
      <c r="K1" s="6" t="s">
        <v>9</v>
      </c>
    </row>
    <row r="2" spans="1:11">
      <c r="A2" s="3">
        <v>1000</v>
      </c>
      <c r="B2" s="3">
        <v>1000</v>
      </c>
      <c r="C2" s="5">
        <v>253</v>
      </c>
      <c r="D2" s="3" t="s">
        <v>683</v>
      </c>
      <c r="E2" t="s">
        <v>684</v>
      </c>
      <c r="F2" s="17">
        <v>560</v>
      </c>
      <c r="G2" s="7">
        <v>42160</v>
      </c>
      <c r="H2" s="3" t="s">
        <v>685</v>
      </c>
      <c r="I2" s="3" t="s">
        <v>685</v>
      </c>
      <c r="J2" s="3" t="s">
        <v>13</v>
      </c>
      <c r="K2" t="s">
        <v>686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K60"/>
  <sheetViews>
    <sheetView workbookViewId="0">
      <selection activeCell="D10" sqref="D10"/>
    </sheetView>
  </sheetViews>
  <sheetFormatPr defaultRowHeight="14.4"/>
  <cols>
    <col min="2" max="2" width="8" bestFit="1" customWidth="1"/>
    <col min="3" max="3" width="8.5546875" bestFit="1" customWidth="1"/>
    <col min="4" max="4" width="26.88671875" bestFit="1" customWidth="1"/>
    <col min="5" max="5" width="16" bestFit="1" customWidth="1"/>
    <col min="6" max="6" width="16.44140625" customWidth="1"/>
    <col min="7" max="7" width="10" bestFit="1" customWidth="1"/>
    <col min="8" max="10" width="16" bestFit="1" customWidth="1"/>
  </cols>
  <sheetData>
    <row r="1" spans="1:11">
      <c r="A1" t="s">
        <v>687</v>
      </c>
      <c r="K1" s="11" t="s">
        <v>9</v>
      </c>
    </row>
    <row r="2" spans="1:11">
      <c r="A2" t="s">
        <v>688</v>
      </c>
      <c r="K2" s="11"/>
    </row>
    <row r="3" spans="1:11">
      <c r="K3" s="11"/>
    </row>
    <row r="4" spans="1:11">
      <c r="A4" s="14"/>
      <c r="B4" s="14"/>
      <c r="C4" s="14"/>
      <c r="D4" s="14"/>
      <c r="E4" s="14"/>
      <c r="F4" s="14"/>
      <c r="G4" s="14"/>
      <c r="K4" s="11"/>
    </row>
    <row r="5" spans="1:11">
      <c r="A5" t="s">
        <v>149</v>
      </c>
      <c r="B5" t="s">
        <v>150</v>
      </c>
      <c r="C5" t="s">
        <v>74</v>
      </c>
      <c r="D5" t="s">
        <v>151</v>
      </c>
      <c r="E5" t="s">
        <v>152</v>
      </c>
      <c r="F5" t="s">
        <v>153</v>
      </c>
      <c r="G5" t="s">
        <v>33</v>
      </c>
      <c r="H5" t="s">
        <v>3</v>
      </c>
      <c r="I5" t="s">
        <v>7</v>
      </c>
      <c r="J5" t="s">
        <v>8</v>
      </c>
      <c r="K5" s="11"/>
    </row>
    <row r="6" spans="1:11">
      <c r="A6" t="s">
        <v>689</v>
      </c>
      <c r="B6" t="s">
        <v>689</v>
      </c>
      <c r="C6">
        <v>301</v>
      </c>
      <c r="D6" t="s">
        <v>690</v>
      </c>
      <c r="E6" t="s">
        <v>691</v>
      </c>
      <c r="F6" s="1" t="s">
        <v>692</v>
      </c>
      <c r="G6" s="7">
        <v>41974</v>
      </c>
      <c r="H6" t="s">
        <v>691</v>
      </c>
      <c r="I6" t="s">
        <v>691</v>
      </c>
      <c r="J6" t="s">
        <v>156</v>
      </c>
      <c r="K6" s="11" t="s">
        <v>693</v>
      </c>
    </row>
    <row r="7" spans="1:11">
      <c r="A7" t="s">
        <v>694</v>
      </c>
      <c r="B7" t="s">
        <v>694</v>
      </c>
      <c r="C7">
        <v>314</v>
      </c>
      <c r="D7" t="s">
        <v>612</v>
      </c>
      <c r="E7" t="str">
        <f>E$6</f>
        <v>Xhilarator Global</v>
      </c>
      <c r="F7" s="1" t="s">
        <v>692</v>
      </c>
      <c r="G7" s="7">
        <v>41974</v>
      </c>
      <c r="H7" t="str">
        <f t="shared" ref="H7:K60" si="0">H$6</f>
        <v>Xhilarator Global</v>
      </c>
      <c r="I7" t="str">
        <f t="shared" si="0"/>
        <v>Xhilarator Global</v>
      </c>
      <c r="J7" t="s">
        <v>156</v>
      </c>
      <c r="K7" s="7" t="str">
        <f>K$6</f>
        <v>Lumiere Fund Services</v>
      </c>
    </row>
    <row r="8" spans="1:11">
      <c r="A8" t="s">
        <v>695</v>
      </c>
      <c r="B8" t="s">
        <v>695</v>
      </c>
      <c r="C8">
        <v>120</v>
      </c>
      <c r="D8" t="s">
        <v>696</v>
      </c>
      <c r="E8" t="str">
        <f t="shared" ref="E8:E60" si="1">E$6</f>
        <v>Xhilarator Global</v>
      </c>
      <c r="F8" s="1" t="s">
        <v>692</v>
      </c>
      <c r="G8" s="7">
        <v>41974</v>
      </c>
      <c r="H8" t="str">
        <f t="shared" si="0"/>
        <v>Xhilarator Global</v>
      </c>
      <c r="I8" t="str">
        <f t="shared" si="0"/>
        <v>Xhilarator Global</v>
      </c>
      <c r="J8" t="s">
        <v>156</v>
      </c>
      <c r="K8" s="7" t="str">
        <f t="shared" si="0"/>
        <v>Lumiere Fund Services</v>
      </c>
    </row>
    <row r="9" spans="1:11">
      <c r="A9" t="s">
        <v>697</v>
      </c>
      <c r="B9" t="s">
        <v>697</v>
      </c>
      <c r="C9">
        <v>126</v>
      </c>
      <c r="D9" t="s">
        <v>698</v>
      </c>
      <c r="E9" t="str">
        <f t="shared" si="1"/>
        <v>Xhilarator Global</v>
      </c>
      <c r="F9" s="1" t="s">
        <v>692</v>
      </c>
      <c r="G9" s="7">
        <v>41974</v>
      </c>
      <c r="H9" t="str">
        <f t="shared" si="0"/>
        <v>Xhilarator Global</v>
      </c>
      <c r="I9" t="str">
        <f t="shared" si="0"/>
        <v>Xhilarator Global</v>
      </c>
      <c r="J9" t="s">
        <v>156</v>
      </c>
      <c r="K9" s="7" t="str">
        <f t="shared" si="0"/>
        <v>Lumiere Fund Services</v>
      </c>
    </row>
    <row r="10" spans="1:11">
      <c r="A10" t="s">
        <v>699</v>
      </c>
      <c r="B10" t="s">
        <v>699</v>
      </c>
      <c r="C10">
        <v>4</v>
      </c>
      <c r="D10" t="s">
        <v>700</v>
      </c>
      <c r="E10" t="str">
        <f t="shared" si="1"/>
        <v>Xhilarator Global</v>
      </c>
      <c r="F10" s="1" t="s">
        <v>692</v>
      </c>
      <c r="G10" s="7">
        <v>41974</v>
      </c>
      <c r="H10" t="str">
        <f t="shared" si="0"/>
        <v>Xhilarator Global</v>
      </c>
      <c r="I10" t="str">
        <f t="shared" si="0"/>
        <v>Xhilarator Global</v>
      </c>
      <c r="J10" t="s">
        <v>156</v>
      </c>
      <c r="K10" s="7" t="str">
        <f t="shared" si="0"/>
        <v>Lumiere Fund Services</v>
      </c>
    </row>
    <row r="11" spans="1:11">
      <c r="A11" t="s">
        <v>701</v>
      </c>
      <c r="B11" t="s">
        <v>701</v>
      </c>
      <c r="C11">
        <v>129</v>
      </c>
      <c r="D11" t="s">
        <v>35</v>
      </c>
      <c r="E11" t="str">
        <f t="shared" si="1"/>
        <v>Xhilarator Global</v>
      </c>
      <c r="F11" s="1" t="s">
        <v>692</v>
      </c>
      <c r="G11" s="7">
        <v>41974</v>
      </c>
      <c r="H11" t="str">
        <f t="shared" si="0"/>
        <v>Xhilarator Global</v>
      </c>
      <c r="I11" t="str">
        <f t="shared" si="0"/>
        <v>Xhilarator Global</v>
      </c>
      <c r="J11" t="s">
        <v>156</v>
      </c>
      <c r="K11" s="7" t="str">
        <f t="shared" si="0"/>
        <v>Lumiere Fund Services</v>
      </c>
    </row>
    <row r="12" spans="1:11">
      <c r="A12" t="s">
        <v>702</v>
      </c>
      <c r="B12" t="s">
        <v>702</v>
      </c>
      <c r="C12">
        <v>302</v>
      </c>
      <c r="D12" t="s">
        <v>703</v>
      </c>
      <c r="E12" t="str">
        <f t="shared" si="1"/>
        <v>Xhilarator Global</v>
      </c>
      <c r="F12" s="1" t="s">
        <v>692</v>
      </c>
      <c r="G12" s="7">
        <v>41974</v>
      </c>
      <c r="H12" t="str">
        <f t="shared" si="0"/>
        <v>Xhilarator Global</v>
      </c>
      <c r="I12" t="str">
        <f t="shared" si="0"/>
        <v>Xhilarator Global</v>
      </c>
      <c r="J12" t="s">
        <v>156</v>
      </c>
      <c r="K12" s="7" t="str">
        <f t="shared" si="0"/>
        <v>Lumiere Fund Services</v>
      </c>
    </row>
    <row r="13" spans="1:11">
      <c r="A13" t="s">
        <v>704</v>
      </c>
      <c r="B13" t="s">
        <v>704</v>
      </c>
      <c r="C13">
        <v>6</v>
      </c>
      <c r="D13" t="s">
        <v>17</v>
      </c>
      <c r="E13" t="str">
        <f t="shared" si="1"/>
        <v>Xhilarator Global</v>
      </c>
      <c r="F13" s="1" t="s">
        <v>692</v>
      </c>
      <c r="G13" s="7">
        <v>41974</v>
      </c>
      <c r="H13" t="str">
        <f t="shared" si="0"/>
        <v>Xhilarator Global</v>
      </c>
      <c r="I13" t="str">
        <f t="shared" si="0"/>
        <v>Xhilarator Global</v>
      </c>
      <c r="J13" t="s">
        <v>156</v>
      </c>
      <c r="K13" s="7" t="str">
        <f t="shared" si="0"/>
        <v>Lumiere Fund Services</v>
      </c>
    </row>
    <row r="14" spans="1:11">
      <c r="A14" t="s">
        <v>705</v>
      </c>
      <c r="B14" t="s">
        <v>705</v>
      </c>
      <c r="C14">
        <v>135</v>
      </c>
      <c r="D14" t="s">
        <v>706</v>
      </c>
      <c r="E14" t="str">
        <f t="shared" si="1"/>
        <v>Xhilarator Global</v>
      </c>
      <c r="F14" s="1" t="s">
        <v>692</v>
      </c>
      <c r="G14" s="7">
        <v>41974</v>
      </c>
      <c r="H14" t="str">
        <f t="shared" si="0"/>
        <v>Xhilarator Global</v>
      </c>
      <c r="I14" t="str">
        <f t="shared" si="0"/>
        <v>Xhilarator Global</v>
      </c>
      <c r="J14" t="s">
        <v>156</v>
      </c>
      <c r="K14" s="7" t="str">
        <f t="shared" si="0"/>
        <v>Lumiere Fund Services</v>
      </c>
    </row>
    <row r="15" spans="1:11">
      <c r="A15" t="s">
        <v>707</v>
      </c>
      <c r="B15" t="s">
        <v>707</v>
      </c>
      <c r="C15">
        <v>303</v>
      </c>
      <c r="D15" t="s">
        <v>182</v>
      </c>
      <c r="E15" t="str">
        <f t="shared" si="1"/>
        <v>Xhilarator Global</v>
      </c>
      <c r="F15" s="1" t="s">
        <v>692</v>
      </c>
      <c r="G15" s="7">
        <v>41974</v>
      </c>
      <c r="H15" t="str">
        <f t="shared" si="0"/>
        <v>Xhilarator Global</v>
      </c>
      <c r="I15" t="str">
        <f t="shared" si="0"/>
        <v>Xhilarator Global</v>
      </c>
      <c r="J15" t="s">
        <v>156</v>
      </c>
      <c r="K15" s="7" t="str">
        <f t="shared" si="0"/>
        <v>Lumiere Fund Services</v>
      </c>
    </row>
    <row r="16" spans="1:11">
      <c r="A16" t="s">
        <v>708</v>
      </c>
      <c r="B16" t="s">
        <v>708</v>
      </c>
      <c r="C16">
        <v>167</v>
      </c>
      <c r="D16" t="s">
        <v>139</v>
      </c>
      <c r="E16" t="str">
        <f t="shared" si="1"/>
        <v>Xhilarator Global</v>
      </c>
      <c r="F16" s="1" t="s">
        <v>692</v>
      </c>
      <c r="G16" s="7">
        <v>41974</v>
      </c>
      <c r="H16" t="str">
        <f t="shared" si="0"/>
        <v>Xhilarator Global</v>
      </c>
      <c r="I16" t="str">
        <f t="shared" si="0"/>
        <v>Xhilarator Global</v>
      </c>
      <c r="J16" t="s">
        <v>156</v>
      </c>
      <c r="K16" s="7" t="str">
        <f t="shared" si="0"/>
        <v>Lumiere Fund Services</v>
      </c>
    </row>
    <row r="17" spans="1:11">
      <c r="A17" t="s">
        <v>709</v>
      </c>
      <c r="B17" t="s">
        <v>709</v>
      </c>
      <c r="C17">
        <v>335</v>
      </c>
      <c r="D17" t="s">
        <v>710</v>
      </c>
      <c r="E17" t="str">
        <f t="shared" si="1"/>
        <v>Xhilarator Global</v>
      </c>
      <c r="F17" s="1" t="s">
        <v>692</v>
      </c>
      <c r="G17" s="7">
        <v>41974</v>
      </c>
      <c r="H17" t="str">
        <f t="shared" si="0"/>
        <v>Xhilarator Global</v>
      </c>
      <c r="I17" t="str">
        <f t="shared" si="0"/>
        <v>Xhilarator Global</v>
      </c>
      <c r="J17" t="s">
        <v>156</v>
      </c>
      <c r="K17" s="7" t="str">
        <f t="shared" si="0"/>
        <v>Lumiere Fund Services</v>
      </c>
    </row>
    <row r="18" spans="1:11">
      <c r="A18" t="s">
        <v>711</v>
      </c>
      <c r="B18" t="s">
        <v>711</v>
      </c>
      <c r="C18">
        <v>167</v>
      </c>
      <c r="D18" t="s">
        <v>139</v>
      </c>
      <c r="E18" t="str">
        <f t="shared" si="1"/>
        <v>Xhilarator Global</v>
      </c>
      <c r="F18" s="1" t="s">
        <v>692</v>
      </c>
      <c r="G18" s="7">
        <v>41974</v>
      </c>
      <c r="H18" t="str">
        <f t="shared" si="0"/>
        <v>Xhilarator Global</v>
      </c>
      <c r="I18" t="str">
        <f t="shared" si="0"/>
        <v>Xhilarator Global</v>
      </c>
      <c r="J18" t="s">
        <v>156</v>
      </c>
      <c r="K18" s="7" t="str">
        <f t="shared" si="0"/>
        <v>Lumiere Fund Services</v>
      </c>
    </row>
    <row r="19" spans="1:11">
      <c r="A19" t="s">
        <v>712</v>
      </c>
      <c r="B19" t="s">
        <v>712</v>
      </c>
      <c r="C19">
        <v>13</v>
      </c>
      <c r="D19" t="s">
        <v>65</v>
      </c>
      <c r="E19" t="str">
        <f t="shared" si="1"/>
        <v>Xhilarator Global</v>
      </c>
      <c r="F19" s="1" t="s">
        <v>692</v>
      </c>
      <c r="G19" s="7">
        <v>41974</v>
      </c>
      <c r="H19" t="str">
        <f t="shared" si="0"/>
        <v>Xhilarator Global</v>
      </c>
      <c r="I19" t="str">
        <f t="shared" si="0"/>
        <v>Xhilarator Global</v>
      </c>
      <c r="J19" t="s">
        <v>156</v>
      </c>
      <c r="K19" s="7" t="str">
        <f t="shared" si="0"/>
        <v>Lumiere Fund Services</v>
      </c>
    </row>
    <row r="20" spans="1:11">
      <c r="A20" t="s">
        <v>713</v>
      </c>
      <c r="B20" t="s">
        <v>713</v>
      </c>
      <c r="C20">
        <v>17</v>
      </c>
      <c r="D20" t="s">
        <v>105</v>
      </c>
      <c r="E20" t="str">
        <f t="shared" si="1"/>
        <v>Xhilarator Global</v>
      </c>
      <c r="F20" s="1" t="s">
        <v>692</v>
      </c>
      <c r="G20" s="7">
        <v>41974</v>
      </c>
      <c r="H20" t="str">
        <f t="shared" si="0"/>
        <v>Xhilarator Global</v>
      </c>
      <c r="I20" t="str">
        <f t="shared" si="0"/>
        <v>Xhilarator Global</v>
      </c>
      <c r="J20" t="s">
        <v>156</v>
      </c>
      <c r="K20" s="7" t="str">
        <f t="shared" si="0"/>
        <v>Lumiere Fund Services</v>
      </c>
    </row>
    <row r="21" spans="1:11">
      <c r="A21" t="s">
        <v>714</v>
      </c>
      <c r="B21" t="s">
        <v>714</v>
      </c>
      <c r="C21">
        <v>152</v>
      </c>
      <c r="D21" t="s">
        <v>715</v>
      </c>
      <c r="E21" t="str">
        <f t="shared" si="1"/>
        <v>Xhilarator Global</v>
      </c>
      <c r="F21" s="1" t="s">
        <v>692</v>
      </c>
      <c r="G21" s="7">
        <v>41974</v>
      </c>
      <c r="H21" t="str">
        <f t="shared" si="0"/>
        <v>Xhilarator Global</v>
      </c>
      <c r="I21" t="str">
        <f t="shared" si="0"/>
        <v>Xhilarator Global</v>
      </c>
      <c r="J21" t="s">
        <v>156</v>
      </c>
      <c r="K21" s="7" t="str">
        <f t="shared" si="0"/>
        <v>Lumiere Fund Services</v>
      </c>
    </row>
    <row r="22" spans="1:11">
      <c r="A22" t="s">
        <v>716</v>
      </c>
      <c r="B22" t="s">
        <v>716</v>
      </c>
      <c r="C22">
        <v>155</v>
      </c>
      <c r="D22" t="s">
        <v>717</v>
      </c>
      <c r="E22" t="str">
        <f t="shared" si="1"/>
        <v>Xhilarator Global</v>
      </c>
      <c r="F22" s="1" t="s">
        <v>692</v>
      </c>
      <c r="G22" s="7">
        <v>41974</v>
      </c>
      <c r="H22" t="str">
        <f t="shared" si="0"/>
        <v>Xhilarator Global</v>
      </c>
      <c r="I22" t="str">
        <f t="shared" si="0"/>
        <v>Xhilarator Global</v>
      </c>
      <c r="J22" t="s">
        <v>156</v>
      </c>
      <c r="K22" s="7" t="str">
        <f t="shared" si="0"/>
        <v>Lumiere Fund Services</v>
      </c>
    </row>
    <row r="23" spans="1:11">
      <c r="A23" t="s">
        <v>718</v>
      </c>
      <c r="B23" t="s">
        <v>718</v>
      </c>
      <c r="C23">
        <v>20</v>
      </c>
      <c r="D23" t="s">
        <v>719</v>
      </c>
      <c r="E23" t="str">
        <f t="shared" si="1"/>
        <v>Xhilarator Global</v>
      </c>
      <c r="F23" s="1" t="s">
        <v>692</v>
      </c>
      <c r="G23" s="7">
        <v>41974</v>
      </c>
      <c r="H23" t="str">
        <f t="shared" si="0"/>
        <v>Xhilarator Global</v>
      </c>
      <c r="I23" t="str">
        <f t="shared" si="0"/>
        <v>Xhilarator Global</v>
      </c>
      <c r="J23" t="s">
        <v>156</v>
      </c>
      <c r="K23" s="7" t="str">
        <f t="shared" si="0"/>
        <v>Lumiere Fund Services</v>
      </c>
    </row>
    <row r="24" spans="1:11">
      <c r="A24" t="s">
        <v>720</v>
      </c>
      <c r="B24" t="s">
        <v>720</v>
      </c>
      <c r="C24">
        <v>309</v>
      </c>
      <c r="D24" t="s">
        <v>177</v>
      </c>
      <c r="E24" t="str">
        <f t="shared" si="1"/>
        <v>Xhilarator Global</v>
      </c>
      <c r="F24" s="1" t="s">
        <v>692</v>
      </c>
      <c r="G24" s="7">
        <v>41974</v>
      </c>
      <c r="H24" t="str">
        <f t="shared" si="0"/>
        <v>Xhilarator Global</v>
      </c>
      <c r="I24" t="str">
        <f t="shared" si="0"/>
        <v>Xhilarator Global</v>
      </c>
      <c r="J24" t="s">
        <v>156</v>
      </c>
      <c r="K24" s="7" t="str">
        <f t="shared" si="0"/>
        <v>Lumiere Fund Services</v>
      </c>
    </row>
    <row r="25" spans="1:11">
      <c r="A25" t="s">
        <v>721</v>
      </c>
      <c r="B25" t="s">
        <v>721</v>
      </c>
      <c r="C25">
        <v>305</v>
      </c>
      <c r="D25" t="s">
        <v>722</v>
      </c>
      <c r="E25" t="str">
        <f t="shared" si="1"/>
        <v>Xhilarator Global</v>
      </c>
      <c r="F25" s="1" t="s">
        <v>692</v>
      </c>
      <c r="G25" s="7">
        <v>41974</v>
      </c>
      <c r="H25" t="str">
        <f t="shared" si="0"/>
        <v>Xhilarator Global</v>
      </c>
      <c r="I25" t="str">
        <f t="shared" si="0"/>
        <v>Xhilarator Global</v>
      </c>
      <c r="J25" t="s">
        <v>156</v>
      </c>
      <c r="K25" s="7" t="str">
        <f t="shared" si="0"/>
        <v>Lumiere Fund Services</v>
      </c>
    </row>
    <row r="26" spans="1:11">
      <c r="A26" t="s">
        <v>723</v>
      </c>
      <c r="B26" t="s">
        <v>723</v>
      </c>
      <c r="C26">
        <v>158</v>
      </c>
      <c r="D26" t="s">
        <v>133</v>
      </c>
      <c r="E26" t="str">
        <f t="shared" si="1"/>
        <v>Xhilarator Global</v>
      </c>
      <c r="F26" s="1" t="s">
        <v>692</v>
      </c>
      <c r="G26" s="7">
        <v>41974</v>
      </c>
      <c r="H26" t="str">
        <f t="shared" si="0"/>
        <v>Xhilarator Global</v>
      </c>
      <c r="I26" t="str">
        <f t="shared" si="0"/>
        <v>Xhilarator Global</v>
      </c>
      <c r="J26" t="s">
        <v>156</v>
      </c>
      <c r="K26" s="7" t="str">
        <f t="shared" si="0"/>
        <v>Lumiere Fund Services</v>
      </c>
    </row>
    <row r="27" spans="1:11">
      <c r="A27" t="s">
        <v>724</v>
      </c>
      <c r="B27" t="s">
        <v>724</v>
      </c>
      <c r="C27">
        <v>306</v>
      </c>
      <c r="D27" t="s">
        <v>725</v>
      </c>
      <c r="E27" t="str">
        <f t="shared" si="1"/>
        <v>Xhilarator Global</v>
      </c>
      <c r="F27" s="1" t="s">
        <v>692</v>
      </c>
      <c r="G27" s="7">
        <v>41974</v>
      </c>
      <c r="H27" t="str">
        <f t="shared" si="0"/>
        <v>Xhilarator Global</v>
      </c>
      <c r="I27" t="str">
        <f t="shared" si="0"/>
        <v>Xhilarator Global</v>
      </c>
      <c r="J27" t="s">
        <v>156</v>
      </c>
      <c r="K27" s="7" t="str">
        <f t="shared" si="0"/>
        <v>Lumiere Fund Services</v>
      </c>
    </row>
    <row r="28" spans="1:11">
      <c r="A28" t="s">
        <v>726</v>
      </c>
      <c r="B28" t="s">
        <v>726</v>
      </c>
      <c r="C28">
        <v>307</v>
      </c>
      <c r="D28" t="s">
        <v>727</v>
      </c>
      <c r="E28" t="str">
        <f t="shared" si="1"/>
        <v>Xhilarator Global</v>
      </c>
      <c r="F28" s="1" t="s">
        <v>692</v>
      </c>
      <c r="G28" s="7">
        <v>41974</v>
      </c>
      <c r="H28" t="str">
        <f t="shared" si="0"/>
        <v>Xhilarator Global</v>
      </c>
      <c r="I28" t="str">
        <f t="shared" si="0"/>
        <v>Xhilarator Global</v>
      </c>
      <c r="J28" t="s">
        <v>156</v>
      </c>
      <c r="K28" s="7" t="str">
        <f t="shared" si="0"/>
        <v>Lumiere Fund Services</v>
      </c>
    </row>
    <row r="29" spans="1:11">
      <c r="A29" t="s">
        <v>728</v>
      </c>
      <c r="B29" t="s">
        <v>728</v>
      </c>
      <c r="C29">
        <v>308</v>
      </c>
      <c r="D29" t="s">
        <v>729</v>
      </c>
      <c r="E29" t="str">
        <f t="shared" si="1"/>
        <v>Xhilarator Global</v>
      </c>
      <c r="F29" s="1" t="s">
        <v>692</v>
      </c>
      <c r="G29" s="7">
        <v>41974</v>
      </c>
      <c r="H29" t="str">
        <f t="shared" si="0"/>
        <v>Xhilarator Global</v>
      </c>
      <c r="I29" t="str">
        <f t="shared" si="0"/>
        <v>Xhilarator Global</v>
      </c>
      <c r="J29" t="s">
        <v>156</v>
      </c>
      <c r="K29" s="7" t="str">
        <f t="shared" si="0"/>
        <v>Lumiere Fund Services</v>
      </c>
    </row>
    <row r="30" spans="1:11">
      <c r="A30" t="s">
        <v>730</v>
      </c>
      <c r="B30" t="s">
        <v>730</v>
      </c>
      <c r="C30">
        <v>26</v>
      </c>
      <c r="D30" t="s">
        <v>107</v>
      </c>
      <c r="E30" t="str">
        <f t="shared" si="1"/>
        <v>Xhilarator Global</v>
      </c>
      <c r="F30" s="1" t="s">
        <v>692</v>
      </c>
      <c r="G30" s="7">
        <v>41974</v>
      </c>
      <c r="H30" t="str">
        <f t="shared" si="0"/>
        <v>Xhilarator Global</v>
      </c>
      <c r="I30" t="str">
        <f t="shared" si="0"/>
        <v>Xhilarator Global</v>
      </c>
      <c r="J30" t="s">
        <v>156</v>
      </c>
      <c r="K30" s="7" t="str">
        <f t="shared" si="0"/>
        <v>Lumiere Fund Services</v>
      </c>
    </row>
    <row r="31" spans="1:11">
      <c r="A31" t="s">
        <v>731</v>
      </c>
      <c r="B31" t="s">
        <v>731</v>
      </c>
      <c r="C31">
        <v>33</v>
      </c>
      <c r="D31" t="s">
        <v>109</v>
      </c>
      <c r="E31" t="str">
        <f t="shared" si="1"/>
        <v>Xhilarator Global</v>
      </c>
      <c r="F31" s="1" t="s">
        <v>692</v>
      </c>
      <c r="G31" s="7">
        <v>41974</v>
      </c>
      <c r="H31" t="str">
        <f t="shared" si="0"/>
        <v>Xhilarator Global</v>
      </c>
      <c r="I31" t="str">
        <f t="shared" si="0"/>
        <v>Xhilarator Global</v>
      </c>
      <c r="J31" t="s">
        <v>156</v>
      </c>
      <c r="K31" s="7" t="str">
        <f t="shared" si="0"/>
        <v>Lumiere Fund Services</v>
      </c>
    </row>
    <row r="32" spans="1:11">
      <c r="A32" t="s">
        <v>732</v>
      </c>
      <c r="B32" t="s">
        <v>732</v>
      </c>
      <c r="C32">
        <v>35</v>
      </c>
      <c r="D32" t="s">
        <v>175</v>
      </c>
      <c r="E32" t="str">
        <f t="shared" si="1"/>
        <v>Xhilarator Global</v>
      </c>
      <c r="F32" s="1" t="s">
        <v>692</v>
      </c>
      <c r="G32" s="7">
        <v>41974</v>
      </c>
      <c r="H32" t="str">
        <f t="shared" si="0"/>
        <v>Xhilarator Global</v>
      </c>
      <c r="I32" t="str">
        <f t="shared" si="0"/>
        <v>Xhilarator Global</v>
      </c>
      <c r="J32" t="s">
        <v>156</v>
      </c>
      <c r="K32" s="7" t="str">
        <f t="shared" si="0"/>
        <v>Lumiere Fund Services</v>
      </c>
    </row>
    <row r="33" spans="1:11">
      <c r="A33" t="s">
        <v>733</v>
      </c>
      <c r="B33" t="s">
        <v>733</v>
      </c>
      <c r="C33">
        <v>175</v>
      </c>
      <c r="D33" t="s">
        <v>734</v>
      </c>
      <c r="E33" t="str">
        <f t="shared" si="1"/>
        <v>Xhilarator Global</v>
      </c>
      <c r="F33" s="1" t="s">
        <v>692</v>
      </c>
      <c r="G33" s="7">
        <v>41974</v>
      </c>
      <c r="H33" t="str">
        <f t="shared" si="0"/>
        <v>Xhilarator Global</v>
      </c>
      <c r="I33" t="str">
        <f t="shared" si="0"/>
        <v>Xhilarator Global</v>
      </c>
      <c r="J33" t="s">
        <v>156</v>
      </c>
      <c r="K33" s="7" t="str">
        <f t="shared" si="0"/>
        <v>Lumiere Fund Services</v>
      </c>
    </row>
    <row r="34" spans="1:11">
      <c r="A34" t="s">
        <v>735</v>
      </c>
      <c r="B34" t="s">
        <v>735</v>
      </c>
      <c r="C34">
        <v>177</v>
      </c>
      <c r="D34" t="s">
        <v>43</v>
      </c>
      <c r="E34" t="str">
        <f t="shared" si="1"/>
        <v>Xhilarator Global</v>
      </c>
      <c r="F34" s="1" t="s">
        <v>692</v>
      </c>
      <c r="G34" s="7">
        <v>41974</v>
      </c>
      <c r="H34" t="str">
        <f t="shared" si="0"/>
        <v>Xhilarator Global</v>
      </c>
      <c r="I34" t="str">
        <f t="shared" si="0"/>
        <v>Xhilarator Global</v>
      </c>
      <c r="J34" t="s">
        <v>156</v>
      </c>
      <c r="K34" s="7" t="str">
        <f t="shared" si="0"/>
        <v>Lumiere Fund Services</v>
      </c>
    </row>
    <row r="35" spans="1:11">
      <c r="A35" t="s">
        <v>736</v>
      </c>
      <c r="B35" t="s">
        <v>736</v>
      </c>
      <c r="C35">
        <v>173</v>
      </c>
      <c r="D35" t="s">
        <v>737</v>
      </c>
      <c r="E35" t="str">
        <f t="shared" si="1"/>
        <v>Xhilarator Global</v>
      </c>
      <c r="F35" s="1" t="s">
        <v>692</v>
      </c>
      <c r="G35" s="7">
        <v>41974</v>
      </c>
      <c r="H35" t="str">
        <f t="shared" si="0"/>
        <v>Xhilarator Global</v>
      </c>
      <c r="I35" t="str">
        <f t="shared" si="0"/>
        <v>Xhilarator Global</v>
      </c>
      <c r="J35" t="s">
        <v>156</v>
      </c>
      <c r="K35" s="7" t="str">
        <f t="shared" si="0"/>
        <v>Lumiere Fund Services</v>
      </c>
    </row>
    <row r="36" spans="1:11">
      <c r="A36" t="s">
        <v>738</v>
      </c>
      <c r="B36" t="s">
        <v>738</v>
      </c>
      <c r="C36">
        <v>44</v>
      </c>
      <c r="D36" t="s">
        <v>124</v>
      </c>
      <c r="E36" t="str">
        <f t="shared" si="1"/>
        <v>Xhilarator Global</v>
      </c>
      <c r="F36" s="1" t="s">
        <v>692</v>
      </c>
      <c r="G36" s="7">
        <v>41974</v>
      </c>
      <c r="H36" t="str">
        <f t="shared" si="0"/>
        <v>Xhilarator Global</v>
      </c>
      <c r="I36" t="str">
        <f t="shared" si="0"/>
        <v>Xhilarator Global</v>
      </c>
      <c r="J36" t="s">
        <v>156</v>
      </c>
      <c r="K36" s="7" t="str">
        <f t="shared" si="0"/>
        <v>Lumiere Fund Services</v>
      </c>
    </row>
    <row r="37" spans="1:11">
      <c r="A37" t="s">
        <v>739</v>
      </c>
      <c r="B37" t="s">
        <v>739</v>
      </c>
      <c r="C37">
        <v>310</v>
      </c>
      <c r="D37" t="s">
        <v>168</v>
      </c>
      <c r="E37" t="str">
        <f t="shared" si="1"/>
        <v>Xhilarator Global</v>
      </c>
      <c r="F37" s="1" t="s">
        <v>692</v>
      </c>
      <c r="G37" s="7">
        <v>41974</v>
      </c>
      <c r="H37" t="str">
        <f t="shared" si="0"/>
        <v>Xhilarator Global</v>
      </c>
      <c r="I37" t="str">
        <f t="shared" si="0"/>
        <v>Xhilarator Global</v>
      </c>
      <c r="J37" t="s">
        <v>156</v>
      </c>
      <c r="K37" s="7" t="str">
        <f t="shared" si="0"/>
        <v>Lumiere Fund Services</v>
      </c>
    </row>
    <row r="38" spans="1:11">
      <c r="A38" t="s">
        <v>740</v>
      </c>
      <c r="B38" t="s">
        <v>740</v>
      </c>
      <c r="C38">
        <v>311</v>
      </c>
      <c r="D38" t="s">
        <v>741</v>
      </c>
      <c r="E38" t="str">
        <f t="shared" si="1"/>
        <v>Xhilarator Global</v>
      </c>
      <c r="F38" s="1" t="s">
        <v>692</v>
      </c>
      <c r="G38" s="7">
        <v>41974</v>
      </c>
      <c r="H38" t="str">
        <f t="shared" si="0"/>
        <v>Xhilarator Global</v>
      </c>
      <c r="I38" t="str">
        <f t="shared" si="0"/>
        <v>Xhilarator Global</v>
      </c>
      <c r="J38" t="s">
        <v>156</v>
      </c>
      <c r="K38" s="7" t="str">
        <f t="shared" si="0"/>
        <v>Lumiere Fund Services</v>
      </c>
    </row>
    <row r="39" spans="1:11">
      <c r="A39" t="s">
        <v>742</v>
      </c>
      <c r="B39" t="s">
        <v>742</v>
      </c>
      <c r="C39">
        <v>64</v>
      </c>
      <c r="D39" t="s">
        <v>176</v>
      </c>
      <c r="E39" t="str">
        <f t="shared" si="1"/>
        <v>Xhilarator Global</v>
      </c>
      <c r="F39" s="1" t="s">
        <v>692</v>
      </c>
      <c r="G39" s="7">
        <v>41974</v>
      </c>
      <c r="H39" t="str">
        <f t="shared" si="0"/>
        <v>Xhilarator Global</v>
      </c>
      <c r="I39" t="str">
        <f t="shared" si="0"/>
        <v>Xhilarator Global</v>
      </c>
      <c r="J39" t="s">
        <v>156</v>
      </c>
      <c r="K39" s="7" t="str">
        <f t="shared" si="0"/>
        <v>Lumiere Fund Services</v>
      </c>
    </row>
    <row r="40" spans="1:11">
      <c r="A40" t="s">
        <v>743</v>
      </c>
      <c r="B40" t="s">
        <v>743</v>
      </c>
      <c r="C40">
        <v>198</v>
      </c>
      <c r="D40" t="s">
        <v>744</v>
      </c>
      <c r="E40" t="str">
        <f t="shared" si="1"/>
        <v>Xhilarator Global</v>
      </c>
      <c r="F40" s="1" t="s">
        <v>692</v>
      </c>
      <c r="G40" s="7">
        <v>41974</v>
      </c>
      <c r="H40" t="str">
        <f t="shared" si="0"/>
        <v>Xhilarator Global</v>
      </c>
      <c r="I40" t="str">
        <f t="shared" si="0"/>
        <v>Xhilarator Global</v>
      </c>
      <c r="J40" t="s">
        <v>156</v>
      </c>
      <c r="K40" s="7" t="str">
        <f t="shared" si="0"/>
        <v>Lumiere Fund Services</v>
      </c>
    </row>
    <row r="41" spans="1:11">
      <c r="A41" t="s">
        <v>745</v>
      </c>
      <c r="B41" t="s">
        <v>745</v>
      </c>
      <c r="C41">
        <v>43</v>
      </c>
      <c r="D41" t="s">
        <v>746</v>
      </c>
      <c r="E41" t="str">
        <f t="shared" si="1"/>
        <v>Xhilarator Global</v>
      </c>
      <c r="F41" s="1" t="s">
        <v>692</v>
      </c>
      <c r="G41" s="7">
        <v>41974</v>
      </c>
      <c r="H41" t="str">
        <f t="shared" si="0"/>
        <v>Xhilarator Global</v>
      </c>
      <c r="I41" t="str">
        <f t="shared" si="0"/>
        <v>Xhilarator Global</v>
      </c>
      <c r="J41" t="s">
        <v>156</v>
      </c>
      <c r="K41" s="7" t="str">
        <f t="shared" si="0"/>
        <v>Lumiere Fund Services</v>
      </c>
    </row>
    <row r="42" spans="1:11">
      <c r="A42" t="s">
        <v>747</v>
      </c>
      <c r="B42" t="s">
        <v>747</v>
      </c>
      <c r="C42">
        <v>75</v>
      </c>
      <c r="D42" t="s">
        <v>748</v>
      </c>
      <c r="E42" t="str">
        <f t="shared" si="1"/>
        <v>Xhilarator Global</v>
      </c>
      <c r="F42" s="1" t="s">
        <v>692</v>
      </c>
      <c r="G42" s="7">
        <v>41974</v>
      </c>
      <c r="H42" t="str">
        <f t="shared" si="0"/>
        <v>Xhilarator Global</v>
      </c>
      <c r="I42" t="str">
        <f t="shared" si="0"/>
        <v>Xhilarator Global</v>
      </c>
      <c r="J42" t="s">
        <v>156</v>
      </c>
      <c r="K42" s="7" t="str">
        <f t="shared" si="0"/>
        <v>Lumiere Fund Services</v>
      </c>
    </row>
    <row r="43" spans="1:11">
      <c r="A43" t="s">
        <v>749</v>
      </c>
      <c r="B43" t="s">
        <v>749</v>
      </c>
      <c r="C43">
        <v>270</v>
      </c>
      <c r="D43" t="s">
        <v>183</v>
      </c>
      <c r="E43" t="str">
        <f t="shared" si="1"/>
        <v>Xhilarator Global</v>
      </c>
      <c r="F43" s="1" t="s">
        <v>692</v>
      </c>
      <c r="G43" s="7">
        <v>41974</v>
      </c>
      <c r="H43" t="str">
        <f t="shared" si="0"/>
        <v>Xhilarator Global</v>
      </c>
      <c r="I43" t="str">
        <f t="shared" si="0"/>
        <v>Xhilarator Global</v>
      </c>
      <c r="J43" t="s">
        <v>156</v>
      </c>
      <c r="K43" s="7" t="str">
        <f t="shared" si="0"/>
        <v>Lumiere Fund Services</v>
      </c>
    </row>
    <row r="44" spans="1:11">
      <c r="A44" t="s">
        <v>750</v>
      </c>
      <c r="B44" t="s">
        <v>750</v>
      </c>
      <c r="C44">
        <v>209</v>
      </c>
      <c r="D44" t="s">
        <v>71</v>
      </c>
      <c r="E44" t="str">
        <f t="shared" si="1"/>
        <v>Xhilarator Global</v>
      </c>
      <c r="F44" s="1" t="s">
        <v>692</v>
      </c>
      <c r="G44" s="7">
        <v>41974</v>
      </c>
      <c r="H44" t="str">
        <f t="shared" si="0"/>
        <v>Xhilarator Global</v>
      </c>
      <c r="I44" t="str">
        <f t="shared" si="0"/>
        <v>Xhilarator Global</v>
      </c>
      <c r="J44" t="s">
        <v>156</v>
      </c>
      <c r="K44" s="7" t="str">
        <f t="shared" si="0"/>
        <v>Lumiere Fund Services</v>
      </c>
    </row>
    <row r="45" spans="1:11">
      <c r="A45" t="s">
        <v>751</v>
      </c>
      <c r="B45" t="s">
        <v>751</v>
      </c>
      <c r="C45">
        <v>214</v>
      </c>
      <c r="D45" t="s">
        <v>752</v>
      </c>
      <c r="E45" t="str">
        <f t="shared" si="1"/>
        <v>Xhilarator Global</v>
      </c>
      <c r="F45" s="1" t="s">
        <v>692</v>
      </c>
      <c r="G45" s="7">
        <v>41974</v>
      </c>
      <c r="H45" t="str">
        <f t="shared" si="0"/>
        <v>Xhilarator Global</v>
      </c>
      <c r="I45" t="str">
        <f t="shared" si="0"/>
        <v>Xhilarator Global</v>
      </c>
      <c r="J45" t="s">
        <v>156</v>
      </c>
      <c r="K45" s="7" t="str">
        <f t="shared" si="0"/>
        <v>Lumiere Fund Services</v>
      </c>
    </row>
    <row r="46" spans="1:11">
      <c r="A46" t="s">
        <v>753</v>
      </c>
      <c r="B46" t="s">
        <v>753</v>
      </c>
      <c r="C46">
        <v>78</v>
      </c>
      <c r="D46" t="s">
        <v>754</v>
      </c>
      <c r="E46" t="str">
        <f t="shared" si="1"/>
        <v>Xhilarator Global</v>
      </c>
      <c r="F46" s="1" t="s">
        <v>692</v>
      </c>
      <c r="G46" s="7">
        <v>41974</v>
      </c>
      <c r="H46" t="str">
        <f t="shared" si="0"/>
        <v>Xhilarator Global</v>
      </c>
      <c r="I46" t="str">
        <f t="shared" si="0"/>
        <v>Xhilarator Global</v>
      </c>
      <c r="J46" t="s">
        <v>156</v>
      </c>
      <c r="K46" s="7" t="str">
        <f t="shared" si="0"/>
        <v>Lumiere Fund Services</v>
      </c>
    </row>
    <row r="47" spans="1:11">
      <c r="A47" t="s">
        <v>755</v>
      </c>
      <c r="B47" t="s">
        <v>755</v>
      </c>
      <c r="C47">
        <v>312</v>
      </c>
      <c r="D47" t="s">
        <v>756</v>
      </c>
      <c r="E47" t="str">
        <f t="shared" si="1"/>
        <v>Xhilarator Global</v>
      </c>
      <c r="F47" s="1" t="s">
        <v>692</v>
      </c>
      <c r="G47" s="7">
        <v>41974</v>
      </c>
      <c r="H47" t="str">
        <f t="shared" si="0"/>
        <v>Xhilarator Global</v>
      </c>
      <c r="I47" t="str">
        <f t="shared" si="0"/>
        <v>Xhilarator Global</v>
      </c>
      <c r="J47" t="s">
        <v>156</v>
      </c>
      <c r="K47" s="7" t="str">
        <f t="shared" si="0"/>
        <v>Lumiere Fund Services</v>
      </c>
    </row>
    <row r="48" spans="1:11">
      <c r="A48" t="s">
        <v>757</v>
      </c>
      <c r="B48" t="s">
        <v>757</v>
      </c>
      <c r="C48">
        <v>82</v>
      </c>
      <c r="D48" t="s">
        <v>136</v>
      </c>
      <c r="E48" t="str">
        <f t="shared" si="1"/>
        <v>Xhilarator Global</v>
      </c>
      <c r="F48" s="1" t="s">
        <v>692</v>
      </c>
      <c r="G48" s="7">
        <v>41974</v>
      </c>
      <c r="H48" t="str">
        <f t="shared" si="0"/>
        <v>Xhilarator Global</v>
      </c>
      <c r="I48" t="str">
        <f t="shared" si="0"/>
        <v>Xhilarator Global</v>
      </c>
      <c r="J48" t="s">
        <v>156</v>
      </c>
      <c r="K48" s="7" t="str">
        <f t="shared" si="0"/>
        <v>Lumiere Fund Services</v>
      </c>
    </row>
    <row r="49" spans="1:11">
      <c r="A49" t="s">
        <v>758</v>
      </c>
      <c r="B49" t="s">
        <v>758</v>
      </c>
      <c r="C49">
        <v>223</v>
      </c>
      <c r="D49" t="s">
        <v>759</v>
      </c>
      <c r="E49" t="str">
        <f t="shared" si="1"/>
        <v>Xhilarator Global</v>
      </c>
      <c r="F49" s="1" t="s">
        <v>692</v>
      </c>
      <c r="G49" s="7">
        <v>41974</v>
      </c>
      <c r="H49" t="str">
        <f t="shared" si="0"/>
        <v>Xhilarator Global</v>
      </c>
      <c r="I49" t="str">
        <f t="shared" si="0"/>
        <v>Xhilarator Global</v>
      </c>
      <c r="J49" t="s">
        <v>156</v>
      </c>
      <c r="K49" s="7" t="str">
        <f t="shared" si="0"/>
        <v>Lumiere Fund Services</v>
      </c>
    </row>
    <row r="50" spans="1:11">
      <c r="A50" t="s">
        <v>760</v>
      </c>
      <c r="B50" t="s">
        <v>760</v>
      </c>
      <c r="C50">
        <v>99</v>
      </c>
      <c r="D50" t="s">
        <v>103</v>
      </c>
      <c r="E50" t="str">
        <f t="shared" si="1"/>
        <v>Xhilarator Global</v>
      </c>
      <c r="F50" s="1" t="s">
        <v>692</v>
      </c>
      <c r="G50" s="7">
        <v>41974</v>
      </c>
      <c r="H50" t="str">
        <f t="shared" si="0"/>
        <v>Xhilarator Global</v>
      </c>
      <c r="I50" t="str">
        <f t="shared" si="0"/>
        <v>Xhilarator Global</v>
      </c>
      <c r="J50" t="s">
        <v>156</v>
      </c>
      <c r="K50" s="7" t="str">
        <f t="shared" si="0"/>
        <v>Lumiere Fund Services</v>
      </c>
    </row>
    <row r="51" spans="1:11">
      <c r="A51" t="s">
        <v>761</v>
      </c>
      <c r="B51" t="s">
        <v>761</v>
      </c>
      <c r="C51">
        <v>228</v>
      </c>
      <c r="D51" t="s">
        <v>762</v>
      </c>
      <c r="E51" t="str">
        <f t="shared" si="1"/>
        <v>Xhilarator Global</v>
      </c>
      <c r="F51" s="1" t="s">
        <v>692</v>
      </c>
      <c r="G51" s="7">
        <v>41974</v>
      </c>
      <c r="H51" t="str">
        <f t="shared" si="0"/>
        <v>Xhilarator Global</v>
      </c>
      <c r="I51" t="str">
        <f t="shared" si="0"/>
        <v>Xhilarator Global</v>
      </c>
      <c r="J51" t="s">
        <v>156</v>
      </c>
      <c r="K51" s="7" t="str">
        <f t="shared" si="0"/>
        <v>Lumiere Fund Services</v>
      </c>
    </row>
    <row r="52" spans="1:11">
      <c r="A52" t="s">
        <v>763</v>
      </c>
      <c r="B52" t="s">
        <v>763</v>
      </c>
      <c r="C52">
        <v>230</v>
      </c>
      <c r="D52" t="s">
        <v>764</v>
      </c>
      <c r="E52" t="str">
        <f t="shared" si="1"/>
        <v>Xhilarator Global</v>
      </c>
      <c r="F52" s="1" t="s">
        <v>692</v>
      </c>
      <c r="G52" s="7">
        <v>41974</v>
      </c>
      <c r="H52" t="str">
        <f t="shared" si="0"/>
        <v>Xhilarator Global</v>
      </c>
      <c r="I52" t="str">
        <f t="shared" si="0"/>
        <v>Xhilarator Global</v>
      </c>
      <c r="J52" t="s">
        <v>156</v>
      </c>
      <c r="K52" s="7" t="str">
        <f t="shared" si="0"/>
        <v>Lumiere Fund Services</v>
      </c>
    </row>
    <row r="53" spans="1:11">
      <c r="A53" t="s">
        <v>765</v>
      </c>
      <c r="B53" t="s">
        <v>765</v>
      </c>
      <c r="C53">
        <v>234</v>
      </c>
      <c r="D53" t="s">
        <v>766</v>
      </c>
      <c r="E53" t="str">
        <f t="shared" si="1"/>
        <v>Xhilarator Global</v>
      </c>
      <c r="F53" s="1" t="s">
        <v>692</v>
      </c>
      <c r="G53" s="7">
        <v>41974</v>
      </c>
      <c r="H53" t="str">
        <f t="shared" si="0"/>
        <v>Xhilarator Global</v>
      </c>
      <c r="I53" t="str">
        <f t="shared" si="0"/>
        <v>Xhilarator Global</v>
      </c>
      <c r="J53" t="s">
        <v>156</v>
      </c>
      <c r="K53" s="7" t="str">
        <f t="shared" si="0"/>
        <v>Lumiere Fund Services</v>
      </c>
    </row>
    <row r="54" spans="1:11">
      <c r="A54" t="s">
        <v>767</v>
      </c>
      <c r="B54" t="s">
        <v>767</v>
      </c>
      <c r="C54">
        <v>276</v>
      </c>
      <c r="D54" t="s">
        <v>768</v>
      </c>
      <c r="E54" t="str">
        <f t="shared" si="1"/>
        <v>Xhilarator Global</v>
      </c>
      <c r="F54" s="1" t="s">
        <v>692</v>
      </c>
      <c r="G54" s="7">
        <v>41974</v>
      </c>
      <c r="H54" t="str">
        <f t="shared" si="0"/>
        <v>Xhilarator Global</v>
      </c>
      <c r="I54" t="str">
        <f t="shared" si="0"/>
        <v>Xhilarator Global</v>
      </c>
      <c r="J54" t="s">
        <v>156</v>
      </c>
      <c r="K54" s="7" t="str">
        <f t="shared" si="0"/>
        <v>Lumiere Fund Services</v>
      </c>
    </row>
    <row r="55" spans="1:11">
      <c r="A55" t="s">
        <v>769</v>
      </c>
      <c r="B55" t="s">
        <v>769</v>
      </c>
      <c r="C55">
        <v>245</v>
      </c>
      <c r="D55" t="s">
        <v>770</v>
      </c>
      <c r="E55" t="str">
        <f t="shared" si="1"/>
        <v>Xhilarator Global</v>
      </c>
      <c r="F55" s="1" t="s">
        <v>692</v>
      </c>
      <c r="G55" s="7">
        <v>41974</v>
      </c>
      <c r="H55" t="str">
        <f t="shared" si="0"/>
        <v>Xhilarator Global</v>
      </c>
      <c r="I55" t="str">
        <f t="shared" si="0"/>
        <v>Xhilarator Global</v>
      </c>
      <c r="J55" t="s">
        <v>156</v>
      </c>
      <c r="K55" s="7" t="str">
        <f t="shared" si="0"/>
        <v>Lumiere Fund Services</v>
      </c>
    </row>
    <row r="56" spans="1:11">
      <c r="A56" t="s">
        <v>771</v>
      </c>
      <c r="B56" t="s">
        <v>771</v>
      </c>
      <c r="C56">
        <v>263</v>
      </c>
      <c r="D56" t="s">
        <v>772</v>
      </c>
      <c r="E56" t="str">
        <f t="shared" si="1"/>
        <v>Xhilarator Global</v>
      </c>
      <c r="F56" s="1" t="s">
        <v>692</v>
      </c>
      <c r="G56" s="7">
        <v>41974</v>
      </c>
      <c r="H56" t="str">
        <f t="shared" si="0"/>
        <v>Xhilarator Global</v>
      </c>
      <c r="I56" t="str">
        <f t="shared" si="0"/>
        <v>Xhilarator Global</v>
      </c>
      <c r="J56" t="s">
        <v>156</v>
      </c>
      <c r="K56" s="7" t="str">
        <f t="shared" si="0"/>
        <v>Lumiere Fund Services</v>
      </c>
    </row>
    <row r="57" spans="1:11">
      <c r="A57" t="s">
        <v>773</v>
      </c>
      <c r="B57" t="s">
        <v>773</v>
      </c>
      <c r="C57">
        <v>360</v>
      </c>
      <c r="D57" t="s">
        <v>659</v>
      </c>
      <c r="E57" t="str">
        <f t="shared" si="1"/>
        <v>Xhilarator Global</v>
      </c>
      <c r="F57" s="1" t="s">
        <v>692</v>
      </c>
      <c r="G57" s="7">
        <v>41974</v>
      </c>
      <c r="H57" t="str">
        <f t="shared" si="0"/>
        <v>Xhilarator Global</v>
      </c>
      <c r="I57" t="str">
        <f t="shared" si="0"/>
        <v>Xhilarator Global</v>
      </c>
      <c r="J57" t="s">
        <v>156</v>
      </c>
      <c r="K57" s="7" t="str">
        <f t="shared" si="0"/>
        <v>Lumiere Fund Services</v>
      </c>
    </row>
    <row r="58" spans="1:11">
      <c r="A58" t="s">
        <v>774</v>
      </c>
      <c r="B58" t="s">
        <v>774</v>
      </c>
      <c r="C58">
        <v>267</v>
      </c>
      <c r="D58" t="s">
        <v>775</v>
      </c>
      <c r="E58" t="str">
        <f t="shared" si="1"/>
        <v>Xhilarator Global</v>
      </c>
      <c r="F58" s="1" t="s">
        <v>692</v>
      </c>
      <c r="G58" s="7">
        <v>41974</v>
      </c>
      <c r="H58" t="str">
        <f t="shared" si="0"/>
        <v>Xhilarator Global</v>
      </c>
      <c r="I58" t="str">
        <f t="shared" si="0"/>
        <v>Xhilarator Global</v>
      </c>
      <c r="J58" t="s">
        <v>156</v>
      </c>
      <c r="K58" s="7" t="str">
        <f t="shared" si="0"/>
        <v>Lumiere Fund Services</v>
      </c>
    </row>
    <row r="59" spans="1:11">
      <c r="A59" t="s">
        <v>776</v>
      </c>
      <c r="B59" t="s">
        <v>776</v>
      </c>
      <c r="C59">
        <v>110</v>
      </c>
      <c r="D59" t="s">
        <v>777</v>
      </c>
      <c r="E59" t="str">
        <f t="shared" si="1"/>
        <v>Xhilarator Global</v>
      </c>
      <c r="F59" s="1" t="s">
        <v>692</v>
      </c>
      <c r="G59" s="7">
        <v>41974</v>
      </c>
      <c r="H59" t="str">
        <f t="shared" si="0"/>
        <v>Xhilarator Global</v>
      </c>
      <c r="I59" t="str">
        <f t="shared" si="0"/>
        <v>Xhilarator Global</v>
      </c>
      <c r="J59" t="s">
        <v>156</v>
      </c>
      <c r="K59" s="7" t="str">
        <f t="shared" si="0"/>
        <v>Lumiere Fund Services</v>
      </c>
    </row>
    <row r="60" spans="1:11">
      <c r="A60" t="s">
        <v>778</v>
      </c>
      <c r="B60" t="s">
        <v>778</v>
      </c>
      <c r="C60">
        <v>113</v>
      </c>
      <c r="D60" t="s">
        <v>50</v>
      </c>
      <c r="E60" t="str">
        <f t="shared" si="1"/>
        <v>Xhilarator Global</v>
      </c>
      <c r="F60" s="1" t="s">
        <v>692</v>
      </c>
      <c r="G60" s="7">
        <v>41974</v>
      </c>
      <c r="H60" t="str">
        <f t="shared" si="0"/>
        <v>Xhilarator Global</v>
      </c>
      <c r="I60" t="str">
        <f t="shared" si="0"/>
        <v>Xhilarator Global</v>
      </c>
      <c r="J60" t="s">
        <v>156</v>
      </c>
      <c r="K60" s="7" t="str">
        <f t="shared" si="0"/>
        <v>Lumiere Fund Services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bci</vt:lpstr>
      <vt:lpstr>psgam</vt:lpstr>
      <vt:lpstr>investec</vt:lpstr>
      <vt:lpstr>Sanlam</vt:lpstr>
      <vt:lpstr>moriah global</vt:lpstr>
      <vt:lpstr>clientlist</vt:lpstr>
      <vt:lpstr>Momentum</vt:lpstr>
      <vt:lpstr>kfhf</vt:lpstr>
      <vt:lpstr>Quantum Fund</vt:lpstr>
      <vt:lpstr>xhilarator global</vt:lpstr>
    </vt:vector>
  </TitlesOfParts>
  <Manager/>
  <Company>Cedar College of Education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Kanaan</dc:creator>
  <cp:keywords/>
  <dc:description/>
  <cp:lastModifiedBy>Andries van Tonder</cp:lastModifiedBy>
  <cp:revision/>
  <dcterms:created xsi:type="dcterms:W3CDTF">2012-09-05T16:39:50Z</dcterms:created>
  <dcterms:modified xsi:type="dcterms:W3CDTF">2026-04-09T12:26:59Z</dcterms:modified>
  <cp:category/>
  <cp:contentStatus/>
</cp:coreProperties>
</file>