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079e7a6b60e0749/ExcelGitProjects/aims-vba-project/"/>
    </mc:Choice>
  </mc:AlternateContent>
  <xr:revisionPtr revIDLastSave="0" documentId="8_{E1C6915B-5A56-4FD0-9E37-934434BFC143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Febold" sheetId="116" r:id="rId1"/>
    <sheet name="Marold" sheetId="117" r:id="rId2"/>
    <sheet name="Mar" sheetId="13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17" i="117" l="1"/>
  <c r="L1317" i="117"/>
  <c r="G1317" i="117"/>
  <c r="H1317" i="117" s="1"/>
  <c r="J1317" i="117" s="1"/>
  <c r="K1317" i="117" s="1"/>
  <c r="M1316" i="117"/>
  <c r="L1316" i="117"/>
  <c r="G1316" i="117"/>
  <c r="H1316" i="117" s="1"/>
  <c r="J1316" i="117" s="1"/>
  <c r="K1316" i="117" s="1"/>
  <c r="M1315" i="117"/>
  <c r="L1315" i="117"/>
  <c r="G1315" i="117"/>
  <c r="H1315" i="117" s="1"/>
  <c r="J1315" i="117" s="1"/>
  <c r="K1315" i="117" s="1"/>
  <c r="M1314" i="117"/>
  <c r="L1314" i="117"/>
  <c r="G1314" i="117"/>
  <c r="H1314" i="117" s="1"/>
  <c r="J1314" i="117" s="1"/>
  <c r="K1314" i="117" s="1"/>
  <c r="M1313" i="117"/>
  <c r="L1313" i="117"/>
  <c r="G1313" i="117"/>
  <c r="H1313" i="117" s="1"/>
  <c r="J1313" i="117" s="1"/>
  <c r="K1313" i="117" s="1"/>
  <c r="M1312" i="117"/>
  <c r="L1312" i="117"/>
  <c r="G1312" i="117"/>
  <c r="H1312" i="117" s="1"/>
  <c r="J1312" i="117" s="1"/>
  <c r="K1312" i="117" s="1"/>
  <c r="M1311" i="117"/>
  <c r="L1311" i="117"/>
  <c r="J1311" i="117"/>
  <c r="K1311" i="117" s="1"/>
  <c r="G1311" i="117"/>
  <c r="H1311" i="117" s="1"/>
  <c r="M1310" i="117"/>
  <c r="L1310" i="117"/>
  <c r="H1310" i="117"/>
  <c r="J1310" i="117" s="1"/>
  <c r="K1310" i="117" s="1"/>
  <c r="G1310" i="117"/>
  <c r="M1309" i="117"/>
  <c r="L1309" i="117"/>
  <c r="G1309" i="117"/>
  <c r="H1309" i="117" s="1"/>
  <c r="J1309" i="117" s="1"/>
  <c r="K1309" i="117" s="1"/>
  <c r="M1308" i="117"/>
  <c r="L1308" i="117"/>
  <c r="G1308" i="117"/>
  <c r="H1308" i="117" s="1"/>
  <c r="J1308" i="117" s="1"/>
  <c r="K1308" i="117" s="1"/>
  <c r="M1307" i="117"/>
  <c r="L1307" i="117"/>
  <c r="G1307" i="117"/>
  <c r="H1307" i="117" s="1"/>
  <c r="J1307" i="117" s="1"/>
  <c r="K1307" i="117" s="1"/>
  <c r="M1306" i="117"/>
  <c r="L1306" i="117"/>
  <c r="G1306" i="117"/>
  <c r="H1306" i="117" s="1"/>
  <c r="J1306" i="117" s="1"/>
  <c r="K1306" i="117" s="1"/>
  <c r="M1305" i="117"/>
  <c r="L1305" i="117"/>
  <c r="G1305" i="117"/>
  <c r="H1305" i="117" s="1"/>
  <c r="J1305" i="117" s="1"/>
  <c r="K1305" i="117" s="1"/>
  <c r="M1304" i="117"/>
  <c r="L1304" i="117"/>
  <c r="G1304" i="117"/>
  <c r="H1304" i="117" s="1"/>
  <c r="J1304" i="117" s="1"/>
  <c r="K1304" i="117" s="1"/>
  <c r="M1303" i="117"/>
  <c r="L1303" i="117"/>
  <c r="J1303" i="117"/>
  <c r="K1303" i="117" s="1"/>
  <c r="G1303" i="117"/>
  <c r="H1303" i="117" s="1"/>
  <c r="M1302" i="117"/>
  <c r="L1302" i="117"/>
  <c r="H1302" i="117"/>
  <c r="J1302" i="117" s="1"/>
  <c r="K1302" i="117" s="1"/>
  <c r="G1302" i="117"/>
  <c r="M1301" i="117"/>
  <c r="L1301" i="117"/>
  <c r="G1301" i="117"/>
  <c r="H1301" i="117" s="1"/>
  <c r="J1301" i="117" s="1"/>
  <c r="K1301" i="117" s="1"/>
  <c r="M1300" i="117"/>
  <c r="L1300" i="117"/>
  <c r="G1300" i="117"/>
  <c r="H1300" i="117" s="1"/>
  <c r="J1300" i="117" s="1"/>
  <c r="K1300" i="117" s="1"/>
  <c r="M1299" i="117"/>
  <c r="L1299" i="117"/>
  <c r="G1299" i="117"/>
  <c r="H1299" i="117" s="1"/>
  <c r="J1299" i="117" s="1"/>
  <c r="K1299" i="117" s="1"/>
  <c r="M1298" i="117"/>
  <c r="L1298" i="117"/>
  <c r="H1298" i="117"/>
  <c r="J1298" i="117" s="1"/>
  <c r="K1298" i="117" s="1"/>
  <c r="G1298" i="117"/>
  <c r="M1297" i="117"/>
  <c r="L1297" i="117"/>
  <c r="G1297" i="117"/>
  <c r="H1297" i="117" s="1"/>
  <c r="J1297" i="117" s="1"/>
  <c r="K1297" i="117" s="1"/>
  <c r="M1296" i="117"/>
  <c r="L1296" i="117"/>
  <c r="G1296" i="117"/>
  <c r="H1296" i="117" s="1"/>
  <c r="J1296" i="117" s="1"/>
  <c r="K1296" i="117" s="1"/>
  <c r="M1295" i="117"/>
  <c r="L1295" i="117"/>
  <c r="J1295" i="117"/>
  <c r="K1295" i="117" s="1"/>
  <c r="G1295" i="117"/>
  <c r="H1295" i="117" s="1"/>
  <c r="M1294" i="117"/>
  <c r="L1294" i="117"/>
  <c r="H1294" i="117"/>
  <c r="J1294" i="117" s="1"/>
  <c r="K1294" i="117" s="1"/>
  <c r="G1294" i="117"/>
  <c r="M1293" i="117"/>
  <c r="L1293" i="117"/>
  <c r="G1293" i="117"/>
  <c r="H1293" i="117" s="1"/>
  <c r="J1293" i="117" s="1"/>
  <c r="K1293" i="117" s="1"/>
  <c r="M1292" i="117"/>
  <c r="L1292" i="117"/>
  <c r="G1292" i="117"/>
  <c r="H1292" i="117" s="1"/>
  <c r="J1292" i="117" s="1"/>
  <c r="K1292" i="117" s="1"/>
  <c r="M1291" i="117"/>
  <c r="L1291" i="117"/>
  <c r="G1291" i="117"/>
  <c r="H1291" i="117" s="1"/>
  <c r="J1291" i="117" s="1"/>
  <c r="K1291" i="117" s="1"/>
  <c r="M1290" i="117"/>
  <c r="L1290" i="117"/>
  <c r="G1290" i="117"/>
  <c r="H1290" i="117" s="1"/>
  <c r="J1290" i="117" s="1"/>
  <c r="K1290" i="117" s="1"/>
  <c r="M1289" i="117"/>
  <c r="L1289" i="117"/>
  <c r="G1289" i="117"/>
  <c r="H1289" i="117" s="1"/>
  <c r="J1289" i="117" s="1"/>
  <c r="K1289" i="117" s="1"/>
  <c r="M1288" i="117"/>
  <c r="L1288" i="117"/>
  <c r="G1288" i="117"/>
  <c r="H1288" i="117" s="1"/>
  <c r="J1288" i="117" s="1"/>
  <c r="K1288" i="117" s="1"/>
  <c r="M1287" i="117"/>
  <c r="L1287" i="117"/>
  <c r="K1287" i="117"/>
  <c r="J1287" i="117"/>
  <c r="G1287" i="117"/>
  <c r="H1287" i="117" s="1"/>
  <c r="M1286" i="117"/>
  <c r="L1286" i="117"/>
  <c r="H1286" i="117"/>
  <c r="J1286" i="117" s="1"/>
  <c r="K1286" i="117" s="1"/>
  <c r="G1286" i="117"/>
  <c r="M1285" i="117"/>
  <c r="L1285" i="117"/>
  <c r="G1285" i="117"/>
  <c r="H1285" i="117" s="1"/>
  <c r="J1285" i="117" s="1"/>
  <c r="K1285" i="117" s="1"/>
  <c r="M1284" i="117"/>
  <c r="L1284" i="117"/>
  <c r="G1284" i="117"/>
  <c r="H1284" i="117" s="1"/>
  <c r="J1284" i="117" s="1"/>
  <c r="K1284" i="117" s="1"/>
  <c r="M1283" i="117"/>
  <c r="L1283" i="117"/>
  <c r="K1283" i="117"/>
  <c r="J1283" i="117"/>
  <c r="G1283" i="117"/>
  <c r="H1283" i="117" s="1"/>
  <c r="M1282" i="117"/>
  <c r="L1282" i="117"/>
  <c r="H1282" i="117"/>
  <c r="J1282" i="117" s="1"/>
  <c r="K1282" i="117" s="1"/>
  <c r="G1282" i="117"/>
  <c r="M1281" i="117"/>
  <c r="L1281" i="117"/>
  <c r="G1281" i="117"/>
  <c r="H1281" i="117" s="1"/>
  <c r="J1281" i="117" s="1"/>
  <c r="K1281" i="117" s="1"/>
  <c r="M1280" i="117"/>
  <c r="L1280" i="117"/>
  <c r="G1280" i="117"/>
  <c r="H1280" i="117" s="1"/>
  <c r="J1280" i="117" s="1"/>
  <c r="K1280" i="117" s="1"/>
  <c r="M1279" i="117"/>
  <c r="L1279" i="117"/>
  <c r="K1279" i="117"/>
  <c r="J1279" i="117"/>
  <c r="G1279" i="117"/>
  <c r="H1279" i="117" s="1"/>
  <c r="M1278" i="117"/>
  <c r="L1278" i="117"/>
  <c r="H1278" i="117"/>
  <c r="J1278" i="117" s="1"/>
  <c r="K1278" i="117" s="1"/>
  <c r="G1278" i="117"/>
  <c r="M1277" i="117"/>
  <c r="L1277" i="117"/>
  <c r="G1277" i="117"/>
  <c r="H1277" i="117" s="1"/>
  <c r="J1277" i="117" s="1"/>
  <c r="K1277" i="117" s="1"/>
  <c r="M1276" i="117"/>
  <c r="L1276" i="117"/>
  <c r="G1276" i="117"/>
  <c r="H1276" i="117" s="1"/>
  <c r="J1276" i="117" s="1"/>
  <c r="K1276" i="117" s="1"/>
  <c r="M1275" i="117"/>
  <c r="L1275" i="117"/>
  <c r="K1275" i="117"/>
  <c r="J1275" i="117"/>
  <c r="G1275" i="117"/>
  <c r="H1275" i="117" s="1"/>
  <c r="M1274" i="117"/>
  <c r="L1274" i="117"/>
  <c r="H1274" i="117"/>
  <c r="J1274" i="117" s="1"/>
  <c r="K1274" i="117" s="1"/>
  <c r="G1274" i="117"/>
  <c r="M1273" i="117"/>
  <c r="L1273" i="117"/>
  <c r="G1273" i="117"/>
  <c r="H1273" i="117" s="1"/>
  <c r="J1273" i="117" s="1"/>
  <c r="K1273" i="117" s="1"/>
  <c r="M1272" i="117"/>
  <c r="L1272" i="117"/>
  <c r="G1272" i="117"/>
  <c r="H1272" i="117" s="1"/>
  <c r="J1272" i="117" s="1"/>
  <c r="K1272" i="117" s="1"/>
  <c r="M1271" i="117"/>
  <c r="L1271" i="117"/>
  <c r="K1271" i="117"/>
  <c r="J1271" i="117"/>
  <c r="G1271" i="117"/>
  <c r="H1271" i="117" s="1"/>
  <c r="M1270" i="117"/>
  <c r="L1270" i="117"/>
  <c r="H1270" i="117"/>
  <c r="J1270" i="117" s="1"/>
  <c r="K1270" i="117" s="1"/>
  <c r="G1270" i="117"/>
  <c r="M1269" i="117"/>
  <c r="L1269" i="117"/>
  <c r="G1269" i="117"/>
  <c r="H1269" i="117" s="1"/>
  <c r="J1269" i="117" s="1"/>
  <c r="K1269" i="117" s="1"/>
  <c r="M1268" i="117"/>
  <c r="L1268" i="117"/>
  <c r="G1268" i="117"/>
  <c r="H1268" i="117" s="1"/>
  <c r="J1268" i="117" s="1"/>
  <c r="K1268" i="117" s="1"/>
  <c r="M1267" i="117"/>
  <c r="L1267" i="117"/>
  <c r="J1267" i="117"/>
  <c r="K1267" i="117" s="1"/>
  <c r="G1267" i="117"/>
  <c r="H1267" i="117" s="1"/>
  <c r="M1266" i="117"/>
  <c r="L1266" i="117"/>
  <c r="H1266" i="117"/>
  <c r="J1266" i="117" s="1"/>
  <c r="K1266" i="117" s="1"/>
  <c r="G1266" i="117"/>
  <c r="M1265" i="117"/>
  <c r="L1265" i="117"/>
  <c r="G1265" i="117"/>
  <c r="H1265" i="117" s="1"/>
  <c r="J1265" i="117" s="1"/>
  <c r="K1265" i="117" s="1"/>
  <c r="M1264" i="117"/>
  <c r="L1264" i="117"/>
  <c r="G1264" i="117"/>
  <c r="H1264" i="117" s="1"/>
  <c r="J1264" i="117" s="1"/>
  <c r="K1264" i="117" s="1"/>
  <c r="M1263" i="117"/>
  <c r="L1263" i="117"/>
  <c r="J1263" i="117"/>
  <c r="K1263" i="117" s="1"/>
  <c r="G1263" i="117"/>
  <c r="H1263" i="117" s="1"/>
  <c r="M1262" i="117"/>
  <c r="L1262" i="117"/>
  <c r="H1262" i="117"/>
  <c r="J1262" i="117" s="1"/>
  <c r="K1262" i="117" s="1"/>
  <c r="G1262" i="117"/>
  <c r="M1261" i="117"/>
  <c r="L1261" i="117"/>
  <c r="G1261" i="117"/>
  <c r="H1261" i="117" s="1"/>
  <c r="J1261" i="117" s="1"/>
  <c r="K1261" i="117" s="1"/>
  <c r="M1260" i="117"/>
  <c r="L1260" i="117"/>
  <c r="G1260" i="117"/>
  <c r="H1260" i="117" s="1"/>
  <c r="J1260" i="117" s="1"/>
  <c r="K1260" i="117" s="1"/>
  <c r="M1259" i="117"/>
  <c r="L1259" i="117"/>
  <c r="J1259" i="117"/>
  <c r="K1259" i="117" s="1"/>
  <c r="G1259" i="117"/>
  <c r="H1259" i="117" s="1"/>
  <c r="M1258" i="117"/>
  <c r="L1258" i="117"/>
  <c r="H1258" i="117"/>
  <c r="J1258" i="117" s="1"/>
  <c r="K1258" i="117" s="1"/>
  <c r="G1258" i="117"/>
  <c r="M1257" i="117"/>
  <c r="L1257" i="117"/>
  <c r="G1257" i="117"/>
  <c r="H1257" i="117" s="1"/>
  <c r="J1257" i="117" s="1"/>
  <c r="K1257" i="117" s="1"/>
  <c r="M1256" i="117"/>
  <c r="L1256" i="117"/>
  <c r="G1256" i="117"/>
  <c r="H1256" i="117" s="1"/>
  <c r="J1256" i="117" s="1"/>
  <c r="K1256" i="117" s="1"/>
  <c r="M1255" i="117"/>
  <c r="L1255" i="117"/>
  <c r="J1255" i="117"/>
  <c r="K1255" i="117" s="1"/>
  <c r="G1255" i="117"/>
  <c r="H1255" i="117" s="1"/>
  <c r="M1254" i="117"/>
  <c r="L1254" i="117"/>
  <c r="H1254" i="117"/>
  <c r="J1254" i="117" s="1"/>
  <c r="K1254" i="117" s="1"/>
  <c r="G1254" i="117"/>
  <c r="M1253" i="117"/>
  <c r="L1253" i="117"/>
  <c r="G1253" i="117"/>
  <c r="H1253" i="117" s="1"/>
  <c r="J1253" i="117" s="1"/>
  <c r="K1253" i="117" s="1"/>
  <c r="M1252" i="117"/>
  <c r="L1252" i="117"/>
  <c r="G1252" i="117"/>
  <c r="H1252" i="117" s="1"/>
  <c r="J1252" i="117" s="1"/>
  <c r="K1252" i="117" s="1"/>
  <c r="M1251" i="117"/>
  <c r="L1251" i="117"/>
  <c r="J1251" i="117"/>
  <c r="K1251" i="117" s="1"/>
  <c r="G1251" i="117"/>
  <c r="H1251" i="117" s="1"/>
  <c r="M1250" i="117"/>
  <c r="L1250" i="117"/>
  <c r="H1250" i="117"/>
  <c r="J1250" i="117" s="1"/>
  <c r="K1250" i="117" s="1"/>
  <c r="G1250" i="117"/>
  <c r="M1249" i="117"/>
  <c r="L1249" i="117"/>
  <c r="G1249" i="117"/>
  <c r="H1249" i="117" s="1"/>
  <c r="J1249" i="117" s="1"/>
  <c r="K1249" i="117" s="1"/>
  <c r="M1248" i="117"/>
  <c r="L1248" i="117"/>
  <c r="G1248" i="117"/>
  <c r="H1248" i="117" s="1"/>
  <c r="J1248" i="117" s="1"/>
  <c r="K1248" i="117" s="1"/>
  <c r="M1247" i="117"/>
  <c r="L1247" i="117"/>
  <c r="J1247" i="117"/>
  <c r="K1247" i="117" s="1"/>
  <c r="G1247" i="117"/>
  <c r="H1247" i="117" s="1"/>
  <c r="M1246" i="117"/>
  <c r="L1246" i="117"/>
  <c r="H1246" i="117"/>
  <c r="J1246" i="117" s="1"/>
  <c r="K1246" i="117" s="1"/>
  <c r="G1246" i="117"/>
  <c r="M1245" i="117"/>
  <c r="L1245" i="117"/>
  <c r="G1245" i="117"/>
  <c r="H1245" i="117" s="1"/>
  <c r="J1245" i="117" s="1"/>
  <c r="K1245" i="117" s="1"/>
  <c r="M1244" i="117"/>
  <c r="L1244" i="117"/>
  <c r="G1244" i="117"/>
  <c r="H1244" i="117" s="1"/>
  <c r="J1244" i="117" s="1"/>
  <c r="K1244" i="117" s="1"/>
  <c r="M1243" i="117"/>
  <c r="L1243" i="117"/>
  <c r="J1243" i="117"/>
  <c r="K1243" i="117" s="1"/>
  <c r="G1243" i="117"/>
  <c r="H1243" i="117" s="1"/>
  <c r="M1242" i="117"/>
  <c r="L1242" i="117"/>
  <c r="G1242" i="117"/>
  <c r="H1242" i="117" s="1"/>
  <c r="J1242" i="117" s="1"/>
  <c r="K1242" i="117" s="1"/>
  <c r="M1241" i="117"/>
  <c r="L1241" i="117"/>
  <c r="G1241" i="117"/>
  <c r="H1241" i="117" s="1"/>
  <c r="J1241" i="117" s="1"/>
  <c r="K1241" i="117" s="1"/>
  <c r="M1240" i="117"/>
  <c r="L1240" i="117"/>
  <c r="J1240" i="117"/>
  <c r="K1240" i="117" s="1"/>
  <c r="G1240" i="117"/>
  <c r="H1240" i="117" s="1"/>
  <c r="M1239" i="117"/>
  <c r="L1239" i="117"/>
  <c r="K1239" i="117"/>
  <c r="J1239" i="117"/>
  <c r="G1239" i="117"/>
  <c r="H1239" i="117" s="1"/>
  <c r="M1238" i="117"/>
  <c r="L1238" i="117"/>
  <c r="H1238" i="117"/>
  <c r="J1238" i="117" s="1"/>
  <c r="K1238" i="117" s="1"/>
  <c r="G1238" i="117"/>
  <c r="M1237" i="117"/>
  <c r="L1237" i="117"/>
  <c r="J1237" i="117"/>
  <c r="K1237" i="117" s="1"/>
  <c r="G1237" i="117"/>
  <c r="H1237" i="117" s="1"/>
  <c r="M1236" i="117"/>
  <c r="L1236" i="117"/>
  <c r="J1236" i="117"/>
  <c r="K1236" i="117" s="1"/>
  <c r="G1236" i="117"/>
  <c r="H1236" i="117" s="1"/>
  <c r="M1235" i="117"/>
  <c r="L1235" i="117"/>
  <c r="G1235" i="117"/>
  <c r="H1235" i="117" s="1"/>
  <c r="J1235" i="117" s="1"/>
  <c r="K1235" i="117" s="1"/>
  <c r="M1234" i="117"/>
  <c r="L1234" i="117"/>
  <c r="H1234" i="117"/>
  <c r="J1234" i="117" s="1"/>
  <c r="K1234" i="117" s="1"/>
  <c r="G1234" i="117"/>
  <c r="M1233" i="117"/>
  <c r="L1233" i="117"/>
  <c r="J1233" i="117"/>
  <c r="K1233" i="117" s="1"/>
  <c r="G1233" i="117"/>
  <c r="H1233" i="117" s="1"/>
  <c r="M1232" i="117"/>
  <c r="L1232" i="117"/>
  <c r="J1232" i="117"/>
  <c r="K1232" i="117" s="1"/>
  <c r="G1232" i="117"/>
  <c r="H1232" i="117" s="1"/>
  <c r="M1231" i="117"/>
  <c r="L1231" i="117"/>
  <c r="G1231" i="117"/>
  <c r="H1231" i="117" s="1"/>
  <c r="J1231" i="117" s="1"/>
  <c r="K1231" i="117" s="1"/>
  <c r="M1230" i="117"/>
  <c r="L1230" i="117"/>
  <c r="J1230" i="117"/>
  <c r="K1230" i="117" s="1"/>
  <c r="H1230" i="117"/>
  <c r="G1230" i="117"/>
  <c r="M1229" i="117"/>
  <c r="L1229" i="117"/>
  <c r="G1229" i="117"/>
  <c r="H1229" i="117" s="1"/>
  <c r="J1229" i="117" s="1"/>
  <c r="K1229" i="117" s="1"/>
  <c r="M1228" i="117"/>
  <c r="L1228" i="117"/>
  <c r="J1228" i="117"/>
  <c r="K1228" i="117" s="1"/>
  <c r="G1228" i="117"/>
  <c r="H1228" i="117" s="1"/>
  <c r="M1227" i="117"/>
  <c r="L1227" i="117"/>
  <c r="J1227" i="117"/>
  <c r="K1227" i="117" s="1"/>
  <c r="G1227" i="117"/>
  <c r="H1227" i="117" s="1"/>
  <c r="M1226" i="117"/>
  <c r="L1226" i="117"/>
  <c r="H1226" i="117"/>
  <c r="J1226" i="117" s="1"/>
  <c r="K1226" i="117" s="1"/>
  <c r="G1226" i="117"/>
  <c r="M1225" i="117"/>
  <c r="L1225" i="117"/>
  <c r="J1225" i="117"/>
  <c r="K1225" i="117" s="1"/>
  <c r="G1225" i="117"/>
  <c r="H1225" i="117" s="1"/>
  <c r="M1224" i="117"/>
  <c r="L1224" i="117"/>
  <c r="J1224" i="117"/>
  <c r="K1224" i="117" s="1"/>
  <c r="G1224" i="117"/>
  <c r="H1224" i="117" s="1"/>
  <c r="M1223" i="117"/>
  <c r="L1223" i="117"/>
  <c r="K1223" i="117"/>
  <c r="J1223" i="117"/>
  <c r="G1223" i="117"/>
  <c r="H1223" i="117" s="1"/>
  <c r="M1222" i="117"/>
  <c r="L1222" i="117"/>
  <c r="H1222" i="117"/>
  <c r="J1222" i="117" s="1"/>
  <c r="K1222" i="117" s="1"/>
  <c r="G1222" i="117"/>
  <c r="M1221" i="117"/>
  <c r="L1221" i="117"/>
  <c r="J1221" i="117"/>
  <c r="K1221" i="117" s="1"/>
  <c r="G1221" i="117"/>
  <c r="H1221" i="117" s="1"/>
  <c r="M1220" i="117"/>
  <c r="L1220" i="117"/>
  <c r="J1220" i="117"/>
  <c r="K1220" i="117" s="1"/>
  <c r="G1220" i="117"/>
  <c r="H1220" i="117" s="1"/>
  <c r="M1219" i="117"/>
  <c r="L1219" i="117"/>
  <c r="G1219" i="117"/>
  <c r="H1219" i="117" s="1"/>
  <c r="J1219" i="117" s="1"/>
  <c r="K1219" i="117" s="1"/>
  <c r="M1218" i="117"/>
  <c r="L1218" i="117"/>
  <c r="J1218" i="117"/>
  <c r="K1218" i="117" s="1"/>
  <c r="H1218" i="117"/>
  <c r="G1218" i="117"/>
  <c r="M1217" i="117"/>
  <c r="L1217" i="117"/>
  <c r="J1217" i="117"/>
  <c r="K1217" i="117" s="1"/>
  <c r="G1217" i="117"/>
  <c r="H1217" i="117" s="1"/>
  <c r="M1216" i="117"/>
  <c r="L1216" i="117"/>
  <c r="J1216" i="117"/>
  <c r="K1216" i="117" s="1"/>
  <c r="G1216" i="117"/>
  <c r="H1216" i="117" s="1"/>
  <c r="M1215" i="117"/>
  <c r="L1215" i="117"/>
  <c r="G1215" i="117"/>
  <c r="H1215" i="117" s="1"/>
  <c r="J1215" i="117" s="1"/>
  <c r="K1215" i="117" s="1"/>
  <c r="M1214" i="117"/>
  <c r="L1214" i="117"/>
  <c r="J1214" i="117"/>
  <c r="K1214" i="117" s="1"/>
  <c r="H1214" i="117"/>
  <c r="G1214" i="117"/>
  <c r="M1213" i="117"/>
  <c r="L1213" i="117"/>
  <c r="J1213" i="117"/>
  <c r="K1213" i="117" s="1"/>
  <c r="G1213" i="117"/>
  <c r="H1213" i="117" s="1"/>
  <c r="M1212" i="117"/>
  <c r="L1212" i="117"/>
  <c r="J1212" i="117"/>
  <c r="K1212" i="117" s="1"/>
  <c r="G1212" i="117"/>
  <c r="H1212" i="117" s="1"/>
  <c r="M1211" i="117"/>
  <c r="L1211" i="117"/>
  <c r="G1211" i="117"/>
  <c r="H1211" i="117" s="1"/>
  <c r="J1211" i="117" s="1"/>
  <c r="K1211" i="117" s="1"/>
  <c r="M1210" i="117"/>
  <c r="L1210" i="117"/>
  <c r="H1210" i="117"/>
  <c r="J1210" i="117" s="1"/>
  <c r="K1210" i="117" s="1"/>
  <c r="G1210" i="117"/>
  <c r="M1209" i="117"/>
  <c r="L1209" i="117"/>
  <c r="J1209" i="117"/>
  <c r="K1209" i="117" s="1"/>
  <c r="G1209" i="117"/>
  <c r="H1209" i="117" s="1"/>
  <c r="M1208" i="117"/>
  <c r="L1208" i="117"/>
  <c r="J1208" i="117"/>
  <c r="K1208" i="117" s="1"/>
  <c r="G1208" i="117"/>
  <c r="H1208" i="117" s="1"/>
  <c r="M1207" i="117"/>
  <c r="L1207" i="117"/>
  <c r="K1207" i="117"/>
  <c r="J1207" i="117"/>
  <c r="G1207" i="117"/>
  <c r="H1207" i="117" s="1"/>
  <c r="M1206" i="117"/>
  <c r="L1206" i="117"/>
  <c r="G1206" i="117"/>
  <c r="H1206" i="117" s="1"/>
  <c r="J1206" i="117" s="1"/>
  <c r="K1206" i="117" s="1"/>
  <c r="M1205" i="117"/>
  <c r="L1205" i="117"/>
  <c r="J1205" i="117"/>
  <c r="K1205" i="117" s="1"/>
  <c r="G1205" i="117"/>
  <c r="H1205" i="117" s="1"/>
  <c r="M1204" i="117"/>
  <c r="L1204" i="117"/>
  <c r="G1204" i="117"/>
  <c r="H1204" i="117" s="1"/>
  <c r="J1204" i="117" s="1"/>
  <c r="K1204" i="117" s="1"/>
  <c r="M1203" i="117"/>
  <c r="L1203" i="117"/>
  <c r="G1203" i="117"/>
  <c r="H1203" i="117" s="1"/>
  <c r="J1203" i="117" s="1"/>
  <c r="K1203" i="117" s="1"/>
  <c r="M1202" i="117"/>
  <c r="L1202" i="117"/>
  <c r="H1202" i="117"/>
  <c r="J1202" i="117" s="1"/>
  <c r="K1202" i="117" s="1"/>
  <c r="G1202" i="117"/>
  <c r="M1201" i="117"/>
  <c r="L1201" i="117"/>
  <c r="J1201" i="117"/>
  <c r="K1201" i="117" s="1"/>
  <c r="G1201" i="117"/>
  <c r="H1201" i="117" s="1"/>
  <c r="M1200" i="117"/>
  <c r="L1200" i="117"/>
  <c r="J1200" i="117"/>
  <c r="K1200" i="117" s="1"/>
  <c r="G1200" i="117"/>
  <c r="H1200" i="117" s="1"/>
  <c r="M1199" i="117"/>
  <c r="L1199" i="117"/>
  <c r="G1199" i="117"/>
  <c r="H1199" i="117" s="1"/>
  <c r="J1199" i="117" s="1"/>
  <c r="K1199" i="117" s="1"/>
  <c r="M1198" i="117"/>
  <c r="L1198" i="117"/>
  <c r="J1198" i="117"/>
  <c r="K1198" i="117" s="1"/>
  <c r="H1198" i="117"/>
  <c r="G1198" i="117"/>
  <c r="M1197" i="117"/>
  <c r="L1197" i="117"/>
  <c r="G1197" i="117"/>
  <c r="H1197" i="117" s="1"/>
  <c r="J1197" i="117" s="1"/>
  <c r="K1197" i="117" s="1"/>
  <c r="M1196" i="117"/>
  <c r="L1196" i="117"/>
  <c r="J1196" i="117"/>
  <c r="K1196" i="117" s="1"/>
  <c r="G1196" i="117"/>
  <c r="H1196" i="117" s="1"/>
  <c r="M1195" i="117"/>
  <c r="L1195" i="117"/>
  <c r="J1195" i="117"/>
  <c r="K1195" i="117" s="1"/>
  <c r="G1195" i="117"/>
  <c r="H1195" i="117" s="1"/>
  <c r="M1194" i="117"/>
  <c r="L1194" i="117"/>
  <c r="H1194" i="117"/>
  <c r="J1194" i="117" s="1"/>
  <c r="K1194" i="117" s="1"/>
  <c r="G1194" i="117"/>
  <c r="M1193" i="117"/>
  <c r="L1193" i="117"/>
  <c r="J1193" i="117"/>
  <c r="K1193" i="117" s="1"/>
  <c r="G1193" i="117"/>
  <c r="H1193" i="117" s="1"/>
  <c r="M1192" i="117"/>
  <c r="L1192" i="117"/>
  <c r="J1192" i="117"/>
  <c r="K1192" i="117" s="1"/>
  <c r="G1192" i="117"/>
  <c r="H1192" i="117" s="1"/>
  <c r="M1191" i="117"/>
  <c r="L1191" i="117"/>
  <c r="K1191" i="117"/>
  <c r="J1191" i="117"/>
  <c r="G1191" i="117"/>
  <c r="H1191" i="117" s="1"/>
  <c r="M1190" i="117"/>
  <c r="L1190" i="117"/>
  <c r="H1190" i="117"/>
  <c r="J1190" i="117" s="1"/>
  <c r="K1190" i="117" s="1"/>
  <c r="G1190" i="117"/>
  <c r="M1189" i="117"/>
  <c r="L1189" i="117"/>
  <c r="J1189" i="117"/>
  <c r="K1189" i="117" s="1"/>
  <c r="G1189" i="117"/>
  <c r="H1189" i="117" s="1"/>
  <c r="M1188" i="117"/>
  <c r="L1188" i="117"/>
  <c r="J1188" i="117"/>
  <c r="K1188" i="117" s="1"/>
  <c r="G1188" i="117"/>
  <c r="H1188" i="117" s="1"/>
  <c r="M1187" i="117"/>
  <c r="L1187" i="117"/>
  <c r="G1187" i="117"/>
  <c r="H1187" i="117" s="1"/>
  <c r="J1187" i="117" s="1"/>
  <c r="K1187" i="117" s="1"/>
  <c r="M1186" i="117"/>
  <c r="L1186" i="117"/>
  <c r="H1186" i="117"/>
  <c r="J1186" i="117" s="1"/>
  <c r="K1186" i="117" s="1"/>
  <c r="G1186" i="117"/>
  <c r="M1185" i="117"/>
  <c r="L1185" i="117"/>
  <c r="J1185" i="117"/>
  <c r="K1185" i="117" s="1"/>
  <c r="G1185" i="117"/>
  <c r="H1185" i="117" s="1"/>
  <c r="M1184" i="117"/>
  <c r="L1184" i="117"/>
  <c r="J1184" i="117"/>
  <c r="K1184" i="117" s="1"/>
  <c r="G1184" i="117"/>
  <c r="H1184" i="117" s="1"/>
  <c r="M1183" i="117"/>
  <c r="L1183" i="117"/>
  <c r="G1183" i="117"/>
  <c r="H1183" i="117" s="1"/>
  <c r="J1183" i="117" s="1"/>
  <c r="K1183" i="117" s="1"/>
  <c r="M1182" i="117"/>
  <c r="L1182" i="117"/>
  <c r="J1182" i="117"/>
  <c r="K1182" i="117" s="1"/>
  <c r="H1182" i="117"/>
  <c r="G1182" i="117"/>
  <c r="M1181" i="117"/>
  <c r="L1181" i="117"/>
  <c r="J1181" i="117"/>
  <c r="K1181" i="117" s="1"/>
  <c r="G1181" i="117"/>
  <c r="H1181" i="117" s="1"/>
  <c r="M1180" i="117"/>
  <c r="L1180" i="117"/>
  <c r="J1180" i="117"/>
  <c r="K1180" i="117" s="1"/>
  <c r="G1180" i="117"/>
  <c r="H1180" i="117" s="1"/>
  <c r="M1179" i="117"/>
  <c r="L1179" i="117"/>
  <c r="G1179" i="117"/>
  <c r="H1179" i="117" s="1"/>
  <c r="J1179" i="117" s="1"/>
  <c r="K1179" i="117" s="1"/>
  <c r="M1178" i="117"/>
  <c r="L1178" i="117"/>
  <c r="H1178" i="117"/>
  <c r="J1178" i="117" s="1"/>
  <c r="K1178" i="117" s="1"/>
  <c r="G1178" i="117"/>
  <c r="M1177" i="117"/>
  <c r="L1177" i="117"/>
  <c r="G1177" i="117"/>
  <c r="H1177" i="117" s="1"/>
  <c r="J1177" i="117" s="1"/>
  <c r="K1177" i="117" s="1"/>
  <c r="M1176" i="117"/>
  <c r="L1176" i="117"/>
  <c r="J1176" i="117"/>
  <c r="K1176" i="117" s="1"/>
  <c r="G1176" i="117"/>
  <c r="H1176" i="117" s="1"/>
  <c r="M1175" i="117"/>
  <c r="L1175" i="117"/>
  <c r="J1175" i="117"/>
  <c r="K1175" i="117" s="1"/>
  <c r="G1175" i="117"/>
  <c r="H1175" i="117" s="1"/>
  <c r="M1174" i="117"/>
  <c r="L1174" i="117"/>
  <c r="G1174" i="117"/>
  <c r="H1174" i="117" s="1"/>
  <c r="J1174" i="117" s="1"/>
  <c r="K1174" i="117" s="1"/>
  <c r="M1173" i="117"/>
  <c r="L1173" i="117"/>
  <c r="J1173" i="117"/>
  <c r="K1173" i="117" s="1"/>
  <c r="G1173" i="117"/>
  <c r="H1173" i="117" s="1"/>
  <c r="M1172" i="117"/>
  <c r="L1172" i="117"/>
  <c r="G1172" i="117"/>
  <c r="H1172" i="117" s="1"/>
  <c r="J1172" i="117" s="1"/>
  <c r="K1172" i="117" s="1"/>
  <c r="M1171" i="117"/>
  <c r="L1171" i="117"/>
  <c r="G1171" i="117"/>
  <c r="H1171" i="117" s="1"/>
  <c r="J1171" i="117" s="1"/>
  <c r="K1171" i="117" s="1"/>
  <c r="M1170" i="117"/>
  <c r="L1170" i="117"/>
  <c r="G1170" i="117"/>
  <c r="H1170" i="117" s="1"/>
  <c r="J1170" i="117" s="1"/>
  <c r="K1170" i="117" s="1"/>
  <c r="M1169" i="117"/>
  <c r="L1169" i="117"/>
  <c r="J1169" i="117"/>
  <c r="K1169" i="117" s="1"/>
  <c r="G1169" i="117"/>
  <c r="H1169" i="117" s="1"/>
  <c r="M1168" i="117"/>
  <c r="L1168" i="117"/>
  <c r="G1168" i="117"/>
  <c r="H1168" i="117" s="1"/>
  <c r="J1168" i="117" s="1"/>
  <c r="K1168" i="117" s="1"/>
  <c r="M1167" i="117"/>
  <c r="L1167" i="117"/>
  <c r="G1167" i="117"/>
  <c r="H1167" i="117" s="1"/>
  <c r="J1167" i="117" s="1"/>
  <c r="K1167" i="117" s="1"/>
  <c r="M1166" i="117"/>
  <c r="L1166" i="117"/>
  <c r="J1166" i="117"/>
  <c r="K1166" i="117" s="1"/>
  <c r="H1166" i="117"/>
  <c r="G1166" i="117"/>
  <c r="M1165" i="117"/>
  <c r="L1165" i="117"/>
  <c r="G1165" i="117"/>
  <c r="H1165" i="117" s="1"/>
  <c r="J1165" i="117" s="1"/>
  <c r="K1165" i="117" s="1"/>
  <c r="M1164" i="117"/>
  <c r="L1164" i="117"/>
  <c r="J1164" i="117"/>
  <c r="K1164" i="117" s="1"/>
  <c r="G1164" i="117"/>
  <c r="H1164" i="117" s="1"/>
  <c r="M1163" i="117"/>
  <c r="L1163" i="117"/>
  <c r="G1163" i="117"/>
  <c r="H1163" i="117" s="1"/>
  <c r="J1163" i="117" s="1"/>
  <c r="K1163" i="117" s="1"/>
  <c r="M1162" i="117"/>
  <c r="L1162" i="117"/>
  <c r="H1162" i="117"/>
  <c r="J1162" i="117" s="1"/>
  <c r="K1162" i="117" s="1"/>
  <c r="G1162" i="117"/>
  <c r="M1161" i="117"/>
  <c r="L1161" i="117"/>
  <c r="G1161" i="117"/>
  <c r="H1161" i="117" s="1"/>
  <c r="J1161" i="117" s="1"/>
  <c r="K1161" i="117" s="1"/>
  <c r="M1160" i="117"/>
  <c r="L1160" i="117"/>
  <c r="J1160" i="117"/>
  <c r="K1160" i="117" s="1"/>
  <c r="G1160" i="117"/>
  <c r="H1160" i="117" s="1"/>
  <c r="M1159" i="117"/>
  <c r="L1159" i="117"/>
  <c r="J1159" i="117"/>
  <c r="K1159" i="117" s="1"/>
  <c r="G1159" i="117"/>
  <c r="H1159" i="117" s="1"/>
  <c r="M1158" i="117"/>
  <c r="L1158" i="117"/>
  <c r="H1158" i="117"/>
  <c r="J1158" i="117" s="1"/>
  <c r="K1158" i="117" s="1"/>
  <c r="G1158" i="117"/>
  <c r="M1157" i="117"/>
  <c r="L1157" i="117"/>
  <c r="J1157" i="117"/>
  <c r="K1157" i="117" s="1"/>
  <c r="G1157" i="117"/>
  <c r="H1157" i="117" s="1"/>
  <c r="M1156" i="117"/>
  <c r="L1156" i="117"/>
  <c r="J1156" i="117"/>
  <c r="K1156" i="117" s="1"/>
  <c r="G1156" i="117"/>
  <c r="H1156" i="117" s="1"/>
  <c r="M1155" i="117"/>
  <c r="L1155" i="117"/>
  <c r="G1155" i="117"/>
  <c r="H1155" i="117" s="1"/>
  <c r="J1155" i="117" s="1"/>
  <c r="K1155" i="117" s="1"/>
  <c r="M1154" i="117"/>
  <c r="L1154" i="117"/>
  <c r="J1154" i="117"/>
  <c r="K1154" i="117" s="1"/>
  <c r="H1154" i="117"/>
  <c r="G1154" i="117"/>
  <c r="M1153" i="117"/>
  <c r="L1153" i="117"/>
  <c r="J1153" i="117"/>
  <c r="K1153" i="117" s="1"/>
  <c r="G1153" i="117"/>
  <c r="H1153" i="117" s="1"/>
  <c r="M1152" i="117"/>
  <c r="L1152" i="117"/>
  <c r="J1152" i="117"/>
  <c r="K1152" i="117" s="1"/>
  <c r="G1152" i="117"/>
  <c r="H1152" i="117" s="1"/>
  <c r="M1151" i="117"/>
  <c r="L1151" i="117"/>
  <c r="G1151" i="117"/>
  <c r="H1151" i="117" s="1"/>
  <c r="J1151" i="117" s="1"/>
  <c r="K1151" i="117" s="1"/>
  <c r="M1150" i="117"/>
  <c r="L1150" i="117"/>
  <c r="J1150" i="117"/>
  <c r="K1150" i="117" s="1"/>
  <c r="H1150" i="117"/>
  <c r="G1150" i="117"/>
  <c r="M1149" i="117"/>
  <c r="L1149" i="117"/>
  <c r="J1149" i="117"/>
  <c r="K1149" i="117" s="1"/>
  <c r="G1149" i="117"/>
  <c r="H1149" i="117" s="1"/>
  <c r="M1148" i="117"/>
  <c r="L1148" i="117"/>
  <c r="G1148" i="117"/>
  <c r="H1148" i="117" s="1"/>
  <c r="J1148" i="117" s="1"/>
  <c r="K1148" i="117" s="1"/>
  <c r="M1147" i="117"/>
  <c r="L1147" i="117"/>
  <c r="J1147" i="117"/>
  <c r="K1147" i="117" s="1"/>
  <c r="H1147" i="117"/>
  <c r="G1147" i="117"/>
  <c r="M1146" i="117"/>
  <c r="L1146" i="117"/>
  <c r="G1146" i="117"/>
  <c r="H1146" i="117" s="1"/>
  <c r="J1146" i="117" s="1"/>
  <c r="K1146" i="117" s="1"/>
  <c r="M1145" i="117"/>
  <c r="L1145" i="117"/>
  <c r="G1145" i="117"/>
  <c r="H1145" i="117" s="1"/>
  <c r="J1145" i="117" s="1"/>
  <c r="K1145" i="117" s="1"/>
  <c r="M1144" i="117"/>
  <c r="L1144" i="117"/>
  <c r="G1144" i="117"/>
  <c r="H1144" i="117" s="1"/>
  <c r="J1144" i="117" s="1"/>
  <c r="K1144" i="117" s="1"/>
  <c r="M1143" i="117"/>
  <c r="L1143" i="117"/>
  <c r="H1143" i="117"/>
  <c r="J1143" i="117" s="1"/>
  <c r="K1143" i="117" s="1"/>
  <c r="G1143" i="117"/>
  <c r="M1142" i="117"/>
  <c r="L1142" i="117"/>
  <c r="H1142" i="117"/>
  <c r="J1142" i="117" s="1"/>
  <c r="K1142" i="117" s="1"/>
  <c r="G1142" i="117"/>
  <c r="M1141" i="117"/>
  <c r="L1141" i="117"/>
  <c r="G1141" i="117"/>
  <c r="H1141" i="117" s="1"/>
  <c r="J1141" i="117" s="1"/>
  <c r="K1141" i="117" s="1"/>
  <c r="M1140" i="117"/>
  <c r="L1140" i="117"/>
  <c r="G1140" i="117"/>
  <c r="H1140" i="117" s="1"/>
  <c r="J1140" i="117" s="1"/>
  <c r="K1140" i="117" s="1"/>
  <c r="M1139" i="117"/>
  <c r="L1139" i="117"/>
  <c r="K1139" i="117"/>
  <c r="J1139" i="117"/>
  <c r="H1139" i="117"/>
  <c r="G1139" i="117"/>
  <c r="M1138" i="117"/>
  <c r="L1138" i="117"/>
  <c r="G1138" i="117"/>
  <c r="H1138" i="117" s="1"/>
  <c r="J1138" i="117" s="1"/>
  <c r="K1138" i="117" s="1"/>
  <c r="M1137" i="117"/>
  <c r="L1137" i="117"/>
  <c r="G1137" i="117"/>
  <c r="H1137" i="117" s="1"/>
  <c r="J1137" i="117" s="1"/>
  <c r="K1137" i="117" s="1"/>
  <c r="M1136" i="117"/>
  <c r="L1136" i="117"/>
  <c r="G1136" i="117"/>
  <c r="H1136" i="117" s="1"/>
  <c r="J1136" i="117" s="1"/>
  <c r="K1136" i="117" s="1"/>
  <c r="M1135" i="117"/>
  <c r="L1135" i="117"/>
  <c r="H1135" i="117"/>
  <c r="J1135" i="117" s="1"/>
  <c r="K1135" i="117" s="1"/>
  <c r="G1135" i="117"/>
  <c r="M1134" i="117"/>
  <c r="L1134" i="117"/>
  <c r="J1134" i="117"/>
  <c r="K1134" i="117" s="1"/>
  <c r="H1134" i="117"/>
  <c r="G1134" i="117"/>
  <c r="M1133" i="117"/>
  <c r="L1133" i="117"/>
  <c r="G1133" i="117"/>
  <c r="H1133" i="117" s="1"/>
  <c r="J1133" i="117" s="1"/>
  <c r="K1133" i="117" s="1"/>
  <c r="M1132" i="117"/>
  <c r="L1132" i="117"/>
  <c r="K1132" i="117"/>
  <c r="G1132" i="117"/>
  <c r="H1132" i="117" s="1"/>
  <c r="J1132" i="117" s="1"/>
  <c r="M1131" i="117"/>
  <c r="L1131" i="117"/>
  <c r="J1131" i="117"/>
  <c r="K1131" i="117" s="1"/>
  <c r="H1131" i="117"/>
  <c r="G1131" i="117"/>
  <c r="M1130" i="117"/>
  <c r="L1130" i="117"/>
  <c r="G1130" i="117"/>
  <c r="H1130" i="117" s="1"/>
  <c r="J1130" i="117" s="1"/>
  <c r="K1130" i="117" s="1"/>
  <c r="M1129" i="117"/>
  <c r="L1129" i="117"/>
  <c r="G1129" i="117"/>
  <c r="H1129" i="117" s="1"/>
  <c r="J1129" i="117" s="1"/>
  <c r="K1129" i="117" s="1"/>
  <c r="M1128" i="117"/>
  <c r="L1128" i="117"/>
  <c r="G1128" i="117"/>
  <c r="H1128" i="117" s="1"/>
  <c r="J1128" i="117" s="1"/>
  <c r="K1128" i="117" s="1"/>
  <c r="M1127" i="117"/>
  <c r="L1127" i="117"/>
  <c r="H1127" i="117"/>
  <c r="J1127" i="117" s="1"/>
  <c r="K1127" i="117" s="1"/>
  <c r="G1127" i="117"/>
  <c r="M1126" i="117"/>
  <c r="L1126" i="117"/>
  <c r="H1126" i="117"/>
  <c r="J1126" i="117" s="1"/>
  <c r="K1126" i="117" s="1"/>
  <c r="G1126" i="117"/>
  <c r="M1125" i="117"/>
  <c r="L1125" i="117"/>
  <c r="G1125" i="117"/>
  <c r="H1125" i="117" s="1"/>
  <c r="J1125" i="117" s="1"/>
  <c r="K1125" i="117" s="1"/>
  <c r="M1124" i="117"/>
  <c r="L1124" i="117"/>
  <c r="G1124" i="117"/>
  <c r="H1124" i="117" s="1"/>
  <c r="J1124" i="117" s="1"/>
  <c r="K1124" i="117" s="1"/>
  <c r="M1123" i="117"/>
  <c r="L1123" i="117"/>
  <c r="K1123" i="117"/>
  <c r="J1123" i="117"/>
  <c r="H1123" i="117"/>
  <c r="G1123" i="117"/>
  <c r="M1122" i="117"/>
  <c r="L1122" i="117"/>
  <c r="G1122" i="117"/>
  <c r="H1122" i="117" s="1"/>
  <c r="J1122" i="117" s="1"/>
  <c r="K1122" i="117" s="1"/>
  <c r="M1121" i="117"/>
  <c r="L1121" i="117"/>
  <c r="G1121" i="117"/>
  <c r="H1121" i="117" s="1"/>
  <c r="J1121" i="117" s="1"/>
  <c r="K1121" i="117" s="1"/>
  <c r="M1120" i="117"/>
  <c r="L1120" i="117"/>
  <c r="G1120" i="117"/>
  <c r="H1120" i="117" s="1"/>
  <c r="J1120" i="117" s="1"/>
  <c r="K1120" i="117" s="1"/>
  <c r="M1119" i="117"/>
  <c r="L1119" i="117"/>
  <c r="J1119" i="117"/>
  <c r="K1119" i="117" s="1"/>
  <c r="H1119" i="117"/>
  <c r="G1119" i="117"/>
  <c r="M1118" i="117"/>
  <c r="L1118" i="117"/>
  <c r="J1118" i="117"/>
  <c r="K1118" i="117" s="1"/>
  <c r="H1118" i="117"/>
  <c r="G1118" i="117"/>
  <c r="M1117" i="117"/>
  <c r="L1117" i="117"/>
  <c r="G1117" i="117"/>
  <c r="H1117" i="117" s="1"/>
  <c r="J1117" i="117" s="1"/>
  <c r="K1117" i="117" s="1"/>
  <c r="M1116" i="117"/>
  <c r="L1116" i="117"/>
  <c r="K1116" i="117"/>
  <c r="G1116" i="117"/>
  <c r="H1116" i="117" s="1"/>
  <c r="J1116" i="117" s="1"/>
  <c r="M1115" i="117"/>
  <c r="L1115" i="117"/>
  <c r="J1115" i="117"/>
  <c r="K1115" i="117" s="1"/>
  <c r="H1115" i="117"/>
  <c r="G1115" i="117"/>
  <c r="M1114" i="117"/>
  <c r="L1114" i="117"/>
  <c r="H1114" i="117"/>
  <c r="J1114" i="117" s="1"/>
  <c r="K1114" i="117" s="1"/>
  <c r="G1114" i="117"/>
  <c r="M1113" i="117"/>
  <c r="L1113" i="117"/>
  <c r="G1113" i="117"/>
  <c r="H1113" i="117" s="1"/>
  <c r="J1113" i="117" s="1"/>
  <c r="K1113" i="117" s="1"/>
  <c r="M1112" i="117"/>
  <c r="L1112" i="117"/>
  <c r="G1112" i="117"/>
  <c r="H1112" i="117" s="1"/>
  <c r="J1112" i="117" s="1"/>
  <c r="K1112" i="117" s="1"/>
  <c r="M1111" i="117"/>
  <c r="L1111" i="117"/>
  <c r="H1111" i="117"/>
  <c r="J1111" i="117" s="1"/>
  <c r="K1111" i="117" s="1"/>
  <c r="G1111" i="117"/>
  <c r="M1110" i="117"/>
  <c r="L1110" i="117"/>
  <c r="H1110" i="117"/>
  <c r="J1110" i="117" s="1"/>
  <c r="K1110" i="117" s="1"/>
  <c r="G1110" i="117"/>
  <c r="M1109" i="117"/>
  <c r="L1109" i="117"/>
  <c r="J1109" i="117"/>
  <c r="K1109" i="117" s="1"/>
  <c r="G1109" i="117"/>
  <c r="H1109" i="117" s="1"/>
  <c r="M1108" i="117"/>
  <c r="L1108" i="117"/>
  <c r="K1108" i="117"/>
  <c r="G1108" i="117"/>
  <c r="H1108" i="117" s="1"/>
  <c r="J1108" i="117" s="1"/>
  <c r="M1107" i="117"/>
  <c r="L1107" i="117"/>
  <c r="H1107" i="117"/>
  <c r="J1107" i="117" s="1"/>
  <c r="K1107" i="117" s="1"/>
  <c r="G1107" i="117"/>
  <c r="M1106" i="117"/>
  <c r="L1106" i="117"/>
  <c r="H1106" i="117"/>
  <c r="J1106" i="117" s="1"/>
  <c r="K1106" i="117" s="1"/>
  <c r="G1106" i="117"/>
  <c r="M1105" i="117"/>
  <c r="L1105" i="117"/>
  <c r="G1105" i="117"/>
  <c r="H1105" i="117" s="1"/>
  <c r="J1105" i="117" s="1"/>
  <c r="K1105" i="117" s="1"/>
  <c r="M1104" i="117"/>
  <c r="L1104" i="117"/>
  <c r="K1104" i="117"/>
  <c r="G1104" i="117"/>
  <c r="H1104" i="117" s="1"/>
  <c r="J1104" i="117" s="1"/>
  <c r="M1103" i="117"/>
  <c r="L1103" i="117"/>
  <c r="J1103" i="117"/>
  <c r="K1103" i="117" s="1"/>
  <c r="H1103" i="117"/>
  <c r="G1103" i="117"/>
  <c r="M1102" i="117"/>
  <c r="L1102" i="117"/>
  <c r="G1102" i="117"/>
  <c r="H1102" i="117" s="1"/>
  <c r="J1102" i="117" s="1"/>
  <c r="K1102" i="117" s="1"/>
  <c r="M1101" i="117"/>
  <c r="L1101" i="117"/>
  <c r="G1101" i="117"/>
  <c r="H1101" i="117" s="1"/>
  <c r="J1101" i="117" s="1"/>
  <c r="K1101" i="117" s="1"/>
  <c r="M1100" i="117"/>
  <c r="L1100" i="117"/>
  <c r="G1100" i="117"/>
  <c r="H1100" i="117" s="1"/>
  <c r="J1100" i="117" s="1"/>
  <c r="K1100" i="117" s="1"/>
  <c r="M1099" i="117"/>
  <c r="L1099" i="117"/>
  <c r="J1099" i="117"/>
  <c r="K1099" i="117" s="1"/>
  <c r="H1099" i="117"/>
  <c r="G1099" i="117"/>
  <c r="M1098" i="117"/>
  <c r="L1098" i="117"/>
  <c r="G1098" i="117"/>
  <c r="H1098" i="117" s="1"/>
  <c r="J1098" i="117" s="1"/>
  <c r="K1098" i="117" s="1"/>
  <c r="M1097" i="117"/>
  <c r="L1097" i="117"/>
  <c r="G1097" i="117"/>
  <c r="H1097" i="117" s="1"/>
  <c r="J1097" i="117" s="1"/>
  <c r="K1097" i="117" s="1"/>
  <c r="M1096" i="117"/>
  <c r="L1096" i="117"/>
  <c r="G1096" i="117"/>
  <c r="H1096" i="117" s="1"/>
  <c r="J1096" i="117" s="1"/>
  <c r="K1096" i="117" s="1"/>
  <c r="M1095" i="117"/>
  <c r="L1095" i="117"/>
  <c r="H1095" i="117"/>
  <c r="J1095" i="117" s="1"/>
  <c r="K1095" i="117" s="1"/>
  <c r="G1095" i="117"/>
  <c r="M1094" i="117"/>
  <c r="L1094" i="117"/>
  <c r="J1094" i="117"/>
  <c r="K1094" i="117" s="1"/>
  <c r="H1094" i="117"/>
  <c r="G1094" i="117"/>
  <c r="M1093" i="117"/>
  <c r="L1093" i="117"/>
  <c r="J1093" i="117"/>
  <c r="K1093" i="117" s="1"/>
  <c r="G1093" i="117"/>
  <c r="H1093" i="117" s="1"/>
  <c r="M1092" i="117"/>
  <c r="L1092" i="117"/>
  <c r="K1092" i="117"/>
  <c r="G1092" i="117"/>
  <c r="H1092" i="117" s="1"/>
  <c r="J1092" i="117" s="1"/>
  <c r="M1091" i="117"/>
  <c r="L1091" i="117"/>
  <c r="H1091" i="117"/>
  <c r="J1091" i="117" s="1"/>
  <c r="K1091" i="117" s="1"/>
  <c r="G1091" i="117"/>
  <c r="M1090" i="117"/>
  <c r="L1090" i="117"/>
  <c r="G1090" i="117"/>
  <c r="H1090" i="117" s="1"/>
  <c r="J1090" i="117" s="1"/>
  <c r="K1090" i="117" s="1"/>
  <c r="M1089" i="117"/>
  <c r="L1089" i="117"/>
  <c r="J1089" i="117"/>
  <c r="K1089" i="117" s="1"/>
  <c r="G1089" i="117"/>
  <c r="H1089" i="117" s="1"/>
  <c r="M1088" i="117"/>
  <c r="L1088" i="117"/>
  <c r="J1088" i="117"/>
  <c r="K1088" i="117" s="1"/>
  <c r="G1088" i="117"/>
  <c r="H1088" i="117" s="1"/>
  <c r="M1087" i="117"/>
  <c r="L1087" i="117"/>
  <c r="G1087" i="117"/>
  <c r="H1087" i="117" s="1"/>
  <c r="J1087" i="117" s="1"/>
  <c r="K1087" i="117" s="1"/>
  <c r="M1086" i="117"/>
  <c r="L1086" i="117"/>
  <c r="H1086" i="117"/>
  <c r="J1086" i="117" s="1"/>
  <c r="K1086" i="117" s="1"/>
  <c r="G1086" i="117"/>
  <c r="M1085" i="117"/>
  <c r="L1085" i="117"/>
  <c r="J1085" i="117"/>
  <c r="K1085" i="117" s="1"/>
  <c r="G1085" i="117"/>
  <c r="H1085" i="117" s="1"/>
  <c r="M1084" i="117"/>
  <c r="L1084" i="117"/>
  <c r="G1084" i="117"/>
  <c r="H1084" i="117" s="1"/>
  <c r="J1084" i="117" s="1"/>
  <c r="K1084" i="117" s="1"/>
  <c r="M1083" i="117"/>
  <c r="L1083" i="117"/>
  <c r="J1083" i="117"/>
  <c r="K1083" i="117" s="1"/>
  <c r="H1083" i="117"/>
  <c r="G1083" i="117"/>
  <c r="M1082" i="117"/>
  <c r="L1082" i="117"/>
  <c r="G1082" i="117"/>
  <c r="H1082" i="117" s="1"/>
  <c r="J1082" i="117" s="1"/>
  <c r="K1082" i="117" s="1"/>
  <c r="M1081" i="117"/>
  <c r="L1081" i="117"/>
  <c r="G1081" i="117"/>
  <c r="H1081" i="117" s="1"/>
  <c r="J1081" i="117" s="1"/>
  <c r="K1081" i="117" s="1"/>
  <c r="M1080" i="117"/>
  <c r="L1080" i="117"/>
  <c r="J1080" i="117"/>
  <c r="K1080" i="117" s="1"/>
  <c r="H1080" i="117"/>
  <c r="G1080" i="117"/>
  <c r="M1079" i="117"/>
  <c r="L1079" i="117"/>
  <c r="G1079" i="117"/>
  <c r="H1079" i="117" s="1"/>
  <c r="J1079" i="117" s="1"/>
  <c r="K1079" i="117" s="1"/>
  <c r="M1078" i="117"/>
  <c r="L1078" i="117"/>
  <c r="G1078" i="117"/>
  <c r="H1078" i="117" s="1"/>
  <c r="J1078" i="117" s="1"/>
  <c r="K1078" i="117" s="1"/>
  <c r="M1077" i="117"/>
  <c r="L1077" i="117"/>
  <c r="K1077" i="117"/>
  <c r="J1077" i="117"/>
  <c r="G1077" i="117"/>
  <c r="H1077" i="117" s="1"/>
  <c r="M1076" i="117"/>
  <c r="L1076" i="117"/>
  <c r="G1076" i="117"/>
  <c r="H1076" i="117" s="1"/>
  <c r="J1076" i="117" s="1"/>
  <c r="K1076" i="117" s="1"/>
  <c r="M1075" i="117"/>
  <c r="L1075" i="117"/>
  <c r="H1075" i="117"/>
  <c r="J1075" i="117" s="1"/>
  <c r="K1075" i="117" s="1"/>
  <c r="G1075" i="117"/>
  <c r="M1074" i="117"/>
  <c r="L1074" i="117"/>
  <c r="G1074" i="117"/>
  <c r="H1074" i="117" s="1"/>
  <c r="J1074" i="117" s="1"/>
  <c r="K1074" i="117" s="1"/>
  <c r="M1073" i="117"/>
  <c r="L1073" i="117"/>
  <c r="G1073" i="117"/>
  <c r="H1073" i="117" s="1"/>
  <c r="J1073" i="117" s="1"/>
  <c r="K1073" i="117" s="1"/>
  <c r="M1072" i="117"/>
  <c r="L1072" i="117"/>
  <c r="H1072" i="117"/>
  <c r="J1072" i="117" s="1"/>
  <c r="K1072" i="117" s="1"/>
  <c r="G1072" i="117"/>
  <c r="M1071" i="117"/>
  <c r="L1071" i="117"/>
  <c r="G1071" i="117"/>
  <c r="H1071" i="117" s="1"/>
  <c r="J1071" i="117" s="1"/>
  <c r="K1071" i="117" s="1"/>
  <c r="M1070" i="117"/>
  <c r="L1070" i="117"/>
  <c r="H1070" i="117"/>
  <c r="J1070" i="117" s="1"/>
  <c r="K1070" i="117" s="1"/>
  <c r="G1070" i="117"/>
  <c r="M1069" i="117"/>
  <c r="L1069" i="117"/>
  <c r="J1069" i="117"/>
  <c r="K1069" i="117" s="1"/>
  <c r="G1069" i="117"/>
  <c r="H1069" i="117" s="1"/>
  <c r="M1068" i="117"/>
  <c r="L1068" i="117"/>
  <c r="G1068" i="117"/>
  <c r="H1068" i="117" s="1"/>
  <c r="J1068" i="117" s="1"/>
  <c r="K1068" i="117" s="1"/>
  <c r="M1067" i="117"/>
  <c r="L1067" i="117"/>
  <c r="J1067" i="117"/>
  <c r="K1067" i="117" s="1"/>
  <c r="H1067" i="117"/>
  <c r="G1067" i="117"/>
  <c r="M1066" i="117"/>
  <c r="L1066" i="117"/>
  <c r="G1066" i="117"/>
  <c r="H1066" i="117" s="1"/>
  <c r="J1066" i="117" s="1"/>
  <c r="K1066" i="117" s="1"/>
  <c r="M1065" i="117"/>
  <c r="L1065" i="117"/>
  <c r="G1065" i="117"/>
  <c r="H1065" i="117" s="1"/>
  <c r="J1065" i="117" s="1"/>
  <c r="K1065" i="117" s="1"/>
  <c r="M1064" i="117"/>
  <c r="L1064" i="117"/>
  <c r="J1064" i="117"/>
  <c r="K1064" i="117" s="1"/>
  <c r="H1064" i="117"/>
  <c r="G1064" i="117"/>
  <c r="M1063" i="117"/>
  <c r="L1063" i="117"/>
  <c r="G1063" i="117"/>
  <c r="H1063" i="117" s="1"/>
  <c r="J1063" i="117" s="1"/>
  <c r="K1063" i="117" s="1"/>
  <c r="M1062" i="117"/>
  <c r="L1062" i="117"/>
  <c r="G1062" i="117"/>
  <c r="H1062" i="117" s="1"/>
  <c r="J1062" i="117" s="1"/>
  <c r="K1062" i="117" s="1"/>
  <c r="M1061" i="117"/>
  <c r="L1061" i="117"/>
  <c r="K1061" i="117"/>
  <c r="J1061" i="117"/>
  <c r="G1061" i="117"/>
  <c r="H1061" i="117" s="1"/>
  <c r="M1060" i="117"/>
  <c r="L1060" i="117"/>
  <c r="G1060" i="117"/>
  <c r="H1060" i="117" s="1"/>
  <c r="J1060" i="117" s="1"/>
  <c r="K1060" i="117" s="1"/>
  <c r="M1059" i="117"/>
  <c r="L1059" i="117"/>
  <c r="G1059" i="117"/>
  <c r="H1059" i="117" s="1"/>
  <c r="J1059" i="117" s="1"/>
  <c r="K1059" i="117" s="1"/>
  <c r="M1058" i="117"/>
  <c r="L1058" i="117"/>
  <c r="G1058" i="117"/>
  <c r="H1058" i="117" s="1"/>
  <c r="J1058" i="117" s="1"/>
  <c r="K1058" i="117" s="1"/>
  <c r="M1057" i="117"/>
  <c r="L1057" i="117"/>
  <c r="G1057" i="117"/>
  <c r="H1057" i="117" s="1"/>
  <c r="J1057" i="117" s="1"/>
  <c r="K1057" i="117" s="1"/>
  <c r="M1056" i="117"/>
  <c r="L1056" i="117"/>
  <c r="G1056" i="117"/>
  <c r="H1056" i="117" s="1"/>
  <c r="J1056" i="117" s="1"/>
  <c r="K1056" i="117" s="1"/>
  <c r="M1055" i="117"/>
  <c r="L1055" i="117"/>
  <c r="G1055" i="117"/>
  <c r="H1055" i="117" s="1"/>
  <c r="J1055" i="117" s="1"/>
  <c r="K1055" i="117" s="1"/>
  <c r="M1054" i="117"/>
  <c r="L1054" i="117"/>
  <c r="H1054" i="117"/>
  <c r="J1054" i="117" s="1"/>
  <c r="K1054" i="117" s="1"/>
  <c r="G1054" i="117"/>
  <c r="M1053" i="117"/>
  <c r="L1053" i="117"/>
  <c r="G1053" i="117"/>
  <c r="H1053" i="117" s="1"/>
  <c r="J1053" i="117" s="1"/>
  <c r="K1053" i="117" s="1"/>
  <c r="M1052" i="117"/>
  <c r="L1052" i="117"/>
  <c r="G1052" i="117"/>
  <c r="H1052" i="117" s="1"/>
  <c r="J1052" i="117" s="1"/>
  <c r="K1052" i="117" s="1"/>
  <c r="M1051" i="117"/>
  <c r="L1051" i="117"/>
  <c r="J1051" i="117"/>
  <c r="K1051" i="117" s="1"/>
  <c r="H1051" i="117"/>
  <c r="G1051" i="117"/>
  <c r="M1050" i="117"/>
  <c r="L1050" i="117"/>
  <c r="H1050" i="117"/>
  <c r="J1050" i="117" s="1"/>
  <c r="K1050" i="117" s="1"/>
  <c r="G1050" i="117"/>
  <c r="M1049" i="117"/>
  <c r="L1049" i="117"/>
  <c r="G1049" i="117"/>
  <c r="H1049" i="117" s="1"/>
  <c r="J1049" i="117" s="1"/>
  <c r="K1049" i="117" s="1"/>
  <c r="M1048" i="117"/>
  <c r="L1048" i="117"/>
  <c r="J1048" i="117"/>
  <c r="K1048" i="117" s="1"/>
  <c r="H1048" i="117"/>
  <c r="G1048" i="117"/>
  <c r="M1047" i="117"/>
  <c r="L1047" i="117"/>
  <c r="G1047" i="117"/>
  <c r="H1047" i="117" s="1"/>
  <c r="J1047" i="117" s="1"/>
  <c r="K1047" i="117" s="1"/>
  <c r="M1046" i="117"/>
  <c r="L1046" i="117"/>
  <c r="G1046" i="117"/>
  <c r="H1046" i="117" s="1"/>
  <c r="J1046" i="117" s="1"/>
  <c r="K1046" i="117" s="1"/>
  <c r="M1045" i="117"/>
  <c r="L1045" i="117"/>
  <c r="K1045" i="117"/>
  <c r="J1045" i="117"/>
  <c r="G1045" i="117"/>
  <c r="H1045" i="117" s="1"/>
  <c r="M1044" i="117"/>
  <c r="L1044" i="117"/>
  <c r="G1044" i="117"/>
  <c r="H1044" i="117" s="1"/>
  <c r="J1044" i="117" s="1"/>
  <c r="K1044" i="117" s="1"/>
  <c r="M1043" i="117"/>
  <c r="L1043" i="117"/>
  <c r="G1043" i="117"/>
  <c r="H1043" i="117" s="1"/>
  <c r="J1043" i="117" s="1"/>
  <c r="K1043" i="117" s="1"/>
  <c r="M1042" i="117"/>
  <c r="L1042" i="117"/>
  <c r="G1042" i="117"/>
  <c r="H1042" i="117" s="1"/>
  <c r="J1042" i="117" s="1"/>
  <c r="K1042" i="117" s="1"/>
  <c r="M1041" i="117"/>
  <c r="L1041" i="117"/>
  <c r="G1041" i="117"/>
  <c r="H1041" i="117" s="1"/>
  <c r="J1041" i="117" s="1"/>
  <c r="K1041" i="117" s="1"/>
  <c r="M1040" i="117"/>
  <c r="L1040" i="117"/>
  <c r="G1040" i="117"/>
  <c r="H1040" i="117" s="1"/>
  <c r="J1040" i="117" s="1"/>
  <c r="K1040" i="117" s="1"/>
  <c r="M1039" i="117"/>
  <c r="L1039" i="117"/>
  <c r="G1039" i="117"/>
  <c r="H1039" i="117" s="1"/>
  <c r="J1039" i="117" s="1"/>
  <c r="K1039" i="117" s="1"/>
  <c r="M1038" i="117"/>
  <c r="L1038" i="117"/>
  <c r="H1038" i="117"/>
  <c r="J1038" i="117" s="1"/>
  <c r="K1038" i="117" s="1"/>
  <c r="G1038" i="117"/>
  <c r="M1037" i="117"/>
  <c r="L1037" i="117"/>
  <c r="G1037" i="117"/>
  <c r="H1037" i="117" s="1"/>
  <c r="J1037" i="117" s="1"/>
  <c r="K1037" i="117" s="1"/>
  <c r="M1036" i="117"/>
  <c r="L1036" i="117"/>
  <c r="G1036" i="117"/>
  <c r="H1036" i="117" s="1"/>
  <c r="J1036" i="117" s="1"/>
  <c r="K1036" i="117" s="1"/>
  <c r="M1035" i="117"/>
  <c r="L1035" i="117"/>
  <c r="J1035" i="117"/>
  <c r="K1035" i="117" s="1"/>
  <c r="H1035" i="117"/>
  <c r="G1035" i="117"/>
  <c r="M1034" i="117"/>
  <c r="L1034" i="117"/>
  <c r="H1034" i="117"/>
  <c r="J1034" i="117" s="1"/>
  <c r="K1034" i="117" s="1"/>
  <c r="G1034" i="117"/>
  <c r="M1033" i="117"/>
  <c r="L1033" i="117"/>
  <c r="G1033" i="117"/>
  <c r="H1033" i="117" s="1"/>
  <c r="J1033" i="117" s="1"/>
  <c r="K1033" i="117" s="1"/>
  <c r="M1032" i="117"/>
  <c r="L1032" i="117"/>
  <c r="J1032" i="117"/>
  <c r="K1032" i="117" s="1"/>
  <c r="H1032" i="117"/>
  <c r="G1032" i="117"/>
  <c r="M1031" i="117"/>
  <c r="L1031" i="117"/>
  <c r="G1031" i="117"/>
  <c r="H1031" i="117" s="1"/>
  <c r="J1031" i="117" s="1"/>
  <c r="K1031" i="117" s="1"/>
  <c r="M1030" i="117"/>
  <c r="L1030" i="117"/>
  <c r="H1030" i="117"/>
  <c r="J1030" i="117" s="1"/>
  <c r="K1030" i="117" s="1"/>
  <c r="G1030" i="117"/>
  <c r="M1029" i="117"/>
  <c r="L1029" i="117"/>
  <c r="K1029" i="117"/>
  <c r="J1029" i="117"/>
  <c r="G1029" i="117"/>
  <c r="H1029" i="117" s="1"/>
  <c r="M1028" i="117"/>
  <c r="L1028" i="117"/>
  <c r="G1028" i="117"/>
  <c r="H1028" i="117" s="1"/>
  <c r="J1028" i="117" s="1"/>
  <c r="K1028" i="117" s="1"/>
  <c r="M1027" i="117"/>
  <c r="L1027" i="117"/>
  <c r="G1027" i="117"/>
  <c r="H1027" i="117" s="1"/>
  <c r="J1027" i="117" s="1"/>
  <c r="K1027" i="117" s="1"/>
  <c r="M1026" i="117"/>
  <c r="L1026" i="117"/>
  <c r="G1026" i="117"/>
  <c r="H1026" i="117" s="1"/>
  <c r="J1026" i="117" s="1"/>
  <c r="K1026" i="117" s="1"/>
  <c r="M1025" i="117"/>
  <c r="L1025" i="117"/>
  <c r="G1025" i="117"/>
  <c r="H1025" i="117" s="1"/>
  <c r="J1025" i="117" s="1"/>
  <c r="K1025" i="117" s="1"/>
  <c r="M1024" i="117"/>
  <c r="L1024" i="117"/>
  <c r="G1024" i="117"/>
  <c r="H1024" i="117" s="1"/>
  <c r="J1024" i="117" s="1"/>
  <c r="K1024" i="117" s="1"/>
  <c r="M1023" i="117"/>
  <c r="L1023" i="117"/>
  <c r="G1023" i="117"/>
  <c r="H1023" i="117" s="1"/>
  <c r="J1023" i="117" s="1"/>
  <c r="K1023" i="117" s="1"/>
  <c r="M1022" i="117"/>
  <c r="L1022" i="117"/>
  <c r="H1022" i="117"/>
  <c r="J1022" i="117" s="1"/>
  <c r="K1022" i="117" s="1"/>
  <c r="G1022" i="117"/>
  <c r="M1021" i="117"/>
  <c r="L1021" i="117"/>
  <c r="G1021" i="117"/>
  <c r="H1021" i="117" s="1"/>
  <c r="J1021" i="117" s="1"/>
  <c r="K1021" i="117" s="1"/>
  <c r="M1020" i="117"/>
  <c r="L1020" i="117"/>
  <c r="G1020" i="117"/>
  <c r="H1020" i="117" s="1"/>
  <c r="J1020" i="117" s="1"/>
  <c r="K1020" i="117" s="1"/>
  <c r="M1019" i="117"/>
  <c r="L1019" i="117"/>
  <c r="J1019" i="117"/>
  <c r="K1019" i="117" s="1"/>
  <c r="H1019" i="117"/>
  <c r="G1019" i="117"/>
  <c r="M1018" i="117"/>
  <c r="L1018" i="117"/>
  <c r="H1018" i="117"/>
  <c r="J1018" i="117" s="1"/>
  <c r="K1018" i="117" s="1"/>
  <c r="G1018" i="117"/>
  <c r="M1017" i="117"/>
  <c r="L1017" i="117"/>
  <c r="G1017" i="117"/>
  <c r="H1017" i="117" s="1"/>
  <c r="J1017" i="117" s="1"/>
  <c r="K1017" i="117" s="1"/>
  <c r="M1016" i="117"/>
  <c r="L1016" i="117"/>
  <c r="J1016" i="117"/>
  <c r="K1016" i="117" s="1"/>
  <c r="H1016" i="117"/>
  <c r="G1016" i="117"/>
  <c r="M1015" i="117"/>
  <c r="L1015" i="117"/>
  <c r="G1015" i="117"/>
  <c r="H1015" i="117" s="1"/>
  <c r="J1015" i="117" s="1"/>
  <c r="K1015" i="117" s="1"/>
  <c r="M1014" i="117"/>
  <c r="L1014" i="117"/>
  <c r="H1014" i="117"/>
  <c r="J1014" i="117" s="1"/>
  <c r="K1014" i="117" s="1"/>
  <c r="G1014" i="117"/>
  <c r="M1013" i="117"/>
  <c r="L1013" i="117"/>
  <c r="K1013" i="117"/>
  <c r="J1013" i="117"/>
  <c r="G1013" i="117"/>
  <c r="H1013" i="117" s="1"/>
  <c r="M1012" i="117"/>
  <c r="L1012" i="117"/>
  <c r="G1012" i="117"/>
  <c r="H1012" i="117" s="1"/>
  <c r="J1012" i="117" s="1"/>
  <c r="K1012" i="117" s="1"/>
  <c r="M1011" i="117"/>
  <c r="L1011" i="117"/>
  <c r="G1011" i="117"/>
  <c r="H1011" i="117" s="1"/>
  <c r="J1011" i="117" s="1"/>
  <c r="K1011" i="117" s="1"/>
  <c r="M1010" i="117"/>
  <c r="L1010" i="117"/>
  <c r="J1010" i="117"/>
  <c r="K1010" i="117" s="1"/>
  <c r="H1010" i="117"/>
  <c r="G1010" i="117"/>
  <c r="M1009" i="117"/>
  <c r="L1009" i="117"/>
  <c r="H1009" i="117"/>
  <c r="J1009" i="117" s="1"/>
  <c r="K1009" i="117" s="1"/>
  <c r="G1009" i="117"/>
  <c r="M1008" i="117"/>
  <c r="L1008" i="117"/>
  <c r="H1008" i="117"/>
  <c r="J1008" i="117" s="1"/>
  <c r="K1008" i="117" s="1"/>
  <c r="G1008" i="117"/>
  <c r="M1007" i="117"/>
  <c r="L1007" i="117"/>
  <c r="H1007" i="117"/>
  <c r="J1007" i="117" s="1"/>
  <c r="K1007" i="117" s="1"/>
  <c r="G1007" i="117"/>
  <c r="M1006" i="117"/>
  <c r="L1006" i="117"/>
  <c r="K1006" i="117"/>
  <c r="J1006" i="117"/>
  <c r="H1006" i="117"/>
  <c r="G1006" i="117"/>
  <c r="M1005" i="117"/>
  <c r="L1005" i="117"/>
  <c r="H1005" i="117"/>
  <c r="J1005" i="117" s="1"/>
  <c r="K1005" i="117" s="1"/>
  <c r="G1005" i="117"/>
  <c r="M1004" i="117"/>
  <c r="L1004" i="117"/>
  <c r="H1004" i="117"/>
  <c r="J1004" i="117" s="1"/>
  <c r="K1004" i="117" s="1"/>
  <c r="G1004" i="117"/>
  <c r="M1003" i="117"/>
  <c r="L1003" i="117"/>
  <c r="H1003" i="117"/>
  <c r="J1003" i="117" s="1"/>
  <c r="K1003" i="117" s="1"/>
  <c r="G1003" i="117"/>
  <c r="M1002" i="117"/>
  <c r="L1002" i="117"/>
  <c r="K1002" i="117"/>
  <c r="J1002" i="117"/>
  <c r="H1002" i="117"/>
  <c r="G1002" i="117"/>
  <c r="M1001" i="117"/>
  <c r="L1001" i="117"/>
  <c r="H1001" i="117"/>
  <c r="J1001" i="117" s="1"/>
  <c r="K1001" i="117" s="1"/>
  <c r="G1001" i="117"/>
  <c r="M1000" i="117"/>
  <c r="L1000" i="117"/>
  <c r="G1000" i="117"/>
  <c r="H1000" i="117" s="1"/>
  <c r="J1000" i="117" s="1"/>
  <c r="K1000" i="117" s="1"/>
  <c r="M999" i="117"/>
  <c r="L999" i="117"/>
  <c r="H999" i="117"/>
  <c r="J999" i="117" s="1"/>
  <c r="K999" i="117" s="1"/>
  <c r="G999" i="117"/>
  <c r="M998" i="117"/>
  <c r="L998" i="117"/>
  <c r="G998" i="117"/>
  <c r="H998" i="117" s="1"/>
  <c r="J998" i="117" s="1"/>
  <c r="K998" i="117" s="1"/>
  <c r="M997" i="117"/>
  <c r="L997" i="117"/>
  <c r="H997" i="117"/>
  <c r="J997" i="117" s="1"/>
  <c r="K997" i="117" s="1"/>
  <c r="G997" i="117"/>
  <c r="M996" i="117"/>
  <c r="L996" i="117"/>
  <c r="G996" i="117"/>
  <c r="H996" i="117" s="1"/>
  <c r="J996" i="117" s="1"/>
  <c r="K996" i="117" s="1"/>
  <c r="M995" i="117"/>
  <c r="L995" i="117"/>
  <c r="H995" i="117"/>
  <c r="J995" i="117" s="1"/>
  <c r="K995" i="117" s="1"/>
  <c r="G995" i="117"/>
  <c r="M994" i="117"/>
  <c r="L994" i="117"/>
  <c r="G994" i="117"/>
  <c r="H994" i="117" s="1"/>
  <c r="J994" i="117" s="1"/>
  <c r="K994" i="117" s="1"/>
  <c r="M993" i="117"/>
  <c r="L993" i="117"/>
  <c r="H993" i="117"/>
  <c r="J993" i="117" s="1"/>
  <c r="K993" i="117" s="1"/>
  <c r="G993" i="117"/>
  <c r="M992" i="117"/>
  <c r="L992" i="117"/>
  <c r="G992" i="117"/>
  <c r="H992" i="117" s="1"/>
  <c r="J992" i="117" s="1"/>
  <c r="K992" i="117" s="1"/>
  <c r="M991" i="117"/>
  <c r="L991" i="117"/>
  <c r="H991" i="117"/>
  <c r="J991" i="117" s="1"/>
  <c r="K991" i="117" s="1"/>
  <c r="G991" i="117"/>
  <c r="M990" i="117"/>
  <c r="L990" i="117"/>
  <c r="G990" i="117"/>
  <c r="H990" i="117" s="1"/>
  <c r="J990" i="117" s="1"/>
  <c r="K990" i="117" s="1"/>
  <c r="M989" i="117"/>
  <c r="L989" i="117"/>
  <c r="H989" i="117"/>
  <c r="J989" i="117" s="1"/>
  <c r="K989" i="117" s="1"/>
  <c r="G989" i="117"/>
  <c r="M988" i="117"/>
  <c r="L988" i="117"/>
  <c r="G988" i="117"/>
  <c r="H988" i="117" s="1"/>
  <c r="J988" i="117" s="1"/>
  <c r="K988" i="117" s="1"/>
  <c r="M987" i="117"/>
  <c r="L987" i="117"/>
  <c r="H987" i="117"/>
  <c r="J987" i="117" s="1"/>
  <c r="K987" i="117" s="1"/>
  <c r="G987" i="117"/>
  <c r="M986" i="117"/>
  <c r="L986" i="117"/>
  <c r="G986" i="117"/>
  <c r="H986" i="117" s="1"/>
  <c r="J986" i="117" s="1"/>
  <c r="K986" i="117" s="1"/>
  <c r="M985" i="117"/>
  <c r="L985" i="117"/>
  <c r="H985" i="117"/>
  <c r="J985" i="117" s="1"/>
  <c r="K985" i="117" s="1"/>
  <c r="G985" i="117"/>
  <c r="M984" i="117"/>
  <c r="L984" i="117"/>
  <c r="G984" i="117"/>
  <c r="H984" i="117" s="1"/>
  <c r="J984" i="117" s="1"/>
  <c r="K984" i="117" s="1"/>
  <c r="M983" i="117"/>
  <c r="L983" i="117"/>
  <c r="H983" i="117"/>
  <c r="J983" i="117" s="1"/>
  <c r="K983" i="117" s="1"/>
  <c r="G983" i="117"/>
  <c r="M982" i="117"/>
  <c r="L982" i="117"/>
  <c r="G982" i="117"/>
  <c r="H982" i="117" s="1"/>
  <c r="J982" i="117" s="1"/>
  <c r="K982" i="117" s="1"/>
  <c r="M981" i="117"/>
  <c r="L981" i="117"/>
  <c r="H981" i="117"/>
  <c r="J981" i="117" s="1"/>
  <c r="K981" i="117" s="1"/>
  <c r="G981" i="117"/>
  <c r="M980" i="117"/>
  <c r="L980" i="117"/>
  <c r="G980" i="117"/>
  <c r="H980" i="117" s="1"/>
  <c r="J980" i="117" s="1"/>
  <c r="K980" i="117" s="1"/>
  <c r="M979" i="117"/>
  <c r="L979" i="117"/>
  <c r="H979" i="117"/>
  <c r="J979" i="117" s="1"/>
  <c r="K979" i="117" s="1"/>
  <c r="G979" i="117"/>
  <c r="M978" i="117"/>
  <c r="L978" i="117"/>
  <c r="G978" i="117"/>
  <c r="H978" i="117" s="1"/>
  <c r="J978" i="117" s="1"/>
  <c r="K978" i="117" s="1"/>
  <c r="M977" i="117"/>
  <c r="L977" i="117"/>
  <c r="H977" i="117"/>
  <c r="J977" i="117" s="1"/>
  <c r="K977" i="117" s="1"/>
  <c r="G977" i="117"/>
  <c r="M976" i="117"/>
  <c r="L976" i="117"/>
  <c r="G976" i="117"/>
  <c r="H976" i="117" s="1"/>
  <c r="J976" i="117" s="1"/>
  <c r="K976" i="117" s="1"/>
  <c r="M975" i="117"/>
  <c r="L975" i="117"/>
  <c r="H975" i="117"/>
  <c r="J975" i="117" s="1"/>
  <c r="K975" i="117" s="1"/>
  <c r="G975" i="117"/>
  <c r="M974" i="117"/>
  <c r="L974" i="117"/>
  <c r="G974" i="117"/>
  <c r="H974" i="117" s="1"/>
  <c r="J974" i="117" s="1"/>
  <c r="K974" i="117" s="1"/>
  <c r="M973" i="117"/>
  <c r="L973" i="117"/>
  <c r="H973" i="117"/>
  <c r="J973" i="117" s="1"/>
  <c r="K973" i="117" s="1"/>
  <c r="G973" i="117"/>
  <c r="M972" i="117"/>
  <c r="L972" i="117"/>
  <c r="G972" i="117"/>
  <c r="H972" i="117" s="1"/>
  <c r="J972" i="117" s="1"/>
  <c r="K972" i="117" s="1"/>
  <c r="M971" i="117"/>
  <c r="L971" i="117"/>
  <c r="H971" i="117"/>
  <c r="J971" i="117" s="1"/>
  <c r="K971" i="117" s="1"/>
  <c r="G971" i="117"/>
  <c r="M970" i="117"/>
  <c r="L970" i="117"/>
  <c r="G970" i="117"/>
  <c r="H970" i="117" s="1"/>
  <c r="J970" i="117" s="1"/>
  <c r="K970" i="117" s="1"/>
  <c r="M969" i="117"/>
  <c r="L969" i="117"/>
  <c r="H969" i="117"/>
  <c r="J969" i="117" s="1"/>
  <c r="K969" i="117" s="1"/>
  <c r="G969" i="117"/>
  <c r="M968" i="117"/>
  <c r="L968" i="117"/>
  <c r="G968" i="117"/>
  <c r="H968" i="117" s="1"/>
  <c r="J968" i="117" s="1"/>
  <c r="K968" i="117" s="1"/>
  <c r="M967" i="117"/>
  <c r="L967" i="117"/>
  <c r="H967" i="117"/>
  <c r="J967" i="117" s="1"/>
  <c r="K967" i="117" s="1"/>
  <c r="G967" i="117"/>
  <c r="M966" i="117"/>
  <c r="L966" i="117"/>
  <c r="G966" i="117"/>
  <c r="H966" i="117" s="1"/>
  <c r="J966" i="117" s="1"/>
  <c r="K966" i="117" s="1"/>
  <c r="M965" i="117"/>
  <c r="L965" i="117"/>
  <c r="H965" i="117"/>
  <c r="J965" i="117" s="1"/>
  <c r="K965" i="117" s="1"/>
  <c r="G965" i="117"/>
  <c r="M964" i="117"/>
  <c r="L964" i="117"/>
  <c r="G964" i="117"/>
  <c r="H964" i="117" s="1"/>
  <c r="J964" i="117" s="1"/>
  <c r="K964" i="117" s="1"/>
  <c r="M963" i="117"/>
  <c r="L963" i="117"/>
  <c r="H963" i="117"/>
  <c r="J963" i="117" s="1"/>
  <c r="K963" i="117" s="1"/>
  <c r="G963" i="117"/>
  <c r="M962" i="117"/>
  <c r="L962" i="117"/>
  <c r="G962" i="117"/>
  <c r="H962" i="117" s="1"/>
  <c r="J962" i="117" s="1"/>
  <c r="K962" i="117" s="1"/>
  <c r="M961" i="117"/>
  <c r="L961" i="117"/>
  <c r="H961" i="117"/>
  <c r="J961" i="117" s="1"/>
  <c r="K961" i="117" s="1"/>
  <c r="G961" i="117"/>
  <c r="M960" i="117"/>
  <c r="L960" i="117"/>
  <c r="G960" i="117"/>
  <c r="H960" i="117" s="1"/>
  <c r="J960" i="117" s="1"/>
  <c r="K960" i="117" s="1"/>
  <c r="M959" i="117"/>
  <c r="L959" i="117"/>
  <c r="H959" i="117"/>
  <c r="J959" i="117" s="1"/>
  <c r="K959" i="117" s="1"/>
  <c r="G959" i="117"/>
  <c r="M958" i="117"/>
  <c r="L958" i="117"/>
  <c r="J958" i="117"/>
  <c r="K958" i="117" s="1"/>
  <c r="G958" i="117"/>
  <c r="H958" i="117" s="1"/>
  <c r="M957" i="117"/>
  <c r="L957" i="117"/>
  <c r="J957" i="117"/>
  <c r="K957" i="117" s="1"/>
  <c r="G957" i="117"/>
  <c r="H957" i="117" s="1"/>
  <c r="M956" i="117"/>
  <c r="L956" i="117"/>
  <c r="G956" i="117"/>
  <c r="H956" i="117" s="1"/>
  <c r="J956" i="117" s="1"/>
  <c r="K956" i="117" s="1"/>
  <c r="M955" i="117"/>
  <c r="L955" i="117"/>
  <c r="H955" i="117"/>
  <c r="J955" i="117" s="1"/>
  <c r="K955" i="117" s="1"/>
  <c r="G955" i="117"/>
  <c r="M954" i="117"/>
  <c r="L954" i="117"/>
  <c r="K954" i="117"/>
  <c r="J954" i="117"/>
  <c r="G954" i="117"/>
  <c r="H954" i="117" s="1"/>
  <c r="M953" i="117"/>
  <c r="L953" i="117"/>
  <c r="H953" i="117"/>
  <c r="J953" i="117" s="1"/>
  <c r="K953" i="117" s="1"/>
  <c r="G953" i="117"/>
  <c r="M952" i="117"/>
  <c r="L952" i="117"/>
  <c r="G952" i="117"/>
  <c r="H952" i="117" s="1"/>
  <c r="J952" i="117" s="1"/>
  <c r="K952" i="117" s="1"/>
  <c r="M951" i="117"/>
  <c r="L951" i="117"/>
  <c r="H951" i="117"/>
  <c r="J951" i="117" s="1"/>
  <c r="K951" i="117" s="1"/>
  <c r="G951" i="117"/>
  <c r="M950" i="117"/>
  <c r="L950" i="117"/>
  <c r="G950" i="117"/>
  <c r="H950" i="117" s="1"/>
  <c r="J950" i="117" s="1"/>
  <c r="K950" i="117" s="1"/>
  <c r="M949" i="117"/>
  <c r="L949" i="117"/>
  <c r="H949" i="117"/>
  <c r="J949" i="117" s="1"/>
  <c r="K949" i="117" s="1"/>
  <c r="G949" i="117"/>
  <c r="M948" i="117"/>
  <c r="L948" i="117"/>
  <c r="H948" i="117"/>
  <c r="J948" i="117" s="1"/>
  <c r="K948" i="117" s="1"/>
  <c r="G948" i="117"/>
  <c r="M947" i="117"/>
  <c r="L947" i="117"/>
  <c r="G947" i="117"/>
  <c r="H947" i="117" s="1"/>
  <c r="J947" i="117" s="1"/>
  <c r="K947" i="117" s="1"/>
  <c r="M946" i="117"/>
  <c r="L946" i="117"/>
  <c r="J946" i="117"/>
  <c r="K946" i="117" s="1"/>
  <c r="G946" i="117"/>
  <c r="H946" i="117" s="1"/>
  <c r="M945" i="117"/>
  <c r="L945" i="117"/>
  <c r="G945" i="117"/>
  <c r="H945" i="117" s="1"/>
  <c r="J945" i="117" s="1"/>
  <c r="K945" i="117" s="1"/>
  <c r="M944" i="117"/>
  <c r="L944" i="117"/>
  <c r="H944" i="117"/>
  <c r="J944" i="117" s="1"/>
  <c r="K944" i="117" s="1"/>
  <c r="G944" i="117"/>
  <c r="M943" i="117"/>
  <c r="L943" i="117"/>
  <c r="G943" i="117"/>
  <c r="H943" i="117" s="1"/>
  <c r="J943" i="117" s="1"/>
  <c r="K943" i="117" s="1"/>
  <c r="M942" i="117"/>
  <c r="L942" i="117"/>
  <c r="J942" i="117"/>
  <c r="K942" i="117" s="1"/>
  <c r="G942" i="117"/>
  <c r="H942" i="117" s="1"/>
  <c r="M941" i="117"/>
  <c r="L941" i="117"/>
  <c r="H941" i="117"/>
  <c r="J941" i="117" s="1"/>
  <c r="K941" i="117" s="1"/>
  <c r="G941" i="117"/>
  <c r="M940" i="117"/>
  <c r="L940" i="117"/>
  <c r="H940" i="117"/>
  <c r="J940" i="117" s="1"/>
  <c r="K940" i="117" s="1"/>
  <c r="G940" i="117"/>
  <c r="M939" i="117"/>
  <c r="L939" i="117"/>
  <c r="G939" i="117"/>
  <c r="H939" i="117" s="1"/>
  <c r="J939" i="117" s="1"/>
  <c r="K939" i="117" s="1"/>
  <c r="M938" i="117"/>
  <c r="L938" i="117"/>
  <c r="J938" i="117"/>
  <c r="K938" i="117" s="1"/>
  <c r="G938" i="117"/>
  <c r="H938" i="117" s="1"/>
  <c r="M937" i="117"/>
  <c r="L937" i="117"/>
  <c r="H937" i="117"/>
  <c r="J937" i="117" s="1"/>
  <c r="K937" i="117" s="1"/>
  <c r="G937" i="117"/>
  <c r="M936" i="117"/>
  <c r="L936" i="117"/>
  <c r="G936" i="117"/>
  <c r="H936" i="117" s="1"/>
  <c r="J936" i="117" s="1"/>
  <c r="K936" i="117" s="1"/>
  <c r="M935" i="117"/>
  <c r="L935" i="117"/>
  <c r="G935" i="117"/>
  <c r="H935" i="117" s="1"/>
  <c r="J935" i="117" s="1"/>
  <c r="K935" i="117" s="1"/>
  <c r="M934" i="117"/>
  <c r="L934" i="117"/>
  <c r="G934" i="117"/>
  <c r="H934" i="117" s="1"/>
  <c r="J934" i="117" s="1"/>
  <c r="K934" i="117" s="1"/>
  <c r="M933" i="117"/>
  <c r="L933" i="117"/>
  <c r="H933" i="117"/>
  <c r="J933" i="117" s="1"/>
  <c r="K933" i="117" s="1"/>
  <c r="G933" i="117"/>
  <c r="M932" i="117"/>
  <c r="L932" i="117"/>
  <c r="H932" i="117"/>
  <c r="J932" i="117" s="1"/>
  <c r="K932" i="117" s="1"/>
  <c r="G932" i="117"/>
  <c r="M931" i="117"/>
  <c r="L931" i="117"/>
  <c r="G931" i="117"/>
  <c r="H931" i="117" s="1"/>
  <c r="J931" i="117" s="1"/>
  <c r="K931" i="117" s="1"/>
  <c r="M930" i="117"/>
  <c r="L930" i="117"/>
  <c r="J930" i="117"/>
  <c r="K930" i="117" s="1"/>
  <c r="G930" i="117"/>
  <c r="H930" i="117" s="1"/>
  <c r="M929" i="117"/>
  <c r="L929" i="117"/>
  <c r="G929" i="117"/>
  <c r="H929" i="117" s="1"/>
  <c r="J929" i="117" s="1"/>
  <c r="K929" i="117" s="1"/>
  <c r="M928" i="117"/>
  <c r="L928" i="117"/>
  <c r="H928" i="117"/>
  <c r="J928" i="117" s="1"/>
  <c r="K928" i="117" s="1"/>
  <c r="G928" i="117"/>
  <c r="M927" i="117"/>
  <c r="L927" i="117"/>
  <c r="G927" i="117"/>
  <c r="H927" i="117" s="1"/>
  <c r="J927" i="117" s="1"/>
  <c r="K927" i="117" s="1"/>
  <c r="M926" i="117"/>
  <c r="L926" i="117"/>
  <c r="J926" i="117"/>
  <c r="K926" i="117" s="1"/>
  <c r="G926" i="117"/>
  <c r="H926" i="117" s="1"/>
  <c r="M925" i="117"/>
  <c r="L925" i="117"/>
  <c r="H925" i="117"/>
  <c r="J925" i="117" s="1"/>
  <c r="K925" i="117" s="1"/>
  <c r="G925" i="117"/>
  <c r="M924" i="117"/>
  <c r="L924" i="117"/>
  <c r="H924" i="117"/>
  <c r="J924" i="117" s="1"/>
  <c r="K924" i="117" s="1"/>
  <c r="G924" i="117"/>
  <c r="M923" i="117"/>
  <c r="L923" i="117"/>
  <c r="G923" i="117"/>
  <c r="H923" i="117" s="1"/>
  <c r="J923" i="117" s="1"/>
  <c r="K923" i="117" s="1"/>
  <c r="M922" i="117"/>
  <c r="L922" i="117"/>
  <c r="J922" i="117"/>
  <c r="K922" i="117" s="1"/>
  <c r="G922" i="117"/>
  <c r="H922" i="117" s="1"/>
  <c r="M921" i="117"/>
  <c r="L921" i="117"/>
  <c r="H921" i="117"/>
  <c r="J921" i="117" s="1"/>
  <c r="K921" i="117" s="1"/>
  <c r="G921" i="117"/>
  <c r="M920" i="117"/>
  <c r="L920" i="117"/>
  <c r="G920" i="117"/>
  <c r="H920" i="117" s="1"/>
  <c r="J920" i="117" s="1"/>
  <c r="K920" i="117" s="1"/>
  <c r="M919" i="117"/>
  <c r="L919" i="117"/>
  <c r="G919" i="117"/>
  <c r="H919" i="117" s="1"/>
  <c r="J919" i="117" s="1"/>
  <c r="K919" i="117" s="1"/>
  <c r="M918" i="117"/>
  <c r="L918" i="117"/>
  <c r="G918" i="117"/>
  <c r="H918" i="117" s="1"/>
  <c r="J918" i="117" s="1"/>
  <c r="K918" i="117" s="1"/>
  <c r="M917" i="117"/>
  <c r="L917" i="117"/>
  <c r="H917" i="117"/>
  <c r="J917" i="117" s="1"/>
  <c r="K917" i="117" s="1"/>
  <c r="G917" i="117"/>
  <c r="M916" i="117"/>
  <c r="L916" i="117"/>
  <c r="H916" i="117"/>
  <c r="J916" i="117" s="1"/>
  <c r="K916" i="117" s="1"/>
  <c r="G916" i="117"/>
  <c r="M915" i="117"/>
  <c r="L915" i="117"/>
  <c r="G915" i="117"/>
  <c r="H915" i="117" s="1"/>
  <c r="J915" i="117" s="1"/>
  <c r="K915" i="117" s="1"/>
  <c r="M914" i="117"/>
  <c r="L914" i="117"/>
  <c r="J914" i="117"/>
  <c r="K914" i="117" s="1"/>
  <c r="G914" i="117"/>
  <c r="H914" i="117" s="1"/>
  <c r="M913" i="117"/>
  <c r="L913" i="117"/>
  <c r="G913" i="117"/>
  <c r="H913" i="117" s="1"/>
  <c r="J913" i="117" s="1"/>
  <c r="K913" i="117" s="1"/>
  <c r="M912" i="117"/>
  <c r="L912" i="117"/>
  <c r="H912" i="117"/>
  <c r="J912" i="117" s="1"/>
  <c r="K912" i="117" s="1"/>
  <c r="G912" i="117"/>
  <c r="M911" i="117"/>
  <c r="L911" i="117"/>
  <c r="G911" i="117"/>
  <c r="H911" i="117" s="1"/>
  <c r="J911" i="117" s="1"/>
  <c r="K911" i="117" s="1"/>
  <c r="M910" i="117"/>
  <c r="L910" i="117"/>
  <c r="J910" i="117"/>
  <c r="K910" i="117" s="1"/>
  <c r="G910" i="117"/>
  <c r="H910" i="117" s="1"/>
  <c r="M909" i="117"/>
  <c r="L909" i="117"/>
  <c r="H909" i="117"/>
  <c r="J909" i="117" s="1"/>
  <c r="K909" i="117" s="1"/>
  <c r="G909" i="117"/>
  <c r="M908" i="117"/>
  <c r="L908" i="117"/>
  <c r="H908" i="117"/>
  <c r="J908" i="117" s="1"/>
  <c r="K908" i="117" s="1"/>
  <c r="G908" i="117"/>
  <c r="M907" i="117"/>
  <c r="L907" i="117"/>
  <c r="G907" i="117"/>
  <c r="H907" i="117" s="1"/>
  <c r="J907" i="117" s="1"/>
  <c r="K907" i="117" s="1"/>
  <c r="M906" i="117"/>
  <c r="L906" i="117"/>
  <c r="J906" i="117"/>
  <c r="K906" i="117" s="1"/>
  <c r="G906" i="117"/>
  <c r="H906" i="117" s="1"/>
  <c r="M905" i="117"/>
  <c r="L905" i="117"/>
  <c r="H905" i="117"/>
  <c r="J905" i="117" s="1"/>
  <c r="K905" i="117" s="1"/>
  <c r="G905" i="117"/>
  <c r="M904" i="117"/>
  <c r="L904" i="117"/>
  <c r="G904" i="117"/>
  <c r="H904" i="117" s="1"/>
  <c r="J904" i="117" s="1"/>
  <c r="K904" i="117" s="1"/>
  <c r="M903" i="117"/>
  <c r="L903" i="117"/>
  <c r="G903" i="117"/>
  <c r="H903" i="117" s="1"/>
  <c r="J903" i="117" s="1"/>
  <c r="K903" i="117" s="1"/>
  <c r="M902" i="117"/>
  <c r="L902" i="117"/>
  <c r="G902" i="117"/>
  <c r="H902" i="117" s="1"/>
  <c r="J902" i="117" s="1"/>
  <c r="K902" i="117" s="1"/>
  <c r="M901" i="117"/>
  <c r="L901" i="117"/>
  <c r="H901" i="117"/>
  <c r="J901" i="117" s="1"/>
  <c r="K901" i="117" s="1"/>
  <c r="G901" i="117"/>
  <c r="M900" i="117"/>
  <c r="L900" i="117"/>
  <c r="H900" i="117"/>
  <c r="J900" i="117" s="1"/>
  <c r="K900" i="117" s="1"/>
  <c r="G900" i="117"/>
  <c r="M899" i="117"/>
  <c r="L899" i="117"/>
  <c r="G899" i="117"/>
  <c r="H899" i="117" s="1"/>
  <c r="J899" i="117" s="1"/>
  <c r="K899" i="117" s="1"/>
  <c r="M898" i="117"/>
  <c r="L898" i="117"/>
  <c r="J898" i="117"/>
  <c r="K898" i="117" s="1"/>
  <c r="G898" i="117"/>
  <c r="H898" i="117" s="1"/>
  <c r="M897" i="117"/>
  <c r="L897" i="117"/>
  <c r="G897" i="117"/>
  <c r="H897" i="117" s="1"/>
  <c r="J897" i="117" s="1"/>
  <c r="K897" i="117" s="1"/>
  <c r="M896" i="117"/>
  <c r="L896" i="117"/>
  <c r="G896" i="117"/>
  <c r="H896" i="117" s="1"/>
  <c r="J896" i="117" s="1"/>
  <c r="K896" i="117" s="1"/>
  <c r="M895" i="117"/>
  <c r="L895" i="117"/>
  <c r="G895" i="117"/>
  <c r="H895" i="117" s="1"/>
  <c r="J895" i="117" s="1"/>
  <c r="K895" i="117" s="1"/>
  <c r="M894" i="117"/>
  <c r="L894" i="117"/>
  <c r="G894" i="117"/>
  <c r="H894" i="117" s="1"/>
  <c r="J894" i="117" s="1"/>
  <c r="K894" i="117" s="1"/>
  <c r="M893" i="117"/>
  <c r="L893" i="117"/>
  <c r="G893" i="117"/>
  <c r="H893" i="117" s="1"/>
  <c r="J893" i="117" s="1"/>
  <c r="K893" i="117" s="1"/>
  <c r="M892" i="117"/>
  <c r="L892" i="117"/>
  <c r="G892" i="117"/>
  <c r="H892" i="117" s="1"/>
  <c r="J892" i="117" s="1"/>
  <c r="K892" i="117" s="1"/>
  <c r="M891" i="117"/>
  <c r="L891" i="117"/>
  <c r="G891" i="117"/>
  <c r="H891" i="117" s="1"/>
  <c r="J891" i="117" s="1"/>
  <c r="K891" i="117" s="1"/>
  <c r="M890" i="117"/>
  <c r="L890" i="117"/>
  <c r="G890" i="117"/>
  <c r="H890" i="117" s="1"/>
  <c r="J890" i="117" s="1"/>
  <c r="K890" i="117" s="1"/>
  <c r="M889" i="117"/>
  <c r="L889" i="117"/>
  <c r="H889" i="117"/>
  <c r="J889" i="117" s="1"/>
  <c r="K889" i="117" s="1"/>
  <c r="G889" i="117"/>
  <c r="M888" i="117"/>
  <c r="L888" i="117"/>
  <c r="J888" i="117"/>
  <c r="K888" i="117" s="1"/>
  <c r="G888" i="117"/>
  <c r="H888" i="117" s="1"/>
  <c r="M887" i="117"/>
  <c r="L887" i="117"/>
  <c r="G887" i="117"/>
  <c r="H887" i="117" s="1"/>
  <c r="J887" i="117" s="1"/>
  <c r="K887" i="117" s="1"/>
  <c r="M886" i="117"/>
  <c r="L886" i="117"/>
  <c r="G886" i="117"/>
  <c r="H886" i="117" s="1"/>
  <c r="J886" i="117" s="1"/>
  <c r="K886" i="117" s="1"/>
  <c r="M885" i="117"/>
  <c r="L885" i="117"/>
  <c r="G885" i="117"/>
  <c r="H885" i="117" s="1"/>
  <c r="J885" i="117" s="1"/>
  <c r="K885" i="117" s="1"/>
  <c r="M884" i="117"/>
  <c r="L884" i="117"/>
  <c r="H884" i="117"/>
  <c r="J884" i="117" s="1"/>
  <c r="K884" i="117" s="1"/>
  <c r="G884" i="117"/>
  <c r="M883" i="117"/>
  <c r="L883" i="117"/>
  <c r="G883" i="117"/>
  <c r="H883" i="117" s="1"/>
  <c r="J883" i="117" s="1"/>
  <c r="K883" i="117" s="1"/>
  <c r="M882" i="117"/>
  <c r="L882" i="117"/>
  <c r="J882" i="117"/>
  <c r="K882" i="117" s="1"/>
  <c r="G882" i="117"/>
  <c r="H882" i="117" s="1"/>
  <c r="M881" i="117"/>
  <c r="L881" i="117"/>
  <c r="K881" i="117"/>
  <c r="H881" i="117"/>
  <c r="J881" i="117" s="1"/>
  <c r="G881" i="117"/>
  <c r="M880" i="117"/>
  <c r="L880" i="117"/>
  <c r="G880" i="117"/>
  <c r="H880" i="117" s="1"/>
  <c r="J880" i="117" s="1"/>
  <c r="K880" i="117" s="1"/>
  <c r="M879" i="117"/>
  <c r="L879" i="117"/>
  <c r="G879" i="117"/>
  <c r="H879" i="117" s="1"/>
  <c r="J879" i="117" s="1"/>
  <c r="K879" i="117" s="1"/>
  <c r="M878" i="117"/>
  <c r="L878" i="117"/>
  <c r="J878" i="117"/>
  <c r="K878" i="117" s="1"/>
  <c r="G878" i="117"/>
  <c r="H878" i="117" s="1"/>
  <c r="M877" i="117"/>
  <c r="L877" i="117"/>
  <c r="J877" i="117"/>
  <c r="K877" i="117" s="1"/>
  <c r="H877" i="117"/>
  <c r="G877" i="117"/>
  <c r="M876" i="117"/>
  <c r="L876" i="117"/>
  <c r="H876" i="117"/>
  <c r="J876" i="117" s="1"/>
  <c r="K876" i="117" s="1"/>
  <c r="G876" i="117"/>
  <c r="M875" i="117"/>
  <c r="L875" i="117"/>
  <c r="G875" i="117"/>
  <c r="H875" i="117" s="1"/>
  <c r="J875" i="117" s="1"/>
  <c r="K875" i="117" s="1"/>
  <c r="M874" i="117"/>
  <c r="L874" i="117"/>
  <c r="J874" i="117"/>
  <c r="K874" i="117" s="1"/>
  <c r="G874" i="117"/>
  <c r="H874" i="117" s="1"/>
  <c r="M873" i="117"/>
  <c r="L873" i="117"/>
  <c r="J873" i="117"/>
  <c r="K873" i="117" s="1"/>
  <c r="H873" i="117"/>
  <c r="G873" i="117"/>
  <c r="M872" i="117"/>
  <c r="L872" i="117"/>
  <c r="G872" i="117"/>
  <c r="H872" i="117" s="1"/>
  <c r="J872" i="117" s="1"/>
  <c r="K872" i="117" s="1"/>
  <c r="M871" i="117"/>
  <c r="L871" i="117"/>
  <c r="H871" i="117"/>
  <c r="J871" i="117" s="1"/>
  <c r="K871" i="117" s="1"/>
  <c r="G871" i="117"/>
  <c r="M870" i="117"/>
  <c r="L870" i="117"/>
  <c r="G870" i="117"/>
  <c r="H870" i="117" s="1"/>
  <c r="J870" i="117" s="1"/>
  <c r="K870" i="117" s="1"/>
  <c r="M869" i="117"/>
  <c r="L869" i="117"/>
  <c r="J869" i="117"/>
  <c r="K869" i="117" s="1"/>
  <c r="H869" i="117"/>
  <c r="G869" i="117"/>
  <c r="M868" i="117"/>
  <c r="L868" i="117"/>
  <c r="G868" i="117"/>
  <c r="H868" i="117" s="1"/>
  <c r="J868" i="117" s="1"/>
  <c r="K868" i="117" s="1"/>
  <c r="M867" i="117"/>
  <c r="L867" i="117"/>
  <c r="H867" i="117"/>
  <c r="J867" i="117" s="1"/>
  <c r="K867" i="117" s="1"/>
  <c r="G867" i="117"/>
  <c r="M866" i="117"/>
  <c r="L866" i="117"/>
  <c r="K866" i="117"/>
  <c r="J866" i="117"/>
  <c r="G866" i="117"/>
  <c r="H866" i="117" s="1"/>
  <c r="M865" i="117"/>
  <c r="L865" i="117"/>
  <c r="G865" i="117"/>
  <c r="H865" i="117" s="1"/>
  <c r="J865" i="117" s="1"/>
  <c r="K865" i="117" s="1"/>
  <c r="M864" i="117"/>
  <c r="L864" i="117"/>
  <c r="K864" i="117"/>
  <c r="J864" i="117"/>
  <c r="G864" i="117"/>
  <c r="H864" i="117" s="1"/>
  <c r="M863" i="117"/>
  <c r="L863" i="117"/>
  <c r="G863" i="117"/>
  <c r="H863" i="117" s="1"/>
  <c r="J863" i="117" s="1"/>
  <c r="K863" i="117" s="1"/>
  <c r="M862" i="117"/>
  <c r="L862" i="117"/>
  <c r="G862" i="117"/>
  <c r="H862" i="117" s="1"/>
  <c r="J862" i="117" s="1"/>
  <c r="K862" i="117" s="1"/>
  <c r="M861" i="117"/>
  <c r="L861" i="117"/>
  <c r="J861" i="117"/>
  <c r="K861" i="117" s="1"/>
  <c r="G861" i="117"/>
  <c r="H861" i="117" s="1"/>
  <c r="M860" i="117"/>
  <c r="L860" i="117"/>
  <c r="H860" i="117"/>
  <c r="J860" i="117" s="1"/>
  <c r="K860" i="117" s="1"/>
  <c r="G860" i="117"/>
  <c r="M859" i="117"/>
  <c r="L859" i="117"/>
  <c r="H859" i="117"/>
  <c r="J859" i="117" s="1"/>
  <c r="K859" i="117" s="1"/>
  <c r="G859" i="117"/>
  <c r="M858" i="117"/>
  <c r="L858" i="117"/>
  <c r="K858" i="117"/>
  <c r="G858" i="117"/>
  <c r="H858" i="117" s="1"/>
  <c r="J858" i="117" s="1"/>
  <c r="M857" i="117"/>
  <c r="L857" i="117"/>
  <c r="H857" i="117"/>
  <c r="J857" i="117" s="1"/>
  <c r="K857" i="117" s="1"/>
  <c r="G857" i="117"/>
  <c r="M856" i="117"/>
  <c r="L856" i="117"/>
  <c r="J856" i="117"/>
  <c r="K856" i="117" s="1"/>
  <c r="H856" i="117"/>
  <c r="G856" i="117"/>
  <c r="M855" i="117"/>
  <c r="L855" i="117"/>
  <c r="H855" i="117"/>
  <c r="J855" i="117" s="1"/>
  <c r="K855" i="117" s="1"/>
  <c r="G855" i="117"/>
  <c r="M854" i="117"/>
  <c r="L854" i="117"/>
  <c r="J854" i="117"/>
  <c r="K854" i="117" s="1"/>
  <c r="G854" i="117"/>
  <c r="H854" i="117" s="1"/>
  <c r="M853" i="117"/>
  <c r="L853" i="117"/>
  <c r="J853" i="117"/>
  <c r="K853" i="117" s="1"/>
  <c r="H853" i="117"/>
  <c r="G853" i="117"/>
  <c r="M852" i="117"/>
  <c r="L852" i="117"/>
  <c r="G852" i="117"/>
  <c r="H852" i="117" s="1"/>
  <c r="J852" i="117" s="1"/>
  <c r="K852" i="117" s="1"/>
  <c r="M851" i="117"/>
  <c r="L851" i="117"/>
  <c r="H851" i="117"/>
  <c r="J851" i="117" s="1"/>
  <c r="K851" i="117" s="1"/>
  <c r="G851" i="117"/>
  <c r="M850" i="117"/>
  <c r="L850" i="117"/>
  <c r="K850" i="117"/>
  <c r="J850" i="117"/>
  <c r="G850" i="117"/>
  <c r="H850" i="117" s="1"/>
  <c r="M849" i="117"/>
  <c r="L849" i="117"/>
  <c r="G849" i="117"/>
  <c r="H849" i="117" s="1"/>
  <c r="J849" i="117" s="1"/>
  <c r="K849" i="117" s="1"/>
  <c r="M848" i="117"/>
  <c r="L848" i="117"/>
  <c r="G848" i="117"/>
  <c r="H848" i="117" s="1"/>
  <c r="J848" i="117" s="1"/>
  <c r="K848" i="117" s="1"/>
  <c r="M847" i="117"/>
  <c r="L847" i="117"/>
  <c r="G847" i="117"/>
  <c r="H847" i="117" s="1"/>
  <c r="J847" i="117" s="1"/>
  <c r="K847" i="117" s="1"/>
  <c r="M846" i="117"/>
  <c r="L846" i="117"/>
  <c r="G846" i="117"/>
  <c r="H846" i="117" s="1"/>
  <c r="J846" i="117" s="1"/>
  <c r="K846" i="117" s="1"/>
  <c r="M845" i="117"/>
  <c r="L845" i="117"/>
  <c r="J845" i="117"/>
  <c r="K845" i="117" s="1"/>
  <c r="G845" i="117"/>
  <c r="H845" i="117" s="1"/>
  <c r="M844" i="117"/>
  <c r="L844" i="117"/>
  <c r="H844" i="117"/>
  <c r="J844" i="117" s="1"/>
  <c r="K844" i="117" s="1"/>
  <c r="G844" i="117"/>
  <c r="M843" i="117"/>
  <c r="L843" i="117"/>
  <c r="H843" i="117"/>
  <c r="J843" i="117" s="1"/>
  <c r="K843" i="117" s="1"/>
  <c r="G843" i="117"/>
  <c r="M842" i="117"/>
  <c r="L842" i="117"/>
  <c r="K842" i="117"/>
  <c r="G842" i="117"/>
  <c r="H842" i="117" s="1"/>
  <c r="J842" i="117" s="1"/>
  <c r="M841" i="117"/>
  <c r="L841" i="117"/>
  <c r="H841" i="117"/>
  <c r="J841" i="117" s="1"/>
  <c r="K841" i="117" s="1"/>
  <c r="G841" i="117"/>
  <c r="M840" i="117"/>
  <c r="L840" i="117"/>
  <c r="J840" i="117"/>
  <c r="K840" i="117" s="1"/>
  <c r="H840" i="117"/>
  <c r="G840" i="117"/>
  <c r="M839" i="117"/>
  <c r="L839" i="117"/>
  <c r="H839" i="117"/>
  <c r="J839" i="117" s="1"/>
  <c r="K839" i="117" s="1"/>
  <c r="G839" i="117"/>
  <c r="M838" i="117"/>
  <c r="L838" i="117"/>
  <c r="G838" i="117"/>
  <c r="H838" i="117" s="1"/>
  <c r="J838" i="117" s="1"/>
  <c r="K838" i="117" s="1"/>
  <c r="M837" i="117"/>
  <c r="L837" i="117"/>
  <c r="J837" i="117"/>
  <c r="K837" i="117" s="1"/>
  <c r="H837" i="117"/>
  <c r="G837" i="117"/>
  <c r="M836" i="117"/>
  <c r="L836" i="117"/>
  <c r="J836" i="117"/>
  <c r="K836" i="117" s="1"/>
  <c r="G836" i="117"/>
  <c r="H836" i="117" s="1"/>
  <c r="M835" i="117"/>
  <c r="L835" i="117"/>
  <c r="H835" i="117"/>
  <c r="J835" i="117" s="1"/>
  <c r="K835" i="117" s="1"/>
  <c r="G835" i="117"/>
  <c r="M834" i="117"/>
  <c r="L834" i="117"/>
  <c r="K834" i="117"/>
  <c r="J834" i="117"/>
  <c r="G834" i="117"/>
  <c r="H834" i="117" s="1"/>
  <c r="M833" i="117"/>
  <c r="L833" i="117"/>
  <c r="J833" i="117"/>
  <c r="K833" i="117" s="1"/>
  <c r="G833" i="117"/>
  <c r="H833" i="117" s="1"/>
  <c r="M832" i="117"/>
  <c r="L832" i="117"/>
  <c r="G832" i="117"/>
  <c r="H832" i="117" s="1"/>
  <c r="J832" i="117" s="1"/>
  <c r="K832" i="117" s="1"/>
  <c r="M831" i="117"/>
  <c r="L831" i="117"/>
  <c r="G831" i="117"/>
  <c r="H831" i="117" s="1"/>
  <c r="J831" i="117" s="1"/>
  <c r="K831" i="117" s="1"/>
  <c r="M830" i="117"/>
  <c r="L830" i="117"/>
  <c r="K830" i="117"/>
  <c r="G830" i="117"/>
  <c r="H830" i="117" s="1"/>
  <c r="J830" i="117" s="1"/>
  <c r="M829" i="117"/>
  <c r="L829" i="117"/>
  <c r="G829" i="117"/>
  <c r="H829" i="117" s="1"/>
  <c r="J829" i="117" s="1"/>
  <c r="K829" i="117" s="1"/>
  <c r="M828" i="117"/>
  <c r="L828" i="117"/>
  <c r="G828" i="117"/>
  <c r="H828" i="117" s="1"/>
  <c r="J828" i="117" s="1"/>
  <c r="K828" i="117" s="1"/>
  <c r="M827" i="117"/>
  <c r="L827" i="117"/>
  <c r="H827" i="117"/>
  <c r="J827" i="117" s="1"/>
  <c r="K827" i="117" s="1"/>
  <c r="G827" i="117"/>
  <c r="M826" i="117"/>
  <c r="L826" i="117"/>
  <c r="G826" i="117"/>
  <c r="H826" i="117" s="1"/>
  <c r="J826" i="117" s="1"/>
  <c r="K826" i="117" s="1"/>
  <c r="M825" i="117"/>
  <c r="L825" i="117"/>
  <c r="H825" i="117"/>
  <c r="J825" i="117" s="1"/>
  <c r="K825" i="117" s="1"/>
  <c r="G825" i="117"/>
  <c r="M824" i="117"/>
  <c r="L824" i="117"/>
  <c r="J824" i="117"/>
  <c r="K824" i="117" s="1"/>
  <c r="H824" i="117"/>
  <c r="G824" i="117"/>
  <c r="M823" i="117"/>
  <c r="L823" i="117"/>
  <c r="H823" i="117"/>
  <c r="J823" i="117" s="1"/>
  <c r="K823" i="117" s="1"/>
  <c r="G823" i="117"/>
  <c r="M822" i="117"/>
  <c r="L822" i="117"/>
  <c r="J822" i="117"/>
  <c r="K822" i="117" s="1"/>
  <c r="G822" i="117"/>
  <c r="H822" i="117" s="1"/>
  <c r="M821" i="117"/>
  <c r="L821" i="117"/>
  <c r="H821" i="117"/>
  <c r="J821" i="117" s="1"/>
  <c r="K821" i="117" s="1"/>
  <c r="G821" i="117"/>
  <c r="M820" i="117"/>
  <c r="L820" i="117"/>
  <c r="J820" i="117"/>
  <c r="K820" i="117" s="1"/>
  <c r="G820" i="117"/>
  <c r="H820" i="117" s="1"/>
  <c r="M819" i="117"/>
  <c r="L819" i="117"/>
  <c r="J819" i="117"/>
  <c r="K819" i="117" s="1"/>
  <c r="H819" i="117"/>
  <c r="G819" i="117"/>
  <c r="M818" i="117"/>
  <c r="L818" i="117"/>
  <c r="J818" i="117"/>
  <c r="K818" i="117" s="1"/>
  <c r="G818" i="117"/>
  <c r="H818" i="117" s="1"/>
  <c r="M817" i="117"/>
  <c r="L817" i="117"/>
  <c r="J817" i="117"/>
  <c r="K817" i="117" s="1"/>
  <c r="G817" i="117"/>
  <c r="H817" i="117" s="1"/>
  <c r="M816" i="117"/>
  <c r="L816" i="117"/>
  <c r="G816" i="117"/>
  <c r="H816" i="117" s="1"/>
  <c r="J816" i="117" s="1"/>
  <c r="K816" i="117" s="1"/>
  <c r="M815" i="117"/>
  <c r="L815" i="117"/>
  <c r="J815" i="117"/>
  <c r="K815" i="117" s="1"/>
  <c r="H815" i="117"/>
  <c r="G815" i="117"/>
  <c r="M814" i="117"/>
  <c r="L814" i="117"/>
  <c r="K814" i="117"/>
  <c r="G814" i="117"/>
  <c r="H814" i="117" s="1"/>
  <c r="J814" i="117" s="1"/>
  <c r="M813" i="117"/>
  <c r="L813" i="117"/>
  <c r="G813" i="117"/>
  <c r="H813" i="117" s="1"/>
  <c r="J813" i="117" s="1"/>
  <c r="K813" i="117" s="1"/>
  <c r="M812" i="117"/>
  <c r="L812" i="117"/>
  <c r="J812" i="117"/>
  <c r="K812" i="117" s="1"/>
  <c r="H812" i="117"/>
  <c r="G812" i="117"/>
  <c r="M811" i="117"/>
  <c r="L811" i="117"/>
  <c r="G811" i="117"/>
  <c r="H811" i="117" s="1"/>
  <c r="J811" i="117" s="1"/>
  <c r="K811" i="117" s="1"/>
  <c r="M810" i="117"/>
  <c r="L810" i="117"/>
  <c r="K810" i="117"/>
  <c r="G810" i="117"/>
  <c r="H810" i="117" s="1"/>
  <c r="J810" i="117" s="1"/>
  <c r="M809" i="117"/>
  <c r="L809" i="117"/>
  <c r="J809" i="117"/>
  <c r="K809" i="117" s="1"/>
  <c r="G809" i="117"/>
  <c r="H809" i="117" s="1"/>
  <c r="M808" i="117"/>
  <c r="L808" i="117"/>
  <c r="H808" i="117"/>
  <c r="J808" i="117" s="1"/>
  <c r="K808" i="117" s="1"/>
  <c r="G808" i="117"/>
  <c r="M807" i="117"/>
  <c r="L807" i="117"/>
  <c r="H807" i="117"/>
  <c r="J807" i="117" s="1"/>
  <c r="K807" i="117" s="1"/>
  <c r="G807" i="117"/>
  <c r="M806" i="117"/>
  <c r="L806" i="117"/>
  <c r="G806" i="117"/>
  <c r="H806" i="117" s="1"/>
  <c r="J806" i="117" s="1"/>
  <c r="K806" i="117" s="1"/>
  <c r="M805" i="117"/>
  <c r="L805" i="117"/>
  <c r="J805" i="117"/>
  <c r="K805" i="117" s="1"/>
  <c r="H805" i="117"/>
  <c r="G805" i="117"/>
  <c r="M804" i="117"/>
  <c r="L804" i="117"/>
  <c r="J804" i="117"/>
  <c r="K804" i="117" s="1"/>
  <c r="G804" i="117"/>
  <c r="H804" i="117" s="1"/>
  <c r="M803" i="117"/>
  <c r="L803" i="117"/>
  <c r="J803" i="117"/>
  <c r="K803" i="117" s="1"/>
  <c r="H803" i="117"/>
  <c r="G803" i="117"/>
  <c r="M802" i="117"/>
  <c r="L802" i="117"/>
  <c r="J802" i="117"/>
  <c r="K802" i="117" s="1"/>
  <c r="G802" i="117"/>
  <c r="H802" i="117" s="1"/>
  <c r="M801" i="117"/>
  <c r="L801" i="117"/>
  <c r="J801" i="117"/>
  <c r="K801" i="117" s="1"/>
  <c r="G801" i="117"/>
  <c r="H801" i="117" s="1"/>
  <c r="M800" i="117"/>
  <c r="L800" i="117"/>
  <c r="K800" i="117"/>
  <c r="J800" i="117"/>
  <c r="G800" i="117"/>
  <c r="H800" i="117" s="1"/>
  <c r="M799" i="117"/>
  <c r="L799" i="117"/>
  <c r="H799" i="117"/>
  <c r="J799" i="117" s="1"/>
  <c r="K799" i="117" s="1"/>
  <c r="G799" i="117"/>
  <c r="M798" i="117"/>
  <c r="L798" i="117"/>
  <c r="K798" i="117"/>
  <c r="G798" i="117"/>
  <c r="H798" i="117" s="1"/>
  <c r="J798" i="117" s="1"/>
  <c r="M797" i="117"/>
  <c r="L797" i="117"/>
  <c r="K797" i="117"/>
  <c r="G797" i="117"/>
  <c r="H797" i="117" s="1"/>
  <c r="J797" i="117" s="1"/>
  <c r="M796" i="117"/>
  <c r="L796" i="117"/>
  <c r="G796" i="117"/>
  <c r="H796" i="117" s="1"/>
  <c r="J796" i="117" s="1"/>
  <c r="K796" i="117" s="1"/>
  <c r="M795" i="117"/>
  <c r="L795" i="117"/>
  <c r="H795" i="117"/>
  <c r="J795" i="117" s="1"/>
  <c r="K795" i="117" s="1"/>
  <c r="G795" i="117"/>
  <c r="M794" i="117"/>
  <c r="L794" i="117"/>
  <c r="G794" i="117"/>
  <c r="H794" i="117" s="1"/>
  <c r="J794" i="117" s="1"/>
  <c r="K794" i="117" s="1"/>
  <c r="M793" i="117"/>
  <c r="L793" i="117"/>
  <c r="G793" i="117"/>
  <c r="H793" i="117" s="1"/>
  <c r="J793" i="117" s="1"/>
  <c r="K793" i="117" s="1"/>
  <c r="M792" i="117"/>
  <c r="L792" i="117"/>
  <c r="H792" i="117"/>
  <c r="J792" i="117" s="1"/>
  <c r="K792" i="117" s="1"/>
  <c r="G792" i="117"/>
  <c r="M791" i="117"/>
  <c r="L791" i="117"/>
  <c r="H791" i="117"/>
  <c r="J791" i="117" s="1"/>
  <c r="K791" i="117" s="1"/>
  <c r="G791" i="117"/>
  <c r="M790" i="117"/>
  <c r="L790" i="117"/>
  <c r="K790" i="117"/>
  <c r="J790" i="117"/>
  <c r="G790" i="117"/>
  <c r="H790" i="117" s="1"/>
  <c r="M789" i="117"/>
  <c r="L789" i="117"/>
  <c r="H789" i="117"/>
  <c r="J789" i="117" s="1"/>
  <c r="K789" i="117" s="1"/>
  <c r="G789" i="117"/>
  <c r="M788" i="117"/>
  <c r="L788" i="117"/>
  <c r="J788" i="117"/>
  <c r="K788" i="117" s="1"/>
  <c r="G788" i="117"/>
  <c r="H788" i="117" s="1"/>
  <c r="M787" i="117"/>
  <c r="L787" i="117"/>
  <c r="J787" i="117"/>
  <c r="K787" i="117" s="1"/>
  <c r="H787" i="117"/>
  <c r="G787" i="117"/>
  <c r="M786" i="117"/>
  <c r="L786" i="117"/>
  <c r="J786" i="117"/>
  <c r="K786" i="117" s="1"/>
  <c r="G786" i="117"/>
  <c r="H786" i="117" s="1"/>
  <c r="M785" i="117"/>
  <c r="L785" i="117"/>
  <c r="J785" i="117"/>
  <c r="K785" i="117" s="1"/>
  <c r="G785" i="117"/>
  <c r="H785" i="117" s="1"/>
  <c r="M784" i="117"/>
  <c r="L784" i="117"/>
  <c r="G784" i="117"/>
  <c r="H784" i="117" s="1"/>
  <c r="J784" i="117" s="1"/>
  <c r="K784" i="117" s="1"/>
  <c r="M783" i="117"/>
  <c r="L783" i="117"/>
  <c r="J783" i="117"/>
  <c r="K783" i="117" s="1"/>
  <c r="H783" i="117"/>
  <c r="G783" i="117"/>
  <c r="M782" i="117"/>
  <c r="L782" i="117"/>
  <c r="K782" i="117"/>
  <c r="G782" i="117"/>
  <c r="H782" i="117" s="1"/>
  <c r="J782" i="117" s="1"/>
  <c r="M781" i="117"/>
  <c r="L781" i="117"/>
  <c r="G781" i="117"/>
  <c r="H781" i="117" s="1"/>
  <c r="J781" i="117" s="1"/>
  <c r="K781" i="117" s="1"/>
  <c r="M780" i="117"/>
  <c r="L780" i="117"/>
  <c r="J780" i="117"/>
  <c r="K780" i="117" s="1"/>
  <c r="H780" i="117"/>
  <c r="G780" i="117"/>
  <c r="M779" i="117"/>
  <c r="L779" i="117"/>
  <c r="G779" i="117"/>
  <c r="H779" i="117" s="1"/>
  <c r="J779" i="117" s="1"/>
  <c r="K779" i="117" s="1"/>
  <c r="M778" i="117"/>
  <c r="L778" i="117"/>
  <c r="K778" i="117"/>
  <c r="J778" i="117"/>
  <c r="G778" i="117"/>
  <c r="H778" i="117" s="1"/>
  <c r="M777" i="117"/>
  <c r="L777" i="117"/>
  <c r="K777" i="117"/>
  <c r="H777" i="117"/>
  <c r="J777" i="117" s="1"/>
  <c r="G777" i="117"/>
  <c r="M776" i="117"/>
  <c r="L776" i="117"/>
  <c r="G776" i="117"/>
  <c r="H776" i="117" s="1"/>
  <c r="J776" i="117" s="1"/>
  <c r="K776" i="117" s="1"/>
  <c r="M775" i="117"/>
  <c r="L775" i="117"/>
  <c r="J775" i="117"/>
  <c r="K775" i="117" s="1"/>
  <c r="H775" i="117"/>
  <c r="G775" i="117"/>
  <c r="M774" i="117"/>
  <c r="L774" i="117"/>
  <c r="G774" i="117"/>
  <c r="H774" i="117" s="1"/>
  <c r="J774" i="117" s="1"/>
  <c r="K774" i="117" s="1"/>
  <c r="M773" i="117"/>
  <c r="L773" i="117"/>
  <c r="H773" i="117"/>
  <c r="J773" i="117" s="1"/>
  <c r="K773" i="117" s="1"/>
  <c r="G773" i="117"/>
  <c r="M772" i="117"/>
  <c r="L772" i="117"/>
  <c r="K772" i="117"/>
  <c r="J772" i="117"/>
  <c r="G772" i="117"/>
  <c r="H772" i="117" s="1"/>
  <c r="M771" i="117"/>
  <c r="L771" i="117"/>
  <c r="H771" i="117"/>
  <c r="J771" i="117" s="1"/>
  <c r="K771" i="117" s="1"/>
  <c r="G771" i="117"/>
  <c r="M770" i="117"/>
  <c r="L770" i="117"/>
  <c r="G770" i="117"/>
  <c r="H770" i="117" s="1"/>
  <c r="J770" i="117" s="1"/>
  <c r="K770" i="117" s="1"/>
  <c r="M769" i="117"/>
  <c r="L769" i="117"/>
  <c r="J769" i="117"/>
  <c r="K769" i="117" s="1"/>
  <c r="G769" i="117"/>
  <c r="H769" i="117" s="1"/>
  <c r="M768" i="117"/>
  <c r="L768" i="117"/>
  <c r="H768" i="117"/>
  <c r="J768" i="117" s="1"/>
  <c r="K768" i="117" s="1"/>
  <c r="G768" i="117"/>
  <c r="M767" i="117"/>
  <c r="L767" i="117"/>
  <c r="G767" i="117"/>
  <c r="H767" i="117" s="1"/>
  <c r="J767" i="117" s="1"/>
  <c r="K767" i="117" s="1"/>
  <c r="M766" i="117"/>
  <c r="L766" i="117"/>
  <c r="G766" i="117"/>
  <c r="H766" i="117" s="1"/>
  <c r="J766" i="117" s="1"/>
  <c r="K766" i="117" s="1"/>
  <c r="M765" i="117"/>
  <c r="L765" i="117"/>
  <c r="G765" i="117"/>
  <c r="H765" i="117" s="1"/>
  <c r="J765" i="117" s="1"/>
  <c r="K765" i="117" s="1"/>
  <c r="M764" i="117"/>
  <c r="L764" i="117"/>
  <c r="G764" i="117"/>
  <c r="H764" i="117" s="1"/>
  <c r="J764" i="117" s="1"/>
  <c r="K764" i="117" s="1"/>
  <c r="M763" i="117"/>
  <c r="L763" i="117"/>
  <c r="G763" i="117"/>
  <c r="H763" i="117" s="1"/>
  <c r="J763" i="117" s="1"/>
  <c r="K763" i="117" s="1"/>
  <c r="M762" i="117"/>
  <c r="L762" i="117"/>
  <c r="J762" i="117"/>
  <c r="K762" i="117" s="1"/>
  <c r="G762" i="117"/>
  <c r="H762" i="117" s="1"/>
  <c r="M761" i="117"/>
  <c r="L761" i="117"/>
  <c r="K761" i="117"/>
  <c r="J761" i="117"/>
  <c r="H761" i="117"/>
  <c r="G761" i="117"/>
  <c r="M760" i="117"/>
  <c r="L760" i="117"/>
  <c r="G760" i="117"/>
  <c r="H760" i="117" s="1"/>
  <c r="J760" i="117" s="1"/>
  <c r="K760" i="117" s="1"/>
  <c r="M759" i="117"/>
  <c r="L759" i="117"/>
  <c r="H759" i="117"/>
  <c r="J759" i="117" s="1"/>
  <c r="K759" i="117" s="1"/>
  <c r="G759" i="117"/>
  <c r="M758" i="117"/>
  <c r="L758" i="117"/>
  <c r="K758" i="117"/>
  <c r="J758" i="117"/>
  <c r="G758" i="117"/>
  <c r="H758" i="117" s="1"/>
  <c r="M757" i="117"/>
  <c r="L757" i="117"/>
  <c r="H757" i="117"/>
  <c r="J757" i="117" s="1"/>
  <c r="K757" i="117" s="1"/>
  <c r="G757" i="117"/>
  <c r="M756" i="117"/>
  <c r="L756" i="117"/>
  <c r="G756" i="117"/>
  <c r="H756" i="117" s="1"/>
  <c r="J756" i="117" s="1"/>
  <c r="K756" i="117" s="1"/>
  <c r="M755" i="117"/>
  <c r="L755" i="117"/>
  <c r="H755" i="117"/>
  <c r="J755" i="117" s="1"/>
  <c r="K755" i="117" s="1"/>
  <c r="G755" i="117"/>
  <c r="M754" i="117"/>
  <c r="L754" i="117"/>
  <c r="G754" i="117"/>
  <c r="H754" i="117" s="1"/>
  <c r="J754" i="117" s="1"/>
  <c r="K754" i="117" s="1"/>
  <c r="M753" i="117"/>
  <c r="L753" i="117"/>
  <c r="K753" i="117"/>
  <c r="J753" i="117"/>
  <c r="G753" i="117"/>
  <c r="H753" i="117" s="1"/>
  <c r="M752" i="117"/>
  <c r="L752" i="117"/>
  <c r="K752" i="117"/>
  <c r="H752" i="117"/>
  <c r="J752" i="117" s="1"/>
  <c r="G752" i="117"/>
  <c r="M751" i="117"/>
  <c r="L751" i="117"/>
  <c r="G751" i="117"/>
  <c r="H751" i="117" s="1"/>
  <c r="J751" i="117" s="1"/>
  <c r="K751" i="117" s="1"/>
  <c r="M750" i="117"/>
  <c r="L750" i="117"/>
  <c r="K750" i="117"/>
  <c r="G750" i="117"/>
  <c r="H750" i="117" s="1"/>
  <c r="J750" i="117" s="1"/>
  <c r="M749" i="117"/>
  <c r="L749" i="117"/>
  <c r="G749" i="117"/>
  <c r="H749" i="117" s="1"/>
  <c r="J749" i="117" s="1"/>
  <c r="K749" i="117" s="1"/>
  <c r="M748" i="117"/>
  <c r="L748" i="117"/>
  <c r="G748" i="117"/>
  <c r="H748" i="117" s="1"/>
  <c r="J748" i="117" s="1"/>
  <c r="K748" i="117" s="1"/>
  <c r="M747" i="117"/>
  <c r="L747" i="117"/>
  <c r="H747" i="117"/>
  <c r="J747" i="117" s="1"/>
  <c r="K747" i="117" s="1"/>
  <c r="G747" i="117"/>
  <c r="M746" i="117"/>
  <c r="L746" i="117"/>
  <c r="J746" i="117"/>
  <c r="K746" i="117" s="1"/>
  <c r="G746" i="117"/>
  <c r="H746" i="117" s="1"/>
  <c r="M745" i="117"/>
  <c r="L745" i="117"/>
  <c r="H745" i="117"/>
  <c r="J745" i="117" s="1"/>
  <c r="K745" i="117" s="1"/>
  <c r="G745" i="117"/>
  <c r="M744" i="117"/>
  <c r="L744" i="117"/>
  <c r="J744" i="117"/>
  <c r="K744" i="117" s="1"/>
  <c r="H744" i="117"/>
  <c r="G744" i="117"/>
  <c r="M743" i="117"/>
  <c r="L743" i="117"/>
  <c r="H743" i="117"/>
  <c r="J743" i="117" s="1"/>
  <c r="K743" i="117" s="1"/>
  <c r="G743" i="117"/>
  <c r="M742" i="117"/>
  <c r="L742" i="117"/>
  <c r="G742" i="117"/>
  <c r="H742" i="117" s="1"/>
  <c r="J742" i="117" s="1"/>
  <c r="K742" i="117" s="1"/>
  <c r="M741" i="117"/>
  <c r="L741" i="117"/>
  <c r="H741" i="117"/>
  <c r="J741" i="117" s="1"/>
  <c r="K741" i="117" s="1"/>
  <c r="G741" i="117"/>
  <c r="M740" i="117"/>
  <c r="L740" i="117"/>
  <c r="G740" i="117"/>
  <c r="H740" i="117" s="1"/>
  <c r="J740" i="117" s="1"/>
  <c r="K740" i="117" s="1"/>
  <c r="M739" i="117"/>
  <c r="L739" i="117"/>
  <c r="J739" i="117"/>
  <c r="K739" i="117" s="1"/>
  <c r="H739" i="117"/>
  <c r="G739" i="117"/>
  <c r="M738" i="117"/>
  <c r="L738" i="117"/>
  <c r="G738" i="117"/>
  <c r="H738" i="117" s="1"/>
  <c r="J738" i="117" s="1"/>
  <c r="K738" i="117" s="1"/>
  <c r="M737" i="117"/>
  <c r="L737" i="117"/>
  <c r="J737" i="117"/>
  <c r="K737" i="117" s="1"/>
  <c r="G737" i="117"/>
  <c r="H737" i="117" s="1"/>
  <c r="M736" i="117"/>
  <c r="L736" i="117"/>
  <c r="K736" i="117"/>
  <c r="J736" i="117"/>
  <c r="H736" i="117"/>
  <c r="G736" i="117"/>
  <c r="M735" i="117"/>
  <c r="L735" i="117"/>
  <c r="K735" i="117"/>
  <c r="H735" i="117"/>
  <c r="J735" i="117" s="1"/>
  <c r="G735" i="117"/>
  <c r="M734" i="117"/>
  <c r="L734" i="117"/>
  <c r="G734" i="117"/>
  <c r="H734" i="117" s="1"/>
  <c r="J734" i="117" s="1"/>
  <c r="K734" i="117" s="1"/>
  <c r="M733" i="117"/>
  <c r="L733" i="117"/>
  <c r="K733" i="117"/>
  <c r="J733" i="117"/>
  <c r="G733" i="117"/>
  <c r="H733" i="117" s="1"/>
  <c r="M732" i="117"/>
  <c r="L732" i="117"/>
  <c r="K732" i="117"/>
  <c r="H732" i="117"/>
  <c r="J732" i="117" s="1"/>
  <c r="G732" i="117"/>
  <c r="M731" i="117"/>
  <c r="L731" i="117"/>
  <c r="H731" i="117"/>
  <c r="J731" i="117" s="1"/>
  <c r="K731" i="117" s="1"/>
  <c r="G731" i="117"/>
  <c r="M730" i="117"/>
  <c r="L730" i="117"/>
  <c r="G730" i="117"/>
  <c r="H730" i="117" s="1"/>
  <c r="J730" i="117" s="1"/>
  <c r="K730" i="117" s="1"/>
  <c r="M729" i="117"/>
  <c r="L729" i="117"/>
  <c r="J729" i="117"/>
  <c r="K729" i="117" s="1"/>
  <c r="G729" i="117"/>
  <c r="H729" i="117" s="1"/>
  <c r="M728" i="117"/>
  <c r="L728" i="117"/>
  <c r="H728" i="117"/>
  <c r="J728" i="117" s="1"/>
  <c r="K728" i="117" s="1"/>
  <c r="G728" i="117"/>
  <c r="M727" i="117"/>
  <c r="L727" i="117"/>
  <c r="H727" i="117"/>
  <c r="J727" i="117" s="1"/>
  <c r="K727" i="117" s="1"/>
  <c r="G727" i="117"/>
  <c r="M726" i="117"/>
  <c r="L726" i="117"/>
  <c r="J726" i="117"/>
  <c r="K726" i="117" s="1"/>
  <c r="H726" i="117"/>
  <c r="G726" i="117"/>
  <c r="M725" i="117"/>
  <c r="L725" i="117"/>
  <c r="J725" i="117"/>
  <c r="K725" i="117" s="1"/>
  <c r="G725" i="117"/>
  <c r="H725" i="117" s="1"/>
  <c r="M724" i="117"/>
  <c r="L724" i="117"/>
  <c r="H724" i="117"/>
  <c r="J724" i="117" s="1"/>
  <c r="K724" i="117" s="1"/>
  <c r="G724" i="117"/>
  <c r="M723" i="117"/>
  <c r="L723" i="117"/>
  <c r="K723" i="117"/>
  <c r="J723" i="117"/>
  <c r="H723" i="117"/>
  <c r="G723" i="117"/>
  <c r="M722" i="117"/>
  <c r="L722" i="117"/>
  <c r="J722" i="117"/>
  <c r="K722" i="117" s="1"/>
  <c r="G722" i="117"/>
  <c r="H722" i="117" s="1"/>
  <c r="M721" i="117"/>
  <c r="L721" i="117"/>
  <c r="J721" i="117"/>
  <c r="K721" i="117" s="1"/>
  <c r="G721" i="117"/>
  <c r="H721" i="117" s="1"/>
  <c r="M720" i="117"/>
  <c r="L720" i="117"/>
  <c r="K720" i="117"/>
  <c r="J720" i="117"/>
  <c r="H720" i="117"/>
  <c r="G720" i="117"/>
  <c r="M719" i="117"/>
  <c r="L719" i="117"/>
  <c r="H719" i="117"/>
  <c r="J719" i="117" s="1"/>
  <c r="K719" i="117" s="1"/>
  <c r="G719" i="117"/>
  <c r="M718" i="117"/>
  <c r="L718" i="117"/>
  <c r="G718" i="117"/>
  <c r="H718" i="117" s="1"/>
  <c r="J718" i="117" s="1"/>
  <c r="K718" i="117" s="1"/>
  <c r="M717" i="117"/>
  <c r="L717" i="117"/>
  <c r="K717" i="117"/>
  <c r="J717" i="117"/>
  <c r="G717" i="117"/>
  <c r="H717" i="117" s="1"/>
  <c r="M716" i="117"/>
  <c r="L716" i="117"/>
  <c r="K716" i="117"/>
  <c r="H716" i="117"/>
  <c r="J716" i="117" s="1"/>
  <c r="G716" i="117"/>
  <c r="M715" i="117"/>
  <c r="L715" i="117"/>
  <c r="H715" i="117"/>
  <c r="J715" i="117" s="1"/>
  <c r="K715" i="117" s="1"/>
  <c r="G715" i="117"/>
  <c r="M714" i="117"/>
  <c r="L714" i="117"/>
  <c r="H714" i="117"/>
  <c r="J714" i="117" s="1"/>
  <c r="K714" i="117" s="1"/>
  <c r="G714" i="117"/>
  <c r="M713" i="117"/>
  <c r="L713" i="117"/>
  <c r="K713" i="117"/>
  <c r="J713" i="117"/>
  <c r="H713" i="117"/>
  <c r="G713" i="117"/>
  <c r="M712" i="117"/>
  <c r="L712" i="117"/>
  <c r="H712" i="117"/>
  <c r="J712" i="117" s="1"/>
  <c r="K712" i="117" s="1"/>
  <c r="G712" i="117"/>
  <c r="M711" i="117"/>
  <c r="L711" i="117"/>
  <c r="H711" i="117"/>
  <c r="J711" i="117" s="1"/>
  <c r="K711" i="117" s="1"/>
  <c r="G711" i="117"/>
  <c r="M710" i="117"/>
  <c r="L710" i="117"/>
  <c r="H710" i="117"/>
  <c r="J710" i="117" s="1"/>
  <c r="K710" i="117" s="1"/>
  <c r="G710" i="117"/>
  <c r="M709" i="117"/>
  <c r="L709" i="117"/>
  <c r="K709" i="117"/>
  <c r="J709" i="117"/>
  <c r="H709" i="117"/>
  <c r="G709" i="117"/>
  <c r="M708" i="117"/>
  <c r="L708" i="117"/>
  <c r="K708" i="117"/>
  <c r="H708" i="117"/>
  <c r="J708" i="117" s="1"/>
  <c r="G708" i="117"/>
  <c r="M707" i="117"/>
  <c r="L707" i="117"/>
  <c r="H707" i="117"/>
  <c r="J707" i="117" s="1"/>
  <c r="K707" i="117" s="1"/>
  <c r="G707" i="117"/>
  <c r="M706" i="117"/>
  <c r="L706" i="117"/>
  <c r="H706" i="117"/>
  <c r="J706" i="117" s="1"/>
  <c r="K706" i="117" s="1"/>
  <c r="G706" i="117"/>
  <c r="M705" i="117"/>
  <c r="L705" i="117"/>
  <c r="J705" i="117"/>
  <c r="K705" i="117" s="1"/>
  <c r="H705" i="117"/>
  <c r="G705" i="117"/>
  <c r="M704" i="117"/>
  <c r="L704" i="117"/>
  <c r="K704" i="117"/>
  <c r="G704" i="117"/>
  <c r="H704" i="117" s="1"/>
  <c r="J704" i="117" s="1"/>
  <c r="M703" i="117"/>
  <c r="L703" i="117"/>
  <c r="H703" i="117"/>
  <c r="J703" i="117" s="1"/>
  <c r="K703" i="117" s="1"/>
  <c r="G703" i="117"/>
  <c r="M702" i="117"/>
  <c r="L702" i="117"/>
  <c r="H702" i="117"/>
  <c r="J702" i="117" s="1"/>
  <c r="K702" i="117" s="1"/>
  <c r="G702" i="117"/>
  <c r="M701" i="117"/>
  <c r="L701" i="117"/>
  <c r="J701" i="117"/>
  <c r="K701" i="117" s="1"/>
  <c r="H701" i="117"/>
  <c r="G701" i="117"/>
  <c r="M700" i="117"/>
  <c r="L700" i="117"/>
  <c r="G700" i="117"/>
  <c r="H700" i="117" s="1"/>
  <c r="J700" i="117" s="1"/>
  <c r="K700" i="117" s="1"/>
  <c r="M699" i="117"/>
  <c r="L699" i="117"/>
  <c r="H699" i="117"/>
  <c r="J699" i="117" s="1"/>
  <c r="K699" i="117" s="1"/>
  <c r="G699" i="117"/>
  <c r="M698" i="117"/>
  <c r="L698" i="117"/>
  <c r="H698" i="117"/>
  <c r="J698" i="117" s="1"/>
  <c r="K698" i="117" s="1"/>
  <c r="G698" i="117"/>
  <c r="M697" i="117"/>
  <c r="L697" i="117"/>
  <c r="J697" i="117"/>
  <c r="K697" i="117" s="1"/>
  <c r="H697" i="117"/>
  <c r="G697" i="117"/>
  <c r="M696" i="117"/>
  <c r="L696" i="117"/>
  <c r="K696" i="117"/>
  <c r="G696" i="117"/>
  <c r="H696" i="117" s="1"/>
  <c r="J696" i="117" s="1"/>
  <c r="M695" i="117"/>
  <c r="L695" i="117"/>
  <c r="H695" i="117"/>
  <c r="J695" i="117" s="1"/>
  <c r="K695" i="117" s="1"/>
  <c r="G695" i="117"/>
  <c r="M694" i="117"/>
  <c r="L694" i="117"/>
  <c r="H694" i="117"/>
  <c r="J694" i="117" s="1"/>
  <c r="K694" i="117" s="1"/>
  <c r="G694" i="117"/>
  <c r="M693" i="117"/>
  <c r="L693" i="117"/>
  <c r="J693" i="117"/>
  <c r="K693" i="117" s="1"/>
  <c r="H693" i="117"/>
  <c r="G693" i="117"/>
  <c r="M692" i="117"/>
  <c r="L692" i="117"/>
  <c r="G692" i="117"/>
  <c r="H692" i="117" s="1"/>
  <c r="J692" i="117" s="1"/>
  <c r="K692" i="117" s="1"/>
  <c r="M691" i="117"/>
  <c r="L691" i="117"/>
  <c r="H691" i="117"/>
  <c r="J691" i="117" s="1"/>
  <c r="K691" i="117" s="1"/>
  <c r="G691" i="117"/>
  <c r="M690" i="117"/>
  <c r="L690" i="117"/>
  <c r="H690" i="117"/>
  <c r="J690" i="117" s="1"/>
  <c r="K690" i="117" s="1"/>
  <c r="G690" i="117"/>
  <c r="M689" i="117"/>
  <c r="L689" i="117"/>
  <c r="J689" i="117"/>
  <c r="K689" i="117" s="1"/>
  <c r="H689" i="117"/>
  <c r="G689" i="117"/>
  <c r="M688" i="117"/>
  <c r="L688" i="117"/>
  <c r="G688" i="117"/>
  <c r="H688" i="117" s="1"/>
  <c r="J688" i="117" s="1"/>
  <c r="K688" i="117" s="1"/>
  <c r="M687" i="117"/>
  <c r="L687" i="117"/>
  <c r="H687" i="117"/>
  <c r="J687" i="117" s="1"/>
  <c r="K687" i="117" s="1"/>
  <c r="G687" i="117"/>
  <c r="M686" i="117"/>
  <c r="L686" i="117"/>
  <c r="H686" i="117"/>
  <c r="J686" i="117" s="1"/>
  <c r="K686" i="117" s="1"/>
  <c r="G686" i="117"/>
  <c r="M685" i="117"/>
  <c r="L685" i="117"/>
  <c r="J685" i="117"/>
  <c r="K685" i="117" s="1"/>
  <c r="H685" i="117"/>
  <c r="G685" i="117"/>
  <c r="M684" i="117"/>
  <c r="L684" i="117"/>
  <c r="K684" i="117"/>
  <c r="G684" i="117"/>
  <c r="H684" i="117" s="1"/>
  <c r="J684" i="117" s="1"/>
  <c r="M683" i="117"/>
  <c r="L683" i="117"/>
  <c r="H683" i="117"/>
  <c r="J683" i="117" s="1"/>
  <c r="K683" i="117" s="1"/>
  <c r="G683" i="117"/>
  <c r="M682" i="117"/>
  <c r="L682" i="117"/>
  <c r="H682" i="117"/>
  <c r="J682" i="117" s="1"/>
  <c r="K682" i="117" s="1"/>
  <c r="G682" i="117"/>
  <c r="M681" i="117"/>
  <c r="L681" i="117"/>
  <c r="J681" i="117"/>
  <c r="K681" i="117" s="1"/>
  <c r="H681" i="117"/>
  <c r="G681" i="117"/>
  <c r="M680" i="117"/>
  <c r="L680" i="117"/>
  <c r="K680" i="117"/>
  <c r="G680" i="117"/>
  <c r="H680" i="117" s="1"/>
  <c r="J680" i="117" s="1"/>
  <c r="M679" i="117"/>
  <c r="L679" i="117"/>
  <c r="H679" i="117"/>
  <c r="J679" i="117" s="1"/>
  <c r="K679" i="117" s="1"/>
  <c r="G679" i="117"/>
  <c r="M678" i="117"/>
  <c r="L678" i="117"/>
  <c r="H678" i="117"/>
  <c r="J678" i="117" s="1"/>
  <c r="K678" i="117" s="1"/>
  <c r="G678" i="117"/>
  <c r="M677" i="117"/>
  <c r="L677" i="117"/>
  <c r="J677" i="117"/>
  <c r="K677" i="117" s="1"/>
  <c r="H677" i="117"/>
  <c r="G677" i="117"/>
  <c r="M676" i="117"/>
  <c r="L676" i="117"/>
  <c r="G676" i="117"/>
  <c r="H676" i="117" s="1"/>
  <c r="J676" i="117" s="1"/>
  <c r="K676" i="117" s="1"/>
  <c r="M675" i="117"/>
  <c r="L675" i="117"/>
  <c r="H675" i="117"/>
  <c r="J675" i="117" s="1"/>
  <c r="K675" i="117" s="1"/>
  <c r="G675" i="117"/>
  <c r="M674" i="117"/>
  <c r="L674" i="117"/>
  <c r="H674" i="117"/>
  <c r="J674" i="117" s="1"/>
  <c r="K674" i="117" s="1"/>
  <c r="G674" i="117"/>
  <c r="M673" i="117"/>
  <c r="L673" i="117"/>
  <c r="J673" i="117"/>
  <c r="K673" i="117" s="1"/>
  <c r="H673" i="117"/>
  <c r="G673" i="117"/>
  <c r="M672" i="117"/>
  <c r="L672" i="117"/>
  <c r="K672" i="117"/>
  <c r="G672" i="117"/>
  <c r="H672" i="117" s="1"/>
  <c r="J672" i="117" s="1"/>
  <c r="M671" i="117"/>
  <c r="L671" i="117"/>
  <c r="H671" i="117"/>
  <c r="J671" i="117" s="1"/>
  <c r="K671" i="117" s="1"/>
  <c r="G671" i="117"/>
  <c r="M670" i="117"/>
  <c r="L670" i="117"/>
  <c r="H670" i="117"/>
  <c r="J670" i="117" s="1"/>
  <c r="K670" i="117" s="1"/>
  <c r="G670" i="117"/>
  <c r="M669" i="117"/>
  <c r="L669" i="117"/>
  <c r="J669" i="117"/>
  <c r="K669" i="117" s="1"/>
  <c r="H669" i="117"/>
  <c r="G669" i="117"/>
  <c r="M668" i="117"/>
  <c r="L668" i="117"/>
  <c r="G668" i="117"/>
  <c r="H668" i="117" s="1"/>
  <c r="J668" i="117" s="1"/>
  <c r="K668" i="117" s="1"/>
  <c r="M667" i="117"/>
  <c r="L667" i="117"/>
  <c r="H667" i="117"/>
  <c r="J667" i="117" s="1"/>
  <c r="K667" i="117" s="1"/>
  <c r="G667" i="117"/>
  <c r="M666" i="117"/>
  <c r="L666" i="117"/>
  <c r="H666" i="117"/>
  <c r="J666" i="117" s="1"/>
  <c r="K666" i="117" s="1"/>
  <c r="G666" i="117"/>
  <c r="M665" i="117"/>
  <c r="L665" i="117"/>
  <c r="J665" i="117"/>
  <c r="K665" i="117" s="1"/>
  <c r="H665" i="117"/>
  <c r="G665" i="117"/>
  <c r="M664" i="117"/>
  <c r="L664" i="117"/>
  <c r="K664" i="117"/>
  <c r="G664" i="117"/>
  <c r="H664" i="117" s="1"/>
  <c r="J664" i="117" s="1"/>
  <c r="M663" i="117"/>
  <c r="L663" i="117"/>
  <c r="H663" i="117"/>
  <c r="J663" i="117" s="1"/>
  <c r="K663" i="117" s="1"/>
  <c r="G663" i="117"/>
  <c r="M662" i="117"/>
  <c r="L662" i="117"/>
  <c r="H662" i="117"/>
  <c r="J662" i="117" s="1"/>
  <c r="K662" i="117" s="1"/>
  <c r="G662" i="117"/>
  <c r="M661" i="117"/>
  <c r="L661" i="117"/>
  <c r="J661" i="117"/>
  <c r="K661" i="117" s="1"/>
  <c r="H661" i="117"/>
  <c r="G661" i="117"/>
  <c r="M660" i="117"/>
  <c r="L660" i="117"/>
  <c r="G660" i="117"/>
  <c r="H660" i="117" s="1"/>
  <c r="J660" i="117" s="1"/>
  <c r="K660" i="117" s="1"/>
  <c r="M659" i="117"/>
  <c r="L659" i="117"/>
  <c r="H659" i="117"/>
  <c r="J659" i="117" s="1"/>
  <c r="K659" i="117" s="1"/>
  <c r="G659" i="117"/>
  <c r="M658" i="117"/>
  <c r="L658" i="117"/>
  <c r="H658" i="117"/>
  <c r="J658" i="117" s="1"/>
  <c r="K658" i="117" s="1"/>
  <c r="G658" i="117"/>
  <c r="M657" i="117"/>
  <c r="L657" i="117"/>
  <c r="J657" i="117"/>
  <c r="K657" i="117" s="1"/>
  <c r="H657" i="117"/>
  <c r="G657" i="117"/>
  <c r="M656" i="117"/>
  <c r="L656" i="117"/>
  <c r="G656" i="117"/>
  <c r="H656" i="117" s="1"/>
  <c r="J656" i="117" s="1"/>
  <c r="K656" i="117" s="1"/>
  <c r="M655" i="117"/>
  <c r="L655" i="117"/>
  <c r="H655" i="117"/>
  <c r="J655" i="117" s="1"/>
  <c r="K655" i="117" s="1"/>
  <c r="G655" i="117"/>
  <c r="M654" i="117"/>
  <c r="L654" i="117"/>
  <c r="H654" i="117"/>
  <c r="J654" i="117" s="1"/>
  <c r="K654" i="117" s="1"/>
  <c r="G654" i="117"/>
  <c r="M653" i="117"/>
  <c r="L653" i="117"/>
  <c r="J653" i="117"/>
  <c r="K653" i="117" s="1"/>
  <c r="H653" i="117"/>
  <c r="G653" i="117"/>
  <c r="M652" i="117"/>
  <c r="L652" i="117"/>
  <c r="K652" i="117"/>
  <c r="G652" i="117"/>
  <c r="H652" i="117" s="1"/>
  <c r="J652" i="117" s="1"/>
  <c r="M651" i="117"/>
  <c r="L651" i="117"/>
  <c r="H651" i="117"/>
  <c r="J651" i="117" s="1"/>
  <c r="K651" i="117" s="1"/>
  <c r="G651" i="117"/>
  <c r="M650" i="117"/>
  <c r="L650" i="117"/>
  <c r="H650" i="117"/>
  <c r="J650" i="117" s="1"/>
  <c r="K650" i="117" s="1"/>
  <c r="G650" i="117"/>
  <c r="M649" i="117"/>
  <c r="L649" i="117"/>
  <c r="J649" i="117"/>
  <c r="K649" i="117" s="1"/>
  <c r="H649" i="117"/>
  <c r="G649" i="117"/>
  <c r="M648" i="117"/>
  <c r="L648" i="117"/>
  <c r="K648" i="117"/>
  <c r="G648" i="117"/>
  <c r="H648" i="117" s="1"/>
  <c r="J648" i="117" s="1"/>
  <c r="M647" i="117"/>
  <c r="L647" i="117"/>
  <c r="H647" i="117"/>
  <c r="J647" i="117" s="1"/>
  <c r="K647" i="117" s="1"/>
  <c r="G647" i="117"/>
  <c r="M646" i="117"/>
  <c r="L646" i="117"/>
  <c r="H646" i="117"/>
  <c r="J646" i="117" s="1"/>
  <c r="K646" i="117" s="1"/>
  <c r="G646" i="117"/>
  <c r="M645" i="117"/>
  <c r="L645" i="117"/>
  <c r="J645" i="117"/>
  <c r="K645" i="117" s="1"/>
  <c r="H645" i="117"/>
  <c r="G645" i="117"/>
  <c r="M644" i="117"/>
  <c r="L644" i="117"/>
  <c r="G644" i="117"/>
  <c r="H644" i="117" s="1"/>
  <c r="J644" i="117" s="1"/>
  <c r="K644" i="117" s="1"/>
  <c r="M643" i="117"/>
  <c r="L643" i="117"/>
  <c r="H643" i="117"/>
  <c r="J643" i="117" s="1"/>
  <c r="K643" i="117" s="1"/>
  <c r="G643" i="117"/>
  <c r="M642" i="117"/>
  <c r="L642" i="117"/>
  <c r="H642" i="117"/>
  <c r="J642" i="117" s="1"/>
  <c r="K642" i="117" s="1"/>
  <c r="G642" i="117"/>
  <c r="M641" i="117"/>
  <c r="L641" i="117"/>
  <c r="J641" i="117"/>
  <c r="K641" i="117" s="1"/>
  <c r="H641" i="117"/>
  <c r="G641" i="117"/>
  <c r="M640" i="117"/>
  <c r="L640" i="117"/>
  <c r="K640" i="117"/>
  <c r="G640" i="117"/>
  <c r="H640" i="117" s="1"/>
  <c r="J640" i="117" s="1"/>
  <c r="M639" i="117"/>
  <c r="L639" i="117"/>
  <c r="H639" i="117"/>
  <c r="J639" i="117" s="1"/>
  <c r="K639" i="117" s="1"/>
  <c r="G639" i="117"/>
  <c r="M638" i="117"/>
  <c r="L638" i="117"/>
  <c r="H638" i="117"/>
  <c r="J638" i="117" s="1"/>
  <c r="K638" i="117" s="1"/>
  <c r="G638" i="117"/>
  <c r="M637" i="117"/>
  <c r="L637" i="117"/>
  <c r="J637" i="117"/>
  <c r="K637" i="117" s="1"/>
  <c r="H637" i="117"/>
  <c r="G637" i="117"/>
  <c r="M636" i="117"/>
  <c r="L636" i="117"/>
  <c r="G636" i="117"/>
  <c r="H636" i="117" s="1"/>
  <c r="J636" i="117" s="1"/>
  <c r="K636" i="117" s="1"/>
  <c r="M635" i="117"/>
  <c r="L635" i="117"/>
  <c r="H635" i="117"/>
  <c r="J635" i="117" s="1"/>
  <c r="K635" i="117" s="1"/>
  <c r="G635" i="117"/>
  <c r="M634" i="117"/>
  <c r="L634" i="117"/>
  <c r="H634" i="117"/>
  <c r="J634" i="117" s="1"/>
  <c r="K634" i="117" s="1"/>
  <c r="G634" i="117"/>
  <c r="M633" i="117"/>
  <c r="L633" i="117"/>
  <c r="J633" i="117"/>
  <c r="K633" i="117" s="1"/>
  <c r="H633" i="117"/>
  <c r="G633" i="117"/>
  <c r="M632" i="117"/>
  <c r="L632" i="117"/>
  <c r="K632" i="117"/>
  <c r="G632" i="117"/>
  <c r="H632" i="117" s="1"/>
  <c r="J632" i="117" s="1"/>
  <c r="M631" i="117"/>
  <c r="L631" i="117"/>
  <c r="H631" i="117"/>
  <c r="J631" i="117" s="1"/>
  <c r="K631" i="117" s="1"/>
  <c r="G631" i="117"/>
  <c r="M630" i="117"/>
  <c r="L630" i="117"/>
  <c r="H630" i="117"/>
  <c r="J630" i="117" s="1"/>
  <c r="K630" i="117" s="1"/>
  <c r="G630" i="117"/>
  <c r="M629" i="117"/>
  <c r="L629" i="117"/>
  <c r="J629" i="117"/>
  <c r="K629" i="117" s="1"/>
  <c r="H629" i="117"/>
  <c r="G629" i="117"/>
  <c r="M628" i="117"/>
  <c r="L628" i="117"/>
  <c r="G628" i="117"/>
  <c r="H628" i="117" s="1"/>
  <c r="J628" i="117" s="1"/>
  <c r="K628" i="117" s="1"/>
  <c r="M627" i="117"/>
  <c r="L627" i="117"/>
  <c r="H627" i="117"/>
  <c r="J627" i="117" s="1"/>
  <c r="K627" i="117" s="1"/>
  <c r="G627" i="117"/>
  <c r="M626" i="117"/>
  <c r="L626" i="117"/>
  <c r="H626" i="117"/>
  <c r="J626" i="117" s="1"/>
  <c r="K626" i="117" s="1"/>
  <c r="G626" i="117"/>
  <c r="M625" i="117"/>
  <c r="L625" i="117"/>
  <c r="J625" i="117"/>
  <c r="K625" i="117" s="1"/>
  <c r="H625" i="117"/>
  <c r="G625" i="117"/>
  <c r="M624" i="117"/>
  <c r="L624" i="117"/>
  <c r="G624" i="117"/>
  <c r="H624" i="117" s="1"/>
  <c r="J624" i="117" s="1"/>
  <c r="K624" i="117" s="1"/>
  <c r="M623" i="117"/>
  <c r="L623" i="117"/>
  <c r="H623" i="117"/>
  <c r="J623" i="117" s="1"/>
  <c r="K623" i="117" s="1"/>
  <c r="G623" i="117"/>
  <c r="M622" i="117"/>
  <c r="L622" i="117"/>
  <c r="H622" i="117"/>
  <c r="J622" i="117" s="1"/>
  <c r="K622" i="117" s="1"/>
  <c r="G622" i="117"/>
  <c r="M621" i="117"/>
  <c r="L621" i="117"/>
  <c r="J621" i="117"/>
  <c r="K621" i="117" s="1"/>
  <c r="H621" i="117"/>
  <c r="G621" i="117"/>
  <c r="M620" i="117"/>
  <c r="L620" i="117"/>
  <c r="K620" i="117"/>
  <c r="G620" i="117"/>
  <c r="H620" i="117" s="1"/>
  <c r="J620" i="117" s="1"/>
  <c r="M619" i="117"/>
  <c r="L619" i="117"/>
  <c r="H619" i="117"/>
  <c r="J619" i="117" s="1"/>
  <c r="K619" i="117" s="1"/>
  <c r="G619" i="117"/>
  <c r="M618" i="117"/>
  <c r="L618" i="117"/>
  <c r="H618" i="117"/>
  <c r="J618" i="117" s="1"/>
  <c r="K618" i="117" s="1"/>
  <c r="G618" i="117"/>
  <c r="M617" i="117"/>
  <c r="L617" i="117"/>
  <c r="J617" i="117"/>
  <c r="K617" i="117" s="1"/>
  <c r="H617" i="117"/>
  <c r="G617" i="117"/>
  <c r="M616" i="117"/>
  <c r="L616" i="117"/>
  <c r="K616" i="117"/>
  <c r="G616" i="117"/>
  <c r="H616" i="117" s="1"/>
  <c r="J616" i="117" s="1"/>
  <c r="M615" i="117"/>
  <c r="L615" i="117"/>
  <c r="H615" i="117"/>
  <c r="J615" i="117" s="1"/>
  <c r="K615" i="117" s="1"/>
  <c r="G615" i="117"/>
  <c r="M614" i="117"/>
  <c r="L614" i="117"/>
  <c r="H614" i="117"/>
  <c r="J614" i="117" s="1"/>
  <c r="K614" i="117" s="1"/>
  <c r="G614" i="117"/>
  <c r="M613" i="117"/>
  <c r="L613" i="117"/>
  <c r="J613" i="117"/>
  <c r="K613" i="117" s="1"/>
  <c r="H613" i="117"/>
  <c r="G613" i="117"/>
  <c r="M612" i="117"/>
  <c r="L612" i="117"/>
  <c r="G612" i="117"/>
  <c r="H612" i="117" s="1"/>
  <c r="J612" i="117" s="1"/>
  <c r="K612" i="117" s="1"/>
  <c r="M611" i="117"/>
  <c r="L611" i="117"/>
  <c r="H611" i="117"/>
  <c r="J611" i="117" s="1"/>
  <c r="K611" i="117" s="1"/>
  <c r="G611" i="117"/>
  <c r="M610" i="117"/>
  <c r="L610" i="117"/>
  <c r="H610" i="117"/>
  <c r="J610" i="117" s="1"/>
  <c r="K610" i="117" s="1"/>
  <c r="G610" i="117"/>
  <c r="M609" i="117"/>
  <c r="L609" i="117"/>
  <c r="J609" i="117"/>
  <c r="K609" i="117" s="1"/>
  <c r="H609" i="117"/>
  <c r="G609" i="117"/>
  <c r="M608" i="117"/>
  <c r="L608" i="117"/>
  <c r="K608" i="117"/>
  <c r="G608" i="117"/>
  <c r="H608" i="117" s="1"/>
  <c r="J608" i="117" s="1"/>
  <c r="M607" i="117"/>
  <c r="L607" i="117"/>
  <c r="H607" i="117"/>
  <c r="J607" i="117" s="1"/>
  <c r="K607" i="117" s="1"/>
  <c r="G607" i="117"/>
  <c r="M606" i="117"/>
  <c r="L606" i="117"/>
  <c r="H606" i="117"/>
  <c r="J606" i="117" s="1"/>
  <c r="K606" i="117" s="1"/>
  <c r="G606" i="117"/>
  <c r="M605" i="117"/>
  <c r="L605" i="117"/>
  <c r="G605" i="117"/>
  <c r="H605" i="117" s="1"/>
  <c r="J605" i="117" s="1"/>
  <c r="K605" i="117" s="1"/>
  <c r="M604" i="117"/>
  <c r="L604" i="117"/>
  <c r="G604" i="117"/>
  <c r="H604" i="117" s="1"/>
  <c r="J604" i="117" s="1"/>
  <c r="K604" i="117" s="1"/>
  <c r="M603" i="117"/>
  <c r="L603" i="117"/>
  <c r="H603" i="117"/>
  <c r="J603" i="117" s="1"/>
  <c r="K603" i="117" s="1"/>
  <c r="G603" i="117"/>
  <c r="M602" i="117"/>
  <c r="L602" i="117"/>
  <c r="H602" i="117"/>
  <c r="J602" i="117" s="1"/>
  <c r="K602" i="117" s="1"/>
  <c r="G602" i="117"/>
  <c r="M601" i="117"/>
  <c r="L601" i="117"/>
  <c r="G601" i="117"/>
  <c r="H601" i="117" s="1"/>
  <c r="J601" i="117" s="1"/>
  <c r="K601" i="117" s="1"/>
  <c r="M600" i="117"/>
  <c r="L600" i="117"/>
  <c r="K600" i="117"/>
  <c r="G600" i="117"/>
  <c r="H600" i="117" s="1"/>
  <c r="J600" i="117" s="1"/>
  <c r="M599" i="117"/>
  <c r="L599" i="117"/>
  <c r="H599" i="117"/>
  <c r="J599" i="117" s="1"/>
  <c r="K599" i="117" s="1"/>
  <c r="G599" i="117"/>
  <c r="M598" i="117"/>
  <c r="L598" i="117"/>
  <c r="H598" i="117"/>
  <c r="J598" i="117" s="1"/>
  <c r="K598" i="117" s="1"/>
  <c r="G598" i="117"/>
  <c r="M597" i="117"/>
  <c r="L597" i="117"/>
  <c r="G597" i="117"/>
  <c r="H597" i="117" s="1"/>
  <c r="J597" i="117" s="1"/>
  <c r="K597" i="117" s="1"/>
  <c r="M596" i="117"/>
  <c r="L596" i="117"/>
  <c r="K596" i="117"/>
  <c r="G596" i="117"/>
  <c r="H596" i="117" s="1"/>
  <c r="J596" i="117" s="1"/>
  <c r="M595" i="117"/>
  <c r="L595" i="117"/>
  <c r="H595" i="117"/>
  <c r="J595" i="117" s="1"/>
  <c r="K595" i="117" s="1"/>
  <c r="G595" i="117"/>
  <c r="M594" i="117"/>
  <c r="L594" i="117"/>
  <c r="H594" i="117"/>
  <c r="J594" i="117" s="1"/>
  <c r="K594" i="117" s="1"/>
  <c r="G594" i="117"/>
  <c r="M593" i="117"/>
  <c r="L593" i="117"/>
  <c r="G593" i="117"/>
  <c r="H593" i="117" s="1"/>
  <c r="J593" i="117" s="1"/>
  <c r="K593" i="117" s="1"/>
  <c r="M592" i="117"/>
  <c r="L592" i="117"/>
  <c r="G592" i="117"/>
  <c r="H592" i="117" s="1"/>
  <c r="J592" i="117" s="1"/>
  <c r="K592" i="117" s="1"/>
  <c r="M591" i="117"/>
  <c r="L591" i="117"/>
  <c r="H591" i="117"/>
  <c r="J591" i="117" s="1"/>
  <c r="K591" i="117" s="1"/>
  <c r="G591" i="117"/>
  <c r="M590" i="117"/>
  <c r="L590" i="117"/>
  <c r="H590" i="117"/>
  <c r="J590" i="117" s="1"/>
  <c r="K590" i="117" s="1"/>
  <c r="G590" i="117"/>
  <c r="M589" i="117"/>
  <c r="L589" i="117"/>
  <c r="G589" i="117"/>
  <c r="H589" i="117" s="1"/>
  <c r="J589" i="117" s="1"/>
  <c r="K589" i="117" s="1"/>
  <c r="M588" i="117"/>
  <c r="L588" i="117"/>
  <c r="G588" i="117"/>
  <c r="H588" i="117" s="1"/>
  <c r="J588" i="117" s="1"/>
  <c r="K588" i="117" s="1"/>
  <c r="M587" i="117"/>
  <c r="L587" i="117"/>
  <c r="H587" i="117"/>
  <c r="J587" i="117" s="1"/>
  <c r="K587" i="117" s="1"/>
  <c r="G587" i="117"/>
  <c r="M586" i="117"/>
  <c r="L586" i="117"/>
  <c r="H586" i="117"/>
  <c r="J586" i="117" s="1"/>
  <c r="K586" i="117" s="1"/>
  <c r="G586" i="117"/>
  <c r="M585" i="117"/>
  <c r="L585" i="117"/>
  <c r="G585" i="117"/>
  <c r="H585" i="117" s="1"/>
  <c r="J585" i="117" s="1"/>
  <c r="K585" i="117" s="1"/>
  <c r="M584" i="117"/>
  <c r="L584" i="117"/>
  <c r="G584" i="117"/>
  <c r="H584" i="117" s="1"/>
  <c r="J584" i="117" s="1"/>
  <c r="K584" i="117" s="1"/>
  <c r="M583" i="117"/>
  <c r="L583" i="117"/>
  <c r="H583" i="117"/>
  <c r="J583" i="117" s="1"/>
  <c r="K583" i="117" s="1"/>
  <c r="G583" i="117"/>
  <c r="M582" i="117"/>
  <c r="L582" i="117"/>
  <c r="H582" i="117"/>
  <c r="J582" i="117" s="1"/>
  <c r="K582" i="117" s="1"/>
  <c r="G582" i="117"/>
  <c r="M581" i="117"/>
  <c r="L581" i="117"/>
  <c r="G581" i="117"/>
  <c r="H581" i="117" s="1"/>
  <c r="J581" i="117" s="1"/>
  <c r="K581" i="117" s="1"/>
  <c r="M580" i="117"/>
  <c r="L580" i="117"/>
  <c r="G580" i="117"/>
  <c r="H580" i="117" s="1"/>
  <c r="J580" i="117" s="1"/>
  <c r="K580" i="117" s="1"/>
  <c r="M579" i="117"/>
  <c r="L579" i="117"/>
  <c r="H579" i="117"/>
  <c r="J579" i="117" s="1"/>
  <c r="K579" i="117" s="1"/>
  <c r="G579" i="117"/>
  <c r="M578" i="117"/>
  <c r="L578" i="117"/>
  <c r="G578" i="117"/>
  <c r="H578" i="117" s="1"/>
  <c r="J578" i="117" s="1"/>
  <c r="K578" i="117" s="1"/>
  <c r="M577" i="117"/>
  <c r="L577" i="117"/>
  <c r="J577" i="117"/>
  <c r="K577" i="117" s="1"/>
  <c r="G577" i="117"/>
  <c r="H577" i="117" s="1"/>
  <c r="M576" i="117"/>
  <c r="L576" i="117"/>
  <c r="K576" i="117"/>
  <c r="G576" i="117"/>
  <c r="H576" i="117" s="1"/>
  <c r="J576" i="117" s="1"/>
  <c r="M575" i="117"/>
  <c r="L575" i="117"/>
  <c r="H575" i="117"/>
  <c r="J575" i="117" s="1"/>
  <c r="K575" i="117" s="1"/>
  <c r="G575" i="117"/>
  <c r="M574" i="117"/>
  <c r="L574" i="117"/>
  <c r="G574" i="117"/>
  <c r="H574" i="117" s="1"/>
  <c r="J574" i="117" s="1"/>
  <c r="K574" i="117" s="1"/>
  <c r="M573" i="117"/>
  <c r="L573" i="117"/>
  <c r="J573" i="117"/>
  <c r="K573" i="117" s="1"/>
  <c r="G573" i="117"/>
  <c r="H573" i="117" s="1"/>
  <c r="M572" i="117"/>
  <c r="L572" i="117"/>
  <c r="G572" i="117"/>
  <c r="H572" i="117" s="1"/>
  <c r="J572" i="117" s="1"/>
  <c r="K572" i="117" s="1"/>
  <c r="M571" i="117"/>
  <c r="L571" i="117"/>
  <c r="H571" i="117"/>
  <c r="J571" i="117" s="1"/>
  <c r="K571" i="117" s="1"/>
  <c r="G571" i="117"/>
  <c r="M570" i="117"/>
  <c r="L570" i="117"/>
  <c r="G570" i="117"/>
  <c r="H570" i="117" s="1"/>
  <c r="J570" i="117" s="1"/>
  <c r="K570" i="117" s="1"/>
  <c r="M569" i="117"/>
  <c r="L569" i="117"/>
  <c r="G569" i="117"/>
  <c r="H569" i="117" s="1"/>
  <c r="J569" i="117" s="1"/>
  <c r="K569" i="117" s="1"/>
  <c r="M568" i="117"/>
  <c r="L568" i="117"/>
  <c r="K568" i="117"/>
  <c r="G568" i="117"/>
  <c r="H568" i="117" s="1"/>
  <c r="J568" i="117" s="1"/>
  <c r="M567" i="117"/>
  <c r="L567" i="117"/>
  <c r="H567" i="117"/>
  <c r="J567" i="117" s="1"/>
  <c r="K567" i="117" s="1"/>
  <c r="G567" i="117"/>
  <c r="M566" i="117"/>
  <c r="L566" i="117"/>
  <c r="G566" i="117"/>
  <c r="H566" i="117" s="1"/>
  <c r="J566" i="117" s="1"/>
  <c r="K566" i="117" s="1"/>
  <c r="M565" i="117"/>
  <c r="L565" i="117"/>
  <c r="G565" i="117"/>
  <c r="H565" i="117" s="1"/>
  <c r="J565" i="117" s="1"/>
  <c r="K565" i="117" s="1"/>
  <c r="M564" i="117"/>
  <c r="L564" i="117"/>
  <c r="G564" i="117"/>
  <c r="H564" i="117" s="1"/>
  <c r="J564" i="117" s="1"/>
  <c r="K564" i="117" s="1"/>
  <c r="M563" i="117"/>
  <c r="L563" i="117"/>
  <c r="H563" i="117"/>
  <c r="J563" i="117" s="1"/>
  <c r="K563" i="117" s="1"/>
  <c r="G563" i="117"/>
  <c r="M562" i="117"/>
  <c r="L562" i="117"/>
  <c r="G562" i="117"/>
  <c r="H562" i="117" s="1"/>
  <c r="J562" i="117" s="1"/>
  <c r="K562" i="117" s="1"/>
  <c r="M561" i="117"/>
  <c r="L561" i="117"/>
  <c r="J561" i="117"/>
  <c r="K561" i="117" s="1"/>
  <c r="G561" i="117"/>
  <c r="H561" i="117" s="1"/>
  <c r="M560" i="117"/>
  <c r="L560" i="117"/>
  <c r="K560" i="117"/>
  <c r="G560" i="117"/>
  <c r="H560" i="117" s="1"/>
  <c r="J560" i="117" s="1"/>
  <c r="M559" i="117"/>
  <c r="L559" i="117"/>
  <c r="H559" i="117"/>
  <c r="J559" i="117" s="1"/>
  <c r="K559" i="117" s="1"/>
  <c r="G559" i="117"/>
  <c r="M558" i="117"/>
  <c r="L558" i="117"/>
  <c r="G558" i="117"/>
  <c r="H558" i="117" s="1"/>
  <c r="J558" i="117" s="1"/>
  <c r="K558" i="117" s="1"/>
  <c r="M557" i="117"/>
  <c r="L557" i="117"/>
  <c r="G557" i="117"/>
  <c r="H557" i="117" s="1"/>
  <c r="J557" i="117" s="1"/>
  <c r="K557" i="117" s="1"/>
  <c r="M556" i="117"/>
  <c r="L556" i="117"/>
  <c r="K556" i="117"/>
  <c r="G556" i="117"/>
  <c r="H556" i="117" s="1"/>
  <c r="J556" i="117" s="1"/>
  <c r="M555" i="117"/>
  <c r="L555" i="117"/>
  <c r="H555" i="117"/>
  <c r="J555" i="117" s="1"/>
  <c r="K555" i="117" s="1"/>
  <c r="G555" i="117"/>
  <c r="M554" i="117"/>
  <c r="L554" i="117"/>
  <c r="G554" i="117"/>
  <c r="H554" i="117" s="1"/>
  <c r="J554" i="117" s="1"/>
  <c r="K554" i="117" s="1"/>
  <c r="M553" i="117"/>
  <c r="L553" i="117"/>
  <c r="J553" i="117"/>
  <c r="K553" i="117" s="1"/>
  <c r="G553" i="117"/>
  <c r="H553" i="117" s="1"/>
  <c r="M552" i="117"/>
  <c r="L552" i="117"/>
  <c r="G552" i="117"/>
  <c r="H552" i="117" s="1"/>
  <c r="J552" i="117" s="1"/>
  <c r="K552" i="117" s="1"/>
  <c r="M551" i="117"/>
  <c r="L551" i="117"/>
  <c r="H551" i="117"/>
  <c r="J551" i="117" s="1"/>
  <c r="K551" i="117" s="1"/>
  <c r="G551" i="117"/>
  <c r="M550" i="117"/>
  <c r="L550" i="117"/>
  <c r="G550" i="117"/>
  <c r="H550" i="117" s="1"/>
  <c r="J550" i="117" s="1"/>
  <c r="K550" i="117" s="1"/>
  <c r="M549" i="117"/>
  <c r="L549" i="117"/>
  <c r="G549" i="117"/>
  <c r="H549" i="117" s="1"/>
  <c r="J549" i="117" s="1"/>
  <c r="K549" i="117" s="1"/>
  <c r="M548" i="117"/>
  <c r="L548" i="117"/>
  <c r="G548" i="117"/>
  <c r="H548" i="117" s="1"/>
  <c r="J548" i="117" s="1"/>
  <c r="K548" i="117" s="1"/>
  <c r="M547" i="117"/>
  <c r="L547" i="117"/>
  <c r="H547" i="117"/>
  <c r="J547" i="117" s="1"/>
  <c r="K547" i="117" s="1"/>
  <c r="G547" i="117"/>
  <c r="M546" i="117"/>
  <c r="L546" i="117"/>
  <c r="G546" i="117"/>
  <c r="H546" i="117" s="1"/>
  <c r="J546" i="117" s="1"/>
  <c r="K546" i="117" s="1"/>
  <c r="M545" i="117"/>
  <c r="L545" i="117"/>
  <c r="J545" i="117"/>
  <c r="K545" i="117" s="1"/>
  <c r="G545" i="117"/>
  <c r="H545" i="117" s="1"/>
  <c r="M544" i="117"/>
  <c r="L544" i="117"/>
  <c r="K544" i="117"/>
  <c r="G544" i="117"/>
  <c r="H544" i="117" s="1"/>
  <c r="J544" i="117" s="1"/>
  <c r="M543" i="117"/>
  <c r="L543" i="117"/>
  <c r="H543" i="117"/>
  <c r="J543" i="117" s="1"/>
  <c r="K543" i="117" s="1"/>
  <c r="G543" i="117"/>
  <c r="M542" i="117"/>
  <c r="L542" i="117"/>
  <c r="G542" i="117"/>
  <c r="H542" i="117" s="1"/>
  <c r="J542" i="117" s="1"/>
  <c r="K542" i="117" s="1"/>
  <c r="M541" i="117"/>
  <c r="L541" i="117"/>
  <c r="J541" i="117"/>
  <c r="K541" i="117" s="1"/>
  <c r="G541" i="117"/>
  <c r="H541" i="117" s="1"/>
  <c r="M540" i="117"/>
  <c r="L540" i="117"/>
  <c r="G540" i="117"/>
  <c r="H540" i="117" s="1"/>
  <c r="J540" i="117" s="1"/>
  <c r="K540" i="117" s="1"/>
  <c r="M539" i="117"/>
  <c r="L539" i="117"/>
  <c r="H539" i="117"/>
  <c r="J539" i="117" s="1"/>
  <c r="K539" i="117" s="1"/>
  <c r="G539" i="117"/>
  <c r="M538" i="117"/>
  <c r="L538" i="117"/>
  <c r="G538" i="117"/>
  <c r="H538" i="117" s="1"/>
  <c r="J538" i="117" s="1"/>
  <c r="K538" i="117" s="1"/>
  <c r="M537" i="117"/>
  <c r="L537" i="117"/>
  <c r="G537" i="117"/>
  <c r="H537" i="117" s="1"/>
  <c r="J537" i="117" s="1"/>
  <c r="K537" i="117" s="1"/>
  <c r="M536" i="117"/>
  <c r="L536" i="117"/>
  <c r="K536" i="117"/>
  <c r="G536" i="117"/>
  <c r="H536" i="117" s="1"/>
  <c r="J536" i="117" s="1"/>
  <c r="M535" i="117"/>
  <c r="L535" i="117"/>
  <c r="H535" i="117"/>
  <c r="J535" i="117" s="1"/>
  <c r="K535" i="117" s="1"/>
  <c r="G535" i="117"/>
  <c r="M534" i="117"/>
  <c r="L534" i="117"/>
  <c r="G534" i="117"/>
  <c r="H534" i="117" s="1"/>
  <c r="J534" i="117" s="1"/>
  <c r="K534" i="117" s="1"/>
  <c r="M533" i="117"/>
  <c r="L533" i="117"/>
  <c r="G533" i="117"/>
  <c r="H533" i="117" s="1"/>
  <c r="J533" i="117" s="1"/>
  <c r="K533" i="117" s="1"/>
  <c r="M532" i="117"/>
  <c r="L532" i="117"/>
  <c r="G532" i="117"/>
  <c r="H532" i="117" s="1"/>
  <c r="J532" i="117" s="1"/>
  <c r="K532" i="117" s="1"/>
  <c r="M531" i="117"/>
  <c r="L531" i="117"/>
  <c r="H531" i="117"/>
  <c r="J531" i="117" s="1"/>
  <c r="K531" i="117" s="1"/>
  <c r="G531" i="117"/>
  <c r="M530" i="117"/>
  <c r="L530" i="117"/>
  <c r="G530" i="117"/>
  <c r="H530" i="117" s="1"/>
  <c r="J530" i="117" s="1"/>
  <c r="K530" i="117" s="1"/>
  <c r="M529" i="117"/>
  <c r="L529" i="117"/>
  <c r="J529" i="117"/>
  <c r="K529" i="117" s="1"/>
  <c r="G529" i="117"/>
  <c r="H529" i="117" s="1"/>
  <c r="M528" i="117"/>
  <c r="L528" i="117"/>
  <c r="K528" i="117"/>
  <c r="G528" i="117"/>
  <c r="H528" i="117" s="1"/>
  <c r="J528" i="117" s="1"/>
  <c r="M527" i="117"/>
  <c r="L527" i="117"/>
  <c r="H527" i="117"/>
  <c r="J527" i="117" s="1"/>
  <c r="K527" i="117" s="1"/>
  <c r="G527" i="117"/>
  <c r="M526" i="117"/>
  <c r="L526" i="117"/>
  <c r="G526" i="117"/>
  <c r="H526" i="117" s="1"/>
  <c r="J526" i="117" s="1"/>
  <c r="K526" i="117" s="1"/>
  <c r="M525" i="117"/>
  <c r="L525" i="117"/>
  <c r="G525" i="117"/>
  <c r="H525" i="117" s="1"/>
  <c r="J525" i="117" s="1"/>
  <c r="K525" i="117" s="1"/>
  <c r="M524" i="117"/>
  <c r="L524" i="117"/>
  <c r="K524" i="117"/>
  <c r="G524" i="117"/>
  <c r="H524" i="117" s="1"/>
  <c r="J524" i="117" s="1"/>
  <c r="M523" i="117"/>
  <c r="L523" i="117"/>
  <c r="H523" i="117"/>
  <c r="J523" i="117" s="1"/>
  <c r="K523" i="117" s="1"/>
  <c r="G523" i="117"/>
  <c r="M522" i="117"/>
  <c r="L522" i="117"/>
  <c r="G522" i="117"/>
  <c r="H522" i="117" s="1"/>
  <c r="J522" i="117" s="1"/>
  <c r="K522" i="117" s="1"/>
  <c r="M521" i="117"/>
  <c r="L521" i="117"/>
  <c r="J521" i="117"/>
  <c r="K521" i="117" s="1"/>
  <c r="G521" i="117"/>
  <c r="H521" i="117" s="1"/>
  <c r="M520" i="117"/>
  <c r="L520" i="117"/>
  <c r="G520" i="117"/>
  <c r="H520" i="117" s="1"/>
  <c r="J520" i="117" s="1"/>
  <c r="K520" i="117" s="1"/>
  <c r="M519" i="117"/>
  <c r="L519" i="117"/>
  <c r="J519" i="117"/>
  <c r="K519" i="117" s="1"/>
  <c r="H519" i="117"/>
  <c r="G519" i="117"/>
  <c r="M518" i="117"/>
  <c r="L518" i="117"/>
  <c r="G518" i="117"/>
  <c r="H518" i="117" s="1"/>
  <c r="J518" i="117" s="1"/>
  <c r="K518" i="117" s="1"/>
  <c r="M517" i="117"/>
  <c r="L517" i="117"/>
  <c r="J517" i="117"/>
  <c r="K517" i="117" s="1"/>
  <c r="G517" i="117"/>
  <c r="H517" i="117" s="1"/>
  <c r="M516" i="117"/>
  <c r="L516" i="117"/>
  <c r="G516" i="117"/>
  <c r="H516" i="117" s="1"/>
  <c r="J516" i="117" s="1"/>
  <c r="K516" i="117" s="1"/>
  <c r="M515" i="117"/>
  <c r="L515" i="117"/>
  <c r="J515" i="117"/>
  <c r="K515" i="117" s="1"/>
  <c r="H515" i="117"/>
  <c r="G515" i="117"/>
  <c r="M514" i="117"/>
  <c r="L514" i="117"/>
  <c r="G514" i="117"/>
  <c r="H514" i="117" s="1"/>
  <c r="J514" i="117" s="1"/>
  <c r="K514" i="117" s="1"/>
  <c r="M513" i="117"/>
  <c r="L513" i="117"/>
  <c r="J513" i="117"/>
  <c r="K513" i="117" s="1"/>
  <c r="G513" i="117"/>
  <c r="H513" i="117" s="1"/>
  <c r="M512" i="117"/>
  <c r="L512" i="117"/>
  <c r="G512" i="117"/>
  <c r="H512" i="117" s="1"/>
  <c r="J512" i="117" s="1"/>
  <c r="K512" i="117" s="1"/>
  <c r="M511" i="117"/>
  <c r="L511" i="117"/>
  <c r="J511" i="117"/>
  <c r="K511" i="117" s="1"/>
  <c r="H511" i="117"/>
  <c r="G511" i="117"/>
  <c r="M510" i="117"/>
  <c r="L510" i="117"/>
  <c r="G510" i="117"/>
  <c r="H510" i="117" s="1"/>
  <c r="J510" i="117" s="1"/>
  <c r="K510" i="117" s="1"/>
  <c r="M509" i="117"/>
  <c r="L509" i="117"/>
  <c r="J509" i="117"/>
  <c r="K509" i="117" s="1"/>
  <c r="G509" i="117"/>
  <c r="H509" i="117" s="1"/>
  <c r="M508" i="117"/>
  <c r="L508" i="117"/>
  <c r="G508" i="117"/>
  <c r="H508" i="117" s="1"/>
  <c r="J508" i="117" s="1"/>
  <c r="K508" i="117" s="1"/>
  <c r="M507" i="117"/>
  <c r="L507" i="117"/>
  <c r="J507" i="117"/>
  <c r="K507" i="117" s="1"/>
  <c r="H507" i="117"/>
  <c r="G507" i="117"/>
  <c r="M506" i="117"/>
  <c r="L506" i="117"/>
  <c r="G506" i="117"/>
  <c r="H506" i="117" s="1"/>
  <c r="J506" i="117" s="1"/>
  <c r="K506" i="117" s="1"/>
  <c r="M505" i="117"/>
  <c r="L505" i="117"/>
  <c r="J505" i="117"/>
  <c r="K505" i="117" s="1"/>
  <c r="G505" i="117"/>
  <c r="H505" i="117" s="1"/>
  <c r="M504" i="117"/>
  <c r="L504" i="117"/>
  <c r="G504" i="117"/>
  <c r="H504" i="117" s="1"/>
  <c r="J504" i="117" s="1"/>
  <c r="K504" i="117" s="1"/>
  <c r="M503" i="117"/>
  <c r="L503" i="117"/>
  <c r="J503" i="117"/>
  <c r="K503" i="117" s="1"/>
  <c r="H503" i="117"/>
  <c r="G503" i="117"/>
  <c r="M502" i="117"/>
  <c r="L502" i="117"/>
  <c r="G502" i="117"/>
  <c r="H502" i="117" s="1"/>
  <c r="J502" i="117" s="1"/>
  <c r="K502" i="117" s="1"/>
  <c r="M501" i="117"/>
  <c r="L501" i="117"/>
  <c r="J501" i="117"/>
  <c r="K501" i="117" s="1"/>
  <c r="G501" i="117"/>
  <c r="H501" i="117" s="1"/>
  <c r="M500" i="117"/>
  <c r="L500" i="117"/>
  <c r="G500" i="117"/>
  <c r="H500" i="117" s="1"/>
  <c r="J500" i="117" s="1"/>
  <c r="K500" i="117" s="1"/>
  <c r="M499" i="117"/>
  <c r="L499" i="117"/>
  <c r="J499" i="117"/>
  <c r="K499" i="117" s="1"/>
  <c r="H499" i="117"/>
  <c r="G499" i="117"/>
  <c r="M498" i="117"/>
  <c r="L498" i="117"/>
  <c r="G498" i="117"/>
  <c r="H498" i="117" s="1"/>
  <c r="J498" i="117" s="1"/>
  <c r="K498" i="117" s="1"/>
  <c r="M497" i="117"/>
  <c r="L497" i="117"/>
  <c r="J497" i="117"/>
  <c r="K497" i="117" s="1"/>
  <c r="G497" i="117"/>
  <c r="H497" i="117" s="1"/>
  <c r="M496" i="117"/>
  <c r="L496" i="117"/>
  <c r="G496" i="117"/>
  <c r="H496" i="117" s="1"/>
  <c r="J496" i="117" s="1"/>
  <c r="K496" i="117" s="1"/>
  <c r="M495" i="117"/>
  <c r="L495" i="117"/>
  <c r="J495" i="117"/>
  <c r="K495" i="117" s="1"/>
  <c r="H495" i="117"/>
  <c r="G495" i="117"/>
  <c r="M494" i="117"/>
  <c r="L494" i="117"/>
  <c r="J494" i="117"/>
  <c r="K494" i="117" s="1"/>
  <c r="G494" i="117"/>
  <c r="H494" i="117" s="1"/>
  <c r="M493" i="117"/>
  <c r="L493" i="117"/>
  <c r="G493" i="117"/>
  <c r="H493" i="117" s="1"/>
  <c r="J493" i="117" s="1"/>
  <c r="K493" i="117" s="1"/>
  <c r="M492" i="117"/>
  <c r="L492" i="117"/>
  <c r="K492" i="117"/>
  <c r="G492" i="117"/>
  <c r="H492" i="117" s="1"/>
  <c r="J492" i="117" s="1"/>
  <c r="M491" i="117"/>
  <c r="L491" i="117"/>
  <c r="H491" i="117"/>
  <c r="J491" i="117" s="1"/>
  <c r="K491" i="117" s="1"/>
  <c r="G491" i="117"/>
  <c r="M490" i="117"/>
  <c r="L490" i="117"/>
  <c r="J490" i="117"/>
  <c r="K490" i="117" s="1"/>
  <c r="G490" i="117"/>
  <c r="H490" i="117" s="1"/>
  <c r="M489" i="117"/>
  <c r="L489" i="117"/>
  <c r="J489" i="117"/>
  <c r="K489" i="117" s="1"/>
  <c r="G489" i="117"/>
  <c r="H489" i="117" s="1"/>
  <c r="M488" i="117"/>
  <c r="L488" i="117"/>
  <c r="G488" i="117"/>
  <c r="H488" i="117" s="1"/>
  <c r="J488" i="117" s="1"/>
  <c r="K488" i="117" s="1"/>
  <c r="M487" i="117"/>
  <c r="L487" i="117"/>
  <c r="G487" i="117"/>
  <c r="H487" i="117" s="1"/>
  <c r="J487" i="117" s="1"/>
  <c r="K487" i="117" s="1"/>
  <c r="M486" i="117"/>
  <c r="L486" i="117"/>
  <c r="J486" i="117"/>
  <c r="K486" i="117" s="1"/>
  <c r="G486" i="117"/>
  <c r="H486" i="117" s="1"/>
  <c r="M485" i="117"/>
  <c r="L485" i="117"/>
  <c r="G485" i="117"/>
  <c r="H485" i="117" s="1"/>
  <c r="J485" i="117" s="1"/>
  <c r="K485" i="117" s="1"/>
  <c r="M484" i="117"/>
  <c r="L484" i="117"/>
  <c r="G484" i="117"/>
  <c r="H484" i="117" s="1"/>
  <c r="J484" i="117" s="1"/>
  <c r="K484" i="117" s="1"/>
  <c r="M483" i="117"/>
  <c r="L483" i="117"/>
  <c r="J483" i="117"/>
  <c r="K483" i="117" s="1"/>
  <c r="H483" i="117"/>
  <c r="G483" i="117"/>
  <c r="M482" i="117"/>
  <c r="L482" i="117"/>
  <c r="J482" i="117"/>
  <c r="K482" i="117" s="1"/>
  <c r="G482" i="117"/>
  <c r="H482" i="117" s="1"/>
  <c r="M481" i="117"/>
  <c r="L481" i="117"/>
  <c r="J481" i="117"/>
  <c r="K481" i="117" s="1"/>
  <c r="G481" i="117"/>
  <c r="H481" i="117" s="1"/>
  <c r="M480" i="117"/>
  <c r="L480" i="117"/>
  <c r="G480" i="117"/>
  <c r="H480" i="117" s="1"/>
  <c r="J480" i="117" s="1"/>
  <c r="K480" i="117" s="1"/>
  <c r="M479" i="117"/>
  <c r="L479" i="117"/>
  <c r="H479" i="117"/>
  <c r="J479" i="117" s="1"/>
  <c r="K479" i="117" s="1"/>
  <c r="G479" i="117"/>
  <c r="M478" i="117"/>
  <c r="L478" i="117"/>
  <c r="G478" i="117"/>
  <c r="H478" i="117" s="1"/>
  <c r="J478" i="117" s="1"/>
  <c r="K478" i="117" s="1"/>
  <c r="M477" i="117"/>
  <c r="L477" i="117"/>
  <c r="J477" i="117"/>
  <c r="K477" i="117" s="1"/>
  <c r="G477" i="117"/>
  <c r="H477" i="117" s="1"/>
  <c r="M476" i="117"/>
  <c r="L476" i="117"/>
  <c r="J476" i="117"/>
  <c r="K476" i="117" s="1"/>
  <c r="G476" i="117"/>
  <c r="H476" i="117" s="1"/>
  <c r="M475" i="117"/>
  <c r="L475" i="117"/>
  <c r="H475" i="117"/>
  <c r="J475" i="117" s="1"/>
  <c r="K475" i="117" s="1"/>
  <c r="G475" i="117"/>
  <c r="M474" i="117"/>
  <c r="L474" i="117"/>
  <c r="J474" i="117"/>
  <c r="K474" i="117" s="1"/>
  <c r="G474" i="117"/>
  <c r="H474" i="117" s="1"/>
  <c r="M473" i="117"/>
  <c r="L473" i="117"/>
  <c r="J473" i="117"/>
  <c r="K473" i="117" s="1"/>
  <c r="G473" i="117"/>
  <c r="H473" i="117" s="1"/>
  <c r="M472" i="117"/>
  <c r="L472" i="117"/>
  <c r="G472" i="117"/>
  <c r="H472" i="117" s="1"/>
  <c r="J472" i="117" s="1"/>
  <c r="K472" i="117" s="1"/>
  <c r="M471" i="117"/>
  <c r="L471" i="117"/>
  <c r="G471" i="117"/>
  <c r="H471" i="117" s="1"/>
  <c r="J471" i="117" s="1"/>
  <c r="K471" i="117" s="1"/>
  <c r="M470" i="117"/>
  <c r="L470" i="117"/>
  <c r="J470" i="117"/>
  <c r="K470" i="117" s="1"/>
  <c r="G470" i="117"/>
  <c r="H470" i="117" s="1"/>
  <c r="M469" i="117"/>
  <c r="L469" i="117"/>
  <c r="G469" i="117"/>
  <c r="H469" i="117" s="1"/>
  <c r="J469" i="117" s="1"/>
  <c r="K469" i="117" s="1"/>
  <c r="M468" i="117"/>
  <c r="L468" i="117"/>
  <c r="G468" i="117"/>
  <c r="H468" i="117" s="1"/>
  <c r="J468" i="117" s="1"/>
  <c r="K468" i="117" s="1"/>
  <c r="M467" i="117"/>
  <c r="L467" i="117"/>
  <c r="J467" i="117"/>
  <c r="K467" i="117" s="1"/>
  <c r="H467" i="117"/>
  <c r="G467" i="117"/>
  <c r="M466" i="117"/>
  <c r="L466" i="117"/>
  <c r="J466" i="117"/>
  <c r="K466" i="117" s="1"/>
  <c r="G466" i="117"/>
  <c r="H466" i="117" s="1"/>
  <c r="M465" i="117"/>
  <c r="L465" i="117"/>
  <c r="J465" i="117"/>
  <c r="K465" i="117" s="1"/>
  <c r="G465" i="117"/>
  <c r="H465" i="117" s="1"/>
  <c r="M464" i="117"/>
  <c r="L464" i="117"/>
  <c r="G464" i="117"/>
  <c r="H464" i="117" s="1"/>
  <c r="J464" i="117" s="1"/>
  <c r="K464" i="117" s="1"/>
  <c r="M463" i="117"/>
  <c r="L463" i="117"/>
  <c r="H463" i="117"/>
  <c r="J463" i="117" s="1"/>
  <c r="K463" i="117" s="1"/>
  <c r="G463" i="117"/>
  <c r="M462" i="117"/>
  <c r="L462" i="117"/>
  <c r="G462" i="117"/>
  <c r="H462" i="117" s="1"/>
  <c r="J462" i="117" s="1"/>
  <c r="K462" i="117" s="1"/>
  <c r="M461" i="117"/>
  <c r="L461" i="117"/>
  <c r="J461" i="117"/>
  <c r="K461" i="117" s="1"/>
  <c r="G461" i="117"/>
  <c r="H461" i="117" s="1"/>
  <c r="M460" i="117"/>
  <c r="L460" i="117"/>
  <c r="J460" i="117"/>
  <c r="K460" i="117" s="1"/>
  <c r="G460" i="117"/>
  <c r="H460" i="117" s="1"/>
  <c r="M459" i="117"/>
  <c r="L459" i="117"/>
  <c r="H459" i="117"/>
  <c r="J459" i="117" s="1"/>
  <c r="K459" i="117" s="1"/>
  <c r="G459" i="117"/>
  <c r="M458" i="117"/>
  <c r="L458" i="117"/>
  <c r="J458" i="117"/>
  <c r="K458" i="117" s="1"/>
  <c r="G458" i="117"/>
  <c r="H458" i="117" s="1"/>
  <c r="M457" i="117"/>
  <c r="L457" i="117"/>
  <c r="J457" i="117"/>
  <c r="K457" i="117" s="1"/>
  <c r="G457" i="117"/>
  <c r="H457" i="117" s="1"/>
  <c r="M456" i="117"/>
  <c r="L456" i="117"/>
  <c r="G456" i="117"/>
  <c r="H456" i="117" s="1"/>
  <c r="J456" i="117" s="1"/>
  <c r="K456" i="117" s="1"/>
  <c r="M455" i="117"/>
  <c r="L455" i="117"/>
  <c r="H455" i="117"/>
  <c r="J455" i="117" s="1"/>
  <c r="K455" i="117" s="1"/>
  <c r="G455" i="117"/>
  <c r="M454" i="117"/>
  <c r="L454" i="117"/>
  <c r="H454" i="117"/>
  <c r="J454" i="117" s="1"/>
  <c r="K454" i="117" s="1"/>
  <c r="G454" i="117"/>
  <c r="M453" i="117"/>
  <c r="L453" i="117"/>
  <c r="J453" i="117"/>
  <c r="K453" i="117" s="1"/>
  <c r="G453" i="117"/>
  <c r="H453" i="117" s="1"/>
  <c r="M452" i="117"/>
  <c r="L452" i="117"/>
  <c r="G452" i="117"/>
  <c r="H452" i="117" s="1"/>
  <c r="J452" i="117" s="1"/>
  <c r="K452" i="117" s="1"/>
  <c r="M451" i="117"/>
  <c r="L451" i="117"/>
  <c r="G451" i="117"/>
  <c r="H451" i="117" s="1"/>
  <c r="J451" i="117" s="1"/>
  <c r="K451" i="117" s="1"/>
  <c r="M450" i="117"/>
  <c r="L450" i="117"/>
  <c r="J450" i="117"/>
  <c r="K450" i="117" s="1"/>
  <c r="H450" i="117"/>
  <c r="G450" i="117"/>
  <c r="M449" i="117"/>
  <c r="L449" i="117"/>
  <c r="J449" i="117"/>
  <c r="K449" i="117" s="1"/>
  <c r="G449" i="117"/>
  <c r="H449" i="117" s="1"/>
  <c r="M448" i="117"/>
  <c r="L448" i="117"/>
  <c r="G448" i="117"/>
  <c r="H448" i="117" s="1"/>
  <c r="J448" i="117" s="1"/>
  <c r="K448" i="117" s="1"/>
  <c r="M447" i="117"/>
  <c r="L447" i="117"/>
  <c r="H447" i="117"/>
  <c r="J447" i="117" s="1"/>
  <c r="K447" i="117" s="1"/>
  <c r="G447" i="117"/>
  <c r="M446" i="117"/>
  <c r="L446" i="117"/>
  <c r="H446" i="117"/>
  <c r="J446" i="117" s="1"/>
  <c r="K446" i="117" s="1"/>
  <c r="G446" i="117"/>
  <c r="M445" i="117"/>
  <c r="L445" i="117"/>
  <c r="J445" i="117"/>
  <c r="K445" i="117" s="1"/>
  <c r="G445" i="117"/>
  <c r="H445" i="117" s="1"/>
  <c r="M444" i="117"/>
  <c r="L444" i="117"/>
  <c r="G444" i="117"/>
  <c r="H444" i="117" s="1"/>
  <c r="J444" i="117" s="1"/>
  <c r="K444" i="117" s="1"/>
  <c r="M443" i="117"/>
  <c r="L443" i="117"/>
  <c r="G443" i="117"/>
  <c r="H443" i="117" s="1"/>
  <c r="J443" i="117" s="1"/>
  <c r="K443" i="117" s="1"/>
  <c r="M442" i="117"/>
  <c r="L442" i="117"/>
  <c r="J442" i="117"/>
  <c r="K442" i="117" s="1"/>
  <c r="H442" i="117"/>
  <c r="G442" i="117"/>
  <c r="M441" i="117"/>
  <c r="L441" i="117"/>
  <c r="J441" i="117"/>
  <c r="K441" i="117" s="1"/>
  <c r="G441" i="117"/>
  <c r="H441" i="117" s="1"/>
  <c r="M440" i="117"/>
  <c r="L440" i="117"/>
  <c r="G440" i="117"/>
  <c r="H440" i="117" s="1"/>
  <c r="J440" i="117" s="1"/>
  <c r="K440" i="117" s="1"/>
  <c r="M439" i="117"/>
  <c r="L439" i="117"/>
  <c r="H439" i="117"/>
  <c r="J439" i="117" s="1"/>
  <c r="K439" i="117" s="1"/>
  <c r="G439" i="117"/>
  <c r="M438" i="117"/>
  <c r="L438" i="117"/>
  <c r="H438" i="117"/>
  <c r="J438" i="117" s="1"/>
  <c r="K438" i="117" s="1"/>
  <c r="G438" i="117"/>
  <c r="M437" i="117"/>
  <c r="L437" i="117"/>
  <c r="J437" i="117"/>
  <c r="K437" i="117" s="1"/>
  <c r="G437" i="117"/>
  <c r="H437" i="117" s="1"/>
  <c r="M436" i="117"/>
  <c r="L436" i="117"/>
  <c r="G436" i="117"/>
  <c r="H436" i="117" s="1"/>
  <c r="J436" i="117" s="1"/>
  <c r="K436" i="117" s="1"/>
  <c r="M435" i="117"/>
  <c r="L435" i="117"/>
  <c r="G435" i="117"/>
  <c r="H435" i="117" s="1"/>
  <c r="J435" i="117" s="1"/>
  <c r="K435" i="117" s="1"/>
  <c r="M434" i="117"/>
  <c r="L434" i="117"/>
  <c r="J434" i="117"/>
  <c r="K434" i="117" s="1"/>
  <c r="H434" i="117"/>
  <c r="G434" i="117"/>
  <c r="M433" i="117"/>
  <c r="L433" i="117"/>
  <c r="J433" i="117"/>
  <c r="K433" i="117" s="1"/>
  <c r="G433" i="117"/>
  <c r="H433" i="117" s="1"/>
  <c r="M432" i="117"/>
  <c r="L432" i="117"/>
  <c r="G432" i="117"/>
  <c r="H432" i="117" s="1"/>
  <c r="J432" i="117" s="1"/>
  <c r="K432" i="117" s="1"/>
  <c r="M431" i="117"/>
  <c r="L431" i="117"/>
  <c r="H431" i="117"/>
  <c r="J431" i="117" s="1"/>
  <c r="K431" i="117" s="1"/>
  <c r="G431" i="117"/>
  <c r="M430" i="117"/>
  <c r="L430" i="117"/>
  <c r="H430" i="117"/>
  <c r="J430" i="117" s="1"/>
  <c r="K430" i="117" s="1"/>
  <c r="G430" i="117"/>
  <c r="M429" i="117"/>
  <c r="L429" i="117"/>
  <c r="J429" i="117"/>
  <c r="K429" i="117" s="1"/>
  <c r="G429" i="117"/>
  <c r="H429" i="117" s="1"/>
  <c r="M428" i="117"/>
  <c r="L428" i="117"/>
  <c r="G428" i="117"/>
  <c r="H428" i="117" s="1"/>
  <c r="J428" i="117" s="1"/>
  <c r="K428" i="117" s="1"/>
  <c r="M427" i="117"/>
  <c r="L427" i="117"/>
  <c r="G427" i="117"/>
  <c r="H427" i="117" s="1"/>
  <c r="J427" i="117" s="1"/>
  <c r="K427" i="117" s="1"/>
  <c r="M426" i="117"/>
  <c r="L426" i="117"/>
  <c r="J426" i="117"/>
  <c r="K426" i="117" s="1"/>
  <c r="H426" i="117"/>
  <c r="G426" i="117"/>
  <c r="M425" i="117"/>
  <c r="L425" i="117"/>
  <c r="J425" i="117"/>
  <c r="K425" i="117" s="1"/>
  <c r="G425" i="117"/>
  <c r="H425" i="117" s="1"/>
  <c r="M424" i="117"/>
  <c r="L424" i="117"/>
  <c r="G424" i="117"/>
  <c r="H424" i="117" s="1"/>
  <c r="J424" i="117" s="1"/>
  <c r="K424" i="117" s="1"/>
  <c r="M423" i="117"/>
  <c r="L423" i="117"/>
  <c r="H423" i="117"/>
  <c r="J423" i="117" s="1"/>
  <c r="K423" i="117" s="1"/>
  <c r="G423" i="117"/>
  <c r="M422" i="117"/>
  <c r="L422" i="117"/>
  <c r="H422" i="117"/>
  <c r="J422" i="117" s="1"/>
  <c r="K422" i="117" s="1"/>
  <c r="G422" i="117"/>
  <c r="M421" i="117"/>
  <c r="L421" i="117"/>
  <c r="J421" i="117"/>
  <c r="K421" i="117" s="1"/>
  <c r="G421" i="117"/>
  <c r="H421" i="117" s="1"/>
  <c r="M420" i="117"/>
  <c r="L420" i="117"/>
  <c r="G420" i="117"/>
  <c r="H420" i="117" s="1"/>
  <c r="J420" i="117" s="1"/>
  <c r="K420" i="117" s="1"/>
  <c r="M419" i="117"/>
  <c r="L419" i="117"/>
  <c r="G419" i="117"/>
  <c r="H419" i="117" s="1"/>
  <c r="J419" i="117" s="1"/>
  <c r="K419" i="117" s="1"/>
  <c r="M418" i="117"/>
  <c r="L418" i="117"/>
  <c r="J418" i="117"/>
  <c r="K418" i="117" s="1"/>
  <c r="H418" i="117"/>
  <c r="G418" i="117"/>
  <c r="M417" i="117"/>
  <c r="L417" i="117"/>
  <c r="J417" i="117"/>
  <c r="K417" i="117" s="1"/>
  <c r="G417" i="117"/>
  <c r="H417" i="117" s="1"/>
  <c r="M416" i="117"/>
  <c r="L416" i="117"/>
  <c r="G416" i="117"/>
  <c r="H416" i="117" s="1"/>
  <c r="J416" i="117" s="1"/>
  <c r="K416" i="117" s="1"/>
  <c r="M415" i="117"/>
  <c r="L415" i="117"/>
  <c r="H415" i="117"/>
  <c r="J415" i="117" s="1"/>
  <c r="K415" i="117" s="1"/>
  <c r="G415" i="117"/>
  <c r="M414" i="117"/>
  <c r="L414" i="117"/>
  <c r="H414" i="117"/>
  <c r="J414" i="117" s="1"/>
  <c r="K414" i="117" s="1"/>
  <c r="G414" i="117"/>
  <c r="M413" i="117"/>
  <c r="L413" i="117"/>
  <c r="J413" i="117"/>
  <c r="K413" i="117" s="1"/>
  <c r="G413" i="117"/>
  <c r="H413" i="117" s="1"/>
  <c r="M412" i="117"/>
  <c r="L412" i="117"/>
  <c r="G412" i="117"/>
  <c r="H412" i="117" s="1"/>
  <c r="J412" i="117" s="1"/>
  <c r="K412" i="117" s="1"/>
  <c r="M411" i="117"/>
  <c r="L411" i="117"/>
  <c r="G411" i="117"/>
  <c r="H411" i="117" s="1"/>
  <c r="J411" i="117" s="1"/>
  <c r="K411" i="117" s="1"/>
  <c r="M410" i="117"/>
  <c r="L410" i="117"/>
  <c r="J410" i="117"/>
  <c r="K410" i="117" s="1"/>
  <c r="H410" i="117"/>
  <c r="G410" i="117"/>
  <c r="M409" i="117"/>
  <c r="L409" i="117"/>
  <c r="G409" i="117"/>
  <c r="H409" i="117" s="1"/>
  <c r="J409" i="117" s="1"/>
  <c r="K409" i="117" s="1"/>
  <c r="M408" i="117"/>
  <c r="L408" i="117"/>
  <c r="G408" i="117"/>
  <c r="H408" i="117" s="1"/>
  <c r="J408" i="117" s="1"/>
  <c r="K408" i="117" s="1"/>
  <c r="M407" i="117"/>
  <c r="L407" i="117"/>
  <c r="G407" i="117"/>
  <c r="H407" i="117" s="1"/>
  <c r="J407" i="117" s="1"/>
  <c r="K407" i="117" s="1"/>
  <c r="M406" i="117"/>
  <c r="L406" i="117"/>
  <c r="G406" i="117"/>
  <c r="H406" i="117" s="1"/>
  <c r="J406" i="117" s="1"/>
  <c r="K406" i="117" s="1"/>
  <c r="M405" i="117"/>
  <c r="L405" i="117"/>
  <c r="G405" i="117"/>
  <c r="H405" i="117" s="1"/>
  <c r="J405" i="117" s="1"/>
  <c r="K405" i="117" s="1"/>
  <c r="M404" i="117"/>
  <c r="L404" i="117"/>
  <c r="K404" i="117"/>
  <c r="G404" i="117"/>
  <c r="H404" i="117" s="1"/>
  <c r="J404" i="117" s="1"/>
  <c r="M403" i="117"/>
  <c r="L403" i="117"/>
  <c r="H403" i="117"/>
  <c r="J403" i="117" s="1"/>
  <c r="K403" i="117" s="1"/>
  <c r="G403" i="117"/>
  <c r="M402" i="117"/>
  <c r="L402" i="117"/>
  <c r="H402" i="117"/>
  <c r="J402" i="117" s="1"/>
  <c r="K402" i="117" s="1"/>
  <c r="G402" i="117"/>
  <c r="M401" i="117"/>
  <c r="L401" i="117"/>
  <c r="G401" i="117"/>
  <c r="H401" i="117" s="1"/>
  <c r="J401" i="117" s="1"/>
  <c r="K401" i="117" s="1"/>
  <c r="M400" i="117"/>
  <c r="L400" i="117"/>
  <c r="H400" i="117"/>
  <c r="J400" i="117" s="1"/>
  <c r="K400" i="117" s="1"/>
  <c r="G400" i="117"/>
  <c r="M399" i="117"/>
  <c r="L399" i="117"/>
  <c r="G399" i="117"/>
  <c r="H399" i="117" s="1"/>
  <c r="J399" i="117" s="1"/>
  <c r="K399" i="117" s="1"/>
  <c r="M398" i="117"/>
  <c r="L398" i="117"/>
  <c r="H398" i="117"/>
  <c r="J398" i="117" s="1"/>
  <c r="K398" i="117" s="1"/>
  <c r="G398" i="117"/>
  <c r="M397" i="117"/>
  <c r="L397" i="117"/>
  <c r="J397" i="117"/>
  <c r="K397" i="117" s="1"/>
  <c r="G397" i="117"/>
  <c r="H397" i="117" s="1"/>
  <c r="M396" i="117"/>
  <c r="L396" i="117"/>
  <c r="G396" i="117"/>
  <c r="H396" i="117" s="1"/>
  <c r="J396" i="117" s="1"/>
  <c r="K396" i="117" s="1"/>
  <c r="M395" i="117"/>
  <c r="L395" i="117"/>
  <c r="G395" i="117"/>
  <c r="H395" i="117" s="1"/>
  <c r="J395" i="117" s="1"/>
  <c r="K395" i="117" s="1"/>
  <c r="M394" i="117"/>
  <c r="L394" i="117"/>
  <c r="J394" i="117"/>
  <c r="K394" i="117" s="1"/>
  <c r="H394" i="117"/>
  <c r="G394" i="117"/>
  <c r="M393" i="117"/>
  <c r="L393" i="117"/>
  <c r="G393" i="117"/>
  <c r="H393" i="117" s="1"/>
  <c r="J393" i="117" s="1"/>
  <c r="K393" i="117" s="1"/>
  <c r="M392" i="117"/>
  <c r="L392" i="117"/>
  <c r="H392" i="117"/>
  <c r="J392" i="117" s="1"/>
  <c r="K392" i="117" s="1"/>
  <c r="G392" i="117"/>
  <c r="M391" i="117"/>
  <c r="L391" i="117"/>
  <c r="H391" i="117"/>
  <c r="J391" i="117" s="1"/>
  <c r="K391" i="117" s="1"/>
  <c r="G391" i="117"/>
  <c r="M390" i="117"/>
  <c r="L390" i="117"/>
  <c r="J390" i="117"/>
  <c r="K390" i="117" s="1"/>
  <c r="H390" i="117"/>
  <c r="G390" i="117"/>
  <c r="M389" i="117"/>
  <c r="L389" i="117"/>
  <c r="G389" i="117"/>
  <c r="H389" i="117" s="1"/>
  <c r="J389" i="117" s="1"/>
  <c r="K389" i="117" s="1"/>
  <c r="M388" i="117"/>
  <c r="L388" i="117"/>
  <c r="H388" i="117"/>
  <c r="J388" i="117" s="1"/>
  <c r="K388" i="117" s="1"/>
  <c r="G388" i="117"/>
  <c r="M387" i="117"/>
  <c r="L387" i="117"/>
  <c r="H387" i="117"/>
  <c r="J387" i="117" s="1"/>
  <c r="K387" i="117" s="1"/>
  <c r="G387" i="117"/>
  <c r="M386" i="117"/>
  <c r="L386" i="117"/>
  <c r="J386" i="117"/>
  <c r="K386" i="117" s="1"/>
  <c r="H386" i="117"/>
  <c r="G386" i="117"/>
  <c r="M385" i="117"/>
  <c r="L385" i="117"/>
  <c r="G385" i="117"/>
  <c r="H385" i="117" s="1"/>
  <c r="J385" i="117" s="1"/>
  <c r="K385" i="117" s="1"/>
  <c r="M384" i="117"/>
  <c r="L384" i="117"/>
  <c r="H384" i="117"/>
  <c r="J384" i="117" s="1"/>
  <c r="K384" i="117" s="1"/>
  <c r="G384" i="117"/>
  <c r="M383" i="117"/>
  <c r="L383" i="117"/>
  <c r="H383" i="117"/>
  <c r="J383" i="117" s="1"/>
  <c r="K383" i="117" s="1"/>
  <c r="G383" i="117"/>
  <c r="M382" i="117"/>
  <c r="L382" i="117"/>
  <c r="J382" i="117"/>
  <c r="K382" i="117" s="1"/>
  <c r="H382" i="117"/>
  <c r="G382" i="117"/>
  <c r="M381" i="117"/>
  <c r="L381" i="117"/>
  <c r="G381" i="117"/>
  <c r="H381" i="117" s="1"/>
  <c r="J381" i="117" s="1"/>
  <c r="K381" i="117" s="1"/>
  <c r="M380" i="117"/>
  <c r="L380" i="117"/>
  <c r="H380" i="117"/>
  <c r="J380" i="117" s="1"/>
  <c r="K380" i="117" s="1"/>
  <c r="G380" i="117"/>
  <c r="M379" i="117"/>
  <c r="L379" i="117"/>
  <c r="H379" i="117"/>
  <c r="J379" i="117" s="1"/>
  <c r="K379" i="117" s="1"/>
  <c r="G379" i="117"/>
  <c r="M378" i="117"/>
  <c r="L378" i="117"/>
  <c r="J378" i="117"/>
  <c r="K378" i="117" s="1"/>
  <c r="H378" i="117"/>
  <c r="G378" i="117"/>
  <c r="M377" i="117"/>
  <c r="L377" i="117"/>
  <c r="G377" i="117"/>
  <c r="H377" i="117" s="1"/>
  <c r="J377" i="117" s="1"/>
  <c r="K377" i="117" s="1"/>
  <c r="M376" i="117"/>
  <c r="L376" i="117"/>
  <c r="H376" i="117"/>
  <c r="J376" i="117" s="1"/>
  <c r="K376" i="117" s="1"/>
  <c r="G376" i="117"/>
  <c r="M375" i="117"/>
  <c r="L375" i="117"/>
  <c r="H375" i="117"/>
  <c r="J375" i="117" s="1"/>
  <c r="K375" i="117" s="1"/>
  <c r="G375" i="117"/>
  <c r="M374" i="117"/>
  <c r="L374" i="117"/>
  <c r="J374" i="117"/>
  <c r="K374" i="117" s="1"/>
  <c r="H374" i="117"/>
  <c r="G374" i="117"/>
  <c r="M373" i="117"/>
  <c r="L373" i="117"/>
  <c r="G373" i="117"/>
  <c r="H373" i="117" s="1"/>
  <c r="J373" i="117" s="1"/>
  <c r="K373" i="117" s="1"/>
  <c r="M372" i="117"/>
  <c r="L372" i="117"/>
  <c r="H372" i="117"/>
  <c r="J372" i="117" s="1"/>
  <c r="K372" i="117" s="1"/>
  <c r="G372" i="117"/>
  <c r="M371" i="117"/>
  <c r="L371" i="117"/>
  <c r="H371" i="117"/>
  <c r="J371" i="117" s="1"/>
  <c r="K371" i="117" s="1"/>
  <c r="G371" i="117"/>
  <c r="M370" i="117"/>
  <c r="L370" i="117"/>
  <c r="J370" i="117"/>
  <c r="K370" i="117" s="1"/>
  <c r="H370" i="117"/>
  <c r="G370" i="117"/>
  <c r="M369" i="117"/>
  <c r="L369" i="117"/>
  <c r="G369" i="117"/>
  <c r="H369" i="117" s="1"/>
  <c r="J369" i="117" s="1"/>
  <c r="K369" i="117" s="1"/>
  <c r="M368" i="117"/>
  <c r="L368" i="117"/>
  <c r="H368" i="117"/>
  <c r="J368" i="117" s="1"/>
  <c r="K368" i="117" s="1"/>
  <c r="G368" i="117"/>
  <c r="M367" i="117"/>
  <c r="L367" i="117"/>
  <c r="H367" i="117"/>
  <c r="J367" i="117" s="1"/>
  <c r="K367" i="117" s="1"/>
  <c r="G367" i="117"/>
  <c r="M366" i="117"/>
  <c r="L366" i="117"/>
  <c r="J366" i="117"/>
  <c r="K366" i="117" s="1"/>
  <c r="H366" i="117"/>
  <c r="G366" i="117"/>
  <c r="M365" i="117"/>
  <c r="L365" i="117"/>
  <c r="G365" i="117"/>
  <c r="H365" i="117" s="1"/>
  <c r="J365" i="117" s="1"/>
  <c r="K365" i="117" s="1"/>
  <c r="M364" i="117"/>
  <c r="L364" i="117"/>
  <c r="H364" i="117"/>
  <c r="J364" i="117" s="1"/>
  <c r="K364" i="117" s="1"/>
  <c r="G364" i="117"/>
  <c r="M363" i="117"/>
  <c r="L363" i="117"/>
  <c r="H363" i="117"/>
  <c r="J363" i="117" s="1"/>
  <c r="K363" i="117" s="1"/>
  <c r="G363" i="117"/>
  <c r="M362" i="117"/>
  <c r="L362" i="117"/>
  <c r="J362" i="117"/>
  <c r="K362" i="117" s="1"/>
  <c r="H362" i="117"/>
  <c r="G362" i="117"/>
  <c r="M361" i="117"/>
  <c r="L361" i="117"/>
  <c r="G361" i="117"/>
  <c r="H361" i="117" s="1"/>
  <c r="J361" i="117" s="1"/>
  <c r="K361" i="117" s="1"/>
  <c r="M360" i="117"/>
  <c r="L360" i="117"/>
  <c r="H360" i="117"/>
  <c r="J360" i="117" s="1"/>
  <c r="K360" i="117" s="1"/>
  <c r="G360" i="117"/>
  <c r="M359" i="117"/>
  <c r="L359" i="117"/>
  <c r="H359" i="117"/>
  <c r="J359" i="117" s="1"/>
  <c r="K359" i="117" s="1"/>
  <c r="G359" i="117"/>
  <c r="M358" i="117"/>
  <c r="L358" i="117"/>
  <c r="J358" i="117"/>
  <c r="K358" i="117" s="1"/>
  <c r="H358" i="117"/>
  <c r="G358" i="117"/>
  <c r="M357" i="117"/>
  <c r="L357" i="117"/>
  <c r="G357" i="117"/>
  <c r="H357" i="117" s="1"/>
  <c r="J357" i="117" s="1"/>
  <c r="K357" i="117" s="1"/>
  <c r="M356" i="117"/>
  <c r="L356" i="117"/>
  <c r="H356" i="117"/>
  <c r="J356" i="117" s="1"/>
  <c r="K356" i="117" s="1"/>
  <c r="G356" i="117"/>
  <c r="M355" i="117"/>
  <c r="L355" i="117"/>
  <c r="H355" i="117"/>
  <c r="J355" i="117" s="1"/>
  <c r="K355" i="117" s="1"/>
  <c r="G355" i="117"/>
  <c r="M354" i="117"/>
  <c r="L354" i="117"/>
  <c r="J354" i="117"/>
  <c r="K354" i="117" s="1"/>
  <c r="H354" i="117"/>
  <c r="G354" i="117"/>
  <c r="M353" i="117"/>
  <c r="L353" i="117"/>
  <c r="G353" i="117"/>
  <c r="H353" i="117" s="1"/>
  <c r="J353" i="117" s="1"/>
  <c r="K353" i="117" s="1"/>
  <c r="M352" i="117"/>
  <c r="L352" i="117"/>
  <c r="H352" i="117"/>
  <c r="J352" i="117" s="1"/>
  <c r="K352" i="117" s="1"/>
  <c r="G352" i="117"/>
  <c r="M351" i="117"/>
  <c r="L351" i="117"/>
  <c r="H351" i="117"/>
  <c r="J351" i="117" s="1"/>
  <c r="K351" i="117" s="1"/>
  <c r="G351" i="117"/>
  <c r="M350" i="117"/>
  <c r="L350" i="117"/>
  <c r="J350" i="117"/>
  <c r="K350" i="117" s="1"/>
  <c r="H350" i="117"/>
  <c r="G350" i="117"/>
  <c r="M349" i="117"/>
  <c r="L349" i="117"/>
  <c r="G349" i="117"/>
  <c r="H349" i="117" s="1"/>
  <c r="J349" i="117" s="1"/>
  <c r="K349" i="117" s="1"/>
  <c r="M348" i="117"/>
  <c r="L348" i="117"/>
  <c r="H348" i="117"/>
  <c r="J348" i="117" s="1"/>
  <c r="K348" i="117" s="1"/>
  <c r="G348" i="117"/>
  <c r="M347" i="117"/>
  <c r="L347" i="117"/>
  <c r="H347" i="117"/>
  <c r="J347" i="117" s="1"/>
  <c r="K347" i="117" s="1"/>
  <c r="G347" i="117"/>
  <c r="M346" i="117"/>
  <c r="L346" i="117"/>
  <c r="J346" i="117"/>
  <c r="K346" i="117" s="1"/>
  <c r="H346" i="117"/>
  <c r="G346" i="117"/>
  <c r="M345" i="117"/>
  <c r="L345" i="117"/>
  <c r="G345" i="117"/>
  <c r="H345" i="117" s="1"/>
  <c r="J345" i="117" s="1"/>
  <c r="K345" i="117" s="1"/>
  <c r="M344" i="117"/>
  <c r="L344" i="117"/>
  <c r="H344" i="117"/>
  <c r="J344" i="117" s="1"/>
  <c r="K344" i="117" s="1"/>
  <c r="G344" i="117"/>
  <c r="M343" i="117"/>
  <c r="L343" i="117"/>
  <c r="H343" i="117"/>
  <c r="J343" i="117" s="1"/>
  <c r="K343" i="117" s="1"/>
  <c r="G343" i="117"/>
  <c r="M342" i="117"/>
  <c r="L342" i="117"/>
  <c r="J342" i="117"/>
  <c r="K342" i="117" s="1"/>
  <c r="H342" i="117"/>
  <c r="G342" i="117"/>
  <c r="M341" i="117"/>
  <c r="L341" i="117"/>
  <c r="G341" i="117"/>
  <c r="H341" i="117" s="1"/>
  <c r="J341" i="117" s="1"/>
  <c r="K341" i="117" s="1"/>
  <c r="M340" i="117"/>
  <c r="L340" i="117"/>
  <c r="H340" i="117"/>
  <c r="J340" i="117" s="1"/>
  <c r="K340" i="117" s="1"/>
  <c r="G340" i="117"/>
  <c r="M339" i="117"/>
  <c r="L339" i="117"/>
  <c r="H339" i="117"/>
  <c r="J339" i="117" s="1"/>
  <c r="K339" i="117" s="1"/>
  <c r="G339" i="117"/>
  <c r="M338" i="117"/>
  <c r="L338" i="117"/>
  <c r="J338" i="117"/>
  <c r="K338" i="117" s="1"/>
  <c r="H338" i="117"/>
  <c r="G338" i="117"/>
  <c r="M337" i="117"/>
  <c r="L337" i="117"/>
  <c r="G337" i="117"/>
  <c r="H337" i="117" s="1"/>
  <c r="J337" i="117" s="1"/>
  <c r="K337" i="117" s="1"/>
  <c r="M336" i="117"/>
  <c r="L336" i="117"/>
  <c r="H336" i="117"/>
  <c r="J336" i="117" s="1"/>
  <c r="K336" i="117" s="1"/>
  <c r="G336" i="117"/>
  <c r="M335" i="117"/>
  <c r="L335" i="117"/>
  <c r="H335" i="117"/>
  <c r="J335" i="117" s="1"/>
  <c r="K335" i="117" s="1"/>
  <c r="G335" i="117"/>
  <c r="M334" i="117"/>
  <c r="L334" i="117"/>
  <c r="J334" i="117"/>
  <c r="K334" i="117" s="1"/>
  <c r="H334" i="117"/>
  <c r="G334" i="117"/>
  <c r="M333" i="117"/>
  <c r="L333" i="117"/>
  <c r="G333" i="117"/>
  <c r="H333" i="117" s="1"/>
  <c r="J333" i="117" s="1"/>
  <c r="K333" i="117" s="1"/>
  <c r="M332" i="117"/>
  <c r="L332" i="117"/>
  <c r="H332" i="117"/>
  <c r="J332" i="117" s="1"/>
  <c r="K332" i="117" s="1"/>
  <c r="G332" i="117"/>
  <c r="M331" i="117"/>
  <c r="L331" i="117"/>
  <c r="H331" i="117"/>
  <c r="J331" i="117" s="1"/>
  <c r="K331" i="117" s="1"/>
  <c r="G331" i="117"/>
  <c r="M330" i="117"/>
  <c r="L330" i="117"/>
  <c r="J330" i="117"/>
  <c r="K330" i="117" s="1"/>
  <c r="H330" i="117"/>
  <c r="G330" i="117"/>
  <c r="M329" i="117"/>
  <c r="L329" i="117"/>
  <c r="G329" i="117"/>
  <c r="H329" i="117" s="1"/>
  <c r="J329" i="117" s="1"/>
  <c r="K329" i="117" s="1"/>
  <c r="M328" i="117"/>
  <c r="L328" i="117"/>
  <c r="H328" i="117"/>
  <c r="J328" i="117" s="1"/>
  <c r="K328" i="117" s="1"/>
  <c r="G328" i="117"/>
  <c r="M327" i="117"/>
  <c r="L327" i="117"/>
  <c r="H327" i="117"/>
  <c r="J327" i="117" s="1"/>
  <c r="K327" i="117" s="1"/>
  <c r="G327" i="117"/>
  <c r="M326" i="117"/>
  <c r="L326" i="117"/>
  <c r="J326" i="117"/>
  <c r="K326" i="117" s="1"/>
  <c r="H326" i="117"/>
  <c r="G326" i="117"/>
  <c r="M325" i="117"/>
  <c r="L325" i="117"/>
  <c r="G325" i="117"/>
  <c r="H325" i="117" s="1"/>
  <c r="J325" i="117" s="1"/>
  <c r="K325" i="117" s="1"/>
  <c r="M324" i="117"/>
  <c r="L324" i="117"/>
  <c r="H324" i="117"/>
  <c r="J324" i="117" s="1"/>
  <c r="K324" i="117" s="1"/>
  <c r="G324" i="117"/>
  <c r="M323" i="117"/>
  <c r="L323" i="117"/>
  <c r="H323" i="117"/>
  <c r="J323" i="117" s="1"/>
  <c r="K323" i="117" s="1"/>
  <c r="G323" i="117"/>
  <c r="M322" i="117"/>
  <c r="L322" i="117"/>
  <c r="J322" i="117"/>
  <c r="K322" i="117" s="1"/>
  <c r="H322" i="117"/>
  <c r="G322" i="117"/>
  <c r="M321" i="117"/>
  <c r="L321" i="117"/>
  <c r="G321" i="117"/>
  <c r="H321" i="117" s="1"/>
  <c r="J321" i="117" s="1"/>
  <c r="K321" i="117" s="1"/>
  <c r="M320" i="117"/>
  <c r="L320" i="117"/>
  <c r="H320" i="117"/>
  <c r="J320" i="117" s="1"/>
  <c r="K320" i="117" s="1"/>
  <c r="G320" i="117"/>
  <c r="M319" i="117"/>
  <c r="L319" i="117"/>
  <c r="H319" i="117"/>
  <c r="J319" i="117" s="1"/>
  <c r="K319" i="117" s="1"/>
  <c r="G319" i="117"/>
  <c r="M318" i="117"/>
  <c r="L318" i="117"/>
  <c r="J318" i="117"/>
  <c r="K318" i="117" s="1"/>
  <c r="H318" i="117"/>
  <c r="G318" i="117"/>
  <c r="M317" i="117"/>
  <c r="L317" i="117"/>
  <c r="G317" i="117"/>
  <c r="H317" i="117" s="1"/>
  <c r="J317" i="117" s="1"/>
  <c r="K317" i="117" s="1"/>
  <c r="M316" i="117"/>
  <c r="L316" i="117"/>
  <c r="H316" i="117"/>
  <c r="J316" i="117" s="1"/>
  <c r="K316" i="117" s="1"/>
  <c r="G316" i="117"/>
  <c r="M315" i="117"/>
  <c r="L315" i="117"/>
  <c r="H315" i="117"/>
  <c r="J315" i="117" s="1"/>
  <c r="K315" i="117" s="1"/>
  <c r="G315" i="117"/>
  <c r="M314" i="117"/>
  <c r="L314" i="117"/>
  <c r="J314" i="117"/>
  <c r="K314" i="117" s="1"/>
  <c r="H314" i="117"/>
  <c r="G314" i="117"/>
  <c r="M313" i="117"/>
  <c r="L313" i="117"/>
  <c r="G313" i="117"/>
  <c r="H313" i="117" s="1"/>
  <c r="J313" i="117" s="1"/>
  <c r="K313" i="117" s="1"/>
  <c r="M312" i="117"/>
  <c r="L312" i="117"/>
  <c r="H312" i="117"/>
  <c r="J312" i="117" s="1"/>
  <c r="K312" i="117" s="1"/>
  <c r="G312" i="117"/>
  <c r="M311" i="117"/>
  <c r="L311" i="117"/>
  <c r="H311" i="117"/>
  <c r="J311" i="117" s="1"/>
  <c r="K311" i="117" s="1"/>
  <c r="G311" i="117"/>
  <c r="M310" i="117"/>
  <c r="L310" i="117"/>
  <c r="J310" i="117"/>
  <c r="K310" i="117" s="1"/>
  <c r="H310" i="117"/>
  <c r="G310" i="117"/>
  <c r="M309" i="117"/>
  <c r="L309" i="117"/>
  <c r="G309" i="117"/>
  <c r="H309" i="117" s="1"/>
  <c r="J309" i="117" s="1"/>
  <c r="K309" i="117" s="1"/>
  <c r="M308" i="117"/>
  <c r="L308" i="117"/>
  <c r="K308" i="117"/>
  <c r="H308" i="117"/>
  <c r="J308" i="117" s="1"/>
  <c r="G308" i="117"/>
  <c r="M307" i="117"/>
  <c r="L307" i="117"/>
  <c r="K307" i="117"/>
  <c r="H307" i="117"/>
  <c r="J307" i="117" s="1"/>
  <c r="G307" i="117"/>
  <c r="M306" i="117"/>
  <c r="L306" i="117"/>
  <c r="H306" i="117"/>
  <c r="J306" i="117" s="1"/>
  <c r="K306" i="117" s="1"/>
  <c r="G306" i="117"/>
  <c r="M305" i="117"/>
  <c r="L305" i="117"/>
  <c r="G305" i="117"/>
  <c r="H305" i="117" s="1"/>
  <c r="J305" i="117" s="1"/>
  <c r="K305" i="117" s="1"/>
  <c r="M304" i="117"/>
  <c r="L304" i="117"/>
  <c r="H304" i="117"/>
  <c r="J304" i="117" s="1"/>
  <c r="K304" i="117" s="1"/>
  <c r="G304" i="117"/>
  <c r="M303" i="117"/>
  <c r="L303" i="117"/>
  <c r="K303" i="117"/>
  <c r="H303" i="117"/>
  <c r="J303" i="117" s="1"/>
  <c r="G303" i="117"/>
  <c r="M302" i="117"/>
  <c r="L302" i="117"/>
  <c r="J302" i="117"/>
  <c r="K302" i="117" s="1"/>
  <c r="H302" i="117"/>
  <c r="G302" i="117"/>
  <c r="M301" i="117"/>
  <c r="L301" i="117"/>
  <c r="G301" i="117"/>
  <c r="H301" i="117" s="1"/>
  <c r="J301" i="117" s="1"/>
  <c r="K301" i="117" s="1"/>
  <c r="M300" i="117"/>
  <c r="L300" i="117"/>
  <c r="K300" i="117"/>
  <c r="H300" i="117"/>
  <c r="J300" i="117" s="1"/>
  <c r="G300" i="117"/>
  <c r="M299" i="117"/>
  <c r="L299" i="117"/>
  <c r="H299" i="117"/>
  <c r="J299" i="117" s="1"/>
  <c r="K299" i="117" s="1"/>
  <c r="G299" i="117"/>
  <c r="M298" i="117"/>
  <c r="L298" i="117"/>
  <c r="J298" i="117"/>
  <c r="K298" i="117" s="1"/>
  <c r="H298" i="117"/>
  <c r="G298" i="117"/>
  <c r="M297" i="117"/>
  <c r="L297" i="117"/>
  <c r="K297" i="117"/>
  <c r="G297" i="117"/>
  <c r="H297" i="117" s="1"/>
  <c r="J297" i="117" s="1"/>
  <c r="M296" i="117"/>
  <c r="L296" i="117"/>
  <c r="K296" i="117"/>
  <c r="H296" i="117"/>
  <c r="J296" i="117" s="1"/>
  <c r="G296" i="117"/>
  <c r="M295" i="117"/>
  <c r="L295" i="117"/>
  <c r="K295" i="117"/>
  <c r="H295" i="117"/>
  <c r="J295" i="117" s="1"/>
  <c r="G295" i="117"/>
  <c r="M294" i="117"/>
  <c r="L294" i="117"/>
  <c r="H294" i="117"/>
  <c r="J294" i="117" s="1"/>
  <c r="K294" i="117" s="1"/>
  <c r="G294" i="117"/>
  <c r="M293" i="117"/>
  <c r="L293" i="117"/>
  <c r="K293" i="117"/>
  <c r="G293" i="117"/>
  <c r="H293" i="117" s="1"/>
  <c r="J293" i="117" s="1"/>
  <c r="M292" i="117"/>
  <c r="L292" i="117"/>
  <c r="K292" i="117"/>
  <c r="J292" i="117"/>
  <c r="H292" i="117"/>
  <c r="G292" i="117"/>
  <c r="M291" i="117"/>
  <c r="L291" i="117"/>
  <c r="H291" i="117"/>
  <c r="J291" i="117" s="1"/>
  <c r="K291" i="117" s="1"/>
  <c r="G291" i="117"/>
  <c r="M290" i="117"/>
  <c r="L290" i="117"/>
  <c r="G290" i="117"/>
  <c r="H290" i="117" s="1"/>
  <c r="J290" i="117" s="1"/>
  <c r="K290" i="117" s="1"/>
  <c r="M289" i="117"/>
  <c r="L289" i="117"/>
  <c r="H289" i="117"/>
  <c r="J289" i="117" s="1"/>
  <c r="K289" i="117" s="1"/>
  <c r="G289" i="117"/>
  <c r="M288" i="117"/>
  <c r="L288" i="117"/>
  <c r="K288" i="117"/>
  <c r="J288" i="117"/>
  <c r="H288" i="117"/>
  <c r="G288" i="117"/>
  <c r="M287" i="117"/>
  <c r="L287" i="117"/>
  <c r="H287" i="117"/>
  <c r="J287" i="117" s="1"/>
  <c r="K287" i="117" s="1"/>
  <c r="G287" i="117"/>
  <c r="M286" i="117"/>
  <c r="L286" i="117"/>
  <c r="G286" i="117"/>
  <c r="H286" i="117" s="1"/>
  <c r="J286" i="117" s="1"/>
  <c r="K286" i="117" s="1"/>
  <c r="M285" i="117"/>
  <c r="L285" i="117"/>
  <c r="H285" i="117"/>
  <c r="J285" i="117" s="1"/>
  <c r="K285" i="117" s="1"/>
  <c r="G285" i="117"/>
  <c r="M284" i="117"/>
  <c r="L284" i="117"/>
  <c r="K284" i="117"/>
  <c r="J284" i="117"/>
  <c r="H284" i="117"/>
  <c r="G284" i="117"/>
  <c r="M283" i="117"/>
  <c r="L283" i="117"/>
  <c r="H283" i="117"/>
  <c r="J283" i="117" s="1"/>
  <c r="K283" i="117" s="1"/>
  <c r="G283" i="117"/>
  <c r="M282" i="117"/>
  <c r="L282" i="117"/>
  <c r="G282" i="117"/>
  <c r="H282" i="117" s="1"/>
  <c r="J282" i="117" s="1"/>
  <c r="K282" i="117" s="1"/>
  <c r="M281" i="117"/>
  <c r="L281" i="117"/>
  <c r="H281" i="117"/>
  <c r="J281" i="117" s="1"/>
  <c r="K281" i="117" s="1"/>
  <c r="G281" i="117"/>
  <c r="M280" i="117"/>
  <c r="L280" i="117"/>
  <c r="K280" i="117"/>
  <c r="J280" i="117"/>
  <c r="H280" i="117"/>
  <c r="G280" i="117"/>
  <c r="M279" i="117"/>
  <c r="L279" i="117"/>
  <c r="H279" i="117"/>
  <c r="J279" i="117" s="1"/>
  <c r="K279" i="117" s="1"/>
  <c r="G279" i="117"/>
  <c r="M278" i="117"/>
  <c r="L278" i="117"/>
  <c r="G278" i="117"/>
  <c r="H278" i="117" s="1"/>
  <c r="J278" i="117" s="1"/>
  <c r="K278" i="117" s="1"/>
  <c r="M277" i="117"/>
  <c r="L277" i="117"/>
  <c r="H277" i="117"/>
  <c r="J277" i="117" s="1"/>
  <c r="K277" i="117" s="1"/>
  <c r="G277" i="117"/>
  <c r="M276" i="117"/>
  <c r="L276" i="117"/>
  <c r="K276" i="117"/>
  <c r="J276" i="117"/>
  <c r="H276" i="117"/>
  <c r="G276" i="117"/>
  <c r="M275" i="117"/>
  <c r="L275" i="117"/>
  <c r="H275" i="117"/>
  <c r="J275" i="117" s="1"/>
  <c r="K275" i="117" s="1"/>
  <c r="G275" i="117"/>
  <c r="M274" i="117"/>
  <c r="L274" i="117"/>
  <c r="G274" i="117"/>
  <c r="H274" i="117" s="1"/>
  <c r="J274" i="117" s="1"/>
  <c r="K274" i="117" s="1"/>
  <c r="M273" i="117"/>
  <c r="L273" i="117"/>
  <c r="H273" i="117"/>
  <c r="J273" i="117" s="1"/>
  <c r="K273" i="117" s="1"/>
  <c r="G273" i="117"/>
  <c r="M272" i="117"/>
  <c r="L272" i="117"/>
  <c r="K272" i="117"/>
  <c r="J272" i="117"/>
  <c r="H272" i="117"/>
  <c r="G272" i="117"/>
  <c r="M271" i="117"/>
  <c r="L271" i="117"/>
  <c r="H271" i="117"/>
  <c r="J271" i="117" s="1"/>
  <c r="K271" i="117" s="1"/>
  <c r="G271" i="117"/>
  <c r="M270" i="117"/>
  <c r="L270" i="117"/>
  <c r="G270" i="117"/>
  <c r="H270" i="117" s="1"/>
  <c r="J270" i="117" s="1"/>
  <c r="K270" i="117" s="1"/>
  <c r="M269" i="117"/>
  <c r="L269" i="117"/>
  <c r="H269" i="117"/>
  <c r="J269" i="117" s="1"/>
  <c r="K269" i="117" s="1"/>
  <c r="G269" i="117"/>
  <c r="M268" i="117"/>
  <c r="L268" i="117"/>
  <c r="K268" i="117"/>
  <c r="J268" i="117"/>
  <c r="H268" i="117"/>
  <c r="G268" i="117"/>
  <c r="M267" i="117"/>
  <c r="L267" i="117"/>
  <c r="H267" i="117"/>
  <c r="J267" i="117" s="1"/>
  <c r="K267" i="117" s="1"/>
  <c r="G267" i="117"/>
  <c r="M266" i="117"/>
  <c r="L266" i="117"/>
  <c r="G266" i="117"/>
  <c r="H266" i="117" s="1"/>
  <c r="J266" i="117" s="1"/>
  <c r="K266" i="117" s="1"/>
  <c r="M265" i="117"/>
  <c r="L265" i="117"/>
  <c r="H265" i="117"/>
  <c r="J265" i="117" s="1"/>
  <c r="K265" i="117" s="1"/>
  <c r="G265" i="117"/>
  <c r="M264" i="117"/>
  <c r="L264" i="117"/>
  <c r="K264" i="117"/>
  <c r="J264" i="117"/>
  <c r="H264" i="117"/>
  <c r="G264" i="117"/>
  <c r="M263" i="117"/>
  <c r="L263" i="117"/>
  <c r="H263" i="117"/>
  <c r="J263" i="117" s="1"/>
  <c r="K263" i="117" s="1"/>
  <c r="G263" i="117"/>
  <c r="M262" i="117"/>
  <c r="L262" i="117"/>
  <c r="G262" i="117"/>
  <c r="H262" i="117" s="1"/>
  <c r="J262" i="117" s="1"/>
  <c r="K262" i="117" s="1"/>
  <c r="M261" i="117"/>
  <c r="L261" i="117"/>
  <c r="H261" i="117"/>
  <c r="J261" i="117" s="1"/>
  <c r="K261" i="117" s="1"/>
  <c r="G261" i="117"/>
  <c r="M260" i="117"/>
  <c r="L260" i="117"/>
  <c r="K260" i="117"/>
  <c r="J260" i="117"/>
  <c r="H260" i="117"/>
  <c r="G260" i="117"/>
  <c r="M259" i="117"/>
  <c r="L259" i="117"/>
  <c r="H259" i="117"/>
  <c r="J259" i="117" s="1"/>
  <c r="K259" i="117" s="1"/>
  <c r="G259" i="117"/>
  <c r="M258" i="117"/>
  <c r="L258" i="117"/>
  <c r="G258" i="117"/>
  <c r="H258" i="117" s="1"/>
  <c r="J258" i="117" s="1"/>
  <c r="K258" i="117" s="1"/>
  <c r="M257" i="117"/>
  <c r="L257" i="117"/>
  <c r="H257" i="117"/>
  <c r="J257" i="117" s="1"/>
  <c r="K257" i="117" s="1"/>
  <c r="G257" i="117"/>
  <c r="M256" i="117"/>
  <c r="L256" i="117"/>
  <c r="K256" i="117"/>
  <c r="J256" i="117"/>
  <c r="H256" i="117"/>
  <c r="G256" i="117"/>
  <c r="M255" i="117"/>
  <c r="L255" i="117"/>
  <c r="H255" i="117"/>
  <c r="J255" i="117" s="1"/>
  <c r="K255" i="117" s="1"/>
  <c r="G255" i="117"/>
  <c r="M254" i="117"/>
  <c r="L254" i="117"/>
  <c r="G254" i="117"/>
  <c r="H254" i="117" s="1"/>
  <c r="J254" i="117" s="1"/>
  <c r="K254" i="117" s="1"/>
  <c r="M253" i="117"/>
  <c r="L253" i="117"/>
  <c r="H253" i="117"/>
  <c r="J253" i="117" s="1"/>
  <c r="K253" i="117" s="1"/>
  <c r="G253" i="117"/>
  <c r="M252" i="117"/>
  <c r="L252" i="117"/>
  <c r="K252" i="117"/>
  <c r="J252" i="117"/>
  <c r="H252" i="117"/>
  <c r="G252" i="117"/>
  <c r="M251" i="117"/>
  <c r="L251" i="117"/>
  <c r="H251" i="117"/>
  <c r="J251" i="117" s="1"/>
  <c r="K251" i="117" s="1"/>
  <c r="G251" i="117"/>
  <c r="M250" i="117"/>
  <c r="L250" i="117"/>
  <c r="G250" i="117"/>
  <c r="H250" i="117" s="1"/>
  <c r="J250" i="117" s="1"/>
  <c r="K250" i="117" s="1"/>
  <c r="M249" i="117"/>
  <c r="L249" i="117"/>
  <c r="H249" i="117"/>
  <c r="J249" i="117" s="1"/>
  <c r="K249" i="117" s="1"/>
  <c r="G249" i="117"/>
  <c r="M248" i="117"/>
  <c r="L248" i="117"/>
  <c r="K248" i="117"/>
  <c r="J248" i="117"/>
  <c r="H248" i="117"/>
  <c r="G248" i="117"/>
  <c r="M247" i="117"/>
  <c r="L247" i="117"/>
  <c r="H247" i="117"/>
  <c r="J247" i="117" s="1"/>
  <c r="K247" i="117" s="1"/>
  <c r="G247" i="117"/>
  <c r="M246" i="117"/>
  <c r="L246" i="117"/>
  <c r="G246" i="117"/>
  <c r="H246" i="117" s="1"/>
  <c r="J246" i="117" s="1"/>
  <c r="K246" i="117" s="1"/>
  <c r="M245" i="117"/>
  <c r="L245" i="117"/>
  <c r="H245" i="117"/>
  <c r="J245" i="117" s="1"/>
  <c r="K245" i="117" s="1"/>
  <c r="G245" i="117"/>
  <c r="M244" i="117"/>
  <c r="L244" i="117"/>
  <c r="K244" i="117"/>
  <c r="J244" i="117"/>
  <c r="H244" i="117"/>
  <c r="G244" i="117"/>
  <c r="M243" i="117"/>
  <c r="L243" i="117"/>
  <c r="H243" i="117"/>
  <c r="J243" i="117" s="1"/>
  <c r="K243" i="117" s="1"/>
  <c r="G243" i="117"/>
  <c r="M242" i="117"/>
  <c r="L242" i="117"/>
  <c r="G242" i="117"/>
  <c r="H242" i="117" s="1"/>
  <c r="J242" i="117" s="1"/>
  <c r="K242" i="117" s="1"/>
  <c r="M241" i="117"/>
  <c r="L241" i="117"/>
  <c r="H241" i="117"/>
  <c r="J241" i="117" s="1"/>
  <c r="K241" i="117" s="1"/>
  <c r="G241" i="117"/>
  <c r="M240" i="117"/>
  <c r="L240" i="117"/>
  <c r="K240" i="117"/>
  <c r="J240" i="117"/>
  <c r="H240" i="117"/>
  <c r="G240" i="117"/>
  <c r="M239" i="117"/>
  <c r="L239" i="117"/>
  <c r="H239" i="117"/>
  <c r="J239" i="117" s="1"/>
  <c r="K239" i="117" s="1"/>
  <c r="G239" i="117"/>
  <c r="M238" i="117"/>
  <c r="L238" i="117"/>
  <c r="G238" i="117"/>
  <c r="H238" i="117" s="1"/>
  <c r="J238" i="117" s="1"/>
  <c r="K238" i="117" s="1"/>
  <c r="M237" i="117"/>
  <c r="L237" i="117"/>
  <c r="H237" i="117"/>
  <c r="J237" i="117" s="1"/>
  <c r="K237" i="117" s="1"/>
  <c r="G237" i="117"/>
  <c r="M236" i="117"/>
  <c r="L236" i="117"/>
  <c r="G236" i="117"/>
  <c r="H236" i="117" s="1"/>
  <c r="J236" i="117" s="1"/>
  <c r="K236" i="117" s="1"/>
  <c r="M235" i="117"/>
  <c r="L235" i="117"/>
  <c r="H235" i="117"/>
  <c r="J235" i="117" s="1"/>
  <c r="K235" i="117" s="1"/>
  <c r="G235" i="117"/>
  <c r="M234" i="117"/>
  <c r="L234" i="117"/>
  <c r="G234" i="117"/>
  <c r="H234" i="117" s="1"/>
  <c r="J234" i="117" s="1"/>
  <c r="K234" i="117" s="1"/>
  <c r="M233" i="117"/>
  <c r="L233" i="117"/>
  <c r="H233" i="117"/>
  <c r="J233" i="117" s="1"/>
  <c r="K233" i="117" s="1"/>
  <c r="G233" i="117"/>
  <c r="M232" i="117"/>
  <c r="L232" i="117"/>
  <c r="G232" i="117"/>
  <c r="H232" i="117" s="1"/>
  <c r="J232" i="117" s="1"/>
  <c r="K232" i="117" s="1"/>
  <c r="M231" i="117"/>
  <c r="L231" i="117"/>
  <c r="H231" i="117"/>
  <c r="J231" i="117" s="1"/>
  <c r="K231" i="117" s="1"/>
  <c r="G231" i="117"/>
  <c r="M230" i="117"/>
  <c r="L230" i="117"/>
  <c r="G230" i="117"/>
  <c r="H230" i="117" s="1"/>
  <c r="J230" i="117" s="1"/>
  <c r="K230" i="117" s="1"/>
  <c r="M229" i="117"/>
  <c r="L229" i="117"/>
  <c r="H229" i="117"/>
  <c r="J229" i="117" s="1"/>
  <c r="K229" i="117" s="1"/>
  <c r="G229" i="117"/>
  <c r="M228" i="117"/>
  <c r="L228" i="117"/>
  <c r="G228" i="117"/>
  <c r="H228" i="117" s="1"/>
  <c r="J228" i="117" s="1"/>
  <c r="K228" i="117" s="1"/>
  <c r="M227" i="117"/>
  <c r="L227" i="117"/>
  <c r="H227" i="117"/>
  <c r="J227" i="117" s="1"/>
  <c r="K227" i="117" s="1"/>
  <c r="G227" i="117"/>
  <c r="M226" i="117"/>
  <c r="L226" i="117"/>
  <c r="G226" i="117"/>
  <c r="H226" i="117" s="1"/>
  <c r="J226" i="117" s="1"/>
  <c r="K226" i="117" s="1"/>
  <c r="M225" i="117"/>
  <c r="L225" i="117"/>
  <c r="H225" i="117"/>
  <c r="J225" i="117" s="1"/>
  <c r="K225" i="117" s="1"/>
  <c r="G225" i="117"/>
  <c r="M224" i="117"/>
  <c r="L224" i="117"/>
  <c r="G224" i="117"/>
  <c r="H224" i="117" s="1"/>
  <c r="J224" i="117" s="1"/>
  <c r="K224" i="117" s="1"/>
  <c r="M223" i="117"/>
  <c r="L223" i="117"/>
  <c r="H223" i="117"/>
  <c r="J223" i="117" s="1"/>
  <c r="K223" i="117" s="1"/>
  <c r="G223" i="117"/>
  <c r="M222" i="117"/>
  <c r="L222" i="117"/>
  <c r="G222" i="117"/>
  <c r="H222" i="117" s="1"/>
  <c r="J222" i="117" s="1"/>
  <c r="K222" i="117" s="1"/>
  <c r="M221" i="117"/>
  <c r="L221" i="117"/>
  <c r="H221" i="117"/>
  <c r="J221" i="117" s="1"/>
  <c r="K221" i="117" s="1"/>
  <c r="G221" i="117"/>
  <c r="M220" i="117"/>
  <c r="L220" i="117"/>
  <c r="G220" i="117"/>
  <c r="H220" i="117" s="1"/>
  <c r="J220" i="117" s="1"/>
  <c r="K220" i="117" s="1"/>
  <c r="M219" i="117"/>
  <c r="L219" i="117"/>
  <c r="H219" i="117"/>
  <c r="J219" i="117" s="1"/>
  <c r="K219" i="117" s="1"/>
  <c r="G219" i="117"/>
  <c r="M218" i="117"/>
  <c r="L218" i="117"/>
  <c r="G218" i="117"/>
  <c r="H218" i="117" s="1"/>
  <c r="J218" i="117" s="1"/>
  <c r="K218" i="117" s="1"/>
  <c r="M217" i="117"/>
  <c r="L217" i="117"/>
  <c r="H217" i="117"/>
  <c r="J217" i="117" s="1"/>
  <c r="K217" i="117" s="1"/>
  <c r="G217" i="117"/>
  <c r="M216" i="117"/>
  <c r="L216" i="117"/>
  <c r="G216" i="117"/>
  <c r="H216" i="117" s="1"/>
  <c r="J216" i="117" s="1"/>
  <c r="K216" i="117" s="1"/>
  <c r="M215" i="117"/>
  <c r="L215" i="117"/>
  <c r="H215" i="117"/>
  <c r="J215" i="117" s="1"/>
  <c r="K215" i="117" s="1"/>
  <c r="G215" i="117"/>
  <c r="M214" i="117"/>
  <c r="L214" i="117"/>
  <c r="G214" i="117"/>
  <c r="H214" i="117" s="1"/>
  <c r="J214" i="117" s="1"/>
  <c r="K214" i="117" s="1"/>
  <c r="M213" i="117"/>
  <c r="L213" i="117"/>
  <c r="H213" i="117"/>
  <c r="J213" i="117" s="1"/>
  <c r="K213" i="117" s="1"/>
  <c r="G213" i="117"/>
  <c r="M212" i="117"/>
  <c r="L212" i="117"/>
  <c r="G212" i="117"/>
  <c r="H212" i="117" s="1"/>
  <c r="J212" i="117" s="1"/>
  <c r="K212" i="117" s="1"/>
  <c r="M211" i="117"/>
  <c r="L211" i="117"/>
  <c r="H211" i="117"/>
  <c r="J211" i="117" s="1"/>
  <c r="K211" i="117" s="1"/>
  <c r="G211" i="117"/>
  <c r="M210" i="117"/>
  <c r="L210" i="117"/>
  <c r="G210" i="117"/>
  <c r="H210" i="117" s="1"/>
  <c r="J210" i="117" s="1"/>
  <c r="K210" i="117" s="1"/>
  <c r="M209" i="117"/>
  <c r="L209" i="117"/>
  <c r="H209" i="117"/>
  <c r="J209" i="117" s="1"/>
  <c r="K209" i="117" s="1"/>
  <c r="G209" i="117"/>
  <c r="M208" i="117"/>
  <c r="L208" i="117"/>
  <c r="G208" i="117"/>
  <c r="H208" i="117" s="1"/>
  <c r="J208" i="117" s="1"/>
  <c r="K208" i="117" s="1"/>
  <c r="M207" i="117"/>
  <c r="L207" i="117"/>
  <c r="H207" i="117"/>
  <c r="J207" i="117" s="1"/>
  <c r="K207" i="117" s="1"/>
  <c r="G207" i="117"/>
  <c r="M206" i="117"/>
  <c r="L206" i="117"/>
  <c r="G206" i="117"/>
  <c r="H206" i="117" s="1"/>
  <c r="J206" i="117" s="1"/>
  <c r="K206" i="117" s="1"/>
  <c r="M205" i="117"/>
  <c r="L205" i="117"/>
  <c r="H205" i="117"/>
  <c r="J205" i="117" s="1"/>
  <c r="K205" i="117" s="1"/>
  <c r="G205" i="117"/>
  <c r="M204" i="117"/>
  <c r="L204" i="117"/>
  <c r="G204" i="117"/>
  <c r="H204" i="117" s="1"/>
  <c r="J204" i="117" s="1"/>
  <c r="K204" i="117" s="1"/>
  <c r="M203" i="117"/>
  <c r="L203" i="117"/>
  <c r="H203" i="117"/>
  <c r="J203" i="117" s="1"/>
  <c r="K203" i="117" s="1"/>
  <c r="G203" i="117"/>
  <c r="M202" i="117"/>
  <c r="L202" i="117"/>
  <c r="G202" i="117"/>
  <c r="H202" i="117" s="1"/>
  <c r="J202" i="117" s="1"/>
  <c r="K202" i="117" s="1"/>
  <c r="M201" i="117"/>
  <c r="L201" i="117"/>
  <c r="H201" i="117"/>
  <c r="J201" i="117" s="1"/>
  <c r="K201" i="117" s="1"/>
  <c r="G201" i="117"/>
  <c r="M200" i="117"/>
  <c r="L200" i="117"/>
  <c r="G200" i="117"/>
  <c r="H200" i="117" s="1"/>
  <c r="J200" i="117" s="1"/>
  <c r="K200" i="117" s="1"/>
  <c r="M199" i="117"/>
  <c r="L199" i="117"/>
  <c r="H199" i="117"/>
  <c r="J199" i="117" s="1"/>
  <c r="K199" i="117" s="1"/>
  <c r="G199" i="117"/>
  <c r="M198" i="117"/>
  <c r="L198" i="117"/>
  <c r="G198" i="117"/>
  <c r="H198" i="117" s="1"/>
  <c r="J198" i="117" s="1"/>
  <c r="K198" i="117" s="1"/>
  <c r="M197" i="117"/>
  <c r="L197" i="117"/>
  <c r="H197" i="117"/>
  <c r="J197" i="117" s="1"/>
  <c r="K197" i="117" s="1"/>
  <c r="G197" i="117"/>
  <c r="M196" i="117"/>
  <c r="L196" i="117"/>
  <c r="G196" i="117"/>
  <c r="H196" i="117" s="1"/>
  <c r="J196" i="117" s="1"/>
  <c r="K196" i="117" s="1"/>
  <c r="M195" i="117"/>
  <c r="L195" i="117"/>
  <c r="H195" i="117"/>
  <c r="J195" i="117" s="1"/>
  <c r="K195" i="117" s="1"/>
  <c r="G195" i="117"/>
  <c r="M194" i="117"/>
  <c r="L194" i="117"/>
  <c r="G194" i="117"/>
  <c r="H194" i="117" s="1"/>
  <c r="J194" i="117" s="1"/>
  <c r="K194" i="117" s="1"/>
  <c r="M193" i="117"/>
  <c r="L193" i="117"/>
  <c r="H193" i="117"/>
  <c r="J193" i="117" s="1"/>
  <c r="K193" i="117" s="1"/>
  <c r="G193" i="117"/>
  <c r="M192" i="117"/>
  <c r="L192" i="117"/>
  <c r="G192" i="117"/>
  <c r="H192" i="117" s="1"/>
  <c r="J192" i="117" s="1"/>
  <c r="K192" i="117" s="1"/>
  <c r="M191" i="117"/>
  <c r="L191" i="117"/>
  <c r="H191" i="117"/>
  <c r="J191" i="117" s="1"/>
  <c r="K191" i="117" s="1"/>
  <c r="G191" i="117"/>
  <c r="M190" i="117"/>
  <c r="L190" i="117"/>
  <c r="G190" i="117"/>
  <c r="H190" i="117" s="1"/>
  <c r="J190" i="117" s="1"/>
  <c r="K190" i="117" s="1"/>
  <c r="M189" i="117"/>
  <c r="L189" i="117"/>
  <c r="H189" i="117"/>
  <c r="J189" i="117" s="1"/>
  <c r="K189" i="117" s="1"/>
  <c r="G189" i="117"/>
  <c r="M188" i="117"/>
  <c r="L188" i="117"/>
  <c r="G188" i="117"/>
  <c r="H188" i="117" s="1"/>
  <c r="J188" i="117" s="1"/>
  <c r="K188" i="117" s="1"/>
  <c r="M187" i="117"/>
  <c r="L187" i="117"/>
  <c r="H187" i="117"/>
  <c r="J187" i="117" s="1"/>
  <c r="K187" i="117" s="1"/>
  <c r="G187" i="117"/>
  <c r="M186" i="117"/>
  <c r="L186" i="117"/>
  <c r="G186" i="117"/>
  <c r="H186" i="117" s="1"/>
  <c r="J186" i="117" s="1"/>
  <c r="K186" i="117" s="1"/>
  <c r="M185" i="117"/>
  <c r="L185" i="117"/>
  <c r="H185" i="117"/>
  <c r="J185" i="117" s="1"/>
  <c r="K185" i="117" s="1"/>
  <c r="G185" i="117"/>
  <c r="M184" i="117"/>
  <c r="L184" i="117"/>
  <c r="G184" i="117"/>
  <c r="H184" i="117" s="1"/>
  <c r="J184" i="117" s="1"/>
  <c r="K184" i="117" s="1"/>
  <c r="M183" i="117"/>
  <c r="L183" i="117"/>
  <c r="H183" i="117"/>
  <c r="J183" i="117" s="1"/>
  <c r="K183" i="117" s="1"/>
  <c r="G183" i="117"/>
  <c r="M182" i="117"/>
  <c r="L182" i="117"/>
  <c r="G182" i="117"/>
  <c r="H182" i="117" s="1"/>
  <c r="J182" i="117" s="1"/>
  <c r="K182" i="117" s="1"/>
  <c r="M181" i="117"/>
  <c r="L181" i="117"/>
  <c r="H181" i="117"/>
  <c r="J181" i="117" s="1"/>
  <c r="K181" i="117" s="1"/>
  <c r="G181" i="117"/>
  <c r="M180" i="117"/>
  <c r="L180" i="117"/>
  <c r="G180" i="117"/>
  <c r="H180" i="117" s="1"/>
  <c r="J180" i="117" s="1"/>
  <c r="K180" i="117" s="1"/>
  <c r="M179" i="117"/>
  <c r="L179" i="117"/>
  <c r="H179" i="117"/>
  <c r="J179" i="117" s="1"/>
  <c r="K179" i="117" s="1"/>
  <c r="G179" i="117"/>
  <c r="M178" i="117"/>
  <c r="L178" i="117"/>
  <c r="G178" i="117"/>
  <c r="H178" i="117" s="1"/>
  <c r="J178" i="117" s="1"/>
  <c r="K178" i="117" s="1"/>
  <c r="M177" i="117"/>
  <c r="L177" i="117"/>
  <c r="H177" i="117"/>
  <c r="J177" i="117" s="1"/>
  <c r="K177" i="117" s="1"/>
  <c r="G177" i="117"/>
  <c r="M176" i="117"/>
  <c r="L176" i="117"/>
  <c r="G176" i="117"/>
  <c r="H176" i="117" s="1"/>
  <c r="J176" i="117" s="1"/>
  <c r="K176" i="117" s="1"/>
  <c r="M175" i="117"/>
  <c r="L175" i="117"/>
  <c r="H175" i="117"/>
  <c r="J175" i="117" s="1"/>
  <c r="K175" i="117" s="1"/>
  <c r="G175" i="117"/>
  <c r="M174" i="117"/>
  <c r="L174" i="117"/>
  <c r="G174" i="117"/>
  <c r="H174" i="117" s="1"/>
  <c r="J174" i="117" s="1"/>
  <c r="K174" i="117" s="1"/>
  <c r="M173" i="117"/>
  <c r="L173" i="117"/>
  <c r="H173" i="117"/>
  <c r="J173" i="117" s="1"/>
  <c r="K173" i="117" s="1"/>
  <c r="G173" i="117"/>
  <c r="M172" i="117"/>
  <c r="L172" i="117"/>
  <c r="G172" i="117"/>
  <c r="H172" i="117" s="1"/>
  <c r="J172" i="117" s="1"/>
  <c r="K172" i="117" s="1"/>
  <c r="M171" i="117"/>
  <c r="L171" i="117"/>
  <c r="H171" i="117"/>
  <c r="J171" i="117" s="1"/>
  <c r="K171" i="117" s="1"/>
  <c r="G171" i="117"/>
  <c r="M170" i="117"/>
  <c r="L170" i="117"/>
  <c r="G170" i="117"/>
  <c r="H170" i="117" s="1"/>
  <c r="J170" i="117" s="1"/>
  <c r="K170" i="117" s="1"/>
  <c r="M169" i="117"/>
  <c r="L169" i="117"/>
  <c r="H169" i="117"/>
  <c r="J169" i="117" s="1"/>
  <c r="K169" i="117" s="1"/>
  <c r="G169" i="117"/>
  <c r="M168" i="117"/>
  <c r="L168" i="117"/>
  <c r="G168" i="117"/>
  <c r="H168" i="117" s="1"/>
  <c r="J168" i="117" s="1"/>
  <c r="K168" i="117" s="1"/>
  <c r="M167" i="117"/>
  <c r="L167" i="117"/>
  <c r="H167" i="117"/>
  <c r="J167" i="117" s="1"/>
  <c r="K167" i="117" s="1"/>
  <c r="G167" i="117"/>
  <c r="M166" i="117"/>
  <c r="L166" i="117"/>
  <c r="G166" i="117"/>
  <c r="H166" i="117" s="1"/>
  <c r="J166" i="117" s="1"/>
  <c r="K166" i="117" s="1"/>
  <c r="M165" i="117"/>
  <c r="L165" i="117"/>
  <c r="G165" i="117"/>
  <c r="H165" i="117" s="1"/>
  <c r="J165" i="117" s="1"/>
  <c r="K165" i="117" s="1"/>
  <c r="M164" i="117"/>
  <c r="L164" i="117"/>
  <c r="G164" i="117"/>
  <c r="H164" i="117" s="1"/>
  <c r="J164" i="117" s="1"/>
  <c r="K164" i="117" s="1"/>
  <c r="M163" i="117"/>
  <c r="L163" i="117"/>
  <c r="H163" i="117"/>
  <c r="J163" i="117" s="1"/>
  <c r="K163" i="117" s="1"/>
  <c r="G163" i="117"/>
  <c r="M162" i="117"/>
  <c r="L162" i="117"/>
  <c r="G162" i="117"/>
  <c r="H162" i="117" s="1"/>
  <c r="J162" i="117" s="1"/>
  <c r="K162" i="117" s="1"/>
  <c r="M161" i="117"/>
  <c r="L161" i="117"/>
  <c r="G161" i="117"/>
  <c r="H161" i="117" s="1"/>
  <c r="J161" i="117" s="1"/>
  <c r="K161" i="117" s="1"/>
  <c r="M160" i="117"/>
  <c r="L160" i="117"/>
  <c r="G160" i="117"/>
  <c r="H160" i="117" s="1"/>
  <c r="J160" i="117" s="1"/>
  <c r="K160" i="117" s="1"/>
  <c r="M159" i="117"/>
  <c r="L159" i="117"/>
  <c r="H159" i="117"/>
  <c r="J159" i="117" s="1"/>
  <c r="K159" i="117" s="1"/>
  <c r="G159" i="117"/>
  <c r="M158" i="117"/>
  <c r="L158" i="117"/>
  <c r="G158" i="117"/>
  <c r="H158" i="117" s="1"/>
  <c r="J158" i="117" s="1"/>
  <c r="K158" i="117" s="1"/>
  <c r="M157" i="117"/>
  <c r="L157" i="117"/>
  <c r="G157" i="117"/>
  <c r="H157" i="117" s="1"/>
  <c r="J157" i="117" s="1"/>
  <c r="K157" i="117" s="1"/>
  <c r="M156" i="117"/>
  <c r="L156" i="117"/>
  <c r="G156" i="117"/>
  <c r="H156" i="117" s="1"/>
  <c r="J156" i="117" s="1"/>
  <c r="K156" i="117" s="1"/>
  <c r="M155" i="117"/>
  <c r="L155" i="117"/>
  <c r="H155" i="117"/>
  <c r="J155" i="117" s="1"/>
  <c r="K155" i="117" s="1"/>
  <c r="G155" i="117"/>
  <c r="M154" i="117"/>
  <c r="L154" i="117"/>
  <c r="G154" i="117"/>
  <c r="H154" i="117" s="1"/>
  <c r="J154" i="117" s="1"/>
  <c r="K154" i="117" s="1"/>
  <c r="M153" i="117"/>
  <c r="L153" i="117"/>
  <c r="G153" i="117"/>
  <c r="H153" i="117" s="1"/>
  <c r="J153" i="117" s="1"/>
  <c r="K153" i="117" s="1"/>
  <c r="M152" i="117"/>
  <c r="L152" i="117"/>
  <c r="G152" i="117"/>
  <c r="H152" i="117" s="1"/>
  <c r="J152" i="117" s="1"/>
  <c r="K152" i="117" s="1"/>
  <c r="M151" i="117"/>
  <c r="L151" i="117"/>
  <c r="H151" i="117"/>
  <c r="J151" i="117" s="1"/>
  <c r="K151" i="117" s="1"/>
  <c r="G151" i="117"/>
  <c r="M150" i="117"/>
  <c r="L150" i="117"/>
  <c r="G150" i="117"/>
  <c r="H150" i="117" s="1"/>
  <c r="J150" i="117" s="1"/>
  <c r="K150" i="117" s="1"/>
  <c r="M149" i="117"/>
  <c r="L149" i="117"/>
  <c r="G149" i="117"/>
  <c r="H149" i="117" s="1"/>
  <c r="J149" i="117" s="1"/>
  <c r="K149" i="117" s="1"/>
  <c r="M148" i="117"/>
  <c r="L148" i="117"/>
  <c r="G148" i="117"/>
  <c r="H148" i="117" s="1"/>
  <c r="J148" i="117" s="1"/>
  <c r="K148" i="117" s="1"/>
  <c r="M147" i="117"/>
  <c r="L147" i="117"/>
  <c r="H147" i="117"/>
  <c r="J147" i="117" s="1"/>
  <c r="K147" i="117" s="1"/>
  <c r="G147" i="117"/>
  <c r="M146" i="117"/>
  <c r="L146" i="117"/>
  <c r="G146" i="117"/>
  <c r="H146" i="117" s="1"/>
  <c r="J146" i="117" s="1"/>
  <c r="K146" i="117" s="1"/>
  <c r="M145" i="117"/>
  <c r="L145" i="117"/>
  <c r="G145" i="117"/>
  <c r="H145" i="117" s="1"/>
  <c r="J145" i="117" s="1"/>
  <c r="K145" i="117" s="1"/>
  <c r="M144" i="117"/>
  <c r="L144" i="117"/>
  <c r="G144" i="117"/>
  <c r="H144" i="117" s="1"/>
  <c r="J144" i="117" s="1"/>
  <c r="K144" i="117" s="1"/>
  <c r="M143" i="117"/>
  <c r="L143" i="117"/>
  <c r="H143" i="117"/>
  <c r="J143" i="117" s="1"/>
  <c r="K143" i="117" s="1"/>
  <c r="G143" i="117"/>
  <c r="M142" i="117"/>
  <c r="L142" i="117"/>
  <c r="G142" i="117"/>
  <c r="H142" i="117" s="1"/>
  <c r="J142" i="117" s="1"/>
  <c r="K142" i="117" s="1"/>
  <c r="M141" i="117"/>
  <c r="L141" i="117"/>
  <c r="G141" i="117"/>
  <c r="H141" i="117" s="1"/>
  <c r="J141" i="117" s="1"/>
  <c r="K141" i="117" s="1"/>
  <c r="M140" i="117"/>
  <c r="L140" i="117"/>
  <c r="G140" i="117"/>
  <c r="H140" i="117" s="1"/>
  <c r="J140" i="117" s="1"/>
  <c r="K140" i="117" s="1"/>
  <c r="M139" i="117"/>
  <c r="L139" i="117"/>
  <c r="H139" i="117"/>
  <c r="J139" i="117" s="1"/>
  <c r="K139" i="117" s="1"/>
  <c r="G139" i="117"/>
  <c r="M138" i="117"/>
  <c r="L138" i="117"/>
  <c r="G138" i="117"/>
  <c r="H138" i="117" s="1"/>
  <c r="J138" i="117" s="1"/>
  <c r="K138" i="117" s="1"/>
  <c r="M137" i="117"/>
  <c r="L137" i="117"/>
  <c r="G137" i="117"/>
  <c r="H137" i="117" s="1"/>
  <c r="J137" i="117" s="1"/>
  <c r="K137" i="117" s="1"/>
  <c r="M136" i="117"/>
  <c r="L136" i="117"/>
  <c r="G136" i="117"/>
  <c r="H136" i="117" s="1"/>
  <c r="J136" i="117" s="1"/>
  <c r="K136" i="117" s="1"/>
  <c r="M135" i="117"/>
  <c r="L135" i="117"/>
  <c r="H135" i="117"/>
  <c r="J135" i="117" s="1"/>
  <c r="K135" i="117" s="1"/>
  <c r="G135" i="117"/>
  <c r="M134" i="117"/>
  <c r="L134" i="117"/>
  <c r="G134" i="117"/>
  <c r="H134" i="117" s="1"/>
  <c r="J134" i="117" s="1"/>
  <c r="K134" i="117" s="1"/>
  <c r="M133" i="117"/>
  <c r="L133" i="117"/>
  <c r="G133" i="117"/>
  <c r="H133" i="117" s="1"/>
  <c r="J133" i="117" s="1"/>
  <c r="K133" i="117" s="1"/>
  <c r="M132" i="117"/>
  <c r="L132" i="117"/>
  <c r="G132" i="117"/>
  <c r="H132" i="117" s="1"/>
  <c r="J132" i="117" s="1"/>
  <c r="K132" i="117" s="1"/>
  <c r="M131" i="117"/>
  <c r="L131" i="117"/>
  <c r="H131" i="117"/>
  <c r="J131" i="117" s="1"/>
  <c r="K131" i="117" s="1"/>
  <c r="G131" i="117"/>
  <c r="M130" i="117"/>
  <c r="L130" i="117"/>
  <c r="G130" i="117"/>
  <c r="H130" i="117" s="1"/>
  <c r="J130" i="117" s="1"/>
  <c r="K130" i="117" s="1"/>
  <c r="M129" i="117"/>
  <c r="L129" i="117"/>
  <c r="G129" i="117"/>
  <c r="H129" i="117" s="1"/>
  <c r="J129" i="117" s="1"/>
  <c r="K129" i="117" s="1"/>
  <c r="M128" i="117"/>
  <c r="L128" i="117"/>
  <c r="G128" i="117"/>
  <c r="H128" i="117" s="1"/>
  <c r="J128" i="117" s="1"/>
  <c r="K128" i="117" s="1"/>
  <c r="M127" i="117"/>
  <c r="L127" i="117"/>
  <c r="H127" i="117"/>
  <c r="J127" i="117" s="1"/>
  <c r="K127" i="117" s="1"/>
  <c r="G127" i="117"/>
  <c r="M126" i="117"/>
  <c r="L126" i="117"/>
  <c r="G126" i="117"/>
  <c r="H126" i="117" s="1"/>
  <c r="J126" i="117" s="1"/>
  <c r="K126" i="117" s="1"/>
  <c r="M125" i="117"/>
  <c r="L125" i="117"/>
  <c r="G125" i="117"/>
  <c r="H125" i="117" s="1"/>
  <c r="J125" i="117" s="1"/>
  <c r="K125" i="117" s="1"/>
  <c r="M124" i="117"/>
  <c r="L124" i="117"/>
  <c r="G124" i="117"/>
  <c r="H124" i="117" s="1"/>
  <c r="J124" i="117" s="1"/>
  <c r="K124" i="117" s="1"/>
  <c r="M123" i="117"/>
  <c r="L123" i="117"/>
  <c r="H123" i="117"/>
  <c r="J123" i="117" s="1"/>
  <c r="K123" i="117" s="1"/>
  <c r="G123" i="117"/>
  <c r="M122" i="117"/>
  <c r="L122" i="117"/>
  <c r="G122" i="117"/>
  <c r="H122" i="117" s="1"/>
  <c r="J122" i="117" s="1"/>
  <c r="K122" i="117" s="1"/>
  <c r="M121" i="117"/>
  <c r="L121" i="117"/>
  <c r="G121" i="117"/>
  <c r="H121" i="117" s="1"/>
  <c r="J121" i="117" s="1"/>
  <c r="K121" i="117" s="1"/>
  <c r="M120" i="117"/>
  <c r="L120" i="117"/>
  <c r="G120" i="117"/>
  <c r="H120" i="117" s="1"/>
  <c r="J120" i="117" s="1"/>
  <c r="K120" i="117" s="1"/>
  <c r="M119" i="117"/>
  <c r="L119" i="117"/>
  <c r="H119" i="117"/>
  <c r="J119" i="117" s="1"/>
  <c r="K119" i="117" s="1"/>
  <c r="G119" i="117"/>
  <c r="M118" i="117"/>
  <c r="L118" i="117"/>
  <c r="G118" i="117"/>
  <c r="H118" i="117" s="1"/>
  <c r="J118" i="117" s="1"/>
  <c r="K118" i="117" s="1"/>
  <c r="M117" i="117"/>
  <c r="L117" i="117"/>
  <c r="G117" i="117"/>
  <c r="H117" i="117" s="1"/>
  <c r="J117" i="117" s="1"/>
  <c r="K117" i="117" s="1"/>
  <c r="M116" i="117"/>
  <c r="L116" i="117"/>
  <c r="G116" i="117"/>
  <c r="H116" i="117" s="1"/>
  <c r="J116" i="117" s="1"/>
  <c r="K116" i="117" s="1"/>
  <c r="M115" i="117"/>
  <c r="L115" i="117"/>
  <c r="H115" i="117"/>
  <c r="J115" i="117" s="1"/>
  <c r="K115" i="117" s="1"/>
  <c r="G115" i="117"/>
  <c r="M114" i="117"/>
  <c r="L114" i="117"/>
  <c r="G114" i="117"/>
  <c r="H114" i="117" s="1"/>
  <c r="J114" i="117" s="1"/>
  <c r="K114" i="117" s="1"/>
  <c r="M113" i="117"/>
  <c r="L113" i="117"/>
  <c r="G113" i="117"/>
  <c r="H113" i="117" s="1"/>
  <c r="J113" i="117" s="1"/>
  <c r="K113" i="117" s="1"/>
  <c r="M112" i="117"/>
  <c r="L112" i="117"/>
  <c r="G112" i="117"/>
  <c r="H112" i="117" s="1"/>
  <c r="J112" i="117" s="1"/>
  <c r="K112" i="117" s="1"/>
  <c r="M111" i="117"/>
  <c r="L111" i="117"/>
  <c r="H111" i="117"/>
  <c r="J111" i="117" s="1"/>
  <c r="K111" i="117" s="1"/>
  <c r="G111" i="117"/>
  <c r="M110" i="117"/>
  <c r="L110" i="117"/>
  <c r="G110" i="117"/>
  <c r="H110" i="117" s="1"/>
  <c r="J110" i="117" s="1"/>
  <c r="K110" i="117" s="1"/>
  <c r="M109" i="117"/>
  <c r="L109" i="117"/>
  <c r="G109" i="117"/>
  <c r="H109" i="117" s="1"/>
  <c r="J109" i="117" s="1"/>
  <c r="K109" i="117" s="1"/>
  <c r="M108" i="117"/>
  <c r="L108" i="117"/>
  <c r="G108" i="117"/>
  <c r="H108" i="117" s="1"/>
  <c r="J108" i="117" s="1"/>
  <c r="K108" i="117" s="1"/>
  <c r="M107" i="117"/>
  <c r="L107" i="117"/>
  <c r="H107" i="117"/>
  <c r="J107" i="117" s="1"/>
  <c r="K107" i="117" s="1"/>
  <c r="G107" i="117"/>
  <c r="M106" i="117"/>
  <c r="L106" i="117"/>
  <c r="G106" i="117"/>
  <c r="H106" i="117" s="1"/>
  <c r="J106" i="117" s="1"/>
  <c r="K106" i="117" s="1"/>
  <c r="M105" i="117"/>
  <c r="L105" i="117"/>
  <c r="G105" i="117"/>
  <c r="H105" i="117" s="1"/>
  <c r="J105" i="117" s="1"/>
  <c r="K105" i="117" s="1"/>
  <c r="M104" i="117"/>
  <c r="L104" i="117"/>
  <c r="G104" i="117"/>
  <c r="H104" i="117" s="1"/>
  <c r="J104" i="117" s="1"/>
  <c r="K104" i="117" s="1"/>
  <c r="M103" i="117"/>
  <c r="L103" i="117"/>
  <c r="H103" i="117"/>
  <c r="J103" i="117" s="1"/>
  <c r="K103" i="117" s="1"/>
  <c r="G103" i="117"/>
  <c r="M102" i="117"/>
  <c r="L102" i="117"/>
  <c r="G102" i="117"/>
  <c r="H102" i="117" s="1"/>
  <c r="J102" i="117" s="1"/>
  <c r="K102" i="117" s="1"/>
  <c r="M101" i="117"/>
  <c r="L101" i="117"/>
  <c r="G101" i="117"/>
  <c r="H101" i="117" s="1"/>
  <c r="J101" i="117" s="1"/>
  <c r="K101" i="117" s="1"/>
  <c r="M100" i="117"/>
  <c r="L100" i="117"/>
  <c r="G100" i="117"/>
  <c r="H100" i="117" s="1"/>
  <c r="J100" i="117" s="1"/>
  <c r="K100" i="117" s="1"/>
  <c r="M99" i="117"/>
  <c r="L99" i="117"/>
  <c r="H99" i="117"/>
  <c r="J99" i="117" s="1"/>
  <c r="K99" i="117" s="1"/>
  <c r="G99" i="117"/>
  <c r="M98" i="117"/>
  <c r="L98" i="117"/>
  <c r="G98" i="117"/>
  <c r="H98" i="117" s="1"/>
  <c r="J98" i="117" s="1"/>
  <c r="K98" i="117" s="1"/>
  <c r="M97" i="117"/>
  <c r="L97" i="117"/>
  <c r="G97" i="117"/>
  <c r="H97" i="117" s="1"/>
  <c r="J97" i="117" s="1"/>
  <c r="K97" i="117" s="1"/>
  <c r="M96" i="117"/>
  <c r="L96" i="117"/>
  <c r="G96" i="117"/>
  <c r="H96" i="117" s="1"/>
  <c r="J96" i="117" s="1"/>
  <c r="K96" i="117" s="1"/>
  <c r="M95" i="117"/>
  <c r="L95" i="117"/>
  <c r="H95" i="117"/>
  <c r="J95" i="117" s="1"/>
  <c r="K95" i="117" s="1"/>
  <c r="G95" i="117"/>
  <c r="M94" i="117"/>
  <c r="L94" i="117"/>
  <c r="G94" i="117"/>
  <c r="H94" i="117" s="1"/>
  <c r="J94" i="117" s="1"/>
  <c r="K94" i="117" s="1"/>
  <c r="M93" i="117"/>
  <c r="L93" i="117"/>
  <c r="G93" i="117"/>
  <c r="H93" i="117" s="1"/>
  <c r="J93" i="117" s="1"/>
  <c r="K93" i="117" s="1"/>
  <c r="M92" i="117"/>
  <c r="L92" i="117"/>
  <c r="G92" i="117"/>
  <c r="H92" i="117" s="1"/>
  <c r="J92" i="117" s="1"/>
  <c r="K92" i="117" s="1"/>
  <c r="M91" i="117"/>
  <c r="L91" i="117"/>
  <c r="H91" i="117"/>
  <c r="J91" i="117" s="1"/>
  <c r="K91" i="117" s="1"/>
  <c r="G91" i="117"/>
  <c r="M90" i="117"/>
  <c r="L90" i="117"/>
  <c r="G90" i="117"/>
  <c r="H90" i="117" s="1"/>
  <c r="J90" i="117" s="1"/>
  <c r="K90" i="117" s="1"/>
  <c r="M89" i="117"/>
  <c r="L89" i="117"/>
  <c r="G89" i="117"/>
  <c r="H89" i="117" s="1"/>
  <c r="J89" i="117" s="1"/>
  <c r="K89" i="117" s="1"/>
  <c r="M88" i="117"/>
  <c r="L88" i="117"/>
  <c r="G88" i="117"/>
  <c r="H88" i="117" s="1"/>
  <c r="J88" i="117" s="1"/>
  <c r="K88" i="117" s="1"/>
  <c r="M87" i="117"/>
  <c r="L87" i="117"/>
  <c r="H87" i="117"/>
  <c r="J87" i="117" s="1"/>
  <c r="K87" i="117" s="1"/>
  <c r="G87" i="117"/>
  <c r="M86" i="117"/>
  <c r="L86" i="117"/>
  <c r="G86" i="117"/>
  <c r="H86" i="117" s="1"/>
  <c r="J86" i="117" s="1"/>
  <c r="K86" i="117" s="1"/>
  <c r="M85" i="117"/>
  <c r="L85" i="117"/>
  <c r="G85" i="117"/>
  <c r="H85" i="117" s="1"/>
  <c r="J85" i="117" s="1"/>
  <c r="K85" i="117" s="1"/>
  <c r="M84" i="117"/>
  <c r="L84" i="117"/>
  <c r="G84" i="117"/>
  <c r="H84" i="117" s="1"/>
  <c r="J84" i="117" s="1"/>
  <c r="K84" i="117" s="1"/>
  <c r="M83" i="117"/>
  <c r="L83" i="117"/>
  <c r="H83" i="117"/>
  <c r="J83" i="117" s="1"/>
  <c r="K83" i="117" s="1"/>
  <c r="G83" i="117"/>
  <c r="M82" i="117"/>
  <c r="L82" i="117"/>
  <c r="G82" i="117"/>
  <c r="H82" i="117" s="1"/>
  <c r="J82" i="117" s="1"/>
  <c r="K82" i="117" s="1"/>
  <c r="M81" i="117"/>
  <c r="L81" i="117"/>
  <c r="G81" i="117"/>
  <c r="H81" i="117" s="1"/>
  <c r="J81" i="117" s="1"/>
  <c r="K81" i="117" s="1"/>
  <c r="M80" i="117"/>
  <c r="L80" i="117"/>
  <c r="G80" i="117"/>
  <c r="H80" i="117" s="1"/>
  <c r="J80" i="117" s="1"/>
  <c r="K80" i="117" s="1"/>
  <c r="M79" i="117"/>
  <c r="L79" i="117"/>
  <c r="H79" i="117"/>
  <c r="J79" i="117" s="1"/>
  <c r="K79" i="117" s="1"/>
  <c r="G79" i="117"/>
  <c r="M78" i="117"/>
  <c r="L78" i="117"/>
  <c r="G78" i="117"/>
  <c r="H78" i="117" s="1"/>
  <c r="J78" i="117" s="1"/>
  <c r="K78" i="117" s="1"/>
  <c r="M77" i="117"/>
  <c r="L77" i="117"/>
  <c r="G77" i="117"/>
  <c r="H77" i="117" s="1"/>
  <c r="J77" i="117" s="1"/>
  <c r="K77" i="117" s="1"/>
  <c r="M76" i="117"/>
  <c r="L76" i="117"/>
  <c r="G76" i="117"/>
  <c r="H76" i="117" s="1"/>
  <c r="J76" i="117" s="1"/>
  <c r="K76" i="117" s="1"/>
  <c r="M75" i="117"/>
  <c r="L75" i="117"/>
  <c r="H75" i="117"/>
  <c r="J75" i="117" s="1"/>
  <c r="K75" i="117" s="1"/>
  <c r="G75" i="117"/>
  <c r="M74" i="117"/>
  <c r="L74" i="117"/>
  <c r="G74" i="117"/>
  <c r="H74" i="117" s="1"/>
  <c r="J74" i="117" s="1"/>
  <c r="K74" i="117" s="1"/>
  <c r="M73" i="117"/>
  <c r="L73" i="117"/>
  <c r="G73" i="117"/>
  <c r="H73" i="117" s="1"/>
  <c r="J73" i="117" s="1"/>
  <c r="K73" i="117" s="1"/>
  <c r="M72" i="117"/>
  <c r="L72" i="117"/>
  <c r="G72" i="117"/>
  <c r="H72" i="117" s="1"/>
  <c r="J72" i="117" s="1"/>
  <c r="K72" i="117" s="1"/>
  <c r="M71" i="117"/>
  <c r="L71" i="117"/>
  <c r="H71" i="117"/>
  <c r="J71" i="117" s="1"/>
  <c r="K71" i="117" s="1"/>
  <c r="G71" i="117"/>
  <c r="M70" i="117"/>
  <c r="L70" i="117"/>
  <c r="G70" i="117"/>
  <c r="H70" i="117" s="1"/>
  <c r="J70" i="117" s="1"/>
  <c r="K70" i="117" s="1"/>
  <c r="M69" i="117"/>
  <c r="L69" i="117"/>
  <c r="G69" i="117"/>
  <c r="H69" i="117" s="1"/>
  <c r="J69" i="117" s="1"/>
  <c r="K69" i="117" s="1"/>
  <c r="M68" i="117"/>
  <c r="L68" i="117"/>
  <c r="G68" i="117"/>
  <c r="H68" i="117" s="1"/>
  <c r="J68" i="117" s="1"/>
  <c r="K68" i="117" s="1"/>
  <c r="M67" i="117"/>
  <c r="L67" i="117"/>
  <c r="H67" i="117"/>
  <c r="J67" i="117" s="1"/>
  <c r="K67" i="117" s="1"/>
  <c r="G67" i="117"/>
  <c r="M66" i="117"/>
  <c r="L66" i="117"/>
  <c r="G66" i="117"/>
  <c r="H66" i="117" s="1"/>
  <c r="J66" i="117" s="1"/>
  <c r="K66" i="117" s="1"/>
  <c r="M65" i="117"/>
  <c r="L65" i="117"/>
  <c r="G65" i="117"/>
  <c r="H65" i="117" s="1"/>
  <c r="J65" i="117" s="1"/>
  <c r="K65" i="117" s="1"/>
  <c r="M64" i="117"/>
  <c r="L64" i="117"/>
  <c r="G64" i="117"/>
  <c r="H64" i="117" s="1"/>
  <c r="J64" i="117" s="1"/>
  <c r="K64" i="117" s="1"/>
  <c r="M63" i="117"/>
  <c r="L63" i="117"/>
  <c r="H63" i="117"/>
  <c r="J63" i="117" s="1"/>
  <c r="K63" i="117" s="1"/>
  <c r="G63" i="117"/>
  <c r="M62" i="117"/>
  <c r="L62" i="117"/>
  <c r="G62" i="117"/>
  <c r="H62" i="117" s="1"/>
  <c r="J62" i="117" s="1"/>
  <c r="K62" i="117" s="1"/>
  <c r="M61" i="117"/>
  <c r="L61" i="117"/>
  <c r="G61" i="117"/>
  <c r="H61" i="117" s="1"/>
  <c r="J61" i="117" s="1"/>
  <c r="K61" i="117" s="1"/>
  <c r="M60" i="117"/>
  <c r="L60" i="117"/>
  <c r="G60" i="117"/>
  <c r="H60" i="117" s="1"/>
  <c r="J60" i="117" s="1"/>
  <c r="K60" i="117" s="1"/>
  <c r="M59" i="117"/>
  <c r="L59" i="117"/>
  <c r="H59" i="117"/>
  <c r="J59" i="117" s="1"/>
  <c r="K59" i="117" s="1"/>
  <c r="G59" i="117"/>
  <c r="M58" i="117"/>
  <c r="L58" i="117"/>
  <c r="G58" i="117"/>
  <c r="H58" i="117" s="1"/>
  <c r="J58" i="117" s="1"/>
  <c r="K58" i="117" s="1"/>
  <c r="M57" i="117"/>
  <c r="L57" i="117"/>
  <c r="G57" i="117"/>
  <c r="H57" i="117" s="1"/>
  <c r="J57" i="117" s="1"/>
  <c r="K57" i="117" s="1"/>
  <c r="M56" i="117"/>
  <c r="L56" i="117"/>
  <c r="G56" i="117"/>
  <c r="H56" i="117" s="1"/>
  <c r="J56" i="117" s="1"/>
  <c r="K56" i="117" s="1"/>
  <c r="M55" i="117"/>
  <c r="L55" i="117"/>
  <c r="H55" i="117"/>
  <c r="J55" i="117" s="1"/>
  <c r="K55" i="117" s="1"/>
  <c r="G55" i="117"/>
  <c r="M54" i="117"/>
  <c r="L54" i="117"/>
  <c r="G54" i="117"/>
  <c r="H54" i="117" s="1"/>
  <c r="J54" i="117" s="1"/>
  <c r="K54" i="117" s="1"/>
  <c r="M53" i="117"/>
  <c r="L53" i="117"/>
  <c r="G53" i="117"/>
  <c r="H53" i="117" s="1"/>
  <c r="J53" i="117" s="1"/>
  <c r="K53" i="117" s="1"/>
  <c r="M52" i="117"/>
  <c r="L52" i="117"/>
  <c r="G52" i="117"/>
  <c r="H52" i="117" s="1"/>
  <c r="J52" i="117" s="1"/>
  <c r="K52" i="117" s="1"/>
  <c r="M51" i="117"/>
  <c r="L51" i="117"/>
  <c r="H51" i="117"/>
  <c r="J51" i="117" s="1"/>
  <c r="K51" i="117" s="1"/>
  <c r="G51" i="117"/>
  <c r="M50" i="117"/>
  <c r="L50" i="117"/>
  <c r="G50" i="117"/>
  <c r="H50" i="117" s="1"/>
  <c r="J50" i="117" s="1"/>
  <c r="K50" i="117" s="1"/>
  <c r="M49" i="117"/>
  <c r="L49" i="117"/>
  <c r="G49" i="117"/>
  <c r="H49" i="117" s="1"/>
  <c r="J49" i="117" s="1"/>
  <c r="K49" i="117" s="1"/>
  <c r="M48" i="117"/>
  <c r="L48" i="117"/>
  <c r="G48" i="117"/>
  <c r="H48" i="117" s="1"/>
  <c r="J48" i="117" s="1"/>
  <c r="K48" i="117" s="1"/>
  <c r="M47" i="117"/>
  <c r="L47" i="117"/>
  <c r="H47" i="117"/>
  <c r="J47" i="117" s="1"/>
  <c r="K47" i="117" s="1"/>
  <c r="G47" i="117"/>
  <c r="M46" i="117"/>
  <c r="L46" i="117"/>
  <c r="G46" i="117"/>
  <c r="H46" i="117" s="1"/>
  <c r="J46" i="117" s="1"/>
  <c r="K46" i="117" s="1"/>
  <c r="M45" i="117"/>
  <c r="L45" i="117"/>
  <c r="G45" i="117"/>
  <c r="H45" i="117" s="1"/>
  <c r="J45" i="117" s="1"/>
  <c r="K45" i="117" s="1"/>
  <c r="M44" i="117"/>
  <c r="L44" i="117"/>
  <c r="G44" i="117"/>
  <c r="H44" i="117" s="1"/>
  <c r="J44" i="117" s="1"/>
  <c r="K44" i="117" s="1"/>
  <c r="M43" i="117"/>
  <c r="L43" i="117"/>
  <c r="H43" i="117"/>
  <c r="J43" i="117" s="1"/>
  <c r="K43" i="117" s="1"/>
  <c r="G43" i="117"/>
  <c r="M42" i="117"/>
  <c r="L42" i="117"/>
  <c r="G42" i="117"/>
  <c r="H42" i="117" s="1"/>
  <c r="J42" i="117" s="1"/>
  <c r="K42" i="117" s="1"/>
  <c r="M41" i="117"/>
  <c r="L41" i="117"/>
  <c r="G41" i="117"/>
  <c r="H41" i="117" s="1"/>
  <c r="J41" i="117" s="1"/>
  <c r="K41" i="117" s="1"/>
  <c r="M40" i="117"/>
  <c r="L40" i="117"/>
  <c r="G40" i="117"/>
  <c r="H40" i="117" s="1"/>
  <c r="J40" i="117" s="1"/>
  <c r="K40" i="117" s="1"/>
  <c r="M39" i="117"/>
  <c r="L39" i="117"/>
  <c r="H39" i="117"/>
  <c r="J39" i="117" s="1"/>
  <c r="K39" i="117" s="1"/>
  <c r="G39" i="117"/>
  <c r="M38" i="117"/>
  <c r="L38" i="117"/>
  <c r="G38" i="117"/>
  <c r="H38" i="117" s="1"/>
  <c r="J38" i="117" s="1"/>
  <c r="K38" i="117" s="1"/>
  <c r="M37" i="117"/>
  <c r="L37" i="117"/>
  <c r="G37" i="117"/>
  <c r="H37" i="117" s="1"/>
  <c r="J37" i="117" s="1"/>
  <c r="K37" i="117" s="1"/>
  <c r="M36" i="117"/>
  <c r="L36" i="117"/>
  <c r="G36" i="117"/>
  <c r="H36" i="117" s="1"/>
  <c r="J36" i="117" s="1"/>
  <c r="K36" i="117" s="1"/>
  <c r="M35" i="117"/>
  <c r="L35" i="117"/>
  <c r="H35" i="117"/>
  <c r="J35" i="117" s="1"/>
  <c r="K35" i="117" s="1"/>
  <c r="G35" i="117"/>
  <c r="M34" i="117"/>
  <c r="L34" i="117"/>
  <c r="G34" i="117"/>
  <c r="H34" i="117" s="1"/>
  <c r="J34" i="117" s="1"/>
  <c r="K34" i="117" s="1"/>
  <c r="M33" i="117"/>
  <c r="L33" i="117"/>
  <c r="G33" i="117"/>
  <c r="H33" i="117" s="1"/>
  <c r="J33" i="117" s="1"/>
  <c r="K33" i="117" s="1"/>
  <c r="M32" i="117"/>
  <c r="L32" i="117"/>
  <c r="G32" i="117"/>
  <c r="H32" i="117" s="1"/>
  <c r="J32" i="117" s="1"/>
  <c r="K32" i="117" s="1"/>
  <c r="M31" i="117"/>
  <c r="L31" i="117"/>
  <c r="H31" i="117"/>
  <c r="J31" i="117" s="1"/>
  <c r="K31" i="117" s="1"/>
  <c r="G31" i="117"/>
  <c r="M30" i="117"/>
  <c r="L30" i="117"/>
  <c r="G30" i="117"/>
  <c r="H30" i="117" s="1"/>
  <c r="J30" i="117" s="1"/>
  <c r="K30" i="117" s="1"/>
  <c r="M29" i="117"/>
  <c r="L29" i="117"/>
  <c r="G29" i="117"/>
  <c r="H29" i="117" s="1"/>
  <c r="J29" i="117" s="1"/>
  <c r="K29" i="117" s="1"/>
  <c r="M28" i="117"/>
  <c r="L28" i="117"/>
  <c r="G28" i="117"/>
  <c r="H28" i="117" s="1"/>
  <c r="J28" i="117" s="1"/>
  <c r="K28" i="117" s="1"/>
  <c r="M27" i="117"/>
  <c r="L27" i="117"/>
  <c r="H27" i="117"/>
  <c r="J27" i="117" s="1"/>
  <c r="K27" i="117" s="1"/>
  <c r="G27" i="117"/>
  <c r="M26" i="117"/>
  <c r="L26" i="117"/>
  <c r="G26" i="117"/>
  <c r="H26" i="117" s="1"/>
  <c r="J26" i="117" s="1"/>
  <c r="K26" i="117" s="1"/>
  <c r="M25" i="117"/>
  <c r="L25" i="117"/>
  <c r="G25" i="117"/>
  <c r="H25" i="117" s="1"/>
  <c r="J25" i="117" s="1"/>
  <c r="K25" i="117" s="1"/>
  <c r="M24" i="117"/>
  <c r="L24" i="117"/>
  <c r="G24" i="117"/>
  <c r="H24" i="117" s="1"/>
  <c r="J24" i="117" s="1"/>
  <c r="K24" i="117" s="1"/>
  <c r="M23" i="117"/>
  <c r="L23" i="117"/>
  <c r="H23" i="117"/>
  <c r="J23" i="117" s="1"/>
  <c r="K23" i="117" s="1"/>
  <c r="G23" i="117"/>
  <c r="M22" i="117"/>
  <c r="L22" i="117"/>
  <c r="G22" i="117"/>
  <c r="H22" i="117" s="1"/>
  <c r="J22" i="117" s="1"/>
  <c r="K22" i="117" s="1"/>
  <c r="M21" i="117"/>
  <c r="L21" i="117"/>
  <c r="G21" i="117"/>
  <c r="H21" i="117" s="1"/>
  <c r="J21" i="117" s="1"/>
  <c r="K21" i="117" s="1"/>
  <c r="M20" i="117"/>
  <c r="L20" i="117"/>
  <c r="G20" i="117"/>
  <c r="H20" i="117" s="1"/>
  <c r="J20" i="117" s="1"/>
  <c r="K20" i="117" s="1"/>
  <c r="M19" i="117"/>
  <c r="L19" i="117"/>
  <c r="H19" i="117"/>
  <c r="J19" i="117" s="1"/>
  <c r="K19" i="117" s="1"/>
  <c r="G19" i="117"/>
  <c r="M18" i="117"/>
  <c r="L18" i="117"/>
  <c r="G18" i="117"/>
  <c r="H18" i="117" s="1"/>
  <c r="J18" i="117" s="1"/>
  <c r="K18" i="117" s="1"/>
  <c r="M17" i="117"/>
  <c r="L17" i="117"/>
  <c r="G17" i="117"/>
  <c r="H17" i="117" s="1"/>
  <c r="J17" i="117" s="1"/>
  <c r="K17" i="117" s="1"/>
  <c r="M16" i="117"/>
  <c r="L16" i="117"/>
  <c r="G16" i="117"/>
  <c r="H16" i="117" s="1"/>
  <c r="J16" i="117" s="1"/>
  <c r="K16" i="117" s="1"/>
  <c r="M15" i="117"/>
  <c r="L15" i="117"/>
  <c r="H15" i="117"/>
  <c r="J15" i="117" s="1"/>
  <c r="K15" i="117" s="1"/>
  <c r="G15" i="117"/>
  <c r="M14" i="117"/>
  <c r="L14" i="117"/>
  <c r="G14" i="117"/>
  <c r="H14" i="117" s="1"/>
  <c r="J14" i="117" s="1"/>
  <c r="K14" i="117" s="1"/>
  <c r="M13" i="117"/>
  <c r="L13" i="117"/>
  <c r="G13" i="117"/>
  <c r="H13" i="117" s="1"/>
  <c r="J13" i="117" s="1"/>
  <c r="K13" i="117" s="1"/>
  <c r="M12" i="117"/>
  <c r="L12" i="117"/>
  <c r="G12" i="117"/>
  <c r="H12" i="117" s="1"/>
  <c r="J12" i="117" s="1"/>
  <c r="K12" i="117" s="1"/>
  <c r="M11" i="117"/>
  <c r="L11" i="117"/>
  <c r="H11" i="117"/>
  <c r="J11" i="117" s="1"/>
  <c r="K11" i="117" s="1"/>
  <c r="G11" i="117"/>
  <c r="M10" i="117"/>
  <c r="L10" i="117"/>
  <c r="G10" i="117"/>
  <c r="H10" i="117" s="1"/>
  <c r="J10" i="117" s="1"/>
  <c r="K10" i="117" s="1"/>
  <c r="M9" i="117"/>
  <c r="L9" i="117"/>
  <c r="G9" i="117"/>
  <c r="H9" i="117" s="1"/>
  <c r="J9" i="117" s="1"/>
  <c r="K9" i="117" s="1"/>
  <c r="M8" i="117"/>
  <c r="L8" i="117"/>
  <c r="G8" i="117"/>
  <c r="H8" i="117" s="1"/>
  <c r="J8" i="117" s="1"/>
  <c r="K8" i="117" s="1"/>
  <c r="M7" i="117"/>
  <c r="L7" i="117"/>
  <c r="H7" i="117"/>
  <c r="J7" i="117" s="1"/>
  <c r="K7" i="117" s="1"/>
  <c r="G7" i="117"/>
  <c r="M6" i="117"/>
  <c r="L6" i="117"/>
  <c r="G6" i="117"/>
  <c r="H6" i="117" s="1"/>
  <c r="J6" i="117" s="1"/>
  <c r="K6" i="117" s="1"/>
  <c r="M5" i="117"/>
  <c r="L5" i="117"/>
  <c r="G5" i="117"/>
  <c r="H5" i="117" s="1"/>
  <c r="J5" i="117" s="1"/>
  <c r="K5" i="117" s="1"/>
  <c r="M4" i="117"/>
  <c r="L4" i="117"/>
  <c r="G4" i="117"/>
  <c r="H4" i="117" s="1"/>
  <c r="J4" i="117" s="1"/>
  <c r="K4" i="117" s="1"/>
  <c r="M3" i="117"/>
  <c r="L3" i="117"/>
  <c r="H3" i="117"/>
  <c r="J3" i="117" s="1"/>
  <c r="K3" i="117" s="1"/>
  <c r="G3" i="117"/>
  <c r="M2" i="117"/>
  <c r="L2" i="117"/>
  <c r="G2" i="117"/>
  <c r="H2" i="117" s="1"/>
  <c r="J2" i="117" s="1"/>
  <c r="K2" i="117" s="1"/>
  <c r="M1350" i="116" l="1"/>
  <c r="L1350" i="116"/>
  <c r="G1350" i="116"/>
  <c r="H1350" i="116" s="1"/>
  <c r="J1350" i="116" s="1"/>
  <c r="K1350" i="116" s="1"/>
  <c r="M1349" i="116"/>
  <c r="L1349" i="116"/>
  <c r="G1349" i="116"/>
  <c r="H1349" i="116" s="1"/>
  <c r="J1349" i="116" s="1"/>
  <c r="K1349" i="116" s="1"/>
  <c r="M1348" i="116"/>
  <c r="L1348" i="116"/>
  <c r="G1348" i="116"/>
  <c r="H1348" i="116" s="1"/>
  <c r="J1348" i="116" s="1"/>
  <c r="K1348" i="116" s="1"/>
  <c r="M1347" i="116"/>
  <c r="L1347" i="116"/>
  <c r="G1347" i="116"/>
  <c r="H1347" i="116" s="1"/>
  <c r="J1347" i="116" s="1"/>
  <c r="K1347" i="116" s="1"/>
  <c r="M1346" i="116"/>
  <c r="L1346" i="116"/>
  <c r="G1346" i="116"/>
  <c r="H1346" i="116" s="1"/>
  <c r="J1346" i="116" s="1"/>
  <c r="K1346" i="116" s="1"/>
  <c r="M1345" i="116"/>
  <c r="L1345" i="116"/>
  <c r="G1345" i="116"/>
  <c r="H1345" i="116" s="1"/>
  <c r="J1345" i="116" s="1"/>
  <c r="K1345" i="116" s="1"/>
  <c r="M1344" i="116"/>
  <c r="L1344" i="116"/>
  <c r="G1344" i="116"/>
  <c r="H1344" i="116" s="1"/>
  <c r="J1344" i="116" s="1"/>
  <c r="K1344" i="116" s="1"/>
  <c r="M1343" i="116"/>
  <c r="L1343" i="116"/>
  <c r="G1343" i="116"/>
  <c r="H1343" i="116" s="1"/>
  <c r="J1343" i="116" s="1"/>
  <c r="K1343" i="116" s="1"/>
  <c r="M1342" i="116"/>
  <c r="L1342" i="116"/>
  <c r="G1342" i="116"/>
  <c r="H1342" i="116" s="1"/>
  <c r="J1342" i="116" s="1"/>
  <c r="K1342" i="116" s="1"/>
  <c r="M1341" i="116"/>
  <c r="L1341" i="116"/>
  <c r="G1341" i="116"/>
  <c r="H1341" i="116" s="1"/>
  <c r="J1341" i="116" s="1"/>
  <c r="K1341" i="116" s="1"/>
  <c r="M1340" i="116"/>
  <c r="L1340" i="116"/>
  <c r="G1340" i="116"/>
  <c r="H1340" i="116" s="1"/>
  <c r="J1340" i="116" s="1"/>
  <c r="K1340" i="116" s="1"/>
  <c r="M1339" i="116"/>
  <c r="L1339" i="116"/>
  <c r="G1339" i="116"/>
  <c r="H1339" i="116" s="1"/>
  <c r="J1339" i="116" s="1"/>
  <c r="K1339" i="116" s="1"/>
  <c r="M1338" i="116"/>
  <c r="L1338" i="116"/>
  <c r="G1338" i="116"/>
  <c r="H1338" i="116" s="1"/>
  <c r="J1338" i="116" s="1"/>
  <c r="K1338" i="116" s="1"/>
  <c r="M1337" i="116"/>
  <c r="L1337" i="116"/>
  <c r="G1337" i="116"/>
  <c r="H1337" i="116" s="1"/>
  <c r="J1337" i="116" s="1"/>
  <c r="K1337" i="116" s="1"/>
  <c r="M1336" i="116"/>
  <c r="L1336" i="116"/>
  <c r="G1336" i="116"/>
  <c r="H1336" i="116" s="1"/>
  <c r="J1336" i="116" s="1"/>
  <c r="K1336" i="116" s="1"/>
  <c r="M1335" i="116"/>
  <c r="L1335" i="116"/>
  <c r="G1335" i="116"/>
  <c r="H1335" i="116" s="1"/>
  <c r="J1335" i="116" s="1"/>
  <c r="K1335" i="116" s="1"/>
  <c r="M1334" i="116"/>
  <c r="L1334" i="116"/>
  <c r="G1334" i="116"/>
  <c r="H1334" i="116" s="1"/>
  <c r="J1334" i="116" s="1"/>
  <c r="K1334" i="116" s="1"/>
  <c r="M1333" i="116"/>
  <c r="L1333" i="116"/>
  <c r="G1333" i="116"/>
  <c r="H1333" i="116" s="1"/>
  <c r="J1333" i="116" s="1"/>
  <c r="K1333" i="116" s="1"/>
  <c r="M1332" i="116"/>
  <c r="L1332" i="116"/>
  <c r="G1332" i="116"/>
  <c r="H1332" i="116" s="1"/>
  <c r="J1332" i="116" s="1"/>
  <c r="K1332" i="116" s="1"/>
  <c r="M1331" i="116"/>
  <c r="L1331" i="116"/>
  <c r="G1331" i="116"/>
  <c r="H1331" i="116" s="1"/>
  <c r="J1331" i="116" s="1"/>
  <c r="K1331" i="116" s="1"/>
  <c r="M1330" i="116"/>
  <c r="L1330" i="116"/>
  <c r="G1330" i="116"/>
  <c r="H1330" i="116" s="1"/>
  <c r="J1330" i="116" s="1"/>
  <c r="K1330" i="116" s="1"/>
  <c r="M1329" i="116"/>
  <c r="L1329" i="116"/>
  <c r="G1329" i="116"/>
  <c r="H1329" i="116" s="1"/>
  <c r="J1329" i="116" s="1"/>
  <c r="K1329" i="116" s="1"/>
  <c r="M1328" i="116"/>
  <c r="L1328" i="116"/>
  <c r="G1328" i="116"/>
  <c r="H1328" i="116" s="1"/>
  <c r="J1328" i="116" s="1"/>
  <c r="K1328" i="116" s="1"/>
  <c r="M1327" i="116"/>
  <c r="L1327" i="116"/>
  <c r="G1327" i="116"/>
  <c r="H1327" i="116" s="1"/>
  <c r="J1327" i="116" s="1"/>
  <c r="K1327" i="116" s="1"/>
  <c r="M1326" i="116"/>
  <c r="L1326" i="116"/>
  <c r="G1326" i="116"/>
  <c r="H1326" i="116" s="1"/>
  <c r="J1326" i="116" s="1"/>
  <c r="K1326" i="116" s="1"/>
  <c r="M1325" i="116"/>
  <c r="L1325" i="116"/>
  <c r="G1325" i="116"/>
  <c r="H1325" i="116" s="1"/>
  <c r="J1325" i="116" s="1"/>
  <c r="K1325" i="116" s="1"/>
  <c r="M1324" i="116"/>
  <c r="L1324" i="116"/>
  <c r="G1324" i="116"/>
  <c r="H1324" i="116" s="1"/>
  <c r="J1324" i="116" s="1"/>
  <c r="K1324" i="116" s="1"/>
  <c r="M1323" i="116"/>
  <c r="L1323" i="116"/>
  <c r="G1323" i="116"/>
  <c r="H1323" i="116" s="1"/>
  <c r="J1323" i="116" s="1"/>
  <c r="K1323" i="116" s="1"/>
  <c r="M1322" i="116"/>
  <c r="L1322" i="116"/>
  <c r="G1322" i="116"/>
  <c r="H1322" i="116" s="1"/>
  <c r="J1322" i="116" s="1"/>
  <c r="K1322" i="116" s="1"/>
  <c r="M1321" i="116"/>
  <c r="L1321" i="116"/>
  <c r="G1321" i="116"/>
  <c r="H1321" i="116" s="1"/>
  <c r="J1321" i="116" s="1"/>
  <c r="K1321" i="116" s="1"/>
  <c r="M1320" i="116"/>
  <c r="L1320" i="116"/>
  <c r="G1320" i="116"/>
  <c r="H1320" i="116" s="1"/>
  <c r="J1320" i="116" s="1"/>
  <c r="K1320" i="116" s="1"/>
  <c r="M1319" i="116"/>
  <c r="L1319" i="116"/>
  <c r="G1319" i="116"/>
  <c r="H1319" i="116" s="1"/>
  <c r="J1319" i="116" s="1"/>
  <c r="K1319" i="116" s="1"/>
  <c r="M1318" i="116"/>
  <c r="L1318" i="116"/>
  <c r="G1318" i="116"/>
  <c r="H1318" i="116" s="1"/>
  <c r="J1318" i="116" s="1"/>
  <c r="K1318" i="116" s="1"/>
  <c r="M1317" i="116"/>
  <c r="L1317" i="116"/>
  <c r="G1317" i="116"/>
  <c r="H1317" i="116" s="1"/>
  <c r="J1317" i="116" s="1"/>
  <c r="K1317" i="116" s="1"/>
  <c r="M1316" i="116"/>
  <c r="L1316" i="116"/>
  <c r="G1316" i="116"/>
  <c r="H1316" i="116" s="1"/>
  <c r="J1316" i="116" s="1"/>
  <c r="K1316" i="116" s="1"/>
  <c r="M1315" i="116"/>
  <c r="L1315" i="116"/>
  <c r="G1315" i="116"/>
  <c r="H1315" i="116" s="1"/>
  <c r="J1315" i="116" s="1"/>
  <c r="K1315" i="116" s="1"/>
  <c r="M1314" i="116"/>
  <c r="L1314" i="116"/>
  <c r="G1314" i="116"/>
  <c r="H1314" i="116" s="1"/>
  <c r="J1314" i="116" s="1"/>
  <c r="K1314" i="116" s="1"/>
  <c r="M1313" i="116"/>
  <c r="L1313" i="116"/>
  <c r="G1313" i="116"/>
  <c r="H1313" i="116" s="1"/>
  <c r="J1313" i="116" s="1"/>
  <c r="K1313" i="116" s="1"/>
  <c r="M1312" i="116"/>
  <c r="L1312" i="116"/>
  <c r="G1312" i="116"/>
  <c r="H1312" i="116" s="1"/>
  <c r="J1312" i="116" s="1"/>
  <c r="K1312" i="116" s="1"/>
  <c r="M1311" i="116"/>
  <c r="L1311" i="116"/>
  <c r="G1311" i="116"/>
  <c r="H1311" i="116" s="1"/>
  <c r="J1311" i="116" s="1"/>
  <c r="K1311" i="116" s="1"/>
  <c r="M1310" i="116"/>
  <c r="L1310" i="116"/>
  <c r="G1310" i="116"/>
  <c r="H1310" i="116" s="1"/>
  <c r="J1310" i="116" s="1"/>
  <c r="K1310" i="116" s="1"/>
  <c r="M1309" i="116"/>
  <c r="L1309" i="116"/>
  <c r="G1309" i="116"/>
  <c r="H1309" i="116" s="1"/>
  <c r="J1309" i="116" s="1"/>
  <c r="K1309" i="116" s="1"/>
  <c r="M1308" i="116"/>
  <c r="L1308" i="116"/>
  <c r="G1308" i="116"/>
  <c r="H1308" i="116" s="1"/>
  <c r="J1308" i="116" s="1"/>
  <c r="K1308" i="116" s="1"/>
  <c r="M1307" i="116"/>
  <c r="L1307" i="116"/>
  <c r="G1307" i="116"/>
  <c r="H1307" i="116" s="1"/>
  <c r="J1307" i="116" s="1"/>
  <c r="K1307" i="116" s="1"/>
  <c r="M1306" i="116"/>
  <c r="L1306" i="116"/>
  <c r="G1306" i="116"/>
  <c r="H1306" i="116" s="1"/>
  <c r="J1306" i="116" s="1"/>
  <c r="K1306" i="116" s="1"/>
  <c r="M1305" i="116"/>
  <c r="L1305" i="116"/>
  <c r="G1305" i="116"/>
  <c r="H1305" i="116" s="1"/>
  <c r="J1305" i="116" s="1"/>
  <c r="K1305" i="116" s="1"/>
  <c r="M1304" i="116"/>
  <c r="L1304" i="116"/>
  <c r="G1304" i="116"/>
  <c r="H1304" i="116" s="1"/>
  <c r="J1304" i="116" s="1"/>
  <c r="K1304" i="116" s="1"/>
  <c r="M1303" i="116"/>
  <c r="L1303" i="116"/>
  <c r="G1303" i="116"/>
  <c r="H1303" i="116" s="1"/>
  <c r="J1303" i="116" s="1"/>
  <c r="K1303" i="116" s="1"/>
  <c r="M1302" i="116"/>
  <c r="L1302" i="116"/>
  <c r="G1302" i="116"/>
  <c r="H1302" i="116" s="1"/>
  <c r="J1302" i="116" s="1"/>
  <c r="K1302" i="116" s="1"/>
  <c r="M1301" i="116"/>
  <c r="L1301" i="116"/>
  <c r="G1301" i="116"/>
  <c r="H1301" i="116" s="1"/>
  <c r="J1301" i="116" s="1"/>
  <c r="K1301" i="116" s="1"/>
  <c r="M1300" i="116"/>
  <c r="L1300" i="116"/>
  <c r="G1300" i="116"/>
  <c r="H1300" i="116" s="1"/>
  <c r="J1300" i="116" s="1"/>
  <c r="K1300" i="116" s="1"/>
  <c r="M1299" i="116"/>
  <c r="L1299" i="116"/>
  <c r="G1299" i="116"/>
  <c r="H1299" i="116" s="1"/>
  <c r="J1299" i="116" s="1"/>
  <c r="K1299" i="116" s="1"/>
  <c r="M1298" i="116"/>
  <c r="L1298" i="116"/>
  <c r="G1298" i="116"/>
  <c r="H1298" i="116" s="1"/>
  <c r="J1298" i="116" s="1"/>
  <c r="K1298" i="116" s="1"/>
  <c r="M1297" i="116"/>
  <c r="L1297" i="116"/>
  <c r="G1297" i="116"/>
  <c r="H1297" i="116" s="1"/>
  <c r="J1297" i="116" s="1"/>
  <c r="K1297" i="116" s="1"/>
  <c r="M1296" i="116"/>
  <c r="L1296" i="116"/>
  <c r="G1296" i="116"/>
  <c r="H1296" i="116" s="1"/>
  <c r="J1296" i="116" s="1"/>
  <c r="K1296" i="116" s="1"/>
  <c r="M1295" i="116"/>
  <c r="L1295" i="116"/>
  <c r="G1295" i="116"/>
  <c r="H1295" i="116" s="1"/>
  <c r="J1295" i="116" s="1"/>
  <c r="K1295" i="116" s="1"/>
  <c r="M1294" i="116"/>
  <c r="L1294" i="116"/>
  <c r="G1294" i="116"/>
  <c r="H1294" i="116" s="1"/>
  <c r="J1294" i="116" s="1"/>
  <c r="K1294" i="116" s="1"/>
  <c r="M1293" i="116"/>
  <c r="L1293" i="116"/>
  <c r="G1293" i="116"/>
  <c r="H1293" i="116" s="1"/>
  <c r="J1293" i="116" s="1"/>
  <c r="K1293" i="116" s="1"/>
  <c r="M1292" i="116"/>
  <c r="L1292" i="116"/>
  <c r="G1292" i="116"/>
  <c r="H1292" i="116" s="1"/>
  <c r="J1292" i="116" s="1"/>
  <c r="K1292" i="116" s="1"/>
  <c r="M1291" i="116"/>
  <c r="L1291" i="116"/>
  <c r="G1291" i="116"/>
  <c r="H1291" i="116" s="1"/>
  <c r="J1291" i="116" s="1"/>
  <c r="K1291" i="116" s="1"/>
  <c r="M1290" i="116"/>
  <c r="L1290" i="116"/>
  <c r="G1290" i="116"/>
  <c r="H1290" i="116" s="1"/>
  <c r="J1290" i="116" s="1"/>
  <c r="K1290" i="116" s="1"/>
  <c r="M1289" i="116"/>
  <c r="L1289" i="116"/>
  <c r="G1289" i="116"/>
  <c r="H1289" i="116" s="1"/>
  <c r="J1289" i="116" s="1"/>
  <c r="K1289" i="116" s="1"/>
  <c r="M1288" i="116"/>
  <c r="L1288" i="116"/>
  <c r="G1288" i="116"/>
  <c r="H1288" i="116" s="1"/>
  <c r="J1288" i="116" s="1"/>
  <c r="K1288" i="116" s="1"/>
  <c r="M1287" i="116"/>
  <c r="L1287" i="116"/>
  <c r="G1287" i="116"/>
  <c r="H1287" i="116" s="1"/>
  <c r="J1287" i="116" s="1"/>
  <c r="K1287" i="116" s="1"/>
  <c r="M1286" i="116"/>
  <c r="L1286" i="116"/>
  <c r="G1286" i="116"/>
  <c r="H1286" i="116" s="1"/>
  <c r="J1286" i="116" s="1"/>
  <c r="K1286" i="116" s="1"/>
  <c r="M1285" i="116"/>
  <c r="L1285" i="116"/>
  <c r="G1285" i="116"/>
  <c r="H1285" i="116" s="1"/>
  <c r="J1285" i="116" s="1"/>
  <c r="K1285" i="116" s="1"/>
  <c r="M1284" i="116"/>
  <c r="L1284" i="116"/>
  <c r="G1284" i="116"/>
  <c r="H1284" i="116" s="1"/>
  <c r="J1284" i="116" s="1"/>
  <c r="K1284" i="116" s="1"/>
  <c r="M1283" i="116"/>
  <c r="L1283" i="116"/>
  <c r="G1283" i="116"/>
  <c r="H1283" i="116" s="1"/>
  <c r="J1283" i="116" s="1"/>
  <c r="K1283" i="116" s="1"/>
  <c r="M1282" i="116"/>
  <c r="L1282" i="116"/>
  <c r="G1282" i="116"/>
  <c r="H1282" i="116" s="1"/>
  <c r="J1282" i="116" s="1"/>
  <c r="K1282" i="116" s="1"/>
  <c r="M1281" i="116"/>
  <c r="L1281" i="116"/>
  <c r="G1281" i="116"/>
  <c r="H1281" i="116" s="1"/>
  <c r="J1281" i="116" s="1"/>
  <c r="K1281" i="116" s="1"/>
  <c r="M1280" i="116"/>
  <c r="L1280" i="116"/>
  <c r="G1280" i="116"/>
  <c r="H1280" i="116" s="1"/>
  <c r="J1280" i="116" s="1"/>
  <c r="K1280" i="116" s="1"/>
  <c r="M1279" i="116"/>
  <c r="L1279" i="116"/>
  <c r="G1279" i="116"/>
  <c r="H1279" i="116" s="1"/>
  <c r="J1279" i="116" s="1"/>
  <c r="K1279" i="116" s="1"/>
  <c r="M1278" i="116"/>
  <c r="L1278" i="116"/>
  <c r="G1278" i="116"/>
  <c r="H1278" i="116" s="1"/>
  <c r="J1278" i="116" s="1"/>
  <c r="K1278" i="116" s="1"/>
  <c r="M1277" i="116"/>
  <c r="L1277" i="116"/>
  <c r="G1277" i="116"/>
  <c r="H1277" i="116" s="1"/>
  <c r="J1277" i="116" s="1"/>
  <c r="K1277" i="116" s="1"/>
  <c r="M1276" i="116"/>
  <c r="L1276" i="116"/>
  <c r="G1276" i="116"/>
  <c r="H1276" i="116" s="1"/>
  <c r="J1276" i="116" s="1"/>
  <c r="K1276" i="116" s="1"/>
  <c r="M1275" i="116"/>
  <c r="L1275" i="116"/>
  <c r="G1275" i="116"/>
  <c r="H1275" i="116" s="1"/>
  <c r="J1275" i="116" s="1"/>
  <c r="K1275" i="116" s="1"/>
  <c r="M1274" i="116"/>
  <c r="L1274" i="116"/>
  <c r="G1274" i="116"/>
  <c r="H1274" i="116" s="1"/>
  <c r="J1274" i="116" s="1"/>
  <c r="K1274" i="116" s="1"/>
  <c r="M1273" i="116"/>
  <c r="L1273" i="116"/>
  <c r="G1273" i="116"/>
  <c r="H1273" i="116" s="1"/>
  <c r="J1273" i="116" s="1"/>
  <c r="K1273" i="116" s="1"/>
  <c r="M1272" i="116"/>
  <c r="L1272" i="116"/>
  <c r="G1272" i="116"/>
  <c r="H1272" i="116" s="1"/>
  <c r="J1272" i="116" s="1"/>
  <c r="K1272" i="116" s="1"/>
  <c r="M1271" i="116"/>
  <c r="L1271" i="116"/>
  <c r="G1271" i="116"/>
  <c r="H1271" i="116" s="1"/>
  <c r="J1271" i="116" s="1"/>
  <c r="K1271" i="116" s="1"/>
  <c r="M1270" i="116"/>
  <c r="L1270" i="116"/>
  <c r="G1270" i="116"/>
  <c r="H1270" i="116" s="1"/>
  <c r="J1270" i="116" s="1"/>
  <c r="K1270" i="116" s="1"/>
  <c r="M1269" i="116"/>
  <c r="L1269" i="116"/>
  <c r="G1269" i="116"/>
  <c r="H1269" i="116" s="1"/>
  <c r="J1269" i="116" s="1"/>
  <c r="K1269" i="116" s="1"/>
  <c r="M1268" i="116"/>
  <c r="L1268" i="116"/>
  <c r="G1268" i="116"/>
  <c r="H1268" i="116" s="1"/>
  <c r="J1268" i="116" s="1"/>
  <c r="K1268" i="116" s="1"/>
  <c r="M1267" i="116"/>
  <c r="L1267" i="116"/>
  <c r="G1267" i="116"/>
  <c r="H1267" i="116" s="1"/>
  <c r="J1267" i="116" s="1"/>
  <c r="K1267" i="116" s="1"/>
  <c r="M1266" i="116"/>
  <c r="L1266" i="116"/>
  <c r="G1266" i="116"/>
  <c r="H1266" i="116" s="1"/>
  <c r="J1266" i="116" s="1"/>
  <c r="K1266" i="116" s="1"/>
  <c r="M1265" i="116"/>
  <c r="L1265" i="116"/>
  <c r="G1265" i="116"/>
  <c r="H1265" i="116" s="1"/>
  <c r="J1265" i="116" s="1"/>
  <c r="K1265" i="116" s="1"/>
  <c r="M1264" i="116"/>
  <c r="L1264" i="116"/>
  <c r="G1264" i="116"/>
  <c r="H1264" i="116" s="1"/>
  <c r="J1264" i="116" s="1"/>
  <c r="K1264" i="116" s="1"/>
  <c r="M1263" i="116"/>
  <c r="L1263" i="116"/>
  <c r="G1263" i="116"/>
  <c r="H1263" i="116" s="1"/>
  <c r="J1263" i="116" s="1"/>
  <c r="K1263" i="116" s="1"/>
  <c r="M1262" i="116"/>
  <c r="L1262" i="116"/>
  <c r="G1262" i="116"/>
  <c r="H1262" i="116" s="1"/>
  <c r="J1262" i="116" s="1"/>
  <c r="K1262" i="116" s="1"/>
  <c r="M1261" i="116"/>
  <c r="L1261" i="116"/>
  <c r="G1261" i="116"/>
  <c r="H1261" i="116" s="1"/>
  <c r="J1261" i="116" s="1"/>
  <c r="K1261" i="116" s="1"/>
  <c r="M1260" i="116"/>
  <c r="L1260" i="116"/>
  <c r="G1260" i="116"/>
  <c r="H1260" i="116" s="1"/>
  <c r="J1260" i="116" s="1"/>
  <c r="K1260" i="116" s="1"/>
  <c r="M1259" i="116"/>
  <c r="L1259" i="116"/>
  <c r="G1259" i="116"/>
  <c r="H1259" i="116" s="1"/>
  <c r="J1259" i="116" s="1"/>
  <c r="K1259" i="116" s="1"/>
  <c r="M1258" i="116"/>
  <c r="L1258" i="116"/>
  <c r="G1258" i="116"/>
  <c r="H1258" i="116" s="1"/>
  <c r="J1258" i="116" s="1"/>
  <c r="K1258" i="116" s="1"/>
  <c r="M1257" i="116"/>
  <c r="L1257" i="116"/>
  <c r="G1257" i="116"/>
  <c r="H1257" i="116" s="1"/>
  <c r="J1257" i="116" s="1"/>
  <c r="K1257" i="116" s="1"/>
  <c r="M1256" i="116"/>
  <c r="L1256" i="116"/>
  <c r="G1256" i="116"/>
  <c r="H1256" i="116" s="1"/>
  <c r="J1256" i="116" s="1"/>
  <c r="K1256" i="116" s="1"/>
  <c r="M1255" i="116"/>
  <c r="L1255" i="116"/>
  <c r="G1255" i="116"/>
  <c r="H1255" i="116" s="1"/>
  <c r="J1255" i="116" s="1"/>
  <c r="K1255" i="116" s="1"/>
  <c r="M1254" i="116"/>
  <c r="L1254" i="116"/>
  <c r="G1254" i="116"/>
  <c r="H1254" i="116" s="1"/>
  <c r="J1254" i="116" s="1"/>
  <c r="K1254" i="116" s="1"/>
  <c r="M1253" i="116"/>
  <c r="L1253" i="116"/>
  <c r="G1253" i="116"/>
  <c r="H1253" i="116" s="1"/>
  <c r="J1253" i="116" s="1"/>
  <c r="K1253" i="116" s="1"/>
  <c r="M1252" i="116"/>
  <c r="L1252" i="116"/>
  <c r="G1252" i="116"/>
  <c r="H1252" i="116" s="1"/>
  <c r="J1252" i="116" s="1"/>
  <c r="K1252" i="116" s="1"/>
  <c r="M1251" i="116"/>
  <c r="L1251" i="116"/>
  <c r="G1251" i="116"/>
  <c r="H1251" i="116" s="1"/>
  <c r="J1251" i="116" s="1"/>
  <c r="K1251" i="116" s="1"/>
  <c r="M1250" i="116"/>
  <c r="L1250" i="116"/>
  <c r="G1250" i="116"/>
  <c r="H1250" i="116" s="1"/>
  <c r="J1250" i="116" s="1"/>
  <c r="K1250" i="116" s="1"/>
  <c r="M1249" i="116"/>
  <c r="L1249" i="116"/>
  <c r="G1249" i="116"/>
  <c r="H1249" i="116" s="1"/>
  <c r="J1249" i="116" s="1"/>
  <c r="K1249" i="116" s="1"/>
  <c r="M1248" i="116"/>
  <c r="L1248" i="116"/>
  <c r="G1248" i="116"/>
  <c r="H1248" i="116" s="1"/>
  <c r="J1248" i="116" s="1"/>
  <c r="K1248" i="116" s="1"/>
  <c r="M1247" i="116"/>
  <c r="L1247" i="116"/>
  <c r="G1247" i="116"/>
  <c r="H1247" i="116" s="1"/>
  <c r="J1247" i="116" s="1"/>
  <c r="K1247" i="116" s="1"/>
  <c r="M1246" i="116"/>
  <c r="L1246" i="116"/>
  <c r="G1246" i="116"/>
  <c r="H1246" i="116" s="1"/>
  <c r="J1246" i="116" s="1"/>
  <c r="K1246" i="116" s="1"/>
  <c r="M1245" i="116"/>
  <c r="L1245" i="116"/>
  <c r="G1245" i="116"/>
  <c r="H1245" i="116" s="1"/>
  <c r="J1245" i="116" s="1"/>
  <c r="K1245" i="116" s="1"/>
  <c r="M1244" i="116"/>
  <c r="L1244" i="116"/>
  <c r="G1244" i="116"/>
  <c r="H1244" i="116" s="1"/>
  <c r="J1244" i="116" s="1"/>
  <c r="K1244" i="116" s="1"/>
  <c r="M1243" i="116"/>
  <c r="L1243" i="116"/>
  <c r="G1243" i="116"/>
  <c r="H1243" i="116" s="1"/>
  <c r="J1243" i="116" s="1"/>
  <c r="K1243" i="116" s="1"/>
  <c r="M1242" i="116"/>
  <c r="L1242" i="116"/>
  <c r="G1242" i="116"/>
  <c r="H1242" i="116" s="1"/>
  <c r="J1242" i="116" s="1"/>
  <c r="K1242" i="116" s="1"/>
  <c r="M1241" i="116"/>
  <c r="L1241" i="116"/>
  <c r="G1241" i="116"/>
  <c r="H1241" i="116" s="1"/>
  <c r="J1241" i="116" s="1"/>
  <c r="K1241" i="116" s="1"/>
  <c r="M1240" i="116"/>
  <c r="L1240" i="116"/>
  <c r="G1240" i="116"/>
  <c r="H1240" i="116" s="1"/>
  <c r="J1240" i="116" s="1"/>
  <c r="K1240" i="116" s="1"/>
  <c r="M1239" i="116"/>
  <c r="L1239" i="116"/>
  <c r="G1239" i="116"/>
  <c r="H1239" i="116" s="1"/>
  <c r="J1239" i="116" s="1"/>
  <c r="K1239" i="116" s="1"/>
  <c r="M1238" i="116"/>
  <c r="L1238" i="116"/>
  <c r="G1238" i="116"/>
  <c r="H1238" i="116" s="1"/>
  <c r="J1238" i="116" s="1"/>
  <c r="K1238" i="116" s="1"/>
  <c r="M1237" i="116"/>
  <c r="L1237" i="116"/>
  <c r="G1237" i="116"/>
  <c r="H1237" i="116" s="1"/>
  <c r="J1237" i="116" s="1"/>
  <c r="K1237" i="116" s="1"/>
  <c r="M1236" i="116"/>
  <c r="L1236" i="116"/>
  <c r="G1236" i="116"/>
  <c r="H1236" i="116" s="1"/>
  <c r="J1236" i="116" s="1"/>
  <c r="K1236" i="116" s="1"/>
  <c r="M1235" i="116"/>
  <c r="L1235" i="116"/>
  <c r="G1235" i="116"/>
  <c r="H1235" i="116" s="1"/>
  <c r="J1235" i="116" s="1"/>
  <c r="K1235" i="116" s="1"/>
  <c r="M1234" i="116"/>
  <c r="L1234" i="116"/>
  <c r="G1234" i="116"/>
  <c r="H1234" i="116" s="1"/>
  <c r="J1234" i="116" s="1"/>
  <c r="K1234" i="116" s="1"/>
  <c r="M1233" i="116"/>
  <c r="L1233" i="116"/>
  <c r="G1233" i="116"/>
  <c r="H1233" i="116" s="1"/>
  <c r="J1233" i="116" s="1"/>
  <c r="K1233" i="116" s="1"/>
  <c r="M1232" i="116"/>
  <c r="L1232" i="116"/>
  <c r="G1232" i="116"/>
  <c r="H1232" i="116" s="1"/>
  <c r="J1232" i="116" s="1"/>
  <c r="K1232" i="116" s="1"/>
  <c r="M1231" i="116"/>
  <c r="L1231" i="116"/>
  <c r="G1231" i="116"/>
  <c r="H1231" i="116" s="1"/>
  <c r="J1231" i="116" s="1"/>
  <c r="K1231" i="116" s="1"/>
  <c r="M1230" i="116"/>
  <c r="L1230" i="116"/>
  <c r="G1230" i="116"/>
  <c r="H1230" i="116" s="1"/>
  <c r="J1230" i="116" s="1"/>
  <c r="K1230" i="116" s="1"/>
  <c r="M1229" i="116"/>
  <c r="L1229" i="116"/>
  <c r="G1229" i="116"/>
  <c r="H1229" i="116" s="1"/>
  <c r="J1229" i="116" s="1"/>
  <c r="K1229" i="116" s="1"/>
  <c r="M1228" i="116"/>
  <c r="L1228" i="116"/>
  <c r="G1228" i="116"/>
  <c r="H1228" i="116" s="1"/>
  <c r="J1228" i="116" s="1"/>
  <c r="K1228" i="116" s="1"/>
  <c r="M1227" i="116"/>
  <c r="L1227" i="116"/>
  <c r="G1227" i="116"/>
  <c r="H1227" i="116" s="1"/>
  <c r="J1227" i="116" s="1"/>
  <c r="K1227" i="116" s="1"/>
  <c r="M1226" i="116"/>
  <c r="L1226" i="116"/>
  <c r="G1226" i="116"/>
  <c r="H1226" i="116" s="1"/>
  <c r="J1226" i="116" s="1"/>
  <c r="K1226" i="116" s="1"/>
  <c r="M1225" i="116"/>
  <c r="L1225" i="116"/>
  <c r="G1225" i="116"/>
  <c r="H1225" i="116" s="1"/>
  <c r="J1225" i="116" s="1"/>
  <c r="K1225" i="116" s="1"/>
  <c r="M1224" i="116"/>
  <c r="L1224" i="116"/>
  <c r="G1224" i="116"/>
  <c r="H1224" i="116" s="1"/>
  <c r="J1224" i="116" s="1"/>
  <c r="K1224" i="116" s="1"/>
  <c r="M1223" i="116"/>
  <c r="L1223" i="116"/>
  <c r="G1223" i="116"/>
  <c r="H1223" i="116" s="1"/>
  <c r="J1223" i="116" s="1"/>
  <c r="K1223" i="116" s="1"/>
  <c r="M1222" i="116"/>
  <c r="L1222" i="116"/>
  <c r="G1222" i="116"/>
  <c r="H1222" i="116" s="1"/>
  <c r="J1222" i="116" s="1"/>
  <c r="K1222" i="116" s="1"/>
  <c r="M1221" i="116"/>
  <c r="L1221" i="116"/>
  <c r="G1221" i="116"/>
  <c r="H1221" i="116" s="1"/>
  <c r="J1221" i="116" s="1"/>
  <c r="K1221" i="116" s="1"/>
  <c r="M1220" i="116"/>
  <c r="L1220" i="116"/>
  <c r="G1220" i="116"/>
  <c r="H1220" i="116" s="1"/>
  <c r="J1220" i="116" s="1"/>
  <c r="K1220" i="116" s="1"/>
  <c r="M1219" i="116"/>
  <c r="L1219" i="116"/>
  <c r="G1219" i="116"/>
  <c r="H1219" i="116" s="1"/>
  <c r="J1219" i="116" s="1"/>
  <c r="K1219" i="116" s="1"/>
  <c r="M1218" i="116"/>
  <c r="L1218" i="116"/>
  <c r="G1218" i="116"/>
  <c r="H1218" i="116" s="1"/>
  <c r="J1218" i="116" s="1"/>
  <c r="K1218" i="116" s="1"/>
  <c r="M1217" i="116"/>
  <c r="L1217" i="116"/>
  <c r="G1217" i="116"/>
  <c r="H1217" i="116" s="1"/>
  <c r="J1217" i="116" s="1"/>
  <c r="K1217" i="116" s="1"/>
  <c r="M1216" i="116"/>
  <c r="L1216" i="116"/>
  <c r="G1216" i="116"/>
  <c r="H1216" i="116" s="1"/>
  <c r="J1216" i="116" s="1"/>
  <c r="K1216" i="116" s="1"/>
  <c r="M1215" i="116"/>
  <c r="L1215" i="116"/>
  <c r="G1215" i="116"/>
  <c r="H1215" i="116" s="1"/>
  <c r="J1215" i="116" s="1"/>
  <c r="K1215" i="116" s="1"/>
  <c r="M1214" i="116"/>
  <c r="L1214" i="116"/>
  <c r="G1214" i="116"/>
  <c r="H1214" i="116" s="1"/>
  <c r="J1214" i="116" s="1"/>
  <c r="K1214" i="116" s="1"/>
  <c r="M1213" i="116"/>
  <c r="L1213" i="116"/>
  <c r="G1213" i="116"/>
  <c r="H1213" i="116" s="1"/>
  <c r="J1213" i="116" s="1"/>
  <c r="K1213" i="116" s="1"/>
  <c r="M1212" i="116"/>
  <c r="L1212" i="116"/>
  <c r="G1212" i="116"/>
  <c r="H1212" i="116" s="1"/>
  <c r="J1212" i="116" s="1"/>
  <c r="K1212" i="116" s="1"/>
  <c r="M1211" i="116"/>
  <c r="L1211" i="116"/>
  <c r="G1211" i="116"/>
  <c r="H1211" i="116" s="1"/>
  <c r="J1211" i="116" s="1"/>
  <c r="K1211" i="116" s="1"/>
  <c r="M1210" i="116"/>
  <c r="L1210" i="116"/>
  <c r="G1210" i="116"/>
  <c r="H1210" i="116" s="1"/>
  <c r="J1210" i="116" s="1"/>
  <c r="K1210" i="116" s="1"/>
  <c r="M1209" i="116"/>
  <c r="L1209" i="116"/>
  <c r="G1209" i="116"/>
  <c r="H1209" i="116" s="1"/>
  <c r="J1209" i="116" s="1"/>
  <c r="K1209" i="116" s="1"/>
  <c r="M1208" i="116"/>
  <c r="L1208" i="116"/>
  <c r="G1208" i="116"/>
  <c r="H1208" i="116" s="1"/>
  <c r="J1208" i="116" s="1"/>
  <c r="K1208" i="116" s="1"/>
  <c r="M1207" i="116"/>
  <c r="L1207" i="116"/>
  <c r="G1207" i="116"/>
  <c r="H1207" i="116" s="1"/>
  <c r="J1207" i="116" s="1"/>
  <c r="K1207" i="116" s="1"/>
  <c r="M1206" i="116"/>
  <c r="L1206" i="116"/>
  <c r="G1206" i="116"/>
  <c r="H1206" i="116" s="1"/>
  <c r="J1206" i="116" s="1"/>
  <c r="K1206" i="116" s="1"/>
  <c r="M1205" i="116"/>
  <c r="L1205" i="116"/>
  <c r="G1205" i="116"/>
  <c r="H1205" i="116" s="1"/>
  <c r="J1205" i="116" s="1"/>
  <c r="K1205" i="116" s="1"/>
  <c r="M1204" i="116"/>
  <c r="L1204" i="116"/>
  <c r="G1204" i="116"/>
  <c r="H1204" i="116" s="1"/>
  <c r="J1204" i="116" s="1"/>
  <c r="K1204" i="116" s="1"/>
  <c r="M1203" i="116"/>
  <c r="L1203" i="116"/>
  <c r="G1203" i="116"/>
  <c r="H1203" i="116" s="1"/>
  <c r="J1203" i="116" s="1"/>
  <c r="K1203" i="116" s="1"/>
  <c r="M1202" i="116"/>
  <c r="L1202" i="116"/>
  <c r="G1202" i="116"/>
  <c r="H1202" i="116" s="1"/>
  <c r="J1202" i="116" s="1"/>
  <c r="K1202" i="116" s="1"/>
  <c r="M1201" i="116"/>
  <c r="L1201" i="116"/>
  <c r="G1201" i="116"/>
  <c r="H1201" i="116" s="1"/>
  <c r="J1201" i="116" s="1"/>
  <c r="K1201" i="116" s="1"/>
  <c r="M1200" i="116"/>
  <c r="L1200" i="116"/>
  <c r="G1200" i="116"/>
  <c r="H1200" i="116" s="1"/>
  <c r="J1200" i="116" s="1"/>
  <c r="K1200" i="116" s="1"/>
  <c r="M1199" i="116"/>
  <c r="L1199" i="116"/>
  <c r="G1199" i="116"/>
  <c r="H1199" i="116" s="1"/>
  <c r="J1199" i="116" s="1"/>
  <c r="K1199" i="116" s="1"/>
  <c r="M1198" i="116"/>
  <c r="L1198" i="116"/>
  <c r="G1198" i="116"/>
  <c r="H1198" i="116" s="1"/>
  <c r="J1198" i="116" s="1"/>
  <c r="K1198" i="116" s="1"/>
  <c r="M1197" i="116"/>
  <c r="L1197" i="116"/>
  <c r="G1197" i="116"/>
  <c r="H1197" i="116" s="1"/>
  <c r="J1197" i="116" s="1"/>
  <c r="K1197" i="116" s="1"/>
  <c r="M1196" i="116"/>
  <c r="L1196" i="116"/>
  <c r="G1196" i="116"/>
  <c r="H1196" i="116" s="1"/>
  <c r="J1196" i="116" s="1"/>
  <c r="K1196" i="116" s="1"/>
  <c r="M1195" i="116"/>
  <c r="L1195" i="116"/>
  <c r="G1195" i="116"/>
  <c r="H1195" i="116" s="1"/>
  <c r="J1195" i="116" s="1"/>
  <c r="K1195" i="116" s="1"/>
  <c r="M1194" i="116"/>
  <c r="L1194" i="116"/>
  <c r="G1194" i="116"/>
  <c r="H1194" i="116" s="1"/>
  <c r="J1194" i="116" s="1"/>
  <c r="K1194" i="116" s="1"/>
  <c r="M1193" i="116"/>
  <c r="L1193" i="116"/>
  <c r="G1193" i="116"/>
  <c r="H1193" i="116" s="1"/>
  <c r="J1193" i="116" s="1"/>
  <c r="K1193" i="116" s="1"/>
  <c r="M1192" i="116"/>
  <c r="L1192" i="116"/>
  <c r="G1192" i="116"/>
  <c r="H1192" i="116" s="1"/>
  <c r="J1192" i="116" s="1"/>
  <c r="K1192" i="116" s="1"/>
  <c r="M1191" i="116"/>
  <c r="L1191" i="116"/>
  <c r="G1191" i="116"/>
  <c r="H1191" i="116" s="1"/>
  <c r="J1191" i="116" s="1"/>
  <c r="K1191" i="116" s="1"/>
  <c r="M1190" i="116"/>
  <c r="L1190" i="116"/>
  <c r="G1190" i="116"/>
  <c r="H1190" i="116" s="1"/>
  <c r="J1190" i="116" s="1"/>
  <c r="K1190" i="116" s="1"/>
  <c r="M1189" i="116"/>
  <c r="L1189" i="116"/>
  <c r="G1189" i="116"/>
  <c r="H1189" i="116" s="1"/>
  <c r="J1189" i="116" s="1"/>
  <c r="K1189" i="116" s="1"/>
  <c r="M1188" i="116"/>
  <c r="L1188" i="116"/>
  <c r="G1188" i="116"/>
  <c r="H1188" i="116" s="1"/>
  <c r="J1188" i="116" s="1"/>
  <c r="K1188" i="116" s="1"/>
  <c r="M1187" i="116"/>
  <c r="L1187" i="116"/>
  <c r="G1187" i="116"/>
  <c r="H1187" i="116" s="1"/>
  <c r="J1187" i="116" s="1"/>
  <c r="K1187" i="116" s="1"/>
  <c r="M1186" i="116"/>
  <c r="L1186" i="116"/>
  <c r="G1186" i="116"/>
  <c r="H1186" i="116" s="1"/>
  <c r="J1186" i="116" s="1"/>
  <c r="K1186" i="116" s="1"/>
  <c r="M1185" i="116"/>
  <c r="L1185" i="116"/>
  <c r="G1185" i="116"/>
  <c r="H1185" i="116" s="1"/>
  <c r="J1185" i="116" s="1"/>
  <c r="K1185" i="116" s="1"/>
  <c r="M1184" i="116"/>
  <c r="L1184" i="116"/>
  <c r="G1184" i="116"/>
  <c r="H1184" i="116" s="1"/>
  <c r="J1184" i="116" s="1"/>
  <c r="K1184" i="116" s="1"/>
  <c r="M1183" i="116"/>
  <c r="L1183" i="116"/>
  <c r="G1183" i="116"/>
  <c r="H1183" i="116" s="1"/>
  <c r="J1183" i="116" s="1"/>
  <c r="K1183" i="116" s="1"/>
  <c r="M1182" i="116"/>
  <c r="L1182" i="116"/>
  <c r="G1182" i="116"/>
  <c r="H1182" i="116" s="1"/>
  <c r="J1182" i="116" s="1"/>
  <c r="K1182" i="116" s="1"/>
  <c r="M1181" i="116"/>
  <c r="L1181" i="116"/>
  <c r="H1181" i="116"/>
  <c r="J1181" i="116" s="1"/>
  <c r="K1181" i="116" s="1"/>
  <c r="G1181" i="116"/>
  <c r="M1180" i="116"/>
  <c r="L1180" i="116"/>
  <c r="H1180" i="116"/>
  <c r="J1180" i="116" s="1"/>
  <c r="K1180" i="116" s="1"/>
  <c r="G1180" i="116"/>
  <c r="M1179" i="116"/>
  <c r="L1179" i="116"/>
  <c r="K1179" i="116"/>
  <c r="H1179" i="116"/>
  <c r="J1179" i="116" s="1"/>
  <c r="G1179" i="116"/>
  <c r="M1178" i="116"/>
  <c r="L1178" i="116"/>
  <c r="K1178" i="116"/>
  <c r="H1178" i="116"/>
  <c r="J1178" i="116" s="1"/>
  <c r="G1178" i="116"/>
  <c r="M1177" i="116"/>
  <c r="L1177" i="116"/>
  <c r="K1177" i="116"/>
  <c r="H1177" i="116"/>
  <c r="J1177" i="116" s="1"/>
  <c r="G1177" i="116"/>
  <c r="M1176" i="116"/>
  <c r="L1176" i="116"/>
  <c r="K1176" i="116"/>
  <c r="H1176" i="116"/>
  <c r="J1176" i="116" s="1"/>
  <c r="G1176" i="116"/>
  <c r="M1175" i="116"/>
  <c r="L1175" i="116"/>
  <c r="H1175" i="116"/>
  <c r="J1175" i="116" s="1"/>
  <c r="K1175" i="116" s="1"/>
  <c r="G1175" i="116"/>
  <c r="M1174" i="116"/>
  <c r="L1174" i="116"/>
  <c r="H1174" i="116"/>
  <c r="J1174" i="116" s="1"/>
  <c r="K1174" i="116" s="1"/>
  <c r="G1174" i="116"/>
  <c r="M1173" i="116"/>
  <c r="L1173" i="116"/>
  <c r="K1173" i="116"/>
  <c r="H1173" i="116"/>
  <c r="J1173" i="116" s="1"/>
  <c r="G1173" i="116"/>
  <c r="M1172" i="116"/>
  <c r="L1172" i="116"/>
  <c r="H1172" i="116"/>
  <c r="J1172" i="116" s="1"/>
  <c r="K1172" i="116" s="1"/>
  <c r="G1172" i="116"/>
  <c r="M1171" i="116"/>
  <c r="L1171" i="116"/>
  <c r="K1171" i="116"/>
  <c r="H1171" i="116"/>
  <c r="J1171" i="116" s="1"/>
  <c r="G1171" i="116"/>
  <c r="M1170" i="116"/>
  <c r="L1170" i="116"/>
  <c r="H1170" i="116"/>
  <c r="J1170" i="116" s="1"/>
  <c r="K1170" i="116" s="1"/>
  <c r="G1170" i="116"/>
  <c r="M1169" i="116"/>
  <c r="L1169" i="116"/>
  <c r="K1169" i="116"/>
  <c r="H1169" i="116"/>
  <c r="J1169" i="116" s="1"/>
  <c r="G1169" i="116"/>
  <c r="M1168" i="116"/>
  <c r="L1168" i="116"/>
  <c r="K1168" i="116"/>
  <c r="H1168" i="116"/>
  <c r="J1168" i="116" s="1"/>
  <c r="G1168" i="116"/>
  <c r="M1167" i="116"/>
  <c r="L1167" i="116"/>
  <c r="K1167" i="116"/>
  <c r="H1167" i="116"/>
  <c r="J1167" i="116" s="1"/>
  <c r="G1167" i="116"/>
  <c r="M1166" i="116"/>
  <c r="L1166" i="116"/>
  <c r="H1166" i="116"/>
  <c r="J1166" i="116" s="1"/>
  <c r="K1166" i="116" s="1"/>
  <c r="G1166" i="116"/>
  <c r="M1165" i="116"/>
  <c r="L1165" i="116"/>
  <c r="K1165" i="116"/>
  <c r="H1165" i="116"/>
  <c r="J1165" i="116" s="1"/>
  <c r="G1165" i="116"/>
  <c r="M1164" i="116"/>
  <c r="L1164" i="116"/>
  <c r="H1164" i="116"/>
  <c r="J1164" i="116" s="1"/>
  <c r="K1164" i="116" s="1"/>
  <c r="G1164" i="116"/>
  <c r="M1163" i="116"/>
  <c r="L1163" i="116"/>
  <c r="K1163" i="116"/>
  <c r="H1163" i="116"/>
  <c r="J1163" i="116" s="1"/>
  <c r="G1163" i="116"/>
  <c r="M1162" i="116"/>
  <c r="L1162" i="116"/>
  <c r="K1162" i="116"/>
  <c r="H1162" i="116"/>
  <c r="J1162" i="116" s="1"/>
  <c r="G1162" i="116"/>
  <c r="M1161" i="116"/>
  <c r="L1161" i="116"/>
  <c r="K1161" i="116"/>
  <c r="H1161" i="116"/>
  <c r="J1161" i="116" s="1"/>
  <c r="G1161" i="116"/>
  <c r="M1160" i="116"/>
  <c r="L1160" i="116"/>
  <c r="K1160" i="116"/>
  <c r="H1160" i="116"/>
  <c r="J1160" i="116" s="1"/>
  <c r="G1160" i="116"/>
  <c r="M1159" i="116"/>
  <c r="L1159" i="116"/>
  <c r="H1159" i="116"/>
  <c r="J1159" i="116" s="1"/>
  <c r="K1159" i="116" s="1"/>
  <c r="G1159" i="116"/>
  <c r="M1158" i="116"/>
  <c r="L1158" i="116"/>
  <c r="H1158" i="116"/>
  <c r="J1158" i="116" s="1"/>
  <c r="K1158" i="116" s="1"/>
  <c r="G1158" i="116"/>
  <c r="M1157" i="116"/>
  <c r="L1157" i="116"/>
  <c r="K1157" i="116"/>
  <c r="H1157" i="116"/>
  <c r="J1157" i="116" s="1"/>
  <c r="G1157" i="116"/>
  <c r="M1156" i="116"/>
  <c r="L1156" i="116"/>
  <c r="H1156" i="116"/>
  <c r="J1156" i="116" s="1"/>
  <c r="K1156" i="116" s="1"/>
  <c r="G1156" i="116"/>
  <c r="M1155" i="116"/>
  <c r="L1155" i="116"/>
  <c r="K1155" i="116"/>
  <c r="H1155" i="116"/>
  <c r="J1155" i="116" s="1"/>
  <c r="G1155" i="116"/>
  <c r="M1154" i="116"/>
  <c r="L1154" i="116"/>
  <c r="K1154" i="116"/>
  <c r="H1154" i="116"/>
  <c r="J1154" i="116" s="1"/>
  <c r="G1154" i="116"/>
  <c r="M1153" i="116"/>
  <c r="L1153" i="116"/>
  <c r="K1153" i="116"/>
  <c r="H1153" i="116"/>
  <c r="J1153" i="116" s="1"/>
  <c r="G1153" i="116"/>
  <c r="M1152" i="116"/>
  <c r="L1152" i="116"/>
  <c r="K1152" i="116"/>
  <c r="H1152" i="116"/>
  <c r="J1152" i="116" s="1"/>
  <c r="G1152" i="116"/>
  <c r="M1151" i="116"/>
  <c r="L1151" i="116"/>
  <c r="H1151" i="116"/>
  <c r="J1151" i="116" s="1"/>
  <c r="K1151" i="116" s="1"/>
  <c r="G1151" i="116"/>
  <c r="M1150" i="116"/>
  <c r="L1150" i="116"/>
  <c r="H1150" i="116"/>
  <c r="J1150" i="116" s="1"/>
  <c r="K1150" i="116" s="1"/>
  <c r="G1150" i="116"/>
  <c r="M1149" i="116"/>
  <c r="L1149" i="116"/>
  <c r="K1149" i="116"/>
  <c r="H1149" i="116"/>
  <c r="J1149" i="116" s="1"/>
  <c r="G1149" i="116"/>
  <c r="M1148" i="116"/>
  <c r="L1148" i="116"/>
  <c r="H1148" i="116"/>
  <c r="J1148" i="116" s="1"/>
  <c r="K1148" i="116" s="1"/>
  <c r="G1148" i="116"/>
  <c r="M1147" i="116"/>
  <c r="L1147" i="116"/>
  <c r="K1147" i="116"/>
  <c r="H1147" i="116"/>
  <c r="J1147" i="116" s="1"/>
  <c r="G1147" i="116"/>
  <c r="M1146" i="116"/>
  <c r="L1146" i="116"/>
  <c r="K1146" i="116"/>
  <c r="H1146" i="116"/>
  <c r="J1146" i="116" s="1"/>
  <c r="G1146" i="116"/>
  <c r="M1145" i="116"/>
  <c r="L1145" i="116"/>
  <c r="K1145" i="116"/>
  <c r="H1145" i="116"/>
  <c r="J1145" i="116" s="1"/>
  <c r="G1145" i="116"/>
  <c r="M1144" i="116"/>
  <c r="L1144" i="116"/>
  <c r="K1144" i="116"/>
  <c r="H1144" i="116"/>
  <c r="J1144" i="116" s="1"/>
  <c r="G1144" i="116"/>
  <c r="M1143" i="116"/>
  <c r="L1143" i="116"/>
  <c r="H1143" i="116"/>
  <c r="J1143" i="116" s="1"/>
  <c r="K1143" i="116" s="1"/>
  <c r="G1143" i="116"/>
  <c r="M1142" i="116"/>
  <c r="L1142" i="116"/>
  <c r="H1142" i="116"/>
  <c r="J1142" i="116" s="1"/>
  <c r="K1142" i="116" s="1"/>
  <c r="G1142" i="116"/>
  <c r="M1141" i="116"/>
  <c r="L1141" i="116"/>
  <c r="K1141" i="116"/>
  <c r="H1141" i="116"/>
  <c r="J1141" i="116" s="1"/>
  <c r="G1141" i="116"/>
  <c r="M1140" i="116"/>
  <c r="L1140" i="116"/>
  <c r="H1140" i="116"/>
  <c r="J1140" i="116" s="1"/>
  <c r="K1140" i="116" s="1"/>
  <c r="G1140" i="116"/>
  <c r="M1139" i="116"/>
  <c r="L1139" i="116"/>
  <c r="K1139" i="116"/>
  <c r="H1139" i="116"/>
  <c r="J1139" i="116" s="1"/>
  <c r="G1139" i="116"/>
  <c r="M1138" i="116"/>
  <c r="L1138" i="116"/>
  <c r="H1138" i="116"/>
  <c r="J1138" i="116" s="1"/>
  <c r="K1138" i="116" s="1"/>
  <c r="G1138" i="116"/>
  <c r="M1137" i="116"/>
  <c r="L1137" i="116"/>
  <c r="K1137" i="116"/>
  <c r="H1137" i="116"/>
  <c r="J1137" i="116" s="1"/>
  <c r="G1137" i="116"/>
  <c r="M1136" i="116"/>
  <c r="L1136" i="116"/>
  <c r="K1136" i="116"/>
  <c r="H1136" i="116"/>
  <c r="J1136" i="116" s="1"/>
  <c r="G1136" i="116"/>
  <c r="M1135" i="116"/>
  <c r="L1135" i="116"/>
  <c r="K1135" i="116"/>
  <c r="H1135" i="116"/>
  <c r="J1135" i="116" s="1"/>
  <c r="G1135" i="116"/>
  <c r="M1134" i="116"/>
  <c r="L1134" i="116"/>
  <c r="H1134" i="116"/>
  <c r="J1134" i="116" s="1"/>
  <c r="K1134" i="116" s="1"/>
  <c r="G1134" i="116"/>
  <c r="M1133" i="116"/>
  <c r="L1133" i="116"/>
  <c r="K1133" i="116"/>
  <c r="H1133" i="116"/>
  <c r="J1133" i="116" s="1"/>
  <c r="G1133" i="116"/>
  <c r="M1132" i="116"/>
  <c r="L1132" i="116"/>
  <c r="H1132" i="116"/>
  <c r="J1132" i="116" s="1"/>
  <c r="K1132" i="116" s="1"/>
  <c r="G1132" i="116"/>
  <c r="M1131" i="116"/>
  <c r="L1131" i="116"/>
  <c r="K1131" i="116"/>
  <c r="H1131" i="116"/>
  <c r="J1131" i="116" s="1"/>
  <c r="G1131" i="116"/>
  <c r="M1130" i="116"/>
  <c r="L1130" i="116"/>
  <c r="H1130" i="116"/>
  <c r="J1130" i="116" s="1"/>
  <c r="K1130" i="116" s="1"/>
  <c r="G1130" i="116"/>
  <c r="M1129" i="116"/>
  <c r="L1129" i="116"/>
  <c r="K1129" i="116"/>
  <c r="H1129" i="116"/>
  <c r="J1129" i="116" s="1"/>
  <c r="G1129" i="116"/>
  <c r="M1128" i="116"/>
  <c r="L1128" i="116"/>
  <c r="K1128" i="116"/>
  <c r="H1128" i="116"/>
  <c r="J1128" i="116" s="1"/>
  <c r="G1128" i="116"/>
  <c r="M1127" i="116"/>
  <c r="L1127" i="116"/>
  <c r="H1127" i="116"/>
  <c r="J1127" i="116" s="1"/>
  <c r="K1127" i="116" s="1"/>
  <c r="G1127" i="116"/>
  <c r="M1126" i="116"/>
  <c r="L1126" i="116"/>
  <c r="H1126" i="116"/>
  <c r="J1126" i="116" s="1"/>
  <c r="K1126" i="116" s="1"/>
  <c r="G1126" i="116"/>
  <c r="M1125" i="116"/>
  <c r="L1125" i="116"/>
  <c r="K1125" i="116"/>
  <c r="H1125" i="116"/>
  <c r="J1125" i="116" s="1"/>
  <c r="G1125" i="116"/>
  <c r="M1124" i="116"/>
  <c r="L1124" i="116"/>
  <c r="H1124" i="116"/>
  <c r="J1124" i="116" s="1"/>
  <c r="K1124" i="116" s="1"/>
  <c r="G1124" i="116"/>
  <c r="M1123" i="116"/>
  <c r="L1123" i="116"/>
  <c r="K1123" i="116"/>
  <c r="H1123" i="116"/>
  <c r="J1123" i="116" s="1"/>
  <c r="G1123" i="116"/>
  <c r="M1122" i="116"/>
  <c r="L1122" i="116"/>
  <c r="K1122" i="116"/>
  <c r="H1122" i="116"/>
  <c r="J1122" i="116" s="1"/>
  <c r="G1122" i="116"/>
  <c r="M1121" i="116"/>
  <c r="L1121" i="116"/>
  <c r="K1121" i="116"/>
  <c r="H1121" i="116"/>
  <c r="J1121" i="116" s="1"/>
  <c r="G1121" i="116"/>
  <c r="M1120" i="116"/>
  <c r="L1120" i="116"/>
  <c r="K1120" i="116"/>
  <c r="H1120" i="116"/>
  <c r="J1120" i="116" s="1"/>
  <c r="G1120" i="116"/>
  <c r="M1119" i="116"/>
  <c r="L1119" i="116"/>
  <c r="H1119" i="116"/>
  <c r="J1119" i="116" s="1"/>
  <c r="K1119" i="116" s="1"/>
  <c r="G1119" i="116"/>
  <c r="M1118" i="116"/>
  <c r="L1118" i="116"/>
  <c r="H1118" i="116"/>
  <c r="J1118" i="116" s="1"/>
  <c r="K1118" i="116" s="1"/>
  <c r="G1118" i="116"/>
  <c r="M1117" i="116"/>
  <c r="L1117" i="116"/>
  <c r="K1117" i="116"/>
  <c r="H1117" i="116"/>
  <c r="J1117" i="116" s="1"/>
  <c r="G1117" i="116"/>
  <c r="M1116" i="116"/>
  <c r="L1116" i="116"/>
  <c r="H1116" i="116"/>
  <c r="J1116" i="116" s="1"/>
  <c r="K1116" i="116" s="1"/>
  <c r="G1116" i="116"/>
  <c r="M1115" i="116"/>
  <c r="L1115" i="116"/>
  <c r="K1115" i="116"/>
  <c r="H1115" i="116"/>
  <c r="J1115" i="116" s="1"/>
  <c r="G1115" i="116"/>
  <c r="M1114" i="116"/>
  <c r="L1114" i="116"/>
  <c r="K1114" i="116"/>
  <c r="H1114" i="116"/>
  <c r="J1114" i="116" s="1"/>
  <c r="G1114" i="116"/>
  <c r="M1113" i="116"/>
  <c r="L1113" i="116"/>
  <c r="K1113" i="116"/>
  <c r="H1113" i="116"/>
  <c r="J1113" i="116" s="1"/>
  <c r="G1113" i="116"/>
  <c r="M1112" i="116"/>
  <c r="L1112" i="116"/>
  <c r="K1112" i="116"/>
  <c r="H1112" i="116"/>
  <c r="J1112" i="116" s="1"/>
  <c r="G1112" i="116"/>
  <c r="M1111" i="116"/>
  <c r="L1111" i="116"/>
  <c r="H1111" i="116"/>
  <c r="J1111" i="116" s="1"/>
  <c r="K1111" i="116" s="1"/>
  <c r="G1111" i="116"/>
  <c r="M1110" i="116"/>
  <c r="L1110" i="116"/>
  <c r="H1110" i="116"/>
  <c r="J1110" i="116" s="1"/>
  <c r="K1110" i="116" s="1"/>
  <c r="G1110" i="116"/>
  <c r="M1109" i="116"/>
  <c r="L1109" i="116"/>
  <c r="K1109" i="116"/>
  <c r="H1109" i="116"/>
  <c r="J1109" i="116" s="1"/>
  <c r="G1109" i="116"/>
  <c r="M1108" i="116"/>
  <c r="L1108" i="116"/>
  <c r="H1108" i="116"/>
  <c r="J1108" i="116" s="1"/>
  <c r="K1108" i="116" s="1"/>
  <c r="G1108" i="116"/>
  <c r="M1107" i="116"/>
  <c r="L1107" i="116"/>
  <c r="K1107" i="116"/>
  <c r="H1107" i="116"/>
  <c r="J1107" i="116" s="1"/>
  <c r="G1107" i="116"/>
  <c r="M1106" i="116"/>
  <c r="L1106" i="116"/>
  <c r="H1106" i="116"/>
  <c r="J1106" i="116" s="1"/>
  <c r="K1106" i="116" s="1"/>
  <c r="G1106" i="116"/>
  <c r="M1105" i="116"/>
  <c r="L1105" i="116"/>
  <c r="K1105" i="116"/>
  <c r="H1105" i="116"/>
  <c r="J1105" i="116" s="1"/>
  <c r="G1105" i="116"/>
  <c r="M1104" i="116"/>
  <c r="L1104" i="116"/>
  <c r="K1104" i="116"/>
  <c r="H1104" i="116"/>
  <c r="J1104" i="116" s="1"/>
  <c r="G1104" i="116"/>
  <c r="M1103" i="116"/>
  <c r="L1103" i="116"/>
  <c r="K1103" i="116"/>
  <c r="H1103" i="116"/>
  <c r="J1103" i="116" s="1"/>
  <c r="G1103" i="116"/>
  <c r="M1102" i="116"/>
  <c r="L1102" i="116"/>
  <c r="H1102" i="116"/>
  <c r="J1102" i="116" s="1"/>
  <c r="K1102" i="116" s="1"/>
  <c r="G1102" i="116"/>
  <c r="M1101" i="116"/>
  <c r="L1101" i="116"/>
  <c r="K1101" i="116"/>
  <c r="H1101" i="116"/>
  <c r="J1101" i="116" s="1"/>
  <c r="G1101" i="116"/>
  <c r="M1100" i="116"/>
  <c r="L1100" i="116"/>
  <c r="H1100" i="116"/>
  <c r="J1100" i="116" s="1"/>
  <c r="K1100" i="116" s="1"/>
  <c r="G1100" i="116"/>
  <c r="M1099" i="116"/>
  <c r="L1099" i="116"/>
  <c r="K1099" i="116"/>
  <c r="H1099" i="116"/>
  <c r="J1099" i="116" s="1"/>
  <c r="G1099" i="116"/>
  <c r="M1098" i="116"/>
  <c r="L1098" i="116"/>
  <c r="K1098" i="116"/>
  <c r="H1098" i="116"/>
  <c r="J1098" i="116" s="1"/>
  <c r="G1098" i="116"/>
  <c r="M1097" i="116"/>
  <c r="L1097" i="116"/>
  <c r="K1097" i="116"/>
  <c r="H1097" i="116"/>
  <c r="J1097" i="116" s="1"/>
  <c r="G1097" i="116"/>
  <c r="M1096" i="116"/>
  <c r="L1096" i="116"/>
  <c r="K1096" i="116"/>
  <c r="H1096" i="116"/>
  <c r="J1096" i="116" s="1"/>
  <c r="G1096" i="116"/>
  <c r="M1095" i="116"/>
  <c r="L1095" i="116"/>
  <c r="H1095" i="116"/>
  <c r="J1095" i="116" s="1"/>
  <c r="K1095" i="116" s="1"/>
  <c r="G1095" i="116"/>
  <c r="M1094" i="116"/>
  <c r="L1094" i="116"/>
  <c r="H1094" i="116"/>
  <c r="J1094" i="116" s="1"/>
  <c r="K1094" i="116" s="1"/>
  <c r="G1094" i="116"/>
  <c r="M1093" i="116"/>
  <c r="L1093" i="116"/>
  <c r="K1093" i="116"/>
  <c r="H1093" i="116"/>
  <c r="J1093" i="116" s="1"/>
  <c r="G1093" i="116"/>
  <c r="M1092" i="116"/>
  <c r="L1092" i="116"/>
  <c r="H1092" i="116"/>
  <c r="J1092" i="116" s="1"/>
  <c r="K1092" i="116" s="1"/>
  <c r="G1092" i="116"/>
  <c r="M1091" i="116"/>
  <c r="L1091" i="116"/>
  <c r="K1091" i="116"/>
  <c r="H1091" i="116"/>
  <c r="J1091" i="116" s="1"/>
  <c r="G1091" i="116"/>
  <c r="M1090" i="116"/>
  <c r="L1090" i="116"/>
  <c r="K1090" i="116"/>
  <c r="H1090" i="116"/>
  <c r="J1090" i="116" s="1"/>
  <c r="G1090" i="116"/>
  <c r="M1089" i="116"/>
  <c r="L1089" i="116"/>
  <c r="K1089" i="116"/>
  <c r="H1089" i="116"/>
  <c r="J1089" i="116" s="1"/>
  <c r="G1089" i="116"/>
  <c r="M1088" i="116"/>
  <c r="L1088" i="116"/>
  <c r="K1088" i="116"/>
  <c r="H1088" i="116"/>
  <c r="J1088" i="116" s="1"/>
  <c r="G1088" i="116"/>
  <c r="M1087" i="116"/>
  <c r="L1087" i="116"/>
  <c r="H1087" i="116"/>
  <c r="J1087" i="116" s="1"/>
  <c r="K1087" i="116" s="1"/>
  <c r="G1087" i="116"/>
  <c r="M1086" i="116"/>
  <c r="L1086" i="116"/>
  <c r="H1086" i="116"/>
  <c r="J1086" i="116" s="1"/>
  <c r="K1086" i="116" s="1"/>
  <c r="G1086" i="116"/>
  <c r="M1085" i="116"/>
  <c r="L1085" i="116"/>
  <c r="K1085" i="116"/>
  <c r="H1085" i="116"/>
  <c r="J1085" i="116" s="1"/>
  <c r="G1085" i="116"/>
  <c r="M1084" i="116"/>
  <c r="L1084" i="116"/>
  <c r="H1084" i="116"/>
  <c r="J1084" i="116" s="1"/>
  <c r="K1084" i="116" s="1"/>
  <c r="G1084" i="116"/>
  <c r="M1083" i="116"/>
  <c r="L1083" i="116"/>
  <c r="K1083" i="116"/>
  <c r="H1083" i="116"/>
  <c r="J1083" i="116" s="1"/>
  <c r="G1083" i="116"/>
  <c r="M1082" i="116"/>
  <c r="L1082" i="116"/>
  <c r="K1082" i="116"/>
  <c r="H1082" i="116"/>
  <c r="J1082" i="116" s="1"/>
  <c r="G1082" i="116"/>
  <c r="M1081" i="116"/>
  <c r="L1081" i="116"/>
  <c r="K1081" i="116"/>
  <c r="H1081" i="116"/>
  <c r="J1081" i="116" s="1"/>
  <c r="G1081" i="116"/>
  <c r="M1080" i="116"/>
  <c r="L1080" i="116"/>
  <c r="K1080" i="116"/>
  <c r="H1080" i="116"/>
  <c r="J1080" i="116" s="1"/>
  <c r="G1080" i="116"/>
  <c r="M1079" i="116"/>
  <c r="L1079" i="116"/>
  <c r="H1079" i="116"/>
  <c r="J1079" i="116" s="1"/>
  <c r="K1079" i="116" s="1"/>
  <c r="G1079" i="116"/>
  <c r="M1078" i="116"/>
  <c r="L1078" i="116"/>
  <c r="H1078" i="116"/>
  <c r="J1078" i="116" s="1"/>
  <c r="K1078" i="116" s="1"/>
  <c r="G1078" i="116"/>
  <c r="M1077" i="116"/>
  <c r="L1077" i="116"/>
  <c r="K1077" i="116"/>
  <c r="H1077" i="116"/>
  <c r="J1077" i="116" s="1"/>
  <c r="G1077" i="116"/>
  <c r="M1076" i="116"/>
  <c r="L1076" i="116"/>
  <c r="H1076" i="116"/>
  <c r="J1076" i="116" s="1"/>
  <c r="K1076" i="116" s="1"/>
  <c r="G1076" i="116"/>
  <c r="M1075" i="116"/>
  <c r="L1075" i="116"/>
  <c r="K1075" i="116"/>
  <c r="H1075" i="116"/>
  <c r="J1075" i="116" s="1"/>
  <c r="G1075" i="116"/>
  <c r="M1074" i="116"/>
  <c r="L1074" i="116"/>
  <c r="H1074" i="116"/>
  <c r="J1074" i="116" s="1"/>
  <c r="K1074" i="116" s="1"/>
  <c r="G1074" i="116"/>
  <c r="M1073" i="116"/>
  <c r="L1073" i="116"/>
  <c r="K1073" i="116"/>
  <c r="H1073" i="116"/>
  <c r="J1073" i="116" s="1"/>
  <c r="G1073" i="116"/>
  <c r="M1072" i="116"/>
  <c r="L1072" i="116"/>
  <c r="K1072" i="116"/>
  <c r="H1072" i="116"/>
  <c r="J1072" i="116" s="1"/>
  <c r="G1072" i="116"/>
  <c r="M1071" i="116"/>
  <c r="L1071" i="116"/>
  <c r="K1071" i="116"/>
  <c r="H1071" i="116"/>
  <c r="J1071" i="116" s="1"/>
  <c r="G1071" i="116"/>
  <c r="M1070" i="116"/>
  <c r="L1070" i="116"/>
  <c r="H1070" i="116"/>
  <c r="J1070" i="116" s="1"/>
  <c r="K1070" i="116" s="1"/>
  <c r="G1070" i="116"/>
  <c r="M1069" i="116"/>
  <c r="L1069" i="116"/>
  <c r="K1069" i="116"/>
  <c r="H1069" i="116"/>
  <c r="J1069" i="116" s="1"/>
  <c r="G1069" i="116"/>
  <c r="M1068" i="116"/>
  <c r="L1068" i="116"/>
  <c r="H1068" i="116"/>
  <c r="J1068" i="116" s="1"/>
  <c r="K1068" i="116" s="1"/>
  <c r="G1068" i="116"/>
  <c r="M1067" i="116"/>
  <c r="L1067" i="116"/>
  <c r="K1067" i="116"/>
  <c r="H1067" i="116"/>
  <c r="J1067" i="116" s="1"/>
  <c r="G1067" i="116"/>
  <c r="M1066" i="116"/>
  <c r="L1066" i="116"/>
  <c r="H1066" i="116"/>
  <c r="J1066" i="116" s="1"/>
  <c r="K1066" i="116" s="1"/>
  <c r="G1066" i="116"/>
  <c r="M1065" i="116"/>
  <c r="L1065" i="116"/>
  <c r="K1065" i="116"/>
  <c r="H1065" i="116"/>
  <c r="J1065" i="116" s="1"/>
  <c r="G1065" i="116"/>
  <c r="M1064" i="116"/>
  <c r="L1064" i="116"/>
  <c r="K1064" i="116"/>
  <c r="H1064" i="116"/>
  <c r="J1064" i="116" s="1"/>
  <c r="G1064" i="116"/>
  <c r="M1063" i="116"/>
  <c r="L1063" i="116"/>
  <c r="H1063" i="116"/>
  <c r="J1063" i="116" s="1"/>
  <c r="K1063" i="116" s="1"/>
  <c r="G1063" i="116"/>
  <c r="M1062" i="116"/>
  <c r="L1062" i="116"/>
  <c r="H1062" i="116"/>
  <c r="J1062" i="116" s="1"/>
  <c r="K1062" i="116" s="1"/>
  <c r="G1062" i="116"/>
  <c r="M1061" i="116"/>
  <c r="L1061" i="116"/>
  <c r="K1061" i="116"/>
  <c r="H1061" i="116"/>
  <c r="J1061" i="116" s="1"/>
  <c r="G1061" i="116"/>
  <c r="M1060" i="116"/>
  <c r="L1060" i="116"/>
  <c r="H1060" i="116"/>
  <c r="J1060" i="116" s="1"/>
  <c r="K1060" i="116" s="1"/>
  <c r="G1060" i="116"/>
  <c r="M1059" i="116"/>
  <c r="L1059" i="116"/>
  <c r="K1059" i="116"/>
  <c r="H1059" i="116"/>
  <c r="J1059" i="116" s="1"/>
  <c r="G1059" i="116"/>
  <c r="M1058" i="116"/>
  <c r="L1058" i="116"/>
  <c r="K1058" i="116"/>
  <c r="H1058" i="116"/>
  <c r="J1058" i="116" s="1"/>
  <c r="G1058" i="116"/>
  <c r="M1057" i="116"/>
  <c r="L1057" i="116"/>
  <c r="K1057" i="116"/>
  <c r="H1057" i="116"/>
  <c r="J1057" i="116" s="1"/>
  <c r="G1057" i="116"/>
  <c r="M1056" i="116"/>
  <c r="L1056" i="116"/>
  <c r="K1056" i="116"/>
  <c r="H1056" i="116"/>
  <c r="J1056" i="116" s="1"/>
  <c r="G1056" i="116"/>
  <c r="M1055" i="116"/>
  <c r="L1055" i="116"/>
  <c r="H1055" i="116"/>
  <c r="J1055" i="116" s="1"/>
  <c r="K1055" i="116" s="1"/>
  <c r="G1055" i="116"/>
  <c r="M1054" i="116"/>
  <c r="L1054" i="116"/>
  <c r="H1054" i="116"/>
  <c r="J1054" i="116" s="1"/>
  <c r="K1054" i="116" s="1"/>
  <c r="G1054" i="116"/>
  <c r="M1053" i="116"/>
  <c r="L1053" i="116"/>
  <c r="K1053" i="116"/>
  <c r="H1053" i="116"/>
  <c r="J1053" i="116" s="1"/>
  <c r="G1053" i="116"/>
  <c r="M1052" i="116"/>
  <c r="L1052" i="116"/>
  <c r="H1052" i="116"/>
  <c r="J1052" i="116" s="1"/>
  <c r="K1052" i="116" s="1"/>
  <c r="G1052" i="116"/>
  <c r="M1051" i="116"/>
  <c r="L1051" i="116"/>
  <c r="K1051" i="116"/>
  <c r="H1051" i="116"/>
  <c r="J1051" i="116" s="1"/>
  <c r="G1051" i="116"/>
  <c r="M1050" i="116"/>
  <c r="L1050" i="116"/>
  <c r="K1050" i="116"/>
  <c r="H1050" i="116"/>
  <c r="J1050" i="116" s="1"/>
  <c r="G1050" i="116"/>
  <c r="M1049" i="116"/>
  <c r="L1049" i="116"/>
  <c r="K1049" i="116"/>
  <c r="H1049" i="116"/>
  <c r="J1049" i="116" s="1"/>
  <c r="G1049" i="116"/>
  <c r="M1048" i="116"/>
  <c r="L1048" i="116"/>
  <c r="K1048" i="116"/>
  <c r="H1048" i="116"/>
  <c r="J1048" i="116" s="1"/>
  <c r="G1048" i="116"/>
  <c r="M1047" i="116"/>
  <c r="L1047" i="116"/>
  <c r="H1047" i="116"/>
  <c r="J1047" i="116" s="1"/>
  <c r="K1047" i="116" s="1"/>
  <c r="G1047" i="116"/>
  <c r="M1046" i="116"/>
  <c r="L1046" i="116"/>
  <c r="H1046" i="116"/>
  <c r="J1046" i="116" s="1"/>
  <c r="K1046" i="116" s="1"/>
  <c r="G1046" i="116"/>
  <c r="M1045" i="116"/>
  <c r="L1045" i="116"/>
  <c r="K1045" i="116"/>
  <c r="H1045" i="116"/>
  <c r="J1045" i="116" s="1"/>
  <c r="G1045" i="116"/>
  <c r="M1044" i="116"/>
  <c r="L1044" i="116"/>
  <c r="H1044" i="116"/>
  <c r="J1044" i="116" s="1"/>
  <c r="K1044" i="116" s="1"/>
  <c r="G1044" i="116"/>
  <c r="M1043" i="116"/>
  <c r="L1043" i="116"/>
  <c r="K1043" i="116"/>
  <c r="H1043" i="116"/>
  <c r="J1043" i="116" s="1"/>
  <c r="G1043" i="116"/>
  <c r="M1042" i="116"/>
  <c r="L1042" i="116"/>
  <c r="H1042" i="116"/>
  <c r="J1042" i="116" s="1"/>
  <c r="K1042" i="116" s="1"/>
  <c r="G1042" i="116"/>
  <c r="M1041" i="116"/>
  <c r="L1041" i="116"/>
  <c r="K1041" i="116"/>
  <c r="H1041" i="116"/>
  <c r="J1041" i="116" s="1"/>
  <c r="G1041" i="116"/>
  <c r="M1040" i="116"/>
  <c r="L1040" i="116"/>
  <c r="K1040" i="116"/>
  <c r="H1040" i="116"/>
  <c r="J1040" i="116" s="1"/>
  <c r="G1040" i="116"/>
  <c r="M1039" i="116"/>
  <c r="L1039" i="116"/>
  <c r="K1039" i="116"/>
  <c r="H1039" i="116"/>
  <c r="J1039" i="116" s="1"/>
  <c r="G1039" i="116"/>
  <c r="M1038" i="116"/>
  <c r="L1038" i="116"/>
  <c r="H1038" i="116"/>
  <c r="J1038" i="116" s="1"/>
  <c r="K1038" i="116" s="1"/>
  <c r="G1038" i="116"/>
  <c r="M1037" i="116"/>
  <c r="L1037" i="116"/>
  <c r="K1037" i="116"/>
  <c r="H1037" i="116"/>
  <c r="J1037" i="116" s="1"/>
  <c r="G1037" i="116"/>
  <c r="M1036" i="116"/>
  <c r="L1036" i="116"/>
  <c r="H1036" i="116"/>
  <c r="J1036" i="116" s="1"/>
  <c r="K1036" i="116" s="1"/>
  <c r="G1036" i="116"/>
  <c r="M1035" i="116"/>
  <c r="L1035" i="116"/>
  <c r="K1035" i="116"/>
  <c r="H1035" i="116"/>
  <c r="J1035" i="116" s="1"/>
  <c r="G1035" i="116"/>
  <c r="M1034" i="116"/>
  <c r="L1034" i="116"/>
  <c r="K1034" i="116"/>
  <c r="H1034" i="116"/>
  <c r="J1034" i="116" s="1"/>
  <c r="G1034" i="116"/>
  <c r="M1033" i="116"/>
  <c r="L1033" i="116"/>
  <c r="K1033" i="116"/>
  <c r="H1033" i="116"/>
  <c r="J1033" i="116" s="1"/>
  <c r="G1033" i="116"/>
  <c r="M1032" i="116"/>
  <c r="L1032" i="116"/>
  <c r="K1032" i="116"/>
  <c r="H1032" i="116"/>
  <c r="J1032" i="116" s="1"/>
  <c r="G1032" i="116"/>
  <c r="M1031" i="116"/>
  <c r="L1031" i="116"/>
  <c r="H1031" i="116"/>
  <c r="J1031" i="116" s="1"/>
  <c r="K1031" i="116" s="1"/>
  <c r="G1031" i="116"/>
  <c r="M1030" i="116"/>
  <c r="L1030" i="116"/>
  <c r="H1030" i="116"/>
  <c r="J1030" i="116" s="1"/>
  <c r="K1030" i="116" s="1"/>
  <c r="G1030" i="116"/>
  <c r="M1029" i="116"/>
  <c r="L1029" i="116"/>
  <c r="K1029" i="116"/>
  <c r="H1029" i="116"/>
  <c r="J1029" i="116" s="1"/>
  <c r="G1029" i="116"/>
  <c r="M1028" i="116"/>
  <c r="L1028" i="116"/>
  <c r="H1028" i="116"/>
  <c r="J1028" i="116" s="1"/>
  <c r="K1028" i="116" s="1"/>
  <c r="G1028" i="116"/>
  <c r="M1027" i="116"/>
  <c r="L1027" i="116"/>
  <c r="K1027" i="116"/>
  <c r="H1027" i="116"/>
  <c r="J1027" i="116" s="1"/>
  <c r="G1027" i="116"/>
  <c r="M1026" i="116"/>
  <c r="L1026" i="116"/>
  <c r="K1026" i="116"/>
  <c r="H1026" i="116"/>
  <c r="J1026" i="116" s="1"/>
  <c r="G1026" i="116"/>
  <c r="M1025" i="116"/>
  <c r="L1025" i="116"/>
  <c r="K1025" i="116"/>
  <c r="H1025" i="116"/>
  <c r="J1025" i="116" s="1"/>
  <c r="G1025" i="116"/>
  <c r="M1024" i="116"/>
  <c r="L1024" i="116"/>
  <c r="K1024" i="116"/>
  <c r="H1024" i="116"/>
  <c r="J1024" i="116" s="1"/>
  <c r="G1024" i="116"/>
  <c r="M1023" i="116"/>
  <c r="L1023" i="116"/>
  <c r="H1023" i="116"/>
  <c r="J1023" i="116" s="1"/>
  <c r="K1023" i="116" s="1"/>
  <c r="G1023" i="116"/>
  <c r="M1022" i="116"/>
  <c r="L1022" i="116"/>
  <c r="H1022" i="116"/>
  <c r="J1022" i="116" s="1"/>
  <c r="K1022" i="116" s="1"/>
  <c r="G1022" i="116"/>
  <c r="M1021" i="116"/>
  <c r="L1021" i="116"/>
  <c r="K1021" i="116"/>
  <c r="H1021" i="116"/>
  <c r="J1021" i="116" s="1"/>
  <c r="G1021" i="116"/>
  <c r="M1020" i="116"/>
  <c r="L1020" i="116"/>
  <c r="H1020" i="116"/>
  <c r="J1020" i="116" s="1"/>
  <c r="K1020" i="116" s="1"/>
  <c r="G1020" i="116"/>
  <c r="M1019" i="116"/>
  <c r="L1019" i="116"/>
  <c r="K1019" i="116"/>
  <c r="H1019" i="116"/>
  <c r="J1019" i="116" s="1"/>
  <c r="G1019" i="116"/>
  <c r="M1018" i="116"/>
  <c r="L1018" i="116"/>
  <c r="K1018" i="116"/>
  <c r="H1018" i="116"/>
  <c r="J1018" i="116" s="1"/>
  <c r="G1018" i="116"/>
  <c r="M1017" i="116"/>
  <c r="L1017" i="116"/>
  <c r="K1017" i="116"/>
  <c r="H1017" i="116"/>
  <c r="J1017" i="116" s="1"/>
  <c r="G1017" i="116"/>
  <c r="M1016" i="116"/>
  <c r="L1016" i="116"/>
  <c r="K1016" i="116"/>
  <c r="H1016" i="116"/>
  <c r="J1016" i="116" s="1"/>
  <c r="G1016" i="116"/>
  <c r="M1015" i="116"/>
  <c r="L1015" i="116"/>
  <c r="H1015" i="116"/>
  <c r="J1015" i="116" s="1"/>
  <c r="K1015" i="116" s="1"/>
  <c r="G1015" i="116"/>
  <c r="M1014" i="116"/>
  <c r="L1014" i="116"/>
  <c r="H1014" i="116"/>
  <c r="J1014" i="116" s="1"/>
  <c r="K1014" i="116" s="1"/>
  <c r="G1014" i="116"/>
  <c r="M1013" i="116"/>
  <c r="L1013" i="116"/>
  <c r="K1013" i="116"/>
  <c r="H1013" i="116"/>
  <c r="J1013" i="116" s="1"/>
  <c r="G1013" i="116"/>
  <c r="M1012" i="116"/>
  <c r="L1012" i="116"/>
  <c r="H1012" i="116"/>
  <c r="J1012" i="116" s="1"/>
  <c r="K1012" i="116" s="1"/>
  <c r="G1012" i="116"/>
  <c r="M1011" i="116"/>
  <c r="L1011" i="116"/>
  <c r="G1011" i="116"/>
  <c r="H1011" i="116" s="1"/>
  <c r="J1011" i="116" s="1"/>
  <c r="K1011" i="116" s="1"/>
  <c r="M1010" i="116"/>
  <c r="L1010" i="116"/>
  <c r="K1010" i="116"/>
  <c r="J1010" i="116"/>
  <c r="H1010" i="116"/>
  <c r="G1010" i="116"/>
  <c r="M1009" i="116"/>
  <c r="L1009" i="116"/>
  <c r="J1009" i="116"/>
  <c r="K1009" i="116" s="1"/>
  <c r="G1009" i="116"/>
  <c r="H1009" i="116" s="1"/>
  <c r="M1008" i="116"/>
  <c r="L1008" i="116"/>
  <c r="G1008" i="116"/>
  <c r="H1008" i="116" s="1"/>
  <c r="J1008" i="116" s="1"/>
  <c r="K1008" i="116" s="1"/>
  <c r="M1007" i="116"/>
  <c r="L1007" i="116"/>
  <c r="G1007" i="116"/>
  <c r="H1007" i="116" s="1"/>
  <c r="J1007" i="116" s="1"/>
  <c r="K1007" i="116" s="1"/>
  <c r="M1006" i="116"/>
  <c r="L1006" i="116"/>
  <c r="K1006" i="116"/>
  <c r="J1006" i="116"/>
  <c r="H1006" i="116"/>
  <c r="G1006" i="116"/>
  <c r="M1005" i="116"/>
  <c r="L1005" i="116"/>
  <c r="H1005" i="116"/>
  <c r="J1005" i="116" s="1"/>
  <c r="K1005" i="116" s="1"/>
  <c r="G1005" i="116"/>
  <c r="M1004" i="116"/>
  <c r="L1004" i="116"/>
  <c r="G1004" i="116"/>
  <c r="H1004" i="116" s="1"/>
  <c r="J1004" i="116" s="1"/>
  <c r="K1004" i="116" s="1"/>
  <c r="M1003" i="116"/>
  <c r="L1003" i="116"/>
  <c r="G1003" i="116"/>
  <c r="H1003" i="116" s="1"/>
  <c r="J1003" i="116" s="1"/>
  <c r="K1003" i="116" s="1"/>
  <c r="M1002" i="116"/>
  <c r="L1002" i="116"/>
  <c r="J1002" i="116"/>
  <c r="K1002" i="116" s="1"/>
  <c r="H1002" i="116"/>
  <c r="G1002" i="116"/>
  <c r="M1001" i="116"/>
  <c r="L1001" i="116"/>
  <c r="H1001" i="116"/>
  <c r="J1001" i="116" s="1"/>
  <c r="K1001" i="116" s="1"/>
  <c r="G1001" i="116"/>
  <c r="M1000" i="116"/>
  <c r="L1000" i="116"/>
  <c r="G1000" i="116"/>
  <c r="H1000" i="116" s="1"/>
  <c r="J1000" i="116" s="1"/>
  <c r="K1000" i="116" s="1"/>
  <c r="M999" i="116"/>
  <c r="L999" i="116"/>
  <c r="G999" i="116"/>
  <c r="H999" i="116" s="1"/>
  <c r="J999" i="116" s="1"/>
  <c r="K999" i="116" s="1"/>
  <c r="M998" i="116"/>
  <c r="L998" i="116"/>
  <c r="J998" i="116"/>
  <c r="K998" i="116" s="1"/>
  <c r="H998" i="116"/>
  <c r="G998" i="116"/>
  <c r="M997" i="116"/>
  <c r="L997" i="116"/>
  <c r="G997" i="116"/>
  <c r="H997" i="116" s="1"/>
  <c r="J997" i="116" s="1"/>
  <c r="K997" i="116" s="1"/>
  <c r="M996" i="116"/>
  <c r="L996" i="116"/>
  <c r="G996" i="116"/>
  <c r="H996" i="116" s="1"/>
  <c r="J996" i="116" s="1"/>
  <c r="K996" i="116" s="1"/>
  <c r="M995" i="116"/>
  <c r="L995" i="116"/>
  <c r="G995" i="116"/>
  <c r="H995" i="116" s="1"/>
  <c r="J995" i="116" s="1"/>
  <c r="K995" i="116" s="1"/>
  <c r="M994" i="116"/>
  <c r="L994" i="116"/>
  <c r="K994" i="116"/>
  <c r="J994" i="116"/>
  <c r="H994" i="116"/>
  <c r="G994" i="116"/>
  <c r="M993" i="116"/>
  <c r="L993" i="116"/>
  <c r="G993" i="116"/>
  <c r="H993" i="116" s="1"/>
  <c r="J993" i="116" s="1"/>
  <c r="K993" i="116" s="1"/>
  <c r="M992" i="116"/>
  <c r="L992" i="116"/>
  <c r="G992" i="116"/>
  <c r="H992" i="116" s="1"/>
  <c r="J992" i="116" s="1"/>
  <c r="K992" i="116" s="1"/>
  <c r="M991" i="116"/>
  <c r="L991" i="116"/>
  <c r="G991" i="116"/>
  <c r="H991" i="116" s="1"/>
  <c r="J991" i="116" s="1"/>
  <c r="K991" i="116" s="1"/>
  <c r="M990" i="116"/>
  <c r="L990" i="116"/>
  <c r="J990" i="116"/>
  <c r="K990" i="116" s="1"/>
  <c r="H990" i="116"/>
  <c r="G990" i="116"/>
  <c r="M989" i="116"/>
  <c r="L989" i="116"/>
  <c r="H989" i="116"/>
  <c r="J989" i="116" s="1"/>
  <c r="K989" i="116" s="1"/>
  <c r="G989" i="116"/>
  <c r="M988" i="116"/>
  <c r="L988" i="116"/>
  <c r="G988" i="116"/>
  <c r="H988" i="116" s="1"/>
  <c r="J988" i="116" s="1"/>
  <c r="K988" i="116" s="1"/>
  <c r="M987" i="116"/>
  <c r="L987" i="116"/>
  <c r="G987" i="116"/>
  <c r="H987" i="116" s="1"/>
  <c r="J987" i="116" s="1"/>
  <c r="K987" i="116" s="1"/>
  <c r="M986" i="116"/>
  <c r="L986" i="116"/>
  <c r="K986" i="116"/>
  <c r="J986" i="116"/>
  <c r="H986" i="116"/>
  <c r="G986" i="116"/>
  <c r="M985" i="116"/>
  <c r="L985" i="116"/>
  <c r="G985" i="116"/>
  <c r="H985" i="116" s="1"/>
  <c r="J985" i="116" s="1"/>
  <c r="K985" i="116" s="1"/>
  <c r="M984" i="116"/>
  <c r="L984" i="116"/>
  <c r="G984" i="116"/>
  <c r="H984" i="116" s="1"/>
  <c r="J984" i="116" s="1"/>
  <c r="K984" i="116" s="1"/>
  <c r="M983" i="116"/>
  <c r="L983" i="116"/>
  <c r="G983" i="116"/>
  <c r="H983" i="116" s="1"/>
  <c r="J983" i="116" s="1"/>
  <c r="K983" i="116" s="1"/>
  <c r="M982" i="116"/>
  <c r="L982" i="116"/>
  <c r="J982" i="116"/>
  <c r="K982" i="116" s="1"/>
  <c r="H982" i="116"/>
  <c r="G982" i="116"/>
  <c r="M981" i="116"/>
  <c r="L981" i="116"/>
  <c r="H981" i="116"/>
  <c r="J981" i="116" s="1"/>
  <c r="K981" i="116" s="1"/>
  <c r="G981" i="116"/>
  <c r="M980" i="116"/>
  <c r="L980" i="116"/>
  <c r="G980" i="116"/>
  <c r="H980" i="116" s="1"/>
  <c r="J980" i="116" s="1"/>
  <c r="K980" i="116" s="1"/>
  <c r="M979" i="116"/>
  <c r="L979" i="116"/>
  <c r="G979" i="116"/>
  <c r="H979" i="116" s="1"/>
  <c r="J979" i="116" s="1"/>
  <c r="K979" i="116" s="1"/>
  <c r="M978" i="116"/>
  <c r="L978" i="116"/>
  <c r="K978" i="116"/>
  <c r="J978" i="116"/>
  <c r="H978" i="116"/>
  <c r="G978" i="116"/>
  <c r="M977" i="116"/>
  <c r="L977" i="116"/>
  <c r="G977" i="116"/>
  <c r="H977" i="116" s="1"/>
  <c r="J977" i="116" s="1"/>
  <c r="K977" i="116" s="1"/>
  <c r="M976" i="116"/>
  <c r="L976" i="116"/>
  <c r="G976" i="116"/>
  <c r="H976" i="116" s="1"/>
  <c r="J976" i="116" s="1"/>
  <c r="K976" i="116" s="1"/>
  <c r="M975" i="116"/>
  <c r="L975" i="116"/>
  <c r="G975" i="116"/>
  <c r="H975" i="116" s="1"/>
  <c r="J975" i="116" s="1"/>
  <c r="K975" i="116" s="1"/>
  <c r="M974" i="116"/>
  <c r="L974" i="116"/>
  <c r="K974" i="116"/>
  <c r="J974" i="116"/>
  <c r="H974" i="116"/>
  <c r="G974" i="116"/>
  <c r="M973" i="116"/>
  <c r="L973" i="116"/>
  <c r="G973" i="116"/>
  <c r="H973" i="116" s="1"/>
  <c r="J973" i="116" s="1"/>
  <c r="K973" i="116" s="1"/>
  <c r="M972" i="116"/>
  <c r="L972" i="116"/>
  <c r="G972" i="116"/>
  <c r="H972" i="116" s="1"/>
  <c r="J972" i="116" s="1"/>
  <c r="K972" i="116" s="1"/>
  <c r="M971" i="116"/>
  <c r="L971" i="116"/>
  <c r="G971" i="116"/>
  <c r="H971" i="116" s="1"/>
  <c r="J971" i="116" s="1"/>
  <c r="K971" i="116" s="1"/>
  <c r="M970" i="116"/>
  <c r="L970" i="116"/>
  <c r="J970" i="116"/>
  <c r="K970" i="116" s="1"/>
  <c r="H970" i="116"/>
  <c r="G970" i="116"/>
  <c r="M969" i="116"/>
  <c r="L969" i="116"/>
  <c r="H969" i="116"/>
  <c r="J969" i="116" s="1"/>
  <c r="K969" i="116" s="1"/>
  <c r="G969" i="116"/>
  <c r="M968" i="116"/>
  <c r="L968" i="116"/>
  <c r="G968" i="116"/>
  <c r="H968" i="116" s="1"/>
  <c r="J968" i="116" s="1"/>
  <c r="K968" i="116" s="1"/>
  <c r="M967" i="116"/>
  <c r="L967" i="116"/>
  <c r="G967" i="116"/>
  <c r="H967" i="116" s="1"/>
  <c r="J967" i="116" s="1"/>
  <c r="K967" i="116" s="1"/>
  <c r="M966" i="116"/>
  <c r="L966" i="116"/>
  <c r="J966" i="116"/>
  <c r="K966" i="116" s="1"/>
  <c r="G966" i="116"/>
  <c r="H966" i="116" s="1"/>
  <c r="M965" i="116"/>
  <c r="L965" i="116"/>
  <c r="J965" i="116"/>
  <c r="K965" i="116" s="1"/>
  <c r="H965" i="116"/>
  <c r="G965" i="116"/>
  <c r="M964" i="116"/>
  <c r="L964" i="116"/>
  <c r="G964" i="116"/>
  <c r="H964" i="116" s="1"/>
  <c r="J964" i="116" s="1"/>
  <c r="K964" i="116" s="1"/>
  <c r="M963" i="116"/>
  <c r="L963" i="116"/>
  <c r="G963" i="116"/>
  <c r="H963" i="116" s="1"/>
  <c r="J963" i="116" s="1"/>
  <c r="K963" i="116" s="1"/>
  <c r="M962" i="116"/>
  <c r="L962" i="116"/>
  <c r="J962" i="116"/>
  <c r="K962" i="116" s="1"/>
  <c r="G962" i="116"/>
  <c r="H962" i="116" s="1"/>
  <c r="M961" i="116"/>
  <c r="L961" i="116"/>
  <c r="J961" i="116"/>
  <c r="K961" i="116" s="1"/>
  <c r="H961" i="116"/>
  <c r="G961" i="116"/>
  <c r="M960" i="116"/>
  <c r="L960" i="116"/>
  <c r="G960" i="116"/>
  <c r="H960" i="116" s="1"/>
  <c r="J960" i="116" s="1"/>
  <c r="K960" i="116" s="1"/>
  <c r="M959" i="116"/>
  <c r="L959" i="116"/>
  <c r="G959" i="116"/>
  <c r="H959" i="116" s="1"/>
  <c r="J959" i="116" s="1"/>
  <c r="K959" i="116" s="1"/>
  <c r="M958" i="116"/>
  <c r="L958" i="116"/>
  <c r="J958" i="116"/>
  <c r="K958" i="116" s="1"/>
  <c r="G958" i="116"/>
  <c r="H958" i="116" s="1"/>
  <c r="M957" i="116"/>
  <c r="L957" i="116"/>
  <c r="H957" i="116"/>
  <c r="J957" i="116" s="1"/>
  <c r="K957" i="116" s="1"/>
  <c r="G957" i="116"/>
  <c r="M956" i="116"/>
  <c r="L956" i="116"/>
  <c r="G956" i="116"/>
  <c r="H956" i="116" s="1"/>
  <c r="J956" i="116" s="1"/>
  <c r="K956" i="116" s="1"/>
  <c r="M955" i="116"/>
  <c r="L955" i="116"/>
  <c r="G955" i="116"/>
  <c r="H955" i="116" s="1"/>
  <c r="J955" i="116" s="1"/>
  <c r="K955" i="116" s="1"/>
  <c r="M954" i="116"/>
  <c r="L954" i="116"/>
  <c r="J954" i="116"/>
  <c r="K954" i="116" s="1"/>
  <c r="G954" i="116"/>
  <c r="H954" i="116" s="1"/>
  <c r="M953" i="116"/>
  <c r="L953" i="116"/>
  <c r="J953" i="116"/>
  <c r="K953" i="116" s="1"/>
  <c r="H953" i="116"/>
  <c r="G953" i="116"/>
  <c r="M952" i="116"/>
  <c r="L952" i="116"/>
  <c r="G952" i="116"/>
  <c r="H952" i="116" s="1"/>
  <c r="J952" i="116" s="1"/>
  <c r="K952" i="116" s="1"/>
  <c r="M951" i="116"/>
  <c r="L951" i="116"/>
  <c r="G951" i="116"/>
  <c r="H951" i="116" s="1"/>
  <c r="J951" i="116" s="1"/>
  <c r="K951" i="116" s="1"/>
  <c r="M950" i="116"/>
  <c r="L950" i="116"/>
  <c r="J950" i="116"/>
  <c r="K950" i="116" s="1"/>
  <c r="G950" i="116"/>
  <c r="H950" i="116" s="1"/>
  <c r="M949" i="116"/>
  <c r="L949" i="116"/>
  <c r="J949" i="116"/>
  <c r="K949" i="116" s="1"/>
  <c r="H949" i="116"/>
  <c r="G949" i="116"/>
  <c r="M948" i="116"/>
  <c r="L948" i="116"/>
  <c r="G948" i="116"/>
  <c r="H948" i="116" s="1"/>
  <c r="J948" i="116" s="1"/>
  <c r="K948" i="116" s="1"/>
  <c r="M947" i="116"/>
  <c r="L947" i="116"/>
  <c r="G947" i="116"/>
  <c r="H947" i="116" s="1"/>
  <c r="J947" i="116" s="1"/>
  <c r="K947" i="116" s="1"/>
  <c r="M946" i="116"/>
  <c r="L946" i="116"/>
  <c r="J946" i="116"/>
  <c r="K946" i="116" s="1"/>
  <c r="G946" i="116"/>
  <c r="H946" i="116" s="1"/>
  <c r="M945" i="116"/>
  <c r="L945" i="116"/>
  <c r="H945" i="116"/>
  <c r="J945" i="116" s="1"/>
  <c r="K945" i="116" s="1"/>
  <c r="G945" i="116"/>
  <c r="M944" i="116"/>
  <c r="L944" i="116"/>
  <c r="G944" i="116"/>
  <c r="H944" i="116" s="1"/>
  <c r="J944" i="116" s="1"/>
  <c r="K944" i="116" s="1"/>
  <c r="M943" i="116"/>
  <c r="L943" i="116"/>
  <c r="G943" i="116"/>
  <c r="H943" i="116" s="1"/>
  <c r="J943" i="116" s="1"/>
  <c r="K943" i="116" s="1"/>
  <c r="M942" i="116"/>
  <c r="L942" i="116"/>
  <c r="J942" i="116"/>
  <c r="K942" i="116" s="1"/>
  <c r="G942" i="116"/>
  <c r="H942" i="116" s="1"/>
  <c r="M941" i="116"/>
  <c r="L941" i="116"/>
  <c r="H941" i="116"/>
  <c r="J941" i="116" s="1"/>
  <c r="K941" i="116" s="1"/>
  <c r="G941" i="116"/>
  <c r="M940" i="116"/>
  <c r="L940" i="116"/>
  <c r="G940" i="116"/>
  <c r="H940" i="116" s="1"/>
  <c r="J940" i="116" s="1"/>
  <c r="K940" i="116" s="1"/>
  <c r="M939" i="116"/>
  <c r="L939" i="116"/>
  <c r="G939" i="116"/>
  <c r="H939" i="116" s="1"/>
  <c r="J939" i="116" s="1"/>
  <c r="K939" i="116" s="1"/>
  <c r="M938" i="116"/>
  <c r="L938" i="116"/>
  <c r="J938" i="116"/>
  <c r="K938" i="116" s="1"/>
  <c r="G938" i="116"/>
  <c r="H938" i="116" s="1"/>
  <c r="M937" i="116"/>
  <c r="L937" i="116"/>
  <c r="H937" i="116"/>
  <c r="J937" i="116" s="1"/>
  <c r="K937" i="116" s="1"/>
  <c r="G937" i="116"/>
  <c r="M936" i="116"/>
  <c r="L936" i="116"/>
  <c r="G936" i="116"/>
  <c r="H936" i="116" s="1"/>
  <c r="J936" i="116" s="1"/>
  <c r="K936" i="116" s="1"/>
  <c r="M935" i="116"/>
  <c r="L935" i="116"/>
  <c r="G935" i="116"/>
  <c r="H935" i="116" s="1"/>
  <c r="J935" i="116" s="1"/>
  <c r="K935" i="116" s="1"/>
  <c r="M934" i="116"/>
  <c r="L934" i="116"/>
  <c r="J934" i="116"/>
  <c r="K934" i="116" s="1"/>
  <c r="G934" i="116"/>
  <c r="H934" i="116" s="1"/>
  <c r="M933" i="116"/>
  <c r="L933" i="116"/>
  <c r="J933" i="116"/>
  <c r="K933" i="116" s="1"/>
  <c r="H933" i="116"/>
  <c r="G933" i="116"/>
  <c r="M932" i="116"/>
  <c r="L932" i="116"/>
  <c r="G932" i="116"/>
  <c r="H932" i="116" s="1"/>
  <c r="J932" i="116" s="1"/>
  <c r="K932" i="116" s="1"/>
  <c r="M931" i="116"/>
  <c r="L931" i="116"/>
  <c r="G931" i="116"/>
  <c r="H931" i="116" s="1"/>
  <c r="J931" i="116" s="1"/>
  <c r="K931" i="116" s="1"/>
  <c r="M930" i="116"/>
  <c r="L930" i="116"/>
  <c r="J930" i="116"/>
  <c r="K930" i="116" s="1"/>
  <c r="G930" i="116"/>
  <c r="H930" i="116" s="1"/>
  <c r="M929" i="116"/>
  <c r="L929" i="116"/>
  <c r="J929" i="116"/>
  <c r="K929" i="116" s="1"/>
  <c r="H929" i="116"/>
  <c r="G929" i="116"/>
  <c r="M928" i="116"/>
  <c r="L928" i="116"/>
  <c r="G928" i="116"/>
  <c r="H928" i="116" s="1"/>
  <c r="J928" i="116" s="1"/>
  <c r="K928" i="116" s="1"/>
  <c r="M927" i="116"/>
  <c r="L927" i="116"/>
  <c r="G927" i="116"/>
  <c r="H927" i="116" s="1"/>
  <c r="J927" i="116" s="1"/>
  <c r="K927" i="116" s="1"/>
  <c r="M926" i="116"/>
  <c r="L926" i="116"/>
  <c r="J926" i="116"/>
  <c r="K926" i="116" s="1"/>
  <c r="G926" i="116"/>
  <c r="H926" i="116" s="1"/>
  <c r="M925" i="116"/>
  <c r="L925" i="116"/>
  <c r="H925" i="116"/>
  <c r="J925" i="116" s="1"/>
  <c r="K925" i="116" s="1"/>
  <c r="G925" i="116"/>
  <c r="M924" i="116"/>
  <c r="L924" i="116"/>
  <c r="G924" i="116"/>
  <c r="H924" i="116" s="1"/>
  <c r="J924" i="116" s="1"/>
  <c r="K924" i="116" s="1"/>
  <c r="M923" i="116"/>
  <c r="L923" i="116"/>
  <c r="G923" i="116"/>
  <c r="H923" i="116" s="1"/>
  <c r="J923" i="116" s="1"/>
  <c r="K923" i="116" s="1"/>
  <c r="M922" i="116"/>
  <c r="L922" i="116"/>
  <c r="G922" i="116"/>
  <c r="H922" i="116" s="1"/>
  <c r="J922" i="116" s="1"/>
  <c r="K922" i="116" s="1"/>
  <c r="M921" i="116"/>
  <c r="L921" i="116"/>
  <c r="J921" i="116"/>
  <c r="K921" i="116" s="1"/>
  <c r="H921" i="116"/>
  <c r="G921" i="116"/>
  <c r="M920" i="116"/>
  <c r="L920" i="116"/>
  <c r="G920" i="116"/>
  <c r="H920" i="116" s="1"/>
  <c r="J920" i="116" s="1"/>
  <c r="K920" i="116" s="1"/>
  <c r="M919" i="116"/>
  <c r="L919" i="116"/>
  <c r="G919" i="116"/>
  <c r="H919" i="116" s="1"/>
  <c r="J919" i="116" s="1"/>
  <c r="K919" i="116" s="1"/>
  <c r="M918" i="116"/>
  <c r="L918" i="116"/>
  <c r="G918" i="116"/>
  <c r="H918" i="116" s="1"/>
  <c r="J918" i="116" s="1"/>
  <c r="K918" i="116" s="1"/>
  <c r="M917" i="116"/>
  <c r="L917" i="116"/>
  <c r="H917" i="116"/>
  <c r="J917" i="116" s="1"/>
  <c r="K917" i="116" s="1"/>
  <c r="G917" i="116"/>
  <c r="M916" i="116"/>
  <c r="L916" i="116"/>
  <c r="G916" i="116"/>
  <c r="H916" i="116" s="1"/>
  <c r="J916" i="116" s="1"/>
  <c r="K916" i="116" s="1"/>
  <c r="M915" i="116"/>
  <c r="L915" i="116"/>
  <c r="G915" i="116"/>
  <c r="H915" i="116" s="1"/>
  <c r="J915" i="116" s="1"/>
  <c r="K915" i="116" s="1"/>
  <c r="M914" i="116"/>
  <c r="L914" i="116"/>
  <c r="G914" i="116"/>
  <c r="H914" i="116" s="1"/>
  <c r="J914" i="116" s="1"/>
  <c r="K914" i="116" s="1"/>
  <c r="M913" i="116"/>
  <c r="L913" i="116"/>
  <c r="J913" i="116"/>
  <c r="K913" i="116" s="1"/>
  <c r="H913" i="116"/>
  <c r="G913" i="116"/>
  <c r="M912" i="116"/>
  <c r="L912" i="116"/>
  <c r="G912" i="116"/>
  <c r="H912" i="116" s="1"/>
  <c r="J912" i="116" s="1"/>
  <c r="K912" i="116" s="1"/>
  <c r="M911" i="116"/>
  <c r="L911" i="116"/>
  <c r="G911" i="116"/>
  <c r="H911" i="116" s="1"/>
  <c r="J911" i="116" s="1"/>
  <c r="K911" i="116" s="1"/>
  <c r="M910" i="116"/>
  <c r="L910" i="116"/>
  <c r="G910" i="116"/>
  <c r="H910" i="116" s="1"/>
  <c r="J910" i="116" s="1"/>
  <c r="K910" i="116" s="1"/>
  <c r="M909" i="116"/>
  <c r="L909" i="116"/>
  <c r="H909" i="116"/>
  <c r="J909" i="116" s="1"/>
  <c r="K909" i="116" s="1"/>
  <c r="G909" i="116"/>
  <c r="M908" i="116"/>
  <c r="L908" i="116"/>
  <c r="G908" i="116"/>
  <c r="H908" i="116" s="1"/>
  <c r="J908" i="116" s="1"/>
  <c r="K908" i="116" s="1"/>
  <c r="M907" i="116"/>
  <c r="L907" i="116"/>
  <c r="G907" i="116"/>
  <c r="H907" i="116" s="1"/>
  <c r="J907" i="116" s="1"/>
  <c r="K907" i="116" s="1"/>
  <c r="M906" i="116"/>
  <c r="L906" i="116"/>
  <c r="G906" i="116"/>
  <c r="H906" i="116" s="1"/>
  <c r="J906" i="116" s="1"/>
  <c r="K906" i="116" s="1"/>
  <c r="M905" i="116"/>
  <c r="L905" i="116"/>
  <c r="J905" i="116"/>
  <c r="K905" i="116" s="1"/>
  <c r="H905" i="116"/>
  <c r="G905" i="116"/>
  <c r="M904" i="116"/>
  <c r="L904" i="116"/>
  <c r="G904" i="116"/>
  <c r="H904" i="116" s="1"/>
  <c r="J904" i="116" s="1"/>
  <c r="K904" i="116" s="1"/>
  <c r="M903" i="116"/>
  <c r="L903" i="116"/>
  <c r="G903" i="116"/>
  <c r="H903" i="116" s="1"/>
  <c r="J903" i="116" s="1"/>
  <c r="K903" i="116" s="1"/>
  <c r="M902" i="116"/>
  <c r="L902" i="116"/>
  <c r="G902" i="116"/>
  <c r="H902" i="116" s="1"/>
  <c r="J902" i="116" s="1"/>
  <c r="K902" i="116" s="1"/>
  <c r="M901" i="116"/>
  <c r="L901" i="116"/>
  <c r="G901" i="116"/>
  <c r="H901" i="116" s="1"/>
  <c r="J901" i="116" s="1"/>
  <c r="K901" i="116" s="1"/>
  <c r="M900" i="116"/>
  <c r="L900" i="116"/>
  <c r="J900" i="116"/>
  <c r="K900" i="116" s="1"/>
  <c r="G900" i="116"/>
  <c r="H900" i="116" s="1"/>
  <c r="M899" i="116"/>
  <c r="L899" i="116"/>
  <c r="G899" i="116"/>
  <c r="H899" i="116" s="1"/>
  <c r="J899" i="116" s="1"/>
  <c r="K899" i="116" s="1"/>
  <c r="M898" i="116"/>
  <c r="L898" i="116"/>
  <c r="J898" i="116"/>
  <c r="K898" i="116" s="1"/>
  <c r="G898" i="116"/>
  <c r="H898" i="116" s="1"/>
  <c r="M897" i="116"/>
  <c r="L897" i="116"/>
  <c r="G897" i="116"/>
  <c r="H897" i="116" s="1"/>
  <c r="J897" i="116" s="1"/>
  <c r="K897" i="116" s="1"/>
  <c r="M896" i="116"/>
  <c r="L896" i="116"/>
  <c r="G896" i="116"/>
  <c r="H896" i="116" s="1"/>
  <c r="J896" i="116" s="1"/>
  <c r="K896" i="116" s="1"/>
  <c r="M895" i="116"/>
  <c r="L895" i="116"/>
  <c r="G895" i="116"/>
  <c r="H895" i="116" s="1"/>
  <c r="J895" i="116" s="1"/>
  <c r="K895" i="116" s="1"/>
  <c r="M894" i="116"/>
  <c r="L894" i="116"/>
  <c r="G894" i="116"/>
  <c r="H894" i="116" s="1"/>
  <c r="J894" i="116" s="1"/>
  <c r="K894" i="116" s="1"/>
  <c r="M893" i="116"/>
  <c r="L893" i="116"/>
  <c r="G893" i="116"/>
  <c r="H893" i="116" s="1"/>
  <c r="J893" i="116" s="1"/>
  <c r="K893" i="116" s="1"/>
  <c r="M892" i="116"/>
  <c r="L892" i="116"/>
  <c r="G892" i="116"/>
  <c r="H892" i="116" s="1"/>
  <c r="J892" i="116" s="1"/>
  <c r="K892" i="116" s="1"/>
  <c r="M891" i="116"/>
  <c r="L891" i="116"/>
  <c r="G891" i="116"/>
  <c r="H891" i="116" s="1"/>
  <c r="J891" i="116" s="1"/>
  <c r="K891" i="116" s="1"/>
  <c r="M890" i="116"/>
  <c r="L890" i="116"/>
  <c r="J890" i="116"/>
  <c r="K890" i="116" s="1"/>
  <c r="G890" i="116"/>
  <c r="H890" i="116" s="1"/>
  <c r="M889" i="116"/>
  <c r="L889" i="116"/>
  <c r="G889" i="116"/>
  <c r="H889" i="116" s="1"/>
  <c r="J889" i="116" s="1"/>
  <c r="K889" i="116" s="1"/>
  <c r="M888" i="116"/>
  <c r="L888" i="116"/>
  <c r="J888" i="116"/>
  <c r="K888" i="116" s="1"/>
  <c r="G888" i="116"/>
  <c r="H888" i="116" s="1"/>
  <c r="M887" i="116"/>
  <c r="L887" i="116"/>
  <c r="G887" i="116"/>
  <c r="H887" i="116" s="1"/>
  <c r="J887" i="116" s="1"/>
  <c r="K887" i="116" s="1"/>
  <c r="M886" i="116"/>
  <c r="L886" i="116"/>
  <c r="J886" i="116"/>
  <c r="K886" i="116" s="1"/>
  <c r="G886" i="116"/>
  <c r="H886" i="116" s="1"/>
  <c r="M885" i="116"/>
  <c r="L885" i="116"/>
  <c r="H885" i="116"/>
  <c r="J885" i="116" s="1"/>
  <c r="K885" i="116" s="1"/>
  <c r="G885" i="116"/>
  <c r="M884" i="116"/>
  <c r="L884" i="116"/>
  <c r="J884" i="116"/>
  <c r="K884" i="116" s="1"/>
  <c r="G884" i="116"/>
  <c r="H884" i="116" s="1"/>
  <c r="M883" i="116"/>
  <c r="L883" i="116"/>
  <c r="G883" i="116"/>
  <c r="H883" i="116" s="1"/>
  <c r="J883" i="116" s="1"/>
  <c r="K883" i="116" s="1"/>
  <c r="M882" i="116"/>
  <c r="L882" i="116"/>
  <c r="K882" i="116"/>
  <c r="J882" i="116"/>
  <c r="G882" i="116"/>
  <c r="H882" i="116" s="1"/>
  <c r="M881" i="116"/>
  <c r="L881" i="116"/>
  <c r="G881" i="116"/>
  <c r="H881" i="116" s="1"/>
  <c r="J881" i="116" s="1"/>
  <c r="K881" i="116" s="1"/>
  <c r="M880" i="116"/>
  <c r="L880" i="116"/>
  <c r="G880" i="116"/>
  <c r="H880" i="116" s="1"/>
  <c r="J880" i="116" s="1"/>
  <c r="K880" i="116" s="1"/>
  <c r="M879" i="116"/>
  <c r="L879" i="116"/>
  <c r="G879" i="116"/>
  <c r="H879" i="116" s="1"/>
  <c r="J879" i="116" s="1"/>
  <c r="K879" i="116" s="1"/>
  <c r="M878" i="116"/>
  <c r="L878" i="116"/>
  <c r="G878" i="116"/>
  <c r="H878" i="116" s="1"/>
  <c r="J878" i="116" s="1"/>
  <c r="K878" i="116" s="1"/>
  <c r="M877" i="116"/>
  <c r="L877" i="116"/>
  <c r="H877" i="116"/>
  <c r="J877" i="116" s="1"/>
  <c r="K877" i="116" s="1"/>
  <c r="G877" i="116"/>
  <c r="M876" i="116"/>
  <c r="L876" i="116"/>
  <c r="G876" i="116"/>
  <c r="H876" i="116" s="1"/>
  <c r="J876" i="116" s="1"/>
  <c r="K876" i="116" s="1"/>
  <c r="M875" i="116"/>
  <c r="L875" i="116"/>
  <c r="G875" i="116"/>
  <c r="H875" i="116" s="1"/>
  <c r="J875" i="116" s="1"/>
  <c r="K875" i="116" s="1"/>
  <c r="M874" i="116"/>
  <c r="L874" i="116"/>
  <c r="G874" i="116"/>
  <c r="H874" i="116" s="1"/>
  <c r="J874" i="116" s="1"/>
  <c r="K874" i="116" s="1"/>
  <c r="M873" i="116"/>
  <c r="L873" i="116"/>
  <c r="J873" i="116"/>
  <c r="K873" i="116" s="1"/>
  <c r="H873" i="116"/>
  <c r="G873" i="116"/>
  <c r="M872" i="116"/>
  <c r="L872" i="116"/>
  <c r="G872" i="116"/>
  <c r="H872" i="116" s="1"/>
  <c r="J872" i="116" s="1"/>
  <c r="K872" i="116" s="1"/>
  <c r="M871" i="116"/>
  <c r="L871" i="116"/>
  <c r="J871" i="116"/>
  <c r="K871" i="116" s="1"/>
  <c r="G871" i="116"/>
  <c r="H871" i="116" s="1"/>
  <c r="M870" i="116"/>
  <c r="L870" i="116"/>
  <c r="J870" i="116"/>
  <c r="K870" i="116" s="1"/>
  <c r="G870" i="116"/>
  <c r="H870" i="116" s="1"/>
  <c r="M869" i="116"/>
  <c r="L869" i="116"/>
  <c r="G869" i="116"/>
  <c r="H869" i="116" s="1"/>
  <c r="J869" i="116" s="1"/>
  <c r="K869" i="116" s="1"/>
  <c r="M868" i="116"/>
  <c r="L868" i="116"/>
  <c r="G868" i="116"/>
  <c r="H868" i="116" s="1"/>
  <c r="J868" i="116" s="1"/>
  <c r="K868" i="116" s="1"/>
  <c r="M867" i="116"/>
  <c r="L867" i="116"/>
  <c r="G867" i="116"/>
  <c r="H867" i="116" s="1"/>
  <c r="J867" i="116" s="1"/>
  <c r="K867" i="116" s="1"/>
  <c r="M866" i="116"/>
  <c r="L866" i="116"/>
  <c r="G866" i="116"/>
  <c r="H866" i="116" s="1"/>
  <c r="J866" i="116" s="1"/>
  <c r="K866" i="116" s="1"/>
  <c r="M865" i="116"/>
  <c r="L865" i="116"/>
  <c r="G865" i="116"/>
  <c r="H865" i="116" s="1"/>
  <c r="J865" i="116" s="1"/>
  <c r="K865" i="116" s="1"/>
  <c r="M864" i="116"/>
  <c r="L864" i="116"/>
  <c r="J864" i="116"/>
  <c r="K864" i="116" s="1"/>
  <c r="G864" i="116"/>
  <c r="H864" i="116" s="1"/>
  <c r="M863" i="116"/>
  <c r="L863" i="116"/>
  <c r="G863" i="116"/>
  <c r="H863" i="116" s="1"/>
  <c r="J863" i="116" s="1"/>
  <c r="K863" i="116" s="1"/>
  <c r="M862" i="116"/>
  <c r="L862" i="116"/>
  <c r="K862" i="116"/>
  <c r="J862" i="116"/>
  <c r="G862" i="116"/>
  <c r="H862" i="116" s="1"/>
  <c r="M861" i="116"/>
  <c r="L861" i="116"/>
  <c r="G861" i="116"/>
  <c r="H861" i="116" s="1"/>
  <c r="J861" i="116" s="1"/>
  <c r="K861" i="116" s="1"/>
  <c r="M860" i="116"/>
  <c r="L860" i="116"/>
  <c r="G860" i="116"/>
  <c r="H860" i="116" s="1"/>
  <c r="J860" i="116" s="1"/>
  <c r="K860" i="116" s="1"/>
  <c r="M859" i="116"/>
  <c r="L859" i="116"/>
  <c r="G859" i="116"/>
  <c r="H859" i="116" s="1"/>
  <c r="J859" i="116" s="1"/>
  <c r="K859" i="116" s="1"/>
  <c r="M858" i="116"/>
  <c r="L858" i="116"/>
  <c r="G858" i="116"/>
  <c r="H858" i="116" s="1"/>
  <c r="J858" i="116" s="1"/>
  <c r="K858" i="116" s="1"/>
  <c r="M857" i="116"/>
  <c r="L857" i="116"/>
  <c r="H857" i="116"/>
  <c r="J857" i="116" s="1"/>
  <c r="K857" i="116" s="1"/>
  <c r="G857" i="116"/>
  <c r="M856" i="116"/>
  <c r="L856" i="116"/>
  <c r="G856" i="116"/>
  <c r="H856" i="116" s="1"/>
  <c r="J856" i="116" s="1"/>
  <c r="K856" i="116" s="1"/>
  <c r="M855" i="116"/>
  <c r="L855" i="116"/>
  <c r="J855" i="116"/>
  <c r="K855" i="116" s="1"/>
  <c r="G855" i="116"/>
  <c r="H855" i="116" s="1"/>
  <c r="M854" i="116"/>
  <c r="L854" i="116"/>
  <c r="J854" i="116"/>
  <c r="K854" i="116" s="1"/>
  <c r="G854" i="116"/>
  <c r="H854" i="116" s="1"/>
  <c r="M853" i="116"/>
  <c r="L853" i="116"/>
  <c r="G853" i="116"/>
  <c r="H853" i="116" s="1"/>
  <c r="J853" i="116" s="1"/>
  <c r="K853" i="116" s="1"/>
  <c r="M852" i="116"/>
  <c r="L852" i="116"/>
  <c r="G852" i="116"/>
  <c r="H852" i="116" s="1"/>
  <c r="J852" i="116" s="1"/>
  <c r="K852" i="116" s="1"/>
  <c r="M851" i="116"/>
  <c r="L851" i="116"/>
  <c r="G851" i="116"/>
  <c r="H851" i="116" s="1"/>
  <c r="J851" i="116" s="1"/>
  <c r="K851" i="116" s="1"/>
  <c r="M850" i="116"/>
  <c r="L850" i="116"/>
  <c r="J850" i="116"/>
  <c r="K850" i="116" s="1"/>
  <c r="G850" i="116"/>
  <c r="H850" i="116" s="1"/>
  <c r="M849" i="116"/>
  <c r="L849" i="116"/>
  <c r="G849" i="116"/>
  <c r="H849" i="116" s="1"/>
  <c r="J849" i="116" s="1"/>
  <c r="K849" i="116" s="1"/>
  <c r="M848" i="116"/>
  <c r="L848" i="116"/>
  <c r="J848" i="116"/>
  <c r="K848" i="116" s="1"/>
  <c r="G848" i="116"/>
  <c r="H848" i="116" s="1"/>
  <c r="M847" i="116"/>
  <c r="L847" i="116"/>
  <c r="G847" i="116"/>
  <c r="H847" i="116" s="1"/>
  <c r="J847" i="116" s="1"/>
  <c r="K847" i="116" s="1"/>
  <c r="M846" i="116"/>
  <c r="L846" i="116"/>
  <c r="K846" i="116"/>
  <c r="J846" i="116"/>
  <c r="G846" i="116"/>
  <c r="H846" i="116" s="1"/>
  <c r="M845" i="116"/>
  <c r="L845" i="116"/>
  <c r="G845" i="116"/>
  <c r="H845" i="116" s="1"/>
  <c r="J845" i="116" s="1"/>
  <c r="K845" i="116" s="1"/>
  <c r="M844" i="116"/>
  <c r="L844" i="116"/>
  <c r="G844" i="116"/>
  <c r="H844" i="116" s="1"/>
  <c r="J844" i="116" s="1"/>
  <c r="K844" i="116" s="1"/>
  <c r="M843" i="116"/>
  <c r="L843" i="116"/>
  <c r="G843" i="116"/>
  <c r="H843" i="116" s="1"/>
  <c r="J843" i="116" s="1"/>
  <c r="K843" i="116" s="1"/>
  <c r="M842" i="116"/>
  <c r="L842" i="116"/>
  <c r="G842" i="116"/>
  <c r="H842" i="116" s="1"/>
  <c r="J842" i="116" s="1"/>
  <c r="K842" i="116" s="1"/>
  <c r="M841" i="116"/>
  <c r="L841" i="116"/>
  <c r="J841" i="116"/>
  <c r="K841" i="116" s="1"/>
  <c r="H841" i="116"/>
  <c r="G841" i="116"/>
  <c r="M840" i="116"/>
  <c r="L840" i="116"/>
  <c r="G840" i="116"/>
  <c r="H840" i="116" s="1"/>
  <c r="J840" i="116" s="1"/>
  <c r="K840" i="116" s="1"/>
  <c r="M839" i="116"/>
  <c r="L839" i="116"/>
  <c r="J839" i="116"/>
  <c r="K839" i="116" s="1"/>
  <c r="G839" i="116"/>
  <c r="H839" i="116" s="1"/>
  <c r="M838" i="116"/>
  <c r="L838" i="116"/>
  <c r="J838" i="116"/>
  <c r="K838" i="116" s="1"/>
  <c r="G838" i="116"/>
  <c r="H838" i="116" s="1"/>
  <c r="M837" i="116"/>
  <c r="L837" i="116"/>
  <c r="G837" i="116"/>
  <c r="H837" i="116" s="1"/>
  <c r="J837" i="116" s="1"/>
  <c r="K837" i="116" s="1"/>
  <c r="M836" i="116"/>
  <c r="L836" i="116"/>
  <c r="G836" i="116"/>
  <c r="H836" i="116" s="1"/>
  <c r="J836" i="116" s="1"/>
  <c r="K836" i="116" s="1"/>
  <c r="M835" i="116"/>
  <c r="L835" i="116"/>
  <c r="G835" i="116"/>
  <c r="H835" i="116" s="1"/>
  <c r="J835" i="116" s="1"/>
  <c r="K835" i="116" s="1"/>
  <c r="M834" i="116"/>
  <c r="L834" i="116"/>
  <c r="G834" i="116"/>
  <c r="H834" i="116" s="1"/>
  <c r="J834" i="116" s="1"/>
  <c r="K834" i="116" s="1"/>
  <c r="M833" i="116"/>
  <c r="L833" i="116"/>
  <c r="G833" i="116"/>
  <c r="H833" i="116" s="1"/>
  <c r="J833" i="116" s="1"/>
  <c r="K833" i="116" s="1"/>
  <c r="M832" i="116"/>
  <c r="L832" i="116"/>
  <c r="J832" i="116"/>
  <c r="K832" i="116" s="1"/>
  <c r="G832" i="116"/>
  <c r="H832" i="116" s="1"/>
  <c r="M831" i="116"/>
  <c r="L831" i="116"/>
  <c r="G831" i="116"/>
  <c r="H831" i="116" s="1"/>
  <c r="J831" i="116" s="1"/>
  <c r="K831" i="116" s="1"/>
  <c r="M830" i="116"/>
  <c r="L830" i="116"/>
  <c r="K830" i="116"/>
  <c r="J830" i="116"/>
  <c r="G830" i="116"/>
  <c r="H830" i="116" s="1"/>
  <c r="M829" i="116"/>
  <c r="L829" i="116"/>
  <c r="G829" i="116"/>
  <c r="H829" i="116" s="1"/>
  <c r="J829" i="116" s="1"/>
  <c r="K829" i="116" s="1"/>
  <c r="M828" i="116"/>
  <c r="L828" i="116"/>
  <c r="G828" i="116"/>
  <c r="H828" i="116" s="1"/>
  <c r="J828" i="116" s="1"/>
  <c r="K828" i="116" s="1"/>
  <c r="M827" i="116"/>
  <c r="L827" i="116"/>
  <c r="G827" i="116"/>
  <c r="H827" i="116" s="1"/>
  <c r="J827" i="116" s="1"/>
  <c r="K827" i="116" s="1"/>
  <c r="M826" i="116"/>
  <c r="L826" i="116"/>
  <c r="G826" i="116"/>
  <c r="H826" i="116" s="1"/>
  <c r="J826" i="116" s="1"/>
  <c r="K826" i="116" s="1"/>
  <c r="M825" i="116"/>
  <c r="L825" i="116"/>
  <c r="H825" i="116"/>
  <c r="J825" i="116" s="1"/>
  <c r="K825" i="116" s="1"/>
  <c r="G825" i="116"/>
  <c r="M824" i="116"/>
  <c r="L824" i="116"/>
  <c r="G824" i="116"/>
  <c r="H824" i="116" s="1"/>
  <c r="J824" i="116" s="1"/>
  <c r="K824" i="116" s="1"/>
  <c r="M823" i="116"/>
  <c r="L823" i="116"/>
  <c r="J823" i="116"/>
  <c r="K823" i="116" s="1"/>
  <c r="G823" i="116"/>
  <c r="H823" i="116" s="1"/>
  <c r="M822" i="116"/>
  <c r="L822" i="116"/>
  <c r="J822" i="116"/>
  <c r="K822" i="116" s="1"/>
  <c r="G822" i="116"/>
  <c r="H822" i="116" s="1"/>
  <c r="M821" i="116"/>
  <c r="L821" i="116"/>
  <c r="G821" i="116"/>
  <c r="H821" i="116" s="1"/>
  <c r="J821" i="116" s="1"/>
  <c r="K821" i="116" s="1"/>
  <c r="M820" i="116"/>
  <c r="L820" i="116"/>
  <c r="G820" i="116"/>
  <c r="H820" i="116" s="1"/>
  <c r="J820" i="116" s="1"/>
  <c r="K820" i="116" s="1"/>
  <c r="M819" i="116"/>
  <c r="L819" i="116"/>
  <c r="G819" i="116"/>
  <c r="H819" i="116" s="1"/>
  <c r="J819" i="116" s="1"/>
  <c r="K819" i="116" s="1"/>
  <c r="M818" i="116"/>
  <c r="L818" i="116"/>
  <c r="G818" i="116"/>
  <c r="H818" i="116" s="1"/>
  <c r="J818" i="116" s="1"/>
  <c r="K818" i="116" s="1"/>
  <c r="M817" i="116"/>
  <c r="L817" i="116"/>
  <c r="G817" i="116"/>
  <c r="H817" i="116" s="1"/>
  <c r="J817" i="116" s="1"/>
  <c r="K817" i="116" s="1"/>
  <c r="M816" i="116"/>
  <c r="L816" i="116"/>
  <c r="J816" i="116"/>
  <c r="K816" i="116" s="1"/>
  <c r="G816" i="116"/>
  <c r="H816" i="116" s="1"/>
  <c r="M815" i="116"/>
  <c r="L815" i="116"/>
  <c r="G815" i="116"/>
  <c r="H815" i="116" s="1"/>
  <c r="J815" i="116" s="1"/>
  <c r="K815" i="116" s="1"/>
  <c r="M814" i="116"/>
  <c r="L814" i="116"/>
  <c r="K814" i="116"/>
  <c r="J814" i="116"/>
  <c r="G814" i="116"/>
  <c r="H814" i="116" s="1"/>
  <c r="M813" i="116"/>
  <c r="L813" i="116"/>
  <c r="J813" i="116"/>
  <c r="K813" i="116" s="1"/>
  <c r="G813" i="116"/>
  <c r="H813" i="116" s="1"/>
  <c r="M812" i="116"/>
  <c r="L812" i="116"/>
  <c r="G812" i="116"/>
  <c r="H812" i="116" s="1"/>
  <c r="J812" i="116" s="1"/>
  <c r="K812" i="116" s="1"/>
  <c r="M811" i="116"/>
  <c r="L811" i="116"/>
  <c r="G811" i="116"/>
  <c r="H811" i="116" s="1"/>
  <c r="J811" i="116" s="1"/>
  <c r="K811" i="116" s="1"/>
  <c r="M810" i="116"/>
  <c r="L810" i="116"/>
  <c r="J810" i="116"/>
  <c r="K810" i="116" s="1"/>
  <c r="G810" i="116"/>
  <c r="H810" i="116" s="1"/>
  <c r="M809" i="116"/>
  <c r="L809" i="116"/>
  <c r="H809" i="116"/>
  <c r="J809" i="116" s="1"/>
  <c r="K809" i="116" s="1"/>
  <c r="G809" i="116"/>
  <c r="M808" i="116"/>
  <c r="L808" i="116"/>
  <c r="G808" i="116"/>
  <c r="H808" i="116" s="1"/>
  <c r="J808" i="116" s="1"/>
  <c r="K808" i="116" s="1"/>
  <c r="M807" i="116"/>
  <c r="L807" i="116"/>
  <c r="J807" i="116"/>
  <c r="K807" i="116" s="1"/>
  <c r="G807" i="116"/>
  <c r="H807" i="116" s="1"/>
  <c r="M806" i="116"/>
  <c r="L806" i="116"/>
  <c r="J806" i="116"/>
  <c r="K806" i="116" s="1"/>
  <c r="G806" i="116"/>
  <c r="H806" i="116" s="1"/>
  <c r="M805" i="116"/>
  <c r="L805" i="116"/>
  <c r="G805" i="116"/>
  <c r="H805" i="116" s="1"/>
  <c r="J805" i="116" s="1"/>
  <c r="K805" i="116" s="1"/>
  <c r="M804" i="116"/>
  <c r="L804" i="116"/>
  <c r="G804" i="116"/>
  <c r="H804" i="116" s="1"/>
  <c r="J804" i="116" s="1"/>
  <c r="K804" i="116" s="1"/>
  <c r="M803" i="116"/>
  <c r="L803" i="116"/>
  <c r="G803" i="116"/>
  <c r="H803" i="116" s="1"/>
  <c r="J803" i="116" s="1"/>
  <c r="K803" i="116" s="1"/>
  <c r="M802" i="116"/>
  <c r="L802" i="116"/>
  <c r="G802" i="116"/>
  <c r="H802" i="116" s="1"/>
  <c r="J802" i="116" s="1"/>
  <c r="K802" i="116" s="1"/>
  <c r="M801" i="116"/>
  <c r="L801" i="116"/>
  <c r="G801" i="116"/>
  <c r="H801" i="116" s="1"/>
  <c r="J801" i="116" s="1"/>
  <c r="K801" i="116" s="1"/>
  <c r="M800" i="116"/>
  <c r="L800" i="116"/>
  <c r="J800" i="116"/>
  <c r="K800" i="116" s="1"/>
  <c r="G800" i="116"/>
  <c r="H800" i="116" s="1"/>
  <c r="M799" i="116"/>
  <c r="L799" i="116"/>
  <c r="G799" i="116"/>
  <c r="H799" i="116" s="1"/>
  <c r="J799" i="116" s="1"/>
  <c r="K799" i="116" s="1"/>
  <c r="M798" i="116"/>
  <c r="L798" i="116"/>
  <c r="K798" i="116"/>
  <c r="J798" i="116"/>
  <c r="G798" i="116"/>
  <c r="H798" i="116" s="1"/>
  <c r="M797" i="116"/>
  <c r="L797" i="116"/>
  <c r="G797" i="116"/>
  <c r="H797" i="116" s="1"/>
  <c r="J797" i="116" s="1"/>
  <c r="K797" i="116" s="1"/>
  <c r="M796" i="116"/>
  <c r="L796" i="116"/>
  <c r="G796" i="116"/>
  <c r="H796" i="116" s="1"/>
  <c r="J796" i="116" s="1"/>
  <c r="K796" i="116" s="1"/>
  <c r="M795" i="116"/>
  <c r="L795" i="116"/>
  <c r="G795" i="116"/>
  <c r="H795" i="116" s="1"/>
  <c r="J795" i="116" s="1"/>
  <c r="K795" i="116" s="1"/>
  <c r="M794" i="116"/>
  <c r="L794" i="116"/>
  <c r="J794" i="116"/>
  <c r="K794" i="116" s="1"/>
  <c r="G794" i="116"/>
  <c r="H794" i="116" s="1"/>
  <c r="M793" i="116"/>
  <c r="L793" i="116"/>
  <c r="J793" i="116"/>
  <c r="K793" i="116" s="1"/>
  <c r="H793" i="116"/>
  <c r="G793" i="116"/>
  <c r="M792" i="116"/>
  <c r="L792" i="116"/>
  <c r="G792" i="116"/>
  <c r="H792" i="116" s="1"/>
  <c r="J792" i="116" s="1"/>
  <c r="K792" i="116" s="1"/>
  <c r="M791" i="116"/>
  <c r="L791" i="116"/>
  <c r="J791" i="116"/>
  <c r="K791" i="116" s="1"/>
  <c r="G791" i="116"/>
  <c r="H791" i="116" s="1"/>
  <c r="M790" i="116"/>
  <c r="L790" i="116"/>
  <c r="J790" i="116"/>
  <c r="K790" i="116" s="1"/>
  <c r="G790" i="116"/>
  <c r="H790" i="116" s="1"/>
  <c r="M789" i="116"/>
  <c r="L789" i="116"/>
  <c r="G789" i="116"/>
  <c r="H789" i="116" s="1"/>
  <c r="J789" i="116" s="1"/>
  <c r="K789" i="116" s="1"/>
  <c r="M788" i="116"/>
  <c r="L788" i="116"/>
  <c r="G788" i="116"/>
  <c r="H788" i="116" s="1"/>
  <c r="J788" i="116" s="1"/>
  <c r="K788" i="116" s="1"/>
  <c r="M787" i="116"/>
  <c r="L787" i="116"/>
  <c r="G787" i="116"/>
  <c r="H787" i="116" s="1"/>
  <c r="J787" i="116" s="1"/>
  <c r="K787" i="116" s="1"/>
  <c r="M786" i="116"/>
  <c r="L786" i="116"/>
  <c r="J786" i="116"/>
  <c r="K786" i="116" s="1"/>
  <c r="G786" i="116"/>
  <c r="H786" i="116" s="1"/>
  <c r="M785" i="116"/>
  <c r="L785" i="116"/>
  <c r="G785" i="116"/>
  <c r="H785" i="116" s="1"/>
  <c r="J785" i="116" s="1"/>
  <c r="K785" i="116" s="1"/>
  <c r="M784" i="116"/>
  <c r="L784" i="116"/>
  <c r="J784" i="116"/>
  <c r="K784" i="116" s="1"/>
  <c r="G784" i="116"/>
  <c r="H784" i="116" s="1"/>
  <c r="M783" i="116"/>
  <c r="L783" i="116"/>
  <c r="G783" i="116"/>
  <c r="H783" i="116" s="1"/>
  <c r="J783" i="116" s="1"/>
  <c r="K783" i="116" s="1"/>
  <c r="M782" i="116"/>
  <c r="L782" i="116"/>
  <c r="K782" i="116"/>
  <c r="J782" i="116"/>
  <c r="G782" i="116"/>
  <c r="H782" i="116" s="1"/>
  <c r="M781" i="116"/>
  <c r="L781" i="116"/>
  <c r="G781" i="116"/>
  <c r="H781" i="116" s="1"/>
  <c r="J781" i="116" s="1"/>
  <c r="K781" i="116" s="1"/>
  <c r="M780" i="116"/>
  <c r="L780" i="116"/>
  <c r="G780" i="116"/>
  <c r="H780" i="116" s="1"/>
  <c r="J780" i="116" s="1"/>
  <c r="K780" i="116" s="1"/>
  <c r="M779" i="116"/>
  <c r="L779" i="116"/>
  <c r="G779" i="116"/>
  <c r="H779" i="116" s="1"/>
  <c r="J779" i="116" s="1"/>
  <c r="K779" i="116" s="1"/>
  <c r="M778" i="116"/>
  <c r="L778" i="116"/>
  <c r="J778" i="116"/>
  <c r="K778" i="116" s="1"/>
  <c r="G778" i="116"/>
  <c r="H778" i="116" s="1"/>
  <c r="M777" i="116"/>
  <c r="L777" i="116"/>
  <c r="H777" i="116"/>
  <c r="J777" i="116" s="1"/>
  <c r="K777" i="116" s="1"/>
  <c r="G777" i="116"/>
  <c r="M776" i="116"/>
  <c r="L776" i="116"/>
  <c r="G776" i="116"/>
  <c r="H776" i="116" s="1"/>
  <c r="J776" i="116" s="1"/>
  <c r="K776" i="116" s="1"/>
  <c r="M775" i="116"/>
  <c r="L775" i="116"/>
  <c r="J775" i="116"/>
  <c r="K775" i="116" s="1"/>
  <c r="G775" i="116"/>
  <c r="H775" i="116" s="1"/>
  <c r="M774" i="116"/>
  <c r="L774" i="116"/>
  <c r="J774" i="116"/>
  <c r="K774" i="116" s="1"/>
  <c r="G774" i="116"/>
  <c r="H774" i="116" s="1"/>
  <c r="M773" i="116"/>
  <c r="L773" i="116"/>
  <c r="G773" i="116"/>
  <c r="H773" i="116" s="1"/>
  <c r="J773" i="116" s="1"/>
  <c r="K773" i="116" s="1"/>
  <c r="M772" i="116"/>
  <c r="L772" i="116"/>
  <c r="G772" i="116"/>
  <c r="H772" i="116" s="1"/>
  <c r="J772" i="116" s="1"/>
  <c r="K772" i="116" s="1"/>
  <c r="M771" i="116"/>
  <c r="L771" i="116"/>
  <c r="G771" i="116"/>
  <c r="H771" i="116" s="1"/>
  <c r="J771" i="116" s="1"/>
  <c r="K771" i="116" s="1"/>
  <c r="M770" i="116"/>
  <c r="L770" i="116"/>
  <c r="J770" i="116"/>
  <c r="K770" i="116" s="1"/>
  <c r="G770" i="116"/>
  <c r="H770" i="116" s="1"/>
  <c r="M769" i="116"/>
  <c r="L769" i="116"/>
  <c r="G769" i="116"/>
  <c r="H769" i="116" s="1"/>
  <c r="J769" i="116" s="1"/>
  <c r="K769" i="116" s="1"/>
  <c r="M768" i="116"/>
  <c r="L768" i="116"/>
  <c r="J768" i="116"/>
  <c r="K768" i="116" s="1"/>
  <c r="G768" i="116"/>
  <c r="H768" i="116" s="1"/>
  <c r="M767" i="116"/>
  <c r="L767" i="116"/>
  <c r="G767" i="116"/>
  <c r="H767" i="116" s="1"/>
  <c r="J767" i="116" s="1"/>
  <c r="K767" i="116" s="1"/>
  <c r="M766" i="116"/>
  <c r="L766" i="116"/>
  <c r="K766" i="116"/>
  <c r="J766" i="116"/>
  <c r="G766" i="116"/>
  <c r="H766" i="116" s="1"/>
  <c r="M765" i="116"/>
  <c r="L765" i="116"/>
  <c r="G765" i="116"/>
  <c r="H765" i="116" s="1"/>
  <c r="J765" i="116" s="1"/>
  <c r="K765" i="116" s="1"/>
  <c r="M764" i="116"/>
  <c r="L764" i="116"/>
  <c r="G764" i="116"/>
  <c r="H764" i="116" s="1"/>
  <c r="J764" i="116" s="1"/>
  <c r="K764" i="116" s="1"/>
  <c r="M763" i="116"/>
  <c r="L763" i="116"/>
  <c r="G763" i="116"/>
  <c r="H763" i="116" s="1"/>
  <c r="J763" i="116" s="1"/>
  <c r="K763" i="116" s="1"/>
  <c r="M762" i="116"/>
  <c r="L762" i="116"/>
  <c r="J762" i="116"/>
  <c r="K762" i="116" s="1"/>
  <c r="G762" i="116"/>
  <c r="H762" i="116" s="1"/>
  <c r="M761" i="116"/>
  <c r="L761" i="116"/>
  <c r="H761" i="116"/>
  <c r="J761" i="116" s="1"/>
  <c r="K761" i="116" s="1"/>
  <c r="G761" i="116"/>
  <c r="M760" i="116"/>
  <c r="L760" i="116"/>
  <c r="G760" i="116"/>
  <c r="H760" i="116" s="1"/>
  <c r="J760" i="116" s="1"/>
  <c r="K760" i="116" s="1"/>
  <c r="M759" i="116"/>
  <c r="L759" i="116"/>
  <c r="J759" i="116"/>
  <c r="K759" i="116" s="1"/>
  <c r="G759" i="116"/>
  <c r="H759" i="116" s="1"/>
  <c r="M758" i="116"/>
  <c r="L758" i="116"/>
  <c r="J758" i="116"/>
  <c r="K758" i="116" s="1"/>
  <c r="G758" i="116"/>
  <c r="H758" i="116" s="1"/>
  <c r="M757" i="116"/>
  <c r="L757" i="116"/>
  <c r="G757" i="116"/>
  <c r="H757" i="116" s="1"/>
  <c r="J757" i="116" s="1"/>
  <c r="K757" i="116" s="1"/>
  <c r="M756" i="116"/>
  <c r="L756" i="116"/>
  <c r="G756" i="116"/>
  <c r="H756" i="116" s="1"/>
  <c r="J756" i="116" s="1"/>
  <c r="K756" i="116" s="1"/>
  <c r="M755" i="116"/>
  <c r="L755" i="116"/>
  <c r="G755" i="116"/>
  <c r="H755" i="116" s="1"/>
  <c r="J755" i="116" s="1"/>
  <c r="K755" i="116" s="1"/>
  <c r="M754" i="116"/>
  <c r="L754" i="116"/>
  <c r="G754" i="116"/>
  <c r="H754" i="116" s="1"/>
  <c r="J754" i="116" s="1"/>
  <c r="K754" i="116" s="1"/>
  <c r="M753" i="116"/>
  <c r="L753" i="116"/>
  <c r="G753" i="116"/>
  <c r="H753" i="116" s="1"/>
  <c r="J753" i="116" s="1"/>
  <c r="K753" i="116" s="1"/>
  <c r="M752" i="116"/>
  <c r="L752" i="116"/>
  <c r="J752" i="116"/>
  <c r="K752" i="116" s="1"/>
  <c r="G752" i="116"/>
  <c r="H752" i="116" s="1"/>
  <c r="M751" i="116"/>
  <c r="L751" i="116"/>
  <c r="G751" i="116"/>
  <c r="H751" i="116" s="1"/>
  <c r="J751" i="116" s="1"/>
  <c r="K751" i="116" s="1"/>
  <c r="M750" i="116"/>
  <c r="L750" i="116"/>
  <c r="K750" i="116"/>
  <c r="J750" i="116"/>
  <c r="G750" i="116"/>
  <c r="H750" i="116" s="1"/>
  <c r="M749" i="116"/>
  <c r="L749" i="116"/>
  <c r="J749" i="116"/>
  <c r="K749" i="116" s="1"/>
  <c r="G749" i="116"/>
  <c r="H749" i="116" s="1"/>
  <c r="M748" i="116"/>
  <c r="L748" i="116"/>
  <c r="G748" i="116"/>
  <c r="H748" i="116" s="1"/>
  <c r="J748" i="116" s="1"/>
  <c r="K748" i="116" s="1"/>
  <c r="M747" i="116"/>
  <c r="L747" i="116"/>
  <c r="G747" i="116"/>
  <c r="H747" i="116" s="1"/>
  <c r="J747" i="116" s="1"/>
  <c r="K747" i="116" s="1"/>
  <c r="M746" i="116"/>
  <c r="L746" i="116"/>
  <c r="J746" i="116"/>
  <c r="K746" i="116" s="1"/>
  <c r="G746" i="116"/>
  <c r="H746" i="116" s="1"/>
  <c r="M745" i="116"/>
  <c r="L745" i="116"/>
  <c r="H745" i="116"/>
  <c r="J745" i="116" s="1"/>
  <c r="K745" i="116" s="1"/>
  <c r="G745" i="116"/>
  <c r="M744" i="116"/>
  <c r="L744" i="116"/>
  <c r="G744" i="116"/>
  <c r="H744" i="116" s="1"/>
  <c r="J744" i="116" s="1"/>
  <c r="K744" i="116" s="1"/>
  <c r="M743" i="116"/>
  <c r="L743" i="116"/>
  <c r="J743" i="116"/>
  <c r="K743" i="116" s="1"/>
  <c r="G743" i="116"/>
  <c r="H743" i="116" s="1"/>
  <c r="M742" i="116"/>
  <c r="L742" i="116"/>
  <c r="J742" i="116"/>
  <c r="K742" i="116" s="1"/>
  <c r="G742" i="116"/>
  <c r="H742" i="116" s="1"/>
  <c r="M741" i="116"/>
  <c r="L741" i="116"/>
  <c r="G741" i="116"/>
  <c r="H741" i="116" s="1"/>
  <c r="J741" i="116" s="1"/>
  <c r="K741" i="116" s="1"/>
  <c r="M740" i="116"/>
  <c r="L740" i="116"/>
  <c r="G740" i="116"/>
  <c r="H740" i="116" s="1"/>
  <c r="J740" i="116" s="1"/>
  <c r="K740" i="116" s="1"/>
  <c r="M739" i="116"/>
  <c r="L739" i="116"/>
  <c r="G739" i="116"/>
  <c r="H739" i="116" s="1"/>
  <c r="J739" i="116" s="1"/>
  <c r="K739" i="116" s="1"/>
  <c r="M738" i="116"/>
  <c r="L738" i="116"/>
  <c r="G738" i="116"/>
  <c r="H738" i="116" s="1"/>
  <c r="J738" i="116" s="1"/>
  <c r="K738" i="116" s="1"/>
  <c r="M737" i="116"/>
  <c r="L737" i="116"/>
  <c r="G737" i="116"/>
  <c r="H737" i="116" s="1"/>
  <c r="J737" i="116" s="1"/>
  <c r="K737" i="116" s="1"/>
  <c r="M736" i="116"/>
  <c r="L736" i="116"/>
  <c r="J736" i="116"/>
  <c r="K736" i="116" s="1"/>
  <c r="G736" i="116"/>
  <c r="H736" i="116" s="1"/>
  <c r="M735" i="116"/>
  <c r="L735" i="116"/>
  <c r="G735" i="116"/>
  <c r="H735" i="116" s="1"/>
  <c r="J735" i="116" s="1"/>
  <c r="K735" i="116" s="1"/>
  <c r="M734" i="116"/>
  <c r="L734" i="116"/>
  <c r="K734" i="116"/>
  <c r="J734" i="116"/>
  <c r="G734" i="116"/>
  <c r="H734" i="116" s="1"/>
  <c r="M733" i="116"/>
  <c r="L733" i="116"/>
  <c r="G733" i="116"/>
  <c r="H733" i="116" s="1"/>
  <c r="J733" i="116" s="1"/>
  <c r="K733" i="116" s="1"/>
  <c r="M732" i="116"/>
  <c r="L732" i="116"/>
  <c r="G732" i="116"/>
  <c r="H732" i="116" s="1"/>
  <c r="J732" i="116" s="1"/>
  <c r="K732" i="116" s="1"/>
  <c r="M731" i="116"/>
  <c r="L731" i="116"/>
  <c r="G731" i="116"/>
  <c r="H731" i="116" s="1"/>
  <c r="J731" i="116" s="1"/>
  <c r="K731" i="116" s="1"/>
  <c r="M730" i="116"/>
  <c r="L730" i="116"/>
  <c r="J730" i="116"/>
  <c r="K730" i="116" s="1"/>
  <c r="G730" i="116"/>
  <c r="H730" i="116" s="1"/>
  <c r="M729" i="116"/>
  <c r="L729" i="116"/>
  <c r="J729" i="116"/>
  <c r="K729" i="116" s="1"/>
  <c r="H729" i="116"/>
  <c r="G729" i="116"/>
  <c r="M728" i="116"/>
  <c r="L728" i="116"/>
  <c r="G728" i="116"/>
  <c r="H728" i="116" s="1"/>
  <c r="J728" i="116" s="1"/>
  <c r="K728" i="116" s="1"/>
  <c r="M727" i="116"/>
  <c r="L727" i="116"/>
  <c r="J727" i="116"/>
  <c r="K727" i="116" s="1"/>
  <c r="G727" i="116"/>
  <c r="H727" i="116" s="1"/>
  <c r="M726" i="116"/>
  <c r="L726" i="116"/>
  <c r="J726" i="116"/>
  <c r="K726" i="116" s="1"/>
  <c r="G726" i="116"/>
  <c r="H726" i="116" s="1"/>
  <c r="M725" i="116"/>
  <c r="L725" i="116"/>
  <c r="G725" i="116"/>
  <c r="H725" i="116" s="1"/>
  <c r="J725" i="116" s="1"/>
  <c r="K725" i="116" s="1"/>
  <c r="M724" i="116"/>
  <c r="L724" i="116"/>
  <c r="G724" i="116"/>
  <c r="H724" i="116" s="1"/>
  <c r="J724" i="116" s="1"/>
  <c r="K724" i="116" s="1"/>
  <c r="M723" i="116"/>
  <c r="L723" i="116"/>
  <c r="J723" i="116"/>
  <c r="K723" i="116" s="1"/>
  <c r="G723" i="116"/>
  <c r="H723" i="116" s="1"/>
  <c r="M722" i="116"/>
  <c r="L722" i="116"/>
  <c r="J722" i="116"/>
  <c r="K722" i="116" s="1"/>
  <c r="H722" i="116"/>
  <c r="G722" i="116"/>
  <c r="M721" i="116"/>
  <c r="L721" i="116"/>
  <c r="J721" i="116"/>
  <c r="K721" i="116" s="1"/>
  <c r="G721" i="116"/>
  <c r="H721" i="116" s="1"/>
  <c r="M720" i="116"/>
  <c r="L720" i="116"/>
  <c r="G720" i="116"/>
  <c r="H720" i="116" s="1"/>
  <c r="J720" i="116" s="1"/>
  <c r="K720" i="116" s="1"/>
  <c r="M719" i="116"/>
  <c r="L719" i="116"/>
  <c r="G719" i="116"/>
  <c r="H719" i="116" s="1"/>
  <c r="J719" i="116" s="1"/>
  <c r="K719" i="116" s="1"/>
  <c r="M718" i="116"/>
  <c r="L718" i="116"/>
  <c r="H718" i="116"/>
  <c r="J718" i="116" s="1"/>
  <c r="K718" i="116" s="1"/>
  <c r="G718" i="116"/>
  <c r="M717" i="116"/>
  <c r="L717" i="116"/>
  <c r="G717" i="116"/>
  <c r="H717" i="116" s="1"/>
  <c r="J717" i="116" s="1"/>
  <c r="K717" i="116" s="1"/>
  <c r="M716" i="116"/>
  <c r="L716" i="116"/>
  <c r="G716" i="116"/>
  <c r="H716" i="116" s="1"/>
  <c r="J716" i="116" s="1"/>
  <c r="K716" i="116" s="1"/>
  <c r="M715" i="116"/>
  <c r="L715" i="116"/>
  <c r="J715" i="116"/>
  <c r="K715" i="116" s="1"/>
  <c r="G715" i="116"/>
  <c r="H715" i="116" s="1"/>
  <c r="M714" i="116"/>
  <c r="L714" i="116"/>
  <c r="G714" i="116"/>
  <c r="H714" i="116" s="1"/>
  <c r="J714" i="116" s="1"/>
  <c r="K714" i="116" s="1"/>
  <c r="M713" i="116"/>
  <c r="L713" i="116"/>
  <c r="G713" i="116"/>
  <c r="H713" i="116" s="1"/>
  <c r="J713" i="116" s="1"/>
  <c r="K713" i="116" s="1"/>
  <c r="M712" i="116"/>
  <c r="L712" i="116"/>
  <c r="G712" i="116"/>
  <c r="H712" i="116" s="1"/>
  <c r="J712" i="116" s="1"/>
  <c r="K712" i="116" s="1"/>
  <c r="M711" i="116"/>
  <c r="L711" i="116"/>
  <c r="G711" i="116"/>
  <c r="H711" i="116" s="1"/>
  <c r="J711" i="116" s="1"/>
  <c r="K711" i="116" s="1"/>
  <c r="M710" i="116"/>
  <c r="L710" i="116"/>
  <c r="J710" i="116"/>
  <c r="K710" i="116" s="1"/>
  <c r="H710" i="116"/>
  <c r="G710" i="116"/>
  <c r="M709" i="116"/>
  <c r="L709" i="116"/>
  <c r="G709" i="116"/>
  <c r="H709" i="116" s="1"/>
  <c r="J709" i="116" s="1"/>
  <c r="K709" i="116" s="1"/>
  <c r="M708" i="116"/>
  <c r="L708" i="116"/>
  <c r="G708" i="116"/>
  <c r="H708" i="116" s="1"/>
  <c r="J708" i="116" s="1"/>
  <c r="K708" i="116" s="1"/>
  <c r="M707" i="116"/>
  <c r="L707" i="116"/>
  <c r="G707" i="116"/>
  <c r="H707" i="116" s="1"/>
  <c r="J707" i="116" s="1"/>
  <c r="K707" i="116" s="1"/>
  <c r="M706" i="116"/>
  <c r="L706" i="116"/>
  <c r="J706" i="116"/>
  <c r="K706" i="116" s="1"/>
  <c r="H706" i="116"/>
  <c r="G706" i="116"/>
  <c r="M705" i="116"/>
  <c r="L705" i="116"/>
  <c r="G705" i="116"/>
  <c r="H705" i="116" s="1"/>
  <c r="J705" i="116" s="1"/>
  <c r="K705" i="116" s="1"/>
  <c r="M704" i="116"/>
  <c r="L704" i="116"/>
  <c r="G704" i="116"/>
  <c r="H704" i="116" s="1"/>
  <c r="J704" i="116" s="1"/>
  <c r="K704" i="116" s="1"/>
  <c r="M703" i="116"/>
  <c r="L703" i="116"/>
  <c r="G703" i="116"/>
  <c r="H703" i="116" s="1"/>
  <c r="J703" i="116" s="1"/>
  <c r="K703" i="116" s="1"/>
  <c r="M702" i="116"/>
  <c r="L702" i="116"/>
  <c r="J702" i="116"/>
  <c r="K702" i="116" s="1"/>
  <c r="H702" i="116"/>
  <c r="G702" i="116"/>
  <c r="M701" i="116"/>
  <c r="L701" i="116"/>
  <c r="G701" i="116"/>
  <c r="H701" i="116" s="1"/>
  <c r="J701" i="116" s="1"/>
  <c r="K701" i="116" s="1"/>
  <c r="M700" i="116"/>
  <c r="L700" i="116"/>
  <c r="G700" i="116"/>
  <c r="H700" i="116" s="1"/>
  <c r="J700" i="116" s="1"/>
  <c r="K700" i="116" s="1"/>
  <c r="M699" i="116"/>
  <c r="L699" i="116"/>
  <c r="G699" i="116"/>
  <c r="H699" i="116" s="1"/>
  <c r="J699" i="116" s="1"/>
  <c r="K699" i="116" s="1"/>
  <c r="M698" i="116"/>
  <c r="L698" i="116"/>
  <c r="J698" i="116"/>
  <c r="K698" i="116" s="1"/>
  <c r="H698" i="116"/>
  <c r="G698" i="116"/>
  <c r="M697" i="116"/>
  <c r="L697" i="116"/>
  <c r="G697" i="116"/>
  <c r="H697" i="116" s="1"/>
  <c r="J697" i="116" s="1"/>
  <c r="K697" i="116" s="1"/>
  <c r="M696" i="116"/>
  <c r="L696" i="116"/>
  <c r="G696" i="116"/>
  <c r="H696" i="116" s="1"/>
  <c r="J696" i="116" s="1"/>
  <c r="K696" i="116" s="1"/>
  <c r="M695" i="116"/>
  <c r="L695" i="116"/>
  <c r="G695" i="116"/>
  <c r="H695" i="116" s="1"/>
  <c r="J695" i="116" s="1"/>
  <c r="K695" i="116" s="1"/>
  <c r="M694" i="116"/>
  <c r="L694" i="116"/>
  <c r="J694" i="116"/>
  <c r="K694" i="116" s="1"/>
  <c r="H694" i="116"/>
  <c r="G694" i="116"/>
  <c r="M693" i="116"/>
  <c r="L693" i="116"/>
  <c r="G693" i="116"/>
  <c r="H693" i="116" s="1"/>
  <c r="J693" i="116" s="1"/>
  <c r="K693" i="116" s="1"/>
  <c r="M692" i="116"/>
  <c r="L692" i="116"/>
  <c r="G692" i="116"/>
  <c r="H692" i="116" s="1"/>
  <c r="J692" i="116" s="1"/>
  <c r="K692" i="116" s="1"/>
  <c r="M691" i="116"/>
  <c r="L691" i="116"/>
  <c r="G691" i="116"/>
  <c r="H691" i="116" s="1"/>
  <c r="J691" i="116" s="1"/>
  <c r="K691" i="116" s="1"/>
  <c r="M690" i="116"/>
  <c r="L690" i="116"/>
  <c r="H690" i="116"/>
  <c r="J690" i="116" s="1"/>
  <c r="K690" i="116" s="1"/>
  <c r="G690" i="116"/>
  <c r="M689" i="116"/>
  <c r="L689" i="116"/>
  <c r="G689" i="116"/>
  <c r="H689" i="116" s="1"/>
  <c r="J689" i="116" s="1"/>
  <c r="K689" i="116" s="1"/>
  <c r="M688" i="116"/>
  <c r="L688" i="116"/>
  <c r="J688" i="116"/>
  <c r="K688" i="116" s="1"/>
  <c r="G688" i="116"/>
  <c r="H688" i="116" s="1"/>
  <c r="M687" i="116"/>
  <c r="L687" i="116"/>
  <c r="G687" i="116"/>
  <c r="H687" i="116" s="1"/>
  <c r="J687" i="116" s="1"/>
  <c r="K687" i="116" s="1"/>
  <c r="M686" i="116"/>
  <c r="L686" i="116"/>
  <c r="J686" i="116"/>
  <c r="K686" i="116" s="1"/>
  <c r="H686" i="116"/>
  <c r="G686" i="116"/>
  <c r="M685" i="116"/>
  <c r="L685" i="116"/>
  <c r="J685" i="116"/>
  <c r="K685" i="116" s="1"/>
  <c r="G685" i="116"/>
  <c r="H685" i="116" s="1"/>
  <c r="M684" i="116"/>
  <c r="L684" i="116"/>
  <c r="J684" i="116"/>
  <c r="K684" i="116" s="1"/>
  <c r="G684" i="116"/>
  <c r="H684" i="116" s="1"/>
  <c r="M683" i="116"/>
  <c r="L683" i="116"/>
  <c r="K683" i="116"/>
  <c r="G683" i="116"/>
  <c r="H683" i="116" s="1"/>
  <c r="J683" i="116" s="1"/>
  <c r="M682" i="116"/>
  <c r="L682" i="116"/>
  <c r="J682" i="116"/>
  <c r="K682" i="116" s="1"/>
  <c r="H682" i="116"/>
  <c r="G682" i="116"/>
  <c r="M681" i="116"/>
  <c r="L681" i="116"/>
  <c r="J681" i="116"/>
  <c r="K681" i="116" s="1"/>
  <c r="G681" i="116"/>
  <c r="H681" i="116" s="1"/>
  <c r="M680" i="116"/>
  <c r="L680" i="116"/>
  <c r="G680" i="116"/>
  <c r="H680" i="116" s="1"/>
  <c r="J680" i="116" s="1"/>
  <c r="K680" i="116" s="1"/>
  <c r="M679" i="116"/>
  <c r="L679" i="116"/>
  <c r="K679" i="116"/>
  <c r="G679" i="116"/>
  <c r="H679" i="116" s="1"/>
  <c r="J679" i="116" s="1"/>
  <c r="M678" i="116"/>
  <c r="L678" i="116"/>
  <c r="H678" i="116"/>
  <c r="J678" i="116" s="1"/>
  <c r="K678" i="116" s="1"/>
  <c r="G678" i="116"/>
  <c r="M677" i="116"/>
  <c r="L677" i="116"/>
  <c r="G677" i="116"/>
  <c r="H677" i="116" s="1"/>
  <c r="J677" i="116" s="1"/>
  <c r="K677" i="116" s="1"/>
  <c r="M676" i="116"/>
  <c r="L676" i="116"/>
  <c r="G676" i="116"/>
  <c r="H676" i="116" s="1"/>
  <c r="J676" i="116" s="1"/>
  <c r="K676" i="116" s="1"/>
  <c r="M675" i="116"/>
  <c r="L675" i="116"/>
  <c r="G675" i="116"/>
  <c r="H675" i="116" s="1"/>
  <c r="J675" i="116" s="1"/>
  <c r="K675" i="116" s="1"/>
  <c r="M674" i="116"/>
  <c r="L674" i="116"/>
  <c r="H674" i="116"/>
  <c r="J674" i="116" s="1"/>
  <c r="K674" i="116" s="1"/>
  <c r="G674" i="116"/>
  <c r="M673" i="116"/>
  <c r="L673" i="116"/>
  <c r="J673" i="116"/>
  <c r="K673" i="116" s="1"/>
  <c r="G673" i="116"/>
  <c r="H673" i="116" s="1"/>
  <c r="M672" i="116"/>
  <c r="L672" i="116"/>
  <c r="G672" i="116"/>
  <c r="H672" i="116" s="1"/>
  <c r="J672" i="116" s="1"/>
  <c r="K672" i="116" s="1"/>
  <c r="M671" i="116"/>
  <c r="L671" i="116"/>
  <c r="K671" i="116"/>
  <c r="G671" i="116"/>
  <c r="H671" i="116" s="1"/>
  <c r="J671" i="116" s="1"/>
  <c r="M670" i="116"/>
  <c r="L670" i="116"/>
  <c r="H670" i="116"/>
  <c r="J670" i="116" s="1"/>
  <c r="K670" i="116" s="1"/>
  <c r="G670" i="116"/>
  <c r="M669" i="116"/>
  <c r="L669" i="116"/>
  <c r="J669" i="116"/>
  <c r="K669" i="116" s="1"/>
  <c r="G669" i="116"/>
  <c r="H669" i="116" s="1"/>
  <c r="M668" i="116"/>
  <c r="L668" i="116"/>
  <c r="J668" i="116"/>
  <c r="K668" i="116" s="1"/>
  <c r="G668" i="116"/>
  <c r="H668" i="116" s="1"/>
  <c r="M667" i="116"/>
  <c r="L667" i="116"/>
  <c r="G667" i="116"/>
  <c r="H667" i="116" s="1"/>
  <c r="J667" i="116" s="1"/>
  <c r="K667" i="116" s="1"/>
  <c r="M666" i="116"/>
  <c r="L666" i="116"/>
  <c r="G666" i="116"/>
  <c r="H666" i="116" s="1"/>
  <c r="J666" i="116" s="1"/>
  <c r="K666" i="116" s="1"/>
  <c r="M665" i="116"/>
  <c r="L665" i="116"/>
  <c r="G665" i="116"/>
  <c r="H665" i="116" s="1"/>
  <c r="J665" i="116" s="1"/>
  <c r="K665" i="116" s="1"/>
  <c r="M664" i="116"/>
  <c r="L664" i="116"/>
  <c r="G664" i="116"/>
  <c r="H664" i="116" s="1"/>
  <c r="J664" i="116" s="1"/>
  <c r="K664" i="116" s="1"/>
  <c r="M663" i="116"/>
  <c r="L663" i="116"/>
  <c r="J663" i="116"/>
  <c r="K663" i="116" s="1"/>
  <c r="G663" i="116"/>
  <c r="H663" i="116" s="1"/>
  <c r="M662" i="116"/>
  <c r="L662" i="116"/>
  <c r="J662" i="116"/>
  <c r="K662" i="116" s="1"/>
  <c r="H662" i="116"/>
  <c r="G662" i="116"/>
  <c r="M661" i="116"/>
  <c r="L661" i="116"/>
  <c r="J661" i="116"/>
  <c r="K661" i="116" s="1"/>
  <c r="G661" i="116"/>
  <c r="H661" i="116" s="1"/>
  <c r="M660" i="116"/>
  <c r="L660" i="116"/>
  <c r="J660" i="116"/>
  <c r="K660" i="116" s="1"/>
  <c r="G660" i="116"/>
  <c r="H660" i="116" s="1"/>
  <c r="M659" i="116"/>
  <c r="L659" i="116"/>
  <c r="K659" i="116"/>
  <c r="J659" i="116"/>
  <c r="G659" i="116"/>
  <c r="H659" i="116" s="1"/>
  <c r="M658" i="116"/>
  <c r="L658" i="116"/>
  <c r="G658" i="116"/>
  <c r="H658" i="116" s="1"/>
  <c r="J658" i="116" s="1"/>
  <c r="K658" i="116" s="1"/>
  <c r="M657" i="116"/>
  <c r="L657" i="116"/>
  <c r="G657" i="116"/>
  <c r="H657" i="116" s="1"/>
  <c r="J657" i="116" s="1"/>
  <c r="K657" i="116" s="1"/>
  <c r="M656" i="116"/>
  <c r="L656" i="116"/>
  <c r="G656" i="116"/>
  <c r="H656" i="116" s="1"/>
  <c r="J656" i="116" s="1"/>
  <c r="K656" i="116" s="1"/>
  <c r="M655" i="116"/>
  <c r="L655" i="116"/>
  <c r="J655" i="116"/>
  <c r="K655" i="116" s="1"/>
  <c r="G655" i="116"/>
  <c r="H655" i="116" s="1"/>
  <c r="M654" i="116"/>
  <c r="L654" i="116"/>
  <c r="J654" i="116"/>
  <c r="K654" i="116" s="1"/>
  <c r="H654" i="116"/>
  <c r="G654" i="116"/>
  <c r="M653" i="116"/>
  <c r="L653" i="116"/>
  <c r="J653" i="116"/>
  <c r="K653" i="116" s="1"/>
  <c r="G653" i="116"/>
  <c r="H653" i="116" s="1"/>
  <c r="M652" i="116"/>
  <c r="L652" i="116"/>
  <c r="J652" i="116"/>
  <c r="K652" i="116" s="1"/>
  <c r="G652" i="116"/>
  <c r="H652" i="116" s="1"/>
  <c r="M651" i="116"/>
  <c r="L651" i="116"/>
  <c r="G651" i="116"/>
  <c r="H651" i="116" s="1"/>
  <c r="J651" i="116" s="1"/>
  <c r="K651" i="116" s="1"/>
  <c r="M650" i="116"/>
  <c r="L650" i="116"/>
  <c r="G650" i="116"/>
  <c r="H650" i="116" s="1"/>
  <c r="J650" i="116" s="1"/>
  <c r="K650" i="116" s="1"/>
  <c r="M649" i="116"/>
  <c r="L649" i="116"/>
  <c r="G649" i="116"/>
  <c r="H649" i="116" s="1"/>
  <c r="J649" i="116" s="1"/>
  <c r="K649" i="116" s="1"/>
  <c r="M648" i="116"/>
  <c r="L648" i="116"/>
  <c r="G648" i="116"/>
  <c r="H648" i="116" s="1"/>
  <c r="J648" i="116" s="1"/>
  <c r="K648" i="116" s="1"/>
  <c r="M647" i="116"/>
  <c r="L647" i="116"/>
  <c r="J647" i="116"/>
  <c r="K647" i="116" s="1"/>
  <c r="G647" i="116"/>
  <c r="H647" i="116" s="1"/>
  <c r="M646" i="116"/>
  <c r="L646" i="116"/>
  <c r="J646" i="116"/>
  <c r="K646" i="116" s="1"/>
  <c r="H646" i="116"/>
  <c r="G646" i="116"/>
  <c r="M645" i="116"/>
  <c r="L645" i="116"/>
  <c r="J645" i="116"/>
  <c r="K645" i="116" s="1"/>
  <c r="G645" i="116"/>
  <c r="H645" i="116" s="1"/>
  <c r="M644" i="116"/>
  <c r="L644" i="116"/>
  <c r="J644" i="116"/>
  <c r="K644" i="116" s="1"/>
  <c r="G644" i="116"/>
  <c r="H644" i="116" s="1"/>
  <c r="M643" i="116"/>
  <c r="L643" i="116"/>
  <c r="K643" i="116"/>
  <c r="J643" i="116"/>
  <c r="G643" i="116"/>
  <c r="H643" i="116" s="1"/>
  <c r="M642" i="116"/>
  <c r="L642" i="116"/>
  <c r="G642" i="116"/>
  <c r="H642" i="116" s="1"/>
  <c r="J642" i="116" s="1"/>
  <c r="K642" i="116" s="1"/>
  <c r="M641" i="116"/>
  <c r="L641" i="116"/>
  <c r="G641" i="116"/>
  <c r="H641" i="116" s="1"/>
  <c r="J641" i="116" s="1"/>
  <c r="K641" i="116" s="1"/>
  <c r="M640" i="116"/>
  <c r="L640" i="116"/>
  <c r="G640" i="116"/>
  <c r="H640" i="116" s="1"/>
  <c r="J640" i="116" s="1"/>
  <c r="K640" i="116" s="1"/>
  <c r="M639" i="116"/>
  <c r="L639" i="116"/>
  <c r="J639" i="116"/>
  <c r="K639" i="116" s="1"/>
  <c r="G639" i="116"/>
  <c r="H639" i="116" s="1"/>
  <c r="M638" i="116"/>
  <c r="L638" i="116"/>
  <c r="H638" i="116"/>
  <c r="J638" i="116" s="1"/>
  <c r="K638" i="116" s="1"/>
  <c r="G638" i="116"/>
  <c r="M637" i="116"/>
  <c r="L637" i="116"/>
  <c r="J637" i="116"/>
  <c r="K637" i="116" s="1"/>
  <c r="G637" i="116"/>
  <c r="H637" i="116" s="1"/>
  <c r="M636" i="116"/>
  <c r="L636" i="116"/>
  <c r="J636" i="116"/>
  <c r="K636" i="116" s="1"/>
  <c r="G636" i="116"/>
  <c r="H636" i="116" s="1"/>
  <c r="M635" i="116"/>
  <c r="L635" i="116"/>
  <c r="G635" i="116"/>
  <c r="H635" i="116" s="1"/>
  <c r="J635" i="116" s="1"/>
  <c r="K635" i="116" s="1"/>
  <c r="M634" i="116"/>
  <c r="L634" i="116"/>
  <c r="G634" i="116"/>
  <c r="H634" i="116" s="1"/>
  <c r="J634" i="116" s="1"/>
  <c r="K634" i="116" s="1"/>
  <c r="M633" i="116"/>
  <c r="L633" i="116"/>
  <c r="G633" i="116"/>
  <c r="H633" i="116" s="1"/>
  <c r="J633" i="116" s="1"/>
  <c r="K633" i="116" s="1"/>
  <c r="M632" i="116"/>
  <c r="L632" i="116"/>
  <c r="G632" i="116"/>
  <c r="H632" i="116" s="1"/>
  <c r="J632" i="116" s="1"/>
  <c r="K632" i="116" s="1"/>
  <c r="M631" i="116"/>
  <c r="L631" i="116"/>
  <c r="J631" i="116"/>
  <c r="K631" i="116" s="1"/>
  <c r="G631" i="116"/>
  <c r="H631" i="116" s="1"/>
  <c r="M630" i="116"/>
  <c r="L630" i="116"/>
  <c r="J630" i="116"/>
  <c r="K630" i="116" s="1"/>
  <c r="H630" i="116"/>
  <c r="G630" i="116"/>
  <c r="M629" i="116"/>
  <c r="L629" i="116"/>
  <c r="J629" i="116"/>
  <c r="K629" i="116" s="1"/>
  <c r="G629" i="116"/>
  <c r="H629" i="116" s="1"/>
  <c r="M628" i="116"/>
  <c r="L628" i="116"/>
  <c r="G628" i="116"/>
  <c r="H628" i="116" s="1"/>
  <c r="J628" i="116" s="1"/>
  <c r="K628" i="116" s="1"/>
  <c r="M627" i="116"/>
  <c r="L627" i="116"/>
  <c r="H627" i="116"/>
  <c r="J627" i="116" s="1"/>
  <c r="K627" i="116" s="1"/>
  <c r="G627" i="116"/>
  <c r="M626" i="116"/>
  <c r="L626" i="116"/>
  <c r="J626" i="116"/>
  <c r="K626" i="116" s="1"/>
  <c r="H626" i="116"/>
  <c r="G626" i="116"/>
  <c r="M625" i="116"/>
  <c r="L625" i="116"/>
  <c r="J625" i="116"/>
  <c r="K625" i="116" s="1"/>
  <c r="G625" i="116"/>
  <c r="H625" i="116" s="1"/>
  <c r="M624" i="116"/>
  <c r="L624" i="116"/>
  <c r="K624" i="116"/>
  <c r="J624" i="116"/>
  <c r="G624" i="116"/>
  <c r="H624" i="116" s="1"/>
  <c r="M623" i="116"/>
  <c r="L623" i="116"/>
  <c r="G623" i="116"/>
  <c r="H623" i="116" s="1"/>
  <c r="J623" i="116" s="1"/>
  <c r="K623" i="116" s="1"/>
  <c r="M622" i="116"/>
  <c r="L622" i="116"/>
  <c r="J622" i="116"/>
  <c r="K622" i="116" s="1"/>
  <c r="H622" i="116"/>
  <c r="G622" i="116"/>
  <c r="M621" i="116"/>
  <c r="L621" i="116"/>
  <c r="J621" i="116"/>
  <c r="K621" i="116" s="1"/>
  <c r="G621" i="116"/>
  <c r="H621" i="116" s="1"/>
  <c r="M620" i="116"/>
  <c r="L620" i="116"/>
  <c r="G620" i="116"/>
  <c r="H620" i="116" s="1"/>
  <c r="J620" i="116" s="1"/>
  <c r="K620" i="116" s="1"/>
  <c r="M619" i="116"/>
  <c r="L619" i="116"/>
  <c r="H619" i="116"/>
  <c r="J619" i="116" s="1"/>
  <c r="K619" i="116" s="1"/>
  <c r="G619" i="116"/>
  <c r="M618" i="116"/>
  <c r="L618" i="116"/>
  <c r="H618" i="116"/>
  <c r="J618" i="116" s="1"/>
  <c r="K618" i="116" s="1"/>
  <c r="G618" i="116"/>
  <c r="M617" i="116"/>
  <c r="L617" i="116"/>
  <c r="J617" i="116"/>
  <c r="K617" i="116" s="1"/>
  <c r="G617" i="116"/>
  <c r="H617" i="116" s="1"/>
  <c r="M616" i="116"/>
  <c r="L616" i="116"/>
  <c r="K616" i="116"/>
  <c r="J616" i="116"/>
  <c r="G616" i="116"/>
  <c r="H616" i="116" s="1"/>
  <c r="M615" i="116"/>
  <c r="L615" i="116"/>
  <c r="H615" i="116"/>
  <c r="J615" i="116" s="1"/>
  <c r="K615" i="116" s="1"/>
  <c r="G615" i="116"/>
  <c r="M614" i="116"/>
  <c r="L614" i="116"/>
  <c r="J614" i="116"/>
  <c r="K614" i="116" s="1"/>
  <c r="H614" i="116"/>
  <c r="G614" i="116"/>
  <c r="M613" i="116"/>
  <c r="L613" i="116"/>
  <c r="J613" i="116"/>
  <c r="K613" i="116" s="1"/>
  <c r="G613" i="116"/>
  <c r="H613" i="116" s="1"/>
  <c r="M612" i="116"/>
  <c r="L612" i="116"/>
  <c r="G612" i="116"/>
  <c r="H612" i="116" s="1"/>
  <c r="J612" i="116" s="1"/>
  <c r="K612" i="116" s="1"/>
  <c r="M611" i="116"/>
  <c r="L611" i="116"/>
  <c r="H611" i="116"/>
  <c r="J611" i="116" s="1"/>
  <c r="K611" i="116" s="1"/>
  <c r="G611" i="116"/>
  <c r="M610" i="116"/>
  <c r="L610" i="116"/>
  <c r="J610" i="116"/>
  <c r="K610" i="116" s="1"/>
  <c r="H610" i="116"/>
  <c r="G610" i="116"/>
  <c r="M609" i="116"/>
  <c r="L609" i="116"/>
  <c r="J609" i="116"/>
  <c r="K609" i="116" s="1"/>
  <c r="G609" i="116"/>
  <c r="H609" i="116" s="1"/>
  <c r="M608" i="116"/>
  <c r="L608" i="116"/>
  <c r="K608" i="116"/>
  <c r="J608" i="116"/>
  <c r="G608" i="116"/>
  <c r="H608" i="116" s="1"/>
  <c r="M607" i="116"/>
  <c r="L607" i="116"/>
  <c r="G607" i="116"/>
  <c r="H607" i="116" s="1"/>
  <c r="J607" i="116" s="1"/>
  <c r="K607" i="116" s="1"/>
  <c r="M606" i="116"/>
  <c r="L606" i="116"/>
  <c r="J606" i="116"/>
  <c r="K606" i="116" s="1"/>
  <c r="H606" i="116"/>
  <c r="G606" i="116"/>
  <c r="M605" i="116"/>
  <c r="L605" i="116"/>
  <c r="J605" i="116"/>
  <c r="K605" i="116" s="1"/>
  <c r="G605" i="116"/>
  <c r="H605" i="116" s="1"/>
  <c r="M604" i="116"/>
  <c r="L604" i="116"/>
  <c r="G604" i="116"/>
  <c r="H604" i="116" s="1"/>
  <c r="J604" i="116" s="1"/>
  <c r="K604" i="116" s="1"/>
  <c r="M603" i="116"/>
  <c r="L603" i="116"/>
  <c r="H603" i="116"/>
  <c r="J603" i="116" s="1"/>
  <c r="K603" i="116" s="1"/>
  <c r="G603" i="116"/>
  <c r="M602" i="116"/>
  <c r="L602" i="116"/>
  <c r="H602" i="116"/>
  <c r="J602" i="116" s="1"/>
  <c r="K602" i="116" s="1"/>
  <c r="G602" i="116"/>
  <c r="M601" i="116"/>
  <c r="L601" i="116"/>
  <c r="J601" i="116"/>
  <c r="K601" i="116" s="1"/>
  <c r="G601" i="116"/>
  <c r="H601" i="116" s="1"/>
  <c r="M600" i="116"/>
  <c r="L600" i="116"/>
  <c r="K600" i="116"/>
  <c r="J600" i="116"/>
  <c r="G600" i="116"/>
  <c r="H600" i="116" s="1"/>
  <c r="M599" i="116"/>
  <c r="L599" i="116"/>
  <c r="H599" i="116"/>
  <c r="J599" i="116" s="1"/>
  <c r="K599" i="116" s="1"/>
  <c r="G599" i="116"/>
  <c r="M598" i="116"/>
  <c r="L598" i="116"/>
  <c r="J598" i="116"/>
  <c r="K598" i="116" s="1"/>
  <c r="H598" i="116"/>
  <c r="G598" i="116"/>
  <c r="M597" i="116"/>
  <c r="L597" i="116"/>
  <c r="J597" i="116"/>
  <c r="K597" i="116" s="1"/>
  <c r="G597" i="116"/>
  <c r="H597" i="116" s="1"/>
  <c r="M596" i="116"/>
  <c r="L596" i="116"/>
  <c r="G596" i="116"/>
  <c r="H596" i="116" s="1"/>
  <c r="J596" i="116" s="1"/>
  <c r="K596" i="116" s="1"/>
  <c r="M595" i="116"/>
  <c r="L595" i="116"/>
  <c r="H595" i="116"/>
  <c r="J595" i="116" s="1"/>
  <c r="K595" i="116" s="1"/>
  <c r="G595" i="116"/>
  <c r="M594" i="116"/>
  <c r="L594" i="116"/>
  <c r="J594" i="116"/>
  <c r="K594" i="116" s="1"/>
  <c r="H594" i="116"/>
  <c r="G594" i="116"/>
  <c r="M593" i="116"/>
  <c r="L593" i="116"/>
  <c r="J593" i="116"/>
  <c r="K593" i="116" s="1"/>
  <c r="G593" i="116"/>
  <c r="H593" i="116" s="1"/>
  <c r="M592" i="116"/>
  <c r="L592" i="116"/>
  <c r="K592" i="116"/>
  <c r="J592" i="116"/>
  <c r="G592" i="116"/>
  <c r="H592" i="116" s="1"/>
  <c r="M591" i="116"/>
  <c r="L591" i="116"/>
  <c r="G591" i="116"/>
  <c r="H591" i="116" s="1"/>
  <c r="J591" i="116" s="1"/>
  <c r="K591" i="116" s="1"/>
  <c r="M590" i="116"/>
  <c r="L590" i="116"/>
  <c r="J590" i="116"/>
  <c r="K590" i="116" s="1"/>
  <c r="H590" i="116"/>
  <c r="G590" i="116"/>
  <c r="M589" i="116"/>
  <c r="L589" i="116"/>
  <c r="J589" i="116"/>
  <c r="K589" i="116" s="1"/>
  <c r="G589" i="116"/>
  <c r="H589" i="116" s="1"/>
  <c r="M588" i="116"/>
  <c r="L588" i="116"/>
  <c r="G588" i="116"/>
  <c r="H588" i="116" s="1"/>
  <c r="J588" i="116" s="1"/>
  <c r="K588" i="116" s="1"/>
  <c r="M587" i="116"/>
  <c r="L587" i="116"/>
  <c r="H587" i="116"/>
  <c r="J587" i="116" s="1"/>
  <c r="K587" i="116" s="1"/>
  <c r="G587" i="116"/>
  <c r="M586" i="116"/>
  <c r="L586" i="116"/>
  <c r="H586" i="116"/>
  <c r="J586" i="116" s="1"/>
  <c r="K586" i="116" s="1"/>
  <c r="G586" i="116"/>
  <c r="M585" i="116"/>
  <c r="L585" i="116"/>
  <c r="J585" i="116"/>
  <c r="K585" i="116" s="1"/>
  <c r="G585" i="116"/>
  <c r="H585" i="116" s="1"/>
  <c r="M584" i="116"/>
  <c r="L584" i="116"/>
  <c r="K584" i="116"/>
  <c r="J584" i="116"/>
  <c r="G584" i="116"/>
  <c r="H584" i="116" s="1"/>
  <c r="M583" i="116"/>
  <c r="L583" i="116"/>
  <c r="H583" i="116"/>
  <c r="J583" i="116" s="1"/>
  <c r="K583" i="116" s="1"/>
  <c r="G583" i="116"/>
  <c r="M582" i="116"/>
  <c r="L582" i="116"/>
  <c r="J582" i="116"/>
  <c r="K582" i="116" s="1"/>
  <c r="H582" i="116"/>
  <c r="G582" i="116"/>
  <c r="M581" i="116"/>
  <c r="L581" i="116"/>
  <c r="J581" i="116"/>
  <c r="K581" i="116" s="1"/>
  <c r="G581" i="116"/>
  <c r="H581" i="116" s="1"/>
  <c r="M580" i="116"/>
  <c r="L580" i="116"/>
  <c r="G580" i="116"/>
  <c r="H580" i="116" s="1"/>
  <c r="J580" i="116" s="1"/>
  <c r="K580" i="116" s="1"/>
  <c r="M579" i="116"/>
  <c r="L579" i="116"/>
  <c r="H579" i="116"/>
  <c r="J579" i="116" s="1"/>
  <c r="K579" i="116" s="1"/>
  <c r="G579" i="116"/>
  <c r="M578" i="116"/>
  <c r="L578" i="116"/>
  <c r="J578" i="116"/>
  <c r="K578" i="116" s="1"/>
  <c r="H578" i="116"/>
  <c r="G578" i="116"/>
  <c r="M577" i="116"/>
  <c r="L577" i="116"/>
  <c r="J577" i="116"/>
  <c r="K577" i="116" s="1"/>
  <c r="G577" i="116"/>
  <c r="H577" i="116" s="1"/>
  <c r="M576" i="116"/>
  <c r="L576" i="116"/>
  <c r="K576" i="116"/>
  <c r="J576" i="116"/>
  <c r="G576" i="116"/>
  <c r="H576" i="116" s="1"/>
  <c r="M575" i="116"/>
  <c r="L575" i="116"/>
  <c r="G575" i="116"/>
  <c r="H575" i="116" s="1"/>
  <c r="J575" i="116" s="1"/>
  <c r="K575" i="116" s="1"/>
  <c r="M574" i="116"/>
  <c r="L574" i="116"/>
  <c r="J574" i="116"/>
  <c r="K574" i="116" s="1"/>
  <c r="H574" i="116"/>
  <c r="G574" i="116"/>
  <c r="M573" i="116"/>
  <c r="L573" i="116"/>
  <c r="K573" i="116"/>
  <c r="J573" i="116"/>
  <c r="G573" i="116"/>
  <c r="H573" i="116" s="1"/>
  <c r="M572" i="116"/>
  <c r="L572" i="116"/>
  <c r="H572" i="116"/>
  <c r="J572" i="116" s="1"/>
  <c r="K572" i="116" s="1"/>
  <c r="G572" i="116"/>
  <c r="M571" i="116"/>
  <c r="L571" i="116"/>
  <c r="K571" i="116"/>
  <c r="G571" i="116"/>
  <c r="H571" i="116" s="1"/>
  <c r="J571" i="116" s="1"/>
  <c r="M570" i="116"/>
  <c r="L570" i="116"/>
  <c r="G570" i="116"/>
  <c r="H570" i="116" s="1"/>
  <c r="J570" i="116" s="1"/>
  <c r="K570" i="116" s="1"/>
  <c r="M569" i="116"/>
  <c r="L569" i="116"/>
  <c r="G569" i="116"/>
  <c r="H569" i="116" s="1"/>
  <c r="J569" i="116" s="1"/>
  <c r="K569" i="116" s="1"/>
  <c r="M568" i="116"/>
  <c r="L568" i="116"/>
  <c r="K568" i="116"/>
  <c r="G568" i="116"/>
  <c r="H568" i="116" s="1"/>
  <c r="J568" i="116" s="1"/>
  <c r="M567" i="116"/>
  <c r="L567" i="116"/>
  <c r="H567" i="116"/>
  <c r="J567" i="116" s="1"/>
  <c r="K567" i="116" s="1"/>
  <c r="G567" i="116"/>
  <c r="M566" i="116"/>
  <c r="L566" i="116"/>
  <c r="J566" i="116"/>
  <c r="K566" i="116" s="1"/>
  <c r="H566" i="116"/>
  <c r="G566" i="116"/>
  <c r="M565" i="116"/>
  <c r="L565" i="116"/>
  <c r="G565" i="116"/>
  <c r="H565" i="116" s="1"/>
  <c r="J565" i="116" s="1"/>
  <c r="K565" i="116" s="1"/>
  <c r="M564" i="116"/>
  <c r="L564" i="116"/>
  <c r="H564" i="116"/>
  <c r="J564" i="116" s="1"/>
  <c r="K564" i="116" s="1"/>
  <c r="G564" i="116"/>
  <c r="M563" i="116"/>
  <c r="L563" i="116"/>
  <c r="J563" i="116"/>
  <c r="K563" i="116" s="1"/>
  <c r="H563" i="116"/>
  <c r="G563" i="116"/>
  <c r="M562" i="116"/>
  <c r="L562" i="116"/>
  <c r="G562" i="116"/>
  <c r="H562" i="116" s="1"/>
  <c r="J562" i="116" s="1"/>
  <c r="K562" i="116" s="1"/>
  <c r="M561" i="116"/>
  <c r="L561" i="116"/>
  <c r="J561" i="116"/>
  <c r="K561" i="116" s="1"/>
  <c r="G561" i="116"/>
  <c r="H561" i="116" s="1"/>
  <c r="M560" i="116"/>
  <c r="L560" i="116"/>
  <c r="K560" i="116"/>
  <c r="J560" i="116"/>
  <c r="H560" i="116"/>
  <c r="G560" i="116"/>
  <c r="M559" i="116"/>
  <c r="L559" i="116"/>
  <c r="G559" i="116"/>
  <c r="H559" i="116" s="1"/>
  <c r="J559" i="116" s="1"/>
  <c r="K559" i="116" s="1"/>
  <c r="M558" i="116"/>
  <c r="L558" i="116"/>
  <c r="J558" i="116"/>
  <c r="K558" i="116" s="1"/>
  <c r="H558" i="116"/>
  <c r="G558" i="116"/>
  <c r="M557" i="116"/>
  <c r="L557" i="116"/>
  <c r="K557" i="116"/>
  <c r="J557" i="116"/>
  <c r="G557" i="116"/>
  <c r="H557" i="116" s="1"/>
  <c r="M556" i="116"/>
  <c r="L556" i="116"/>
  <c r="H556" i="116"/>
  <c r="J556" i="116" s="1"/>
  <c r="K556" i="116" s="1"/>
  <c r="G556" i="116"/>
  <c r="M555" i="116"/>
  <c r="L555" i="116"/>
  <c r="K555" i="116"/>
  <c r="G555" i="116"/>
  <c r="H555" i="116" s="1"/>
  <c r="J555" i="116" s="1"/>
  <c r="M554" i="116"/>
  <c r="L554" i="116"/>
  <c r="G554" i="116"/>
  <c r="H554" i="116" s="1"/>
  <c r="J554" i="116" s="1"/>
  <c r="K554" i="116" s="1"/>
  <c r="M553" i="116"/>
  <c r="L553" i="116"/>
  <c r="J553" i="116"/>
  <c r="K553" i="116" s="1"/>
  <c r="G553" i="116"/>
  <c r="H553" i="116" s="1"/>
  <c r="M552" i="116"/>
  <c r="L552" i="116"/>
  <c r="G552" i="116"/>
  <c r="H552" i="116" s="1"/>
  <c r="J552" i="116" s="1"/>
  <c r="K552" i="116" s="1"/>
  <c r="M551" i="116"/>
  <c r="L551" i="116"/>
  <c r="H551" i="116"/>
  <c r="J551" i="116" s="1"/>
  <c r="K551" i="116" s="1"/>
  <c r="G551" i="116"/>
  <c r="M550" i="116"/>
  <c r="L550" i="116"/>
  <c r="H550" i="116"/>
  <c r="J550" i="116" s="1"/>
  <c r="K550" i="116" s="1"/>
  <c r="G550" i="116"/>
  <c r="M549" i="116"/>
  <c r="L549" i="116"/>
  <c r="G549" i="116"/>
  <c r="H549" i="116" s="1"/>
  <c r="J549" i="116" s="1"/>
  <c r="K549" i="116" s="1"/>
  <c r="M548" i="116"/>
  <c r="L548" i="116"/>
  <c r="H548" i="116"/>
  <c r="J548" i="116" s="1"/>
  <c r="K548" i="116" s="1"/>
  <c r="G548" i="116"/>
  <c r="M547" i="116"/>
  <c r="L547" i="116"/>
  <c r="K547" i="116"/>
  <c r="J547" i="116"/>
  <c r="H547" i="116"/>
  <c r="G547" i="116"/>
  <c r="M546" i="116"/>
  <c r="L546" i="116"/>
  <c r="G546" i="116"/>
  <c r="H546" i="116" s="1"/>
  <c r="J546" i="116" s="1"/>
  <c r="K546" i="116" s="1"/>
  <c r="M545" i="116"/>
  <c r="L545" i="116"/>
  <c r="J545" i="116"/>
  <c r="K545" i="116" s="1"/>
  <c r="G545" i="116"/>
  <c r="H545" i="116" s="1"/>
  <c r="M544" i="116"/>
  <c r="L544" i="116"/>
  <c r="K544" i="116"/>
  <c r="J544" i="116"/>
  <c r="H544" i="116"/>
  <c r="G544" i="116"/>
  <c r="M543" i="116"/>
  <c r="L543" i="116"/>
  <c r="G543" i="116"/>
  <c r="H543" i="116" s="1"/>
  <c r="J543" i="116" s="1"/>
  <c r="K543" i="116" s="1"/>
  <c r="M542" i="116"/>
  <c r="L542" i="116"/>
  <c r="J542" i="116"/>
  <c r="K542" i="116" s="1"/>
  <c r="H542" i="116"/>
  <c r="G542" i="116"/>
  <c r="M541" i="116"/>
  <c r="L541" i="116"/>
  <c r="K541" i="116"/>
  <c r="J541" i="116"/>
  <c r="G541" i="116"/>
  <c r="H541" i="116" s="1"/>
  <c r="M540" i="116"/>
  <c r="L540" i="116"/>
  <c r="H540" i="116"/>
  <c r="J540" i="116" s="1"/>
  <c r="K540" i="116" s="1"/>
  <c r="G540" i="116"/>
  <c r="M539" i="116"/>
  <c r="L539" i="116"/>
  <c r="K539" i="116"/>
  <c r="G539" i="116"/>
  <c r="H539" i="116" s="1"/>
  <c r="J539" i="116" s="1"/>
  <c r="M538" i="116"/>
  <c r="L538" i="116"/>
  <c r="G538" i="116"/>
  <c r="H538" i="116" s="1"/>
  <c r="J538" i="116" s="1"/>
  <c r="K538" i="116" s="1"/>
  <c r="M537" i="116"/>
  <c r="L537" i="116"/>
  <c r="G537" i="116"/>
  <c r="H537" i="116" s="1"/>
  <c r="J537" i="116" s="1"/>
  <c r="K537" i="116" s="1"/>
  <c r="M536" i="116"/>
  <c r="L536" i="116"/>
  <c r="K536" i="116"/>
  <c r="G536" i="116"/>
  <c r="H536" i="116" s="1"/>
  <c r="J536" i="116" s="1"/>
  <c r="M535" i="116"/>
  <c r="L535" i="116"/>
  <c r="H535" i="116"/>
  <c r="J535" i="116" s="1"/>
  <c r="K535" i="116" s="1"/>
  <c r="G535" i="116"/>
  <c r="M534" i="116"/>
  <c r="L534" i="116"/>
  <c r="J534" i="116"/>
  <c r="K534" i="116" s="1"/>
  <c r="H534" i="116"/>
  <c r="G534" i="116"/>
  <c r="M533" i="116"/>
  <c r="L533" i="116"/>
  <c r="G533" i="116"/>
  <c r="H533" i="116" s="1"/>
  <c r="J533" i="116" s="1"/>
  <c r="K533" i="116" s="1"/>
  <c r="M532" i="116"/>
  <c r="L532" i="116"/>
  <c r="H532" i="116"/>
  <c r="J532" i="116" s="1"/>
  <c r="K532" i="116" s="1"/>
  <c r="G532" i="116"/>
  <c r="M531" i="116"/>
  <c r="L531" i="116"/>
  <c r="J531" i="116"/>
  <c r="K531" i="116" s="1"/>
  <c r="H531" i="116"/>
  <c r="G531" i="116"/>
  <c r="M530" i="116"/>
  <c r="L530" i="116"/>
  <c r="G530" i="116"/>
  <c r="H530" i="116" s="1"/>
  <c r="J530" i="116" s="1"/>
  <c r="K530" i="116" s="1"/>
  <c r="M529" i="116"/>
  <c r="L529" i="116"/>
  <c r="J529" i="116"/>
  <c r="K529" i="116" s="1"/>
  <c r="G529" i="116"/>
  <c r="H529" i="116" s="1"/>
  <c r="M528" i="116"/>
  <c r="L528" i="116"/>
  <c r="K528" i="116"/>
  <c r="J528" i="116"/>
  <c r="H528" i="116"/>
  <c r="G528" i="116"/>
  <c r="M527" i="116"/>
  <c r="L527" i="116"/>
  <c r="G527" i="116"/>
  <c r="H527" i="116" s="1"/>
  <c r="J527" i="116" s="1"/>
  <c r="K527" i="116" s="1"/>
  <c r="M526" i="116"/>
  <c r="L526" i="116"/>
  <c r="J526" i="116"/>
  <c r="K526" i="116" s="1"/>
  <c r="H526" i="116"/>
  <c r="G526" i="116"/>
  <c r="M525" i="116"/>
  <c r="L525" i="116"/>
  <c r="K525" i="116"/>
  <c r="J525" i="116"/>
  <c r="G525" i="116"/>
  <c r="H525" i="116" s="1"/>
  <c r="M524" i="116"/>
  <c r="L524" i="116"/>
  <c r="H524" i="116"/>
  <c r="J524" i="116" s="1"/>
  <c r="K524" i="116" s="1"/>
  <c r="G524" i="116"/>
  <c r="M523" i="116"/>
  <c r="L523" i="116"/>
  <c r="K523" i="116"/>
  <c r="G523" i="116"/>
  <c r="H523" i="116" s="1"/>
  <c r="J523" i="116" s="1"/>
  <c r="M522" i="116"/>
  <c r="L522" i="116"/>
  <c r="G522" i="116"/>
  <c r="H522" i="116" s="1"/>
  <c r="J522" i="116" s="1"/>
  <c r="K522" i="116" s="1"/>
  <c r="M521" i="116"/>
  <c r="L521" i="116"/>
  <c r="J521" i="116"/>
  <c r="K521" i="116" s="1"/>
  <c r="G521" i="116"/>
  <c r="H521" i="116" s="1"/>
  <c r="M520" i="116"/>
  <c r="L520" i="116"/>
  <c r="G520" i="116"/>
  <c r="H520" i="116" s="1"/>
  <c r="J520" i="116" s="1"/>
  <c r="K520" i="116" s="1"/>
  <c r="M519" i="116"/>
  <c r="L519" i="116"/>
  <c r="H519" i="116"/>
  <c r="J519" i="116" s="1"/>
  <c r="K519" i="116" s="1"/>
  <c r="G519" i="116"/>
  <c r="M518" i="116"/>
  <c r="L518" i="116"/>
  <c r="H518" i="116"/>
  <c r="J518" i="116" s="1"/>
  <c r="K518" i="116" s="1"/>
  <c r="G518" i="116"/>
  <c r="M517" i="116"/>
  <c r="L517" i="116"/>
  <c r="G517" i="116"/>
  <c r="H517" i="116" s="1"/>
  <c r="J517" i="116" s="1"/>
  <c r="K517" i="116" s="1"/>
  <c r="M516" i="116"/>
  <c r="L516" i="116"/>
  <c r="H516" i="116"/>
  <c r="J516" i="116" s="1"/>
  <c r="K516" i="116" s="1"/>
  <c r="G516" i="116"/>
  <c r="M515" i="116"/>
  <c r="L515" i="116"/>
  <c r="K515" i="116"/>
  <c r="J515" i="116"/>
  <c r="H515" i="116"/>
  <c r="G515" i="116"/>
  <c r="M514" i="116"/>
  <c r="L514" i="116"/>
  <c r="G514" i="116"/>
  <c r="H514" i="116" s="1"/>
  <c r="J514" i="116" s="1"/>
  <c r="K514" i="116" s="1"/>
  <c r="M513" i="116"/>
  <c r="L513" i="116"/>
  <c r="J513" i="116"/>
  <c r="K513" i="116" s="1"/>
  <c r="G513" i="116"/>
  <c r="H513" i="116" s="1"/>
  <c r="M512" i="116"/>
  <c r="L512" i="116"/>
  <c r="K512" i="116"/>
  <c r="J512" i="116"/>
  <c r="H512" i="116"/>
  <c r="G512" i="116"/>
  <c r="M511" i="116"/>
  <c r="L511" i="116"/>
  <c r="G511" i="116"/>
  <c r="H511" i="116" s="1"/>
  <c r="J511" i="116" s="1"/>
  <c r="K511" i="116" s="1"/>
  <c r="M510" i="116"/>
  <c r="L510" i="116"/>
  <c r="J510" i="116"/>
  <c r="K510" i="116" s="1"/>
  <c r="H510" i="116"/>
  <c r="G510" i="116"/>
  <c r="M509" i="116"/>
  <c r="L509" i="116"/>
  <c r="K509" i="116"/>
  <c r="J509" i="116"/>
  <c r="G509" i="116"/>
  <c r="H509" i="116" s="1"/>
  <c r="M508" i="116"/>
  <c r="L508" i="116"/>
  <c r="H508" i="116"/>
  <c r="J508" i="116" s="1"/>
  <c r="K508" i="116" s="1"/>
  <c r="G508" i="116"/>
  <c r="M507" i="116"/>
  <c r="L507" i="116"/>
  <c r="K507" i="116"/>
  <c r="G507" i="116"/>
  <c r="H507" i="116" s="1"/>
  <c r="J507" i="116" s="1"/>
  <c r="M506" i="116"/>
  <c r="L506" i="116"/>
  <c r="G506" i="116"/>
  <c r="H506" i="116" s="1"/>
  <c r="J506" i="116" s="1"/>
  <c r="K506" i="116" s="1"/>
  <c r="M505" i="116"/>
  <c r="L505" i="116"/>
  <c r="G505" i="116"/>
  <c r="H505" i="116" s="1"/>
  <c r="J505" i="116" s="1"/>
  <c r="K505" i="116" s="1"/>
  <c r="M504" i="116"/>
  <c r="L504" i="116"/>
  <c r="K504" i="116"/>
  <c r="G504" i="116"/>
  <c r="H504" i="116" s="1"/>
  <c r="J504" i="116" s="1"/>
  <c r="M503" i="116"/>
  <c r="L503" i="116"/>
  <c r="H503" i="116"/>
  <c r="J503" i="116" s="1"/>
  <c r="K503" i="116" s="1"/>
  <c r="G503" i="116"/>
  <c r="M502" i="116"/>
  <c r="L502" i="116"/>
  <c r="J502" i="116"/>
  <c r="K502" i="116" s="1"/>
  <c r="H502" i="116"/>
  <c r="G502" i="116"/>
  <c r="M501" i="116"/>
  <c r="L501" i="116"/>
  <c r="G501" i="116"/>
  <c r="H501" i="116" s="1"/>
  <c r="J501" i="116" s="1"/>
  <c r="K501" i="116" s="1"/>
  <c r="M500" i="116"/>
  <c r="L500" i="116"/>
  <c r="H500" i="116"/>
  <c r="J500" i="116" s="1"/>
  <c r="K500" i="116" s="1"/>
  <c r="G500" i="116"/>
  <c r="M499" i="116"/>
  <c r="L499" i="116"/>
  <c r="J499" i="116"/>
  <c r="K499" i="116" s="1"/>
  <c r="H499" i="116"/>
  <c r="G499" i="116"/>
  <c r="M498" i="116"/>
  <c r="L498" i="116"/>
  <c r="G498" i="116"/>
  <c r="H498" i="116" s="1"/>
  <c r="J498" i="116" s="1"/>
  <c r="K498" i="116" s="1"/>
  <c r="M497" i="116"/>
  <c r="L497" i="116"/>
  <c r="J497" i="116"/>
  <c r="K497" i="116" s="1"/>
  <c r="G497" i="116"/>
  <c r="H497" i="116" s="1"/>
  <c r="M496" i="116"/>
  <c r="L496" i="116"/>
  <c r="K496" i="116"/>
  <c r="J496" i="116"/>
  <c r="H496" i="116"/>
  <c r="G496" i="116"/>
  <c r="M495" i="116"/>
  <c r="L495" i="116"/>
  <c r="G495" i="116"/>
  <c r="H495" i="116" s="1"/>
  <c r="J495" i="116" s="1"/>
  <c r="K495" i="116" s="1"/>
  <c r="M494" i="116"/>
  <c r="L494" i="116"/>
  <c r="J494" i="116"/>
  <c r="K494" i="116" s="1"/>
  <c r="H494" i="116"/>
  <c r="G494" i="116"/>
  <c r="M493" i="116"/>
  <c r="L493" i="116"/>
  <c r="K493" i="116"/>
  <c r="J493" i="116"/>
  <c r="G493" i="116"/>
  <c r="H493" i="116" s="1"/>
  <c r="M492" i="116"/>
  <c r="L492" i="116"/>
  <c r="H492" i="116"/>
  <c r="J492" i="116" s="1"/>
  <c r="K492" i="116" s="1"/>
  <c r="G492" i="116"/>
  <c r="M491" i="116"/>
  <c r="L491" i="116"/>
  <c r="K491" i="116"/>
  <c r="G491" i="116"/>
  <c r="H491" i="116" s="1"/>
  <c r="J491" i="116" s="1"/>
  <c r="M490" i="116"/>
  <c r="L490" i="116"/>
  <c r="G490" i="116"/>
  <c r="H490" i="116" s="1"/>
  <c r="J490" i="116" s="1"/>
  <c r="K490" i="116" s="1"/>
  <c r="M489" i="116"/>
  <c r="L489" i="116"/>
  <c r="J489" i="116"/>
  <c r="K489" i="116" s="1"/>
  <c r="G489" i="116"/>
  <c r="H489" i="116" s="1"/>
  <c r="M488" i="116"/>
  <c r="L488" i="116"/>
  <c r="G488" i="116"/>
  <c r="H488" i="116" s="1"/>
  <c r="J488" i="116" s="1"/>
  <c r="K488" i="116" s="1"/>
  <c r="M487" i="116"/>
  <c r="L487" i="116"/>
  <c r="H487" i="116"/>
  <c r="J487" i="116" s="1"/>
  <c r="K487" i="116" s="1"/>
  <c r="G487" i="116"/>
  <c r="M486" i="116"/>
  <c r="L486" i="116"/>
  <c r="H486" i="116"/>
  <c r="J486" i="116" s="1"/>
  <c r="K486" i="116" s="1"/>
  <c r="G486" i="116"/>
  <c r="M485" i="116"/>
  <c r="L485" i="116"/>
  <c r="G485" i="116"/>
  <c r="H485" i="116" s="1"/>
  <c r="J485" i="116" s="1"/>
  <c r="K485" i="116" s="1"/>
  <c r="M484" i="116"/>
  <c r="L484" i="116"/>
  <c r="H484" i="116"/>
  <c r="J484" i="116" s="1"/>
  <c r="K484" i="116" s="1"/>
  <c r="G484" i="116"/>
  <c r="M483" i="116"/>
  <c r="L483" i="116"/>
  <c r="K483" i="116"/>
  <c r="J483" i="116"/>
  <c r="H483" i="116"/>
  <c r="G483" i="116"/>
  <c r="M482" i="116"/>
  <c r="L482" i="116"/>
  <c r="G482" i="116"/>
  <c r="H482" i="116" s="1"/>
  <c r="J482" i="116" s="1"/>
  <c r="K482" i="116" s="1"/>
  <c r="M481" i="116"/>
  <c r="L481" i="116"/>
  <c r="G481" i="116"/>
  <c r="H481" i="116" s="1"/>
  <c r="J481" i="116" s="1"/>
  <c r="K481" i="116" s="1"/>
  <c r="M480" i="116"/>
  <c r="L480" i="116"/>
  <c r="H480" i="116"/>
  <c r="J480" i="116" s="1"/>
  <c r="K480" i="116" s="1"/>
  <c r="G480" i="116"/>
  <c r="M479" i="116"/>
  <c r="L479" i="116"/>
  <c r="J479" i="116"/>
  <c r="K479" i="116" s="1"/>
  <c r="H479" i="116"/>
  <c r="G479" i="116"/>
  <c r="M478" i="116"/>
  <c r="L478" i="116"/>
  <c r="H478" i="116"/>
  <c r="J478" i="116" s="1"/>
  <c r="K478" i="116" s="1"/>
  <c r="G478" i="116"/>
  <c r="M477" i="116"/>
  <c r="L477" i="116"/>
  <c r="G477" i="116"/>
  <c r="H477" i="116" s="1"/>
  <c r="J477" i="116" s="1"/>
  <c r="K477" i="116" s="1"/>
  <c r="M476" i="116"/>
  <c r="L476" i="116"/>
  <c r="H476" i="116"/>
  <c r="J476" i="116" s="1"/>
  <c r="K476" i="116" s="1"/>
  <c r="G476" i="116"/>
  <c r="M475" i="116"/>
  <c r="L475" i="116"/>
  <c r="J475" i="116"/>
  <c r="K475" i="116" s="1"/>
  <c r="H475" i="116"/>
  <c r="G475" i="116"/>
  <c r="M474" i="116"/>
  <c r="L474" i="116"/>
  <c r="G474" i="116"/>
  <c r="H474" i="116" s="1"/>
  <c r="J474" i="116" s="1"/>
  <c r="K474" i="116" s="1"/>
  <c r="M473" i="116"/>
  <c r="L473" i="116"/>
  <c r="G473" i="116"/>
  <c r="H473" i="116" s="1"/>
  <c r="J473" i="116" s="1"/>
  <c r="K473" i="116" s="1"/>
  <c r="M472" i="116"/>
  <c r="L472" i="116"/>
  <c r="H472" i="116"/>
  <c r="J472" i="116" s="1"/>
  <c r="K472" i="116" s="1"/>
  <c r="G472" i="116"/>
  <c r="M471" i="116"/>
  <c r="L471" i="116"/>
  <c r="G471" i="116"/>
  <c r="H471" i="116" s="1"/>
  <c r="J471" i="116" s="1"/>
  <c r="K471" i="116" s="1"/>
  <c r="M470" i="116"/>
  <c r="L470" i="116"/>
  <c r="G470" i="116"/>
  <c r="H470" i="116" s="1"/>
  <c r="J470" i="116" s="1"/>
  <c r="K470" i="116" s="1"/>
  <c r="M469" i="116"/>
  <c r="L469" i="116"/>
  <c r="G469" i="116"/>
  <c r="H469" i="116" s="1"/>
  <c r="J469" i="116" s="1"/>
  <c r="K469" i="116" s="1"/>
  <c r="M468" i="116"/>
  <c r="L468" i="116"/>
  <c r="H468" i="116"/>
  <c r="J468" i="116" s="1"/>
  <c r="K468" i="116" s="1"/>
  <c r="G468" i="116"/>
  <c r="M467" i="116"/>
  <c r="L467" i="116"/>
  <c r="J467" i="116"/>
  <c r="K467" i="116" s="1"/>
  <c r="G467" i="116"/>
  <c r="H467" i="116" s="1"/>
  <c r="M466" i="116"/>
  <c r="L466" i="116"/>
  <c r="G466" i="116"/>
  <c r="H466" i="116" s="1"/>
  <c r="J466" i="116" s="1"/>
  <c r="K466" i="116" s="1"/>
  <c r="M465" i="116"/>
  <c r="L465" i="116"/>
  <c r="K465" i="116"/>
  <c r="G465" i="116"/>
  <c r="H465" i="116" s="1"/>
  <c r="J465" i="116" s="1"/>
  <c r="M464" i="116"/>
  <c r="L464" i="116"/>
  <c r="H464" i="116"/>
  <c r="J464" i="116" s="1"/>
  <c r="K464" i="116" s="1"/>
  <c r="G464" i="116"/>
  <c r="M463" i="116"/>
  <c r="L463" i="116"/>
  <c r="K463" i="116"/>
  <c r="J463" i="116"/>
  <c r="G463" i="116"/>
  <c r="H463" i="116" s="1"/>
  <c r="M462" i="116"/>
  <c r="L462" i="116"/>
  <c r="H462" i="116"/>
  <c r="J462" i="116" s="1"/>
  <c r="K462" i="116" s="1"/>
  <c r="G462" i="116"/>
  <c r="M461" i="116"/>
  <c r="L461" i="116"/>
  <c r="K461" i="116"/>
  <c r="G461" i="116"/>
  <c r="H461" i="116" s="1"/>
  <c r="J461" i="116" s="1"/>
  <c r="M460" i="116"/>
  <c r="L460" i="116"/>
  <c r="H460" i="116"/>
  <c r="J460" i="116" s="1"/>
  <c r="K460" i="116" s="1"/>
  <c r="G460" i="116"/>
  <c r="M459" i="116"/>
  <c r="L459" i="116"/>
  <c r="G459" i="116"/>
  <c r="H459" i="116" s="1"/>
  <c r="J459" i="116" s="1"/>
  <c r="K459" i="116" s="1"/>
  <c r="M458" i="116"/>
  <c r="L458" i="116"/>
  <c r="G458" i="116"/>
  <c r="H458" i="116" s="1"/>
  <c r="J458" i="116" s="1"/>
  <c r="K458" i="116" s="1"/>
  <c r="M457" i="116"/>
  <c r="L457" i="116"/>
  <c r="G457" i="116"/>
  <c r="H457" i="116" s="1"/>
  <c r="J457" i="116" s="1"/>
  <c r="K457" i="116" s="1"/>
  <c r="M456" i="116"/>
  <c r="L456" i="116"/>
  <c r="H456" i="116"/>
  <c r="J456" i="116" s="1"/>
  <c r="K456" i="116" s="1"/>
  <c r="G456" i="116"/>
  <c r="M455" i="116"/>
  <c r="L455" i="116"/>
  <c r="G455" i="116"/>
  <c r="H455" i="116" s="1"/>
  <c r="J455" i="116" s="1"/>
  <c r="K455" i="116" s="1"/>
  <c r="M454" i="116"/>
  <c r="L454" i="116"/>
  <c r="G454" i="116"/>
  <c r="H454" i="116" s="1"/>
  <c r="J454" i="116" s="1"/>
  <c r="K454" i="116" s="1"/>
  <c r="M453" i="116"/>
  <c r="L453" i="116"/>
  <c r="G453" i="116"/>
  <c r="H453" i="116" s="1"/>
  <c r="J453" i="116" s="1"/>
  <c r="K453" i="116" s="1"/>
  <c r="M452" i="116"/>
  <c r="L452" i="116"/>
  <c r="H452" i="116"/>
  <c r="J452" i="116" s="1"/>
  <c r="K452" i="116" s="1"/>
  <c r="G452" i="116"/>
  <c r="M451" i="116"/>
  <c r="L451" i="116"/>
  <c r="G451" i="116"/>
  <c r="H451" i="116" s="1"/>
  <c r="J451" i="116" s="1"/>
  <c r="K451" i="116" s="1"/>
  <c r="M450" i="116"/>
  <c r="L450" i="116"/>
  <c r="H450" i="116"/>
  <c r="J450" i="116" s="1"/>
  <c r="K450" i="116" s="1"/>
  <c r="G450" i="116"/>
  <c r="M449" i="116"/>
  <c r="L449" i="116"/>
  <c r="G449" i="116"/>
  <c r="H449" i="116" s="1"/>
  <c r="J449" i="116" s="1"/>
  <c r="K449" i="116" s="1"/>
  <c r="M448" i="116"/>
  <c r="L448" i="116"/>
  <c r="H448" i="116"/>
  <c r="J448" i="116" s="1"/>
  <c r="K448" i="116" s="1"/>
  <c r="G448" i="116"/>
  <c r="M447" i="116"/>
  <c r="L447" i="116"/>
  <c r="J447" i="116"/>
  <c r="K447" i="116" s="1"/>
  <c r="G447" i="116"/>
  <c r="H447" i="116" s="1"/>
  <c r="M446" i="116"/>
  <c r="L446" i="116"/>
  <c r="H446" i="116"/>
  <c r="J446" i="116" s="1"/>
  <c r="K446" i="116" s="1"/>
  <c r="G446" i="116"/>
  <c r="M445" i="116"/>
  <c r="L445" i="116"/>
  <c r="K445" i="116"/>
  <c r="G445" i="116"/>
  <c r="H445" i="116" s="1"/>
  <c r="J445" i="116" s="1"/>
  <c r="M444" i="116"/>
  <c r="L444" i="116"/>
  <c r="H444" i="116"/>
  <c r="J444" i="116" s="1"/>
  <c r="K444" i="116" s="1"/>
  <c r="G444" i="116"/>
  <c r="M443" i="116"/>
  <c r="L443" i="116"/>
  <c r="G443" i="116"/>
  <c r="H443" i="116" s="1"/>
  <c r="J443" i="116" s="1"/>
  <c r="K443" i="116" s="1"/>
  <c r="M442" i="116"/>
  <c r="L442" i="116"/>
  <c r="G442" i="116"/>
  <c r="H442" i="116" s="1"/>
  <c r="J442" i="116" s="1"/>
  <c r="K442" i="116" s="1"/>
  <c r="M441" i="116"/>
  <c r="L441" i="116"/>
  <c r="G441" i="116"/>
  <c r="H441" i="116" s="1"/>
  <c r="J441" i="116" s="1"/>
  <c r="K441" i="116" s="1"/>
  <c r="M440" i="116"/>
  <c r="L440" i="116"/>
  <c r="H440" i="116"/>
  <c r="J440" i="116" s="1"/>
  <c r="K440" i="116" s="1"/>
  <c r="G440" i="116"/>
  <c r="M439" i="116"/>
  <c r="L439" i="116"/>
  <c r="G439" i="116"/>
  <c r="H439" i="116" s="1"/>
  <c r="J439" i="116" s="1"/>
  <c r="K439" i="116" s="1"/>
  <c r="M438" i="116"/>
  <c r="L438" i="116"/>
  <c r="G438" i="116"/>
  <c r="H438" i="116" s="1"/>
  <c r="J438" i="116" s="1"/>
  <c r="K438" i="116" s="1"/>
  <c r="M437" i="116"/>
  <c r="L437" i="116"/>
  <c r="G437" i="116"/>
  <c r="H437" i="116" s="1"/>
  <c r="J437" i="116" s="1"/>
  <c r="K437" i="116" s="1"/>
  <c r="M436" i="116"/>
  <c r="L436" i="116"/>
  <c r="H436" i="116"/>
  <c r="J436" i="116" s="1"/>
  <c r="K436" i="116" s="1"/>
  <c r="G436" i="116"/>
  <c r="M435" i="116"/>
  <c r="L435" i="116"/>
  <c r="J435" i="116"/>
  <c r="K435" i="116" s="1"/>
  <c r="G435" i="116"/>
  <c r="H435" i="116" s="1"/>
  <c r="M434" i="116"/>
  <c r="L434" i="116"/>
  <c r="G434" i="116"/>
  <c r="H434" i="116" s="1"/>
  <c r="J434" i="116" s="1"/>
  <c r="K434" i="116" s="1"/>
  <c r="M433" i="116"/>
  <c r="L433" i="116"/>
  <c r="K433" i="116"/>
  <c r="G433" i="116"/>
  <c r="H433" i="116" s="1"/>
  <c r="J433" i="116" s="1"/>
  <c r="M432" i="116"/>
  <c r="L432" i="116"/>
  <c r="H432" i="116"/>
  <c r="J432" i="116" s="1"/>
  <c r="K432" i="116" s="1"/>
  <c r="G432" i="116"/>
  <c r="M431" i="116"/>
  <c r="L431" i="116"/>
  <c r="K431" i="116"/>
  <c r="J431" i="116"/>
  <c r="G431" i="116"/>
  <c r="H431" i="116" s="1"/>
  <c r="M430" i="116"/>
  <c r="L430" i="116"/>
  <c r="G430" i="116"/>
  <c r="H430" i="116" s="1"/>
  <c r="J430" i="116" s="1"/>
  <c r="K430" i="116" s="1"/>
  <c r="M429" i="116"/>
  <c r="L429" i="116"/>
  <c r="G429" i="116"/>
  <c r="H429" i="116" s="1"/>
  <c r="J429" i="116" s="1"/>
  <c r="K429" i="116" s="1"/>
  <c r="M428" i="116"/>
  <c r="L428" i="116"/>
  <c r="G428" i="116"/>
  <c r="H428" i="116" s="1"/>
  <c r="J428" i="116" s="1"/>
  <c r="K428" i="116" s="1"/>
  <c r="M427" i="116"/>
  <c r="L427" i="116"/>
  <c r="G427" i="116"/>
  <c r="H427" i="116" s="1"/>
  <c r="J427" i="116" s="1"/>
  <c r="K427" i="116" s="1"/>
  <c r="M426" i="116"/>
  <c r="L426" i="116"/>
  <c r="J426" i="116"/>
  <c r="K426" i="116" s="1"/>
  <c r="H426" i="116"/>
  <c r="G426" i="116"/>
  <c r="M425" i="116"/>
  <c r="L425" i="116"/>
  <c r="G425" i="116"/>
  <c r="H425" i="116" s="1"/>
  <c r="J425" i="116" s="1"/>
  <c r="K425" i="116" s="1"/>
  <c r="M424" i="116"/>
  <c r="L424" i="116"/>
  <c r="G424" i="116"/>
  <c r="H424" i="116" s="1"/>
  <c r="J424" i="116" s="1"/>
  <c r="K424" i="116" s="1"/>
  <c r="M423" i="116"/>
  <c r="L423" i="116"/>
  <c r="G423" i="116"/>
  <c r="H423" i="116" s="1"/>
  <c r="J423" i="116" s="1"/>
  <c r="K423" i="116" s="1"/>
  <c r="M422" i="116"/>
  <c r="L422" i="116"/>
  <c r="G422" i="116"/>
  <c r="H422" i="116" s="1"/>
  <c r="J422" i="116" s="1"/>
  <c r="K422" i="116" s="1"/>
  <c r="M421" i="116"/>
  <c r="L421" i="116"/>
  <c r="K421" i="116"/>
  <c r="J421" i="116"/>
  <c r="G421" i="116"/>
  <c r="H421" i="116" s="1"/>
  <c r="M420" i="116"/>
  <c r="L420" i="116"/>
  <c r="H420" i="116"/>
  <c r="J420" i="116" s="1"/>
  <c r="K420" i="116" s="1"/>
  <c r="G420" i="116"/>
  <c r="M419" i="116"/>
  <c r="L419" i="116"/>
  <c r="G419" i="116"/>
  <c r="H419" i="116" s="1"/>
  <c r="J419" i="116" s="1"/>
  <c r="K419" i="116" s="1"/>
  <c r="M418" i="116"/>
  <c r="L418" i="116"/>
  <c r="G418" i="116"/>
  <c r="H418" i="116" s="1"/>
  <c r="J418" i="116" s="1"/>
  <c r="K418" i="116" s="1"/>
  <c r="M417" i="116"/>
  <c r="L417" i="116"/>
  <c r="G417" i="116"/>
  <c r="H417" i="116" s="1"/>
  <c r="J417" i="116" s="1"/>
  <c r="K417" i="116" s="1"/>
  <c r="M416" i="116"/>
  <c r="L416" i="116"/>
  <c r="H416" i="116"/>
  <c r="J416" i="116" s="1"/>
  <c r="K416" i="116" s="1"/>
  <c r="G416" i="116"/>
  <c r="M415" i="116"/>
  <c r="L415" i="116"/>
  <c r="J415" i="116"/>
  <c r="K415" i="116" s="1"/>
  <c r="G415" i="116"/>
  <c r="H415" i="116" s="1"/>
  <c r="M414" i="116"/>
  <c r="L414" i="116"/>
  <c r="G414" i="116"/>
  <c r="H414" i="116" s="1"/>
  <c r="J414" i="116" s="1"/>
  <c r="K414" i="116" s="1"/>
  <c r="M413" i="116"/>
  <c r="L413" i="116"/>
  <c r="G413" i="116"/>
  <c r="H413" i="116" s="1"/>
  <c r="J413" i="116" s="1"/>
  <c r="K413" i="116" s="1"/>
  <c r="M412" i="116"/>
  <c r="L412" i="116"/>
  <c r="G412" i="116"/>
  <c r="H412" i="116" s="1"/>
  <c r="J412" i="116" s="1"/>
  <c r="K412" i="116" s="1"/>
  <c r="M411" i="116"/>
  <c r="L411" i="116"/>
  <c r="J411" i="116"/>
  <c r="K411" i="116" s="1"/>
  <c r="G411" i="116"/>
  <c r="H411" i="116" s="1"/>
  <c r="M410" i="116"/>
  <c r="L410" i="116"/>
  <c r="H410" i="116"/>
  <c r="J410" i="116" s="1"/>
  <c r="K410" i="116" s="1"/>
  <c r="G410" i="116"/>
  <c r="M409" i="116"/>
  <c r="L409" i="116"/>
  <c r="G409" i="116"/>
  <c r="H409" i="116" s="1"/>
  <c r="J409" i="116" s="1"/>
  <c r="K409" i="116" s="1"/>
  <c r="M408" i="116"/>
  <c r="L408" i="116"/>
  <c r="G408" i="116"/>
  <c r="H408" i="116" s="1"/>
  <c r="J408" i="116" s="1"/>
  <c r="K408" i="116" s="1"/>
  <c r="M407" i="116"/>
  <c r="L407" i="116"/>
  <c r="G407" i="116"/>
  <c r="H407" i="116" s="1"/>
  <c r="J407" i="116" s="1"/>
  <c r="K407" i="116" s="1"/>
  <c r="M406" i="116"/>
  <c r="L406" i="116"/>
  <c r="J406" i="116"/>
  <c r="K406" i="116" s="1"/>
  <c r="H406" i="116"/>
  <c r="G406" i="116"/>
  <c r="M405" i="116"/>
  <c r="L405" i="116"/>
  <c r="G405" i="116"/>
  <c r="H405" i="116" s="1"/>
  <c r="J405" i="116" s="1"/>
  <c r="K405" i="116" s="1"/>
  <c r="M404" i="116"/>
  <c r="L404" i="116"/>
  <c r="G404" i="116"/>
  <c r="H404" i="116" s="1"/>
  <c r="J404" i="116" s="1"/>
  <c r="K404" i="116" s="1"/>
  <c r="M403" i="116"/>
  <c r="L403" i="116"/>
  <c r="J403" i="116"/>
  <c r="K403" i="116" s="1"/>
  <c r="G403" i="116"/>
  <c r="H403" i="116" s="1"/>
  <c r="M402" i="116"/>
  <c r="L402" i="116"/>
  <c r="H402" i="116"/>
  <c r="J402" i="116" s="1"/>
  <c r="K402" i="116" s="1"/>
  <c r="G402" i="116"/>
  <c r="M401" i="116"/>
  <c r="L401" i="116"/>
  <c r="G401" i="116"/>
  <c r="H401" i="116" s="1"/>
  <c r="J401" i="116" s="1"/>
  <c r="K401" i="116" s="1"/>
  <c r="M400" i="116"/>
  <c r="L400" i="116"/>
  <c r="G400" i="116"/>
  <c r="H400" i="116" s="1"/>
  <c r="J400" i="116" s="1"/>
  <c r="K400" i="116" s="1"/>
  <c r="M399" i="116"/>
  <c r="L399" i="116"/>
  <c r="G399" i="116"/>
  <c r="H399" i="116" s="1"/>
  <c r="J399" i="116" s="1"/>
  <c r="K399" i="116" s="1"/>
  <c r="M398" i="116"/>
  <c r="L398" i="116"/>
  <c r="J398" i="116"/>
  <c r="K398" i="116" s="1"/>
  <c r="H398" i="116"/>
  <c r="G398" i="116"/>
  <c r="M397" i="116"/>
  <c r="L397" i="116"/>
  <c r="G397" i="116"/>
  <c r="H397" i="116" s="1"/>
  <c r="J397" i="116" s="1"/>
  <c r="K397" i="116" s="1"/>
  <c r="M396" i="116"/>
  <c r="L396" i="116"/>
  <c r="G396" i="116"/>
  <c r="H396" i="116" s="1"/>
  <c r="J396" i="116" s="1"/>
  <c r="K396" i="116" s="1"/>
  <c r="M395" i="116"/>
  <c r="L395" i="116"/>
  <c r="J395" i="116"/>
  <c r="K395" i="116" s="1"/>
  <c r="G395" i="116"/>
  <c r="H395" i="116" s="1"/>
  <c r="M394" i="116"/>
  <c r="L394" i="116"/>
  <c r="H394" i="116"/>
  <c r="J394" i="116" s="1"/>
  <c r="K394" i="116" s="1"/>
  <c r="G394" i="116"/>
  <c r="M393" i="116"/>
  <c r="L393" i="116"/>
  <c r="G393" i="116"/>
  <c r="H393" i="116" s="1"/>
  <c r="J393" i="116" s="1"/>
  <c r="K393" i="116" s="1"/>
  <c r="M392" i="116"/>
  <c r="L392" i="116"/>
  <c r="G392" i="116"/>
  <c r="H392" i="116" s="1"/>
  <c r="J392" i="116" s="1"/>
  <c r="K392" i="116" s="1"/>
  <c r="M391" i="116"/>
  <c r="L391" i="116"/>
  <c r="G391" i="116"/>
  <c r="H391" i="116" s="1"/>
  <c r="J391" i="116" s="1"/>
  <c r="K391" i="116" s="1"/>
  <c r="M390" i="116"/>
  <c r="L390" i="116"/>
  <c r="J390" i="116"/>
  <c r="K390" i="116" s="1"/>
  <c r="H390" i="116"/>
  <c r="G390" i="116"/>
  <c r="M389" i="116"/>
  <c r="L389" i="116"/>
  <c r="G389" i="116"/>
  <c r="H389" i="116" s="1"/>
  <c r="J389" i="116" s="1"/>
  <c r="K389" i="116" s="1"/>
  <c r="M388" i="116"/>
  <c r="L388" i="116"/>
  <c r="G388" i="116"/>
  <c r="H388" i="116" s="1"/>
  <c r="J388" i="116" s="1"/>
  <c r="K388" i="116" s="1"/>
  <c r="M387" i="116"/>
  <c r="L387" i="116"/>
  <c r="J387" i="116"/>
  <c r="K387" i="116" s="1"/>
  <c r="G387" i="116"/>
  <c r="H387" i="116" s="1"/>
  <c r="M386" i="116"/>
  <c r="L386" i="116"/>
  <c r="H386" i="116"/>
  <c r="J386" i="116" s="1"/>
  <c r="K386" i="116" s="1"/>
  <c r="G386" i="116"/>
  <c r="M385" i="116"/>
  <c r="L385" i="116"/>
  <c r="G385" i="116"/>
  <c r="H385" i="116" s="1"/>
  <c r="J385" i="116" s="1"/>
  <c r="K385" i="116" s="1"/>
  <c r="M384" i="116"/>
  <c r="L384" i="116"/>
  <c r="G384" i="116"/>
  <c r="H384" i="116" s="1"/>
  <c r="J384" i="116" s="1"/>
  <c r="K384" i="116" s="1"/>
  <c r="M383" i="116"/>
  <c r="L383" i="116"/>
  <c r="G383" i="116"/>
  <c r="H383" i="116" s="1"/>
  <c r="J383" i="116" s="1"/>
  <c r="K383" i="116" s="1"/>
  <c r="M382" i="116"/>
  <c r="L382" i="116"/>
  <c r="J382" i="116"/>
  <c r="K382" i="116" s="1"/>
  <c r="H382" i="116"/>
  <c r="G382" i="116"/>
  <c r="M381" i="116"/>
  <c r="L381" i="116"/>
  <c r="G381" i="116"/>
  <c r="H381" i="116" s="1"/>
  <c r="J381" i="116" s="1"/>
  <c r="K381" i="116" s="1"/>
  <c r="M380" i="116"/>
  <c r="L380" i="116"/>
  <c r="G380" i="116"/>
  <c r="H380" i="116" s="1"/>
  <c r="J380" i="116" s="1"/>
  <c r="K380" i="116" s="1"/>
  <c r="M379" i="116"/>
  <c r="L379" i="116"/>
  <c r="G379" i="116"/>
  <c r="H379" i="116" s="1"/>
  <c r="J379" i="116" s="1"/>
  <c r="K379" i="116" s="1"/>
  <c r="M378" i="116"/>
  <c r="L378" i="116"/>
  <c r="G378" i="116"/>
  <c r="H378" i="116" s="1"/>
  <c r="J378" i="116" s="1"/>
  <c r="K378" i="116" s="1"/>
  <c r="M377" i="116"/>
  <c r="L377" i="116"/>
  <c r="G377" i="116"/>
  <c r="H377" i="116" s="1"/>
  <c r="J377" i="116" s="1"/>
  <c r="K377" i="116" s="1"/>
  <c r="M376" i="116"/>
  <c r="L376" i="116"/>
  <c r="G376" i="116"/>
  <c r="H376" i="116" s="1"/>
  <c r="J376" i="116" s="1"/>
  <c r="K376" i="116" s="1"/>
  <c r="M375" i="116"/>
  <c r="L375" i="116"/>
  <c r="H375" i="116"/>
  <c r="J375" i="116" s="1"/>
  <c r="K375" i="116" s="1"/>
  <c r="G375" i="116"/>
  <c r="M374" i="116"/>
  <c r="L374" i="116"/>
  <c r="H374" i="116"/>
  <c r="J374" i="116" s="1"/>
  <c r="K374" i="116" s="1"/>
  <c r="G374" i="116"/>
  <c r="M373" i="116"/>
  <c r="L373" i="116"/>
  <c r="G373" i="116"/>
  <c r="H373" i="116" s="1"/>
  <c r="J373" i="116" s="1"/>
  <c r="K373" i="116" s="1"/>
  <c r="M372" i="116"/>
  <c r="L372" i="116"/>
  <c r="H372" i="116"/>
  <c r="J372" i="116" s="1"/>
  <c r="K372" i="116" s="1"/>
  <c r="G372" i="116"/>
  <c r="M371" i="116"/>
  <c r="L371" i="116"/>
  <c r="G371" i="116"/>
  <c r="H371" i="116" s="1"/>
  <c r="J371" i="116" s="1"/>
  <c r="K371" i="116" s="1"/>
  <c r="M370" i="116"/>
  <c r="L370" i="116"/>
  <c r="G370" i="116"/>
  <c r="H370" i="116" s="1"/>
  <c r="J370" i="116" s="1"/>
  <c r="K370" i="116" s="1"/>
  <c r="M369" i="116"/>
  <c r="L369" i="116"/>
  <c r="J369" i="116"/>
  <c r="K369" i="116" s="1"/>
  <c r="G369" i="116"/>
  <c r="H369" i="116" s="1"/>
  <c r="M368" i="116"/>
  <c r="L368" i="116"/>
  <c r="G368" i="116"/>
  <c r="H368" i="116" s="1"/>
  <c r="J368" i="116" s="1"/>
  <c r="K368" i="116" s="1"/>
  <c r="M367" i="116"/>
  <c r="L367" i="116"/>
  <c r="G367" i="116"/>
  <c r="H367" i="116" s="1"/>
  <c r="J367" i="116" s="1"/>
  <c r="K367" i="116" s="1"/>
  <c r="M366" i="116"/>
  <c r="L366" i="116"/>
  <c r="J366" i="116"/>
  <c r="K366" i="116" s="1"/>
  <c r="H366" i="116"/>
  <c r="G366" i="116"/>
  <c r="M365" i="116"/>
  <c r="L365" i="116"/>
  <c r="G365" i="116"/>
  <c r="H365" i="116" s="1"/>
  <c r="J365" i="116" s="1"/>
  <c r="K365" i="116" s="1"/>
  <c r="M364" i="116"/>
  <c r="L364" i="116"/>
  <c r="G364" i="116"/>
  <c r="H364" i="116" s="1"/>
  <c r="J364" i="116" s="1"/>
  <c r="K364" i="116" s="1"/>
  <c r="M363" i="116"/>
  <c r="L363" i="116"/>
  <c r="G363" i="116"/>
  <c r="H363" i="116" s="1"/>
  <c r="J363" i="116" s="1"/>
  <c r="K363" i="116" s="1"/>
  <c r="M362" i="116"/>
  <c r="L362" i="116"/>
  <c r="G362" i="116"/>
  <c r="H362" i="116" s="1"/>
  <c r="J362" i="116" s="1"/>
  <c r="K362" i="116" s="1"/>
  <c r="M361" i="116"/>
  <c r="L361" i="116"/>
  <c r="G361" i="116"/>
  <c r="H361" i="116" s="1"/>
  <c r="J361" i="116" s="1"/>
  <c r="K361" i="116" s="1"/>
  <c r="M360" i="116"/>
  <c r="L360" i="116"/>
  <c r="G360" i="116"/>
  <c r="H360" i="116" s="1"/>
  <c r="J360" i="116" s="1"/>
  <c r="K360" i="116" s="1"/>
  <c r="M359" i="116"/>
  <c r="L359" i="116"/>
  <c r="H359" i="116"/>
  <c r="J359" i="116" s="1"/>
  <c r="K359" i="116" s="1"/>
  <c r="G359" i="116"/>
  <c r="M358" i="116"/>
  <c r="L358" i="116"/>
  <c r="H358" i="116"/>
  <c r="J358" i="116" s="1"/>
  <c r="K358" i="116" s="1"/>
  <c r="G358" i="116"/>
  <c r="M357" i="116"/>
  <c r="L357" i="116"/>
  <c r="G357" i="116"/>
  <c r="H357" i="116" s="1"/>
  <c r="J357" i="116" s="1"/>
  <c r="K357" i="116" s="1"/>
  <c r="M356" i="116"/>
  <c r="L356" i="116"/>
  <c r="H356" i="116"/>
  <c r="J356" i="116" s="1"/>
  <c r="K356" i="116" s="1"/>
  <c r="G356" i="116"/>
  <c r="M355" i="116"/>
  <c r="L355" i="116"/>
  <c r="G355" i="116"/>
  <c r="H355" i="116" s="1"/>
  <c r="J355" i="116" s="1"/>
  <c r="K355" i="116" s="1"/>
  <c r="M354" i="116"/>
  <c r="L354" i="116"/>
  <c r="G354" i="116"/>
  <c r="H354" i="116" s="1"/>
  <c r="J354" i="116" s="1"/>
  <c r="K354" i="116" s="1"/>
  <c r="M353" i="116"/>
  <c r="L353" i="116"/>
  <c r="J353" i="116"/>
  <c r="K353" i="116" s="1"/>
  <c r="G353" i="116"/>
  <c r="H353" i="116" s="1"/>
  <c r="M352" i="116"/>
  <c r="L352" i="116"/>
  <c r="G352" i="116"/>
  <c r="H352" i="116" s="1"/>
  <c r="J352" i="116" s="1"/>
  <c r="K352" i="116" s="1"/>
  <c r="M351" i="116"/>
  <c r="L351" i="116"/>
  <c r="G351" i="116"/>
  <c r="H351" i="116" s="1"/>
  <c r="J351" i="116" s="1"/>
  <c r="K351" i="116" s="1"/>
  <c r="M350" i="116"/>
  <c r="L350" i="116"/>
  <c r="J350" i="116"/>
  <c r="K350" i="116" s="1"/>
  <c r="H350" i="116"/>
  <c r="G350" i="116"/>
  <c r="M349" i="116"/>
  <c r="L349" i="116"/>
  <c r="G349" i="116"/>
  <c r="H349" i="116" s="1"/>
  <c r="J349" i="116" s="1"/>
  <c r="K349" i="116" s="1"/>
  <c r="M348" i="116"/>
  <c r="L348" i="116"/>
  <c r="G348" i="116"/>
  <c r="H348" i="116" s="1"/>
  <c r="J348" i="116" s="1"/>
  <c r="K348" i="116" s="1"/>
  <c r="M347" i="116"/>
  <c r="L347" i="116"/>
  <c r="G347" i="116"/>
  <c r="H347" i="116" s="1"/>
  <c r="J347" i="116" s="1"/>
  <c r="K347" i="116" s="1"/>
  <c r="M346" i="116"/>
  <c r="L346" i="116"/>
  <c r="G346" i="116"/>
  <c r="H346" i="116" s="1"/>
  <c r="J346" i="116" s="1"/>
  <c r="K346" i="116" s="1"/>
  <c r="M345" i="116"/>
  <c r="L345" i="116"/>
  <c r="G345" i="116"/>
  <c r="H345" i="116" s="1"/>
  <c r="J345" i="116" s="1"/>
  <c r="K345" i="116" s="1"/>
  <c r="M344" i="116"/>
  <c r="L344" i="116"/>
  <c r="G344" i="116"/>
  <c r="H344" i="116" s="1"/>
  <c r="J344" i="116" s="1"/>
  <c r="K344" i="116" s="1"/>
  <c r="M343" i="116"/>
  <c r="L343" i="116"/>
  <c r="H343" i="116"/>
  <c r="J343" i="116" s="1"/>
  <c r="K343" i="116" s="1"/>
  <c r="G343" i="116"/>
  <c r="M342" i="116"/>
  <c r="L342" i="116"/>
  <c r="H342" i="116"/>
  <c r="J342" i="116" s="1"/>
  <c r="K342" i="116" s="1"/>
  <c r="G342" i="116"/>
  <c r="M341" i="116"/>
  <c r="L341" i="116"/>
  <c r="G341" i="116"/>
  <c r="H341" i="116" s="1"/>
  <c r="J341" i="116" s="1"/>
  <c r="K341" i="116" s="1"/>
  <c r="M340" i="116"/>
  <c r="L340" i="116"/>
  <c r="H340" i="116"/>
  <c r="J340" i="116" s="1"/>
  <c r="K340" i="116" s="1"/>
  <c r="G340" i="116"/>
  <c r="M339" i="116"/>
  <c r="L339" i="116"/>
  <c r="G339" i="116"/>
  <c r="H339" i="116" s="1"/>
  <c r="J339" i="116" s="1"/>
  <c r="K339" i="116" s="1"/>
  <c r="M338" i="116"/>
  <c r="L338" i="116"/>
  <c r="G338" i="116"/>
  <c r="H338" i="116" s="1"/>
  <c r="J338" i="116" s="1"/>
  <c r="K338" i="116" s="1"/>
  <c r="M337" i="116"/>
  <c r="L337" i="116"/>
  <c r="J337" i="116"/>
  <c r="K337" i="116" s="1"/>
  <c r="G337" i="116"/>
  <c r="H337" i="116" s="1"/>
  <c r="M336" i="116"/>
  <c r="L336" i="116"/>
  <c r="G336" i="116"/>
  <c r="H336" i="116" s="1"/>
  <c r="J336" i="116" s="1"/>
  <c r="K336" i="116" s="1"/>
  <c r="M335" i="116"/>
  <c r="L335" i="116"/>
  <c r="G335" i="116"/>
  <c r="H335" i="116" s="1"/>
  <c r="J335" i="116" s="1"/>
  <c r="K335" i="116" s="1"/>
  <c r="M334" i="116"/>
  <c r="L334" i="116"/>
  <c r="J334" i="116"/>
  <c r="K334" i="116" s="1"/>
  <c r="H334" i="116"/>
  <c r="G334" i="116"/>
  <c r="M333" i="116"/>
  <c r="L333" i="116"/>
  <c r="G333" i="116"/>
  <c r="H333" i="116" s="1"/>
  <c r="J333" i="116" s="1"/>
  <c r="K333" i="116" s="1"/>
  <c r="M332" i="116"/>
  <c r="L332" i="116"/>
  <c r="G332" i="116"/>
  <c r="H332" i="116" s="1"/>
  <c r="J332" i="116" s="1"/>
  <c r="K332" i="116" s="1"/>
  <c r="M331" i="116"/>
  <c r="L331" i="116"/>
  <c r="G331" i="116"/>
  <c r="H331" i="116" s="1"/>
  <c r="J331" i="116" s="1"/>
  <c r="K331" i="116" s="1"/>
  <c r="M330" i="116"/>
  <c r="L330" i="116"/>
  <c r="G330" i="116"/>
  <c r="H330" i="116" s="1"/>
  <c r="J330" i="116" s="1"/>
  <c r="K330" i="116" s="1"/>
  <c r="M329" i="116"/>
  <c r="L329" i="116"/>
  <c r="G329" i="116"/>
  <c r="H329" i="116" s="1"/>
  <c r="J329" i="116" s="1"/>
  <c r="K329" i="116" s="1"/>
  <c r="M328" i="116"/>
  <c r="L328" i="116"/>
  <c r="G328" i="116"/>
  <c r="H328" i="116" s="1"/>
  <c r="J328" i="116" s="1"/>
  <c r="K328" i="116" s="1"/>
  <c r="M327" i="116"/>
  <c r="L327" i="116"/>
  <c r="H327" i="116"/>
  <c r="J327" i="116" s="1"/>
  <c r="K327" i="116" s="1"/>
  <c r="G327" i="116"/>
  <c r="M326" i="116"/>
  <c r="L326" i="116"/>
  <c r="H326" i="116"/>
  <c r="J326" i="116" s="1"/>
  <c r="K326" i="116" s="1"/>
  <c r="G326" i="116"/>
  <c r="M325" i="116"/>
  <c r="L325" i="116"/>
  <c r="G325" i="116"/>
  <c r="H325" i="116" s="1"/>
  <c r="J325" i="116" s="1"/>
  <c r="K325" i="116" s="1"/>
  <c r="M324" i="116"/>
  <c r="L324" i="116"/>
  <c r="H324" i="116"/>
  <c r="J324" i="116" s="1"/>
  <c r="K324" i="116" s="1"/>
  <c r="G324" i="116"/>
  <c r="M323" i="116"/>
  <c r="L323" i="116"/>
  <c r="G323" i="116"/>
  <c r="H323" i="116" s="1"/>
  <c r="J323" i="116" s="1"/>
  <c r="K323" i="116" s="1"/>
  <c r="M322" i="116"/>
  <c r="L322" i="116"/>
  <c r="G322" i="116"/>
  <c r="H322" i="116" s="1"/>
  <c r="J322" i="116" s="1"/>
  <c r="K322" i="116" s="1"/>
  <c r="M321" i="116"/>
  <c r="L321" i="116"/>
  <c r="J321" i="116"/>
  <c r="K321" i="116" s="1"/>
  <c r="G321" i="116"/>
  <c r="H321" i="116" s="1"/>
  <c r="M320" i="116"/>
  <c r="L320" i="116"/>
  <c r="G320" i="116"/>
  <c r="H320" i="116" s="1"/>
  <c r="J320" i="116" s="1"/>
  <c r="K320" i="116" s="1"/>
  <c r="M319" i="116"/>
  <c r="L319" i="116"/>
  <c r="G319" i="116"/>
  <c r="H319" i="116" s="1"/>
  <c r="J319" i="116" s="1"/>
  <c r="K319" i="116" s="1"/>
  <c r="M318" i="116"/>
  <c r="L318" i="116"/>
  <c r="J318" i="116"/>
  <c r="K318" i="116" s="1"/>
  <c r="H318" i="116"/>
  <c r="G318" i="116"/>
  <c r="M317" i="116"/>
  <c r="L317" i="116"/>
  <c r="G317" i="116"/>
  <c r="H317" i="116" s="1"/>
  <c r="J317" i="116" s="1"/>
  <c r="K317" i="116" s="1"/>
  <c r="M316" i="116"/>
  <c r="L316" i="116"/>
  <c r="G316" i="116"/>
  <c r="H316" i="116" s="1"/>
  <c r="J316" i="116" s="1"/>
  <c r="K316" i="116" s="1"/>
  <c r="M315" i="116"/>
  <c r="L315" i="116"/>
  <c r="G315" i="116"/>
  <c r="H315" i="116" s="1"/>
  <c r="J315" i="116" s="1"/>
  <c r="K315" i="116" s="1"/>
  <c r="M314" i="116"/>
  <c r="L314" i="116"/>
  <c r="G314" i="116"/>
  <c r="H314" i="116" s="1"/>
  <c r="J314" i="116" s="1"/>
  <c r="K314" i="116" s="1"/>
  <c r="M313" i="116"/>
  <c r="L313" i="116"/>
  <c r="G313" i="116"/>
  <c r="H313" i="116" s="1"/>
  <c r="J313" i="116" s="1"/>
  <c r="K313" i="116" s="1"/>
  <c r="M312" i="116"/>
  <c r="L312" i="116"/>
  <c r="G312" i="116"/>
  <c r="H312" i="116" s="1"/>
  <c r="J312" i="116" s="1"/>
  <c r="K312" i="116" s="1"/>
  <c r="M311" i="116"/>
  <c r="L311" i="116"/>
  <c r="H311" i="116"/>
  <c r="J311" i="116" s="1"/>
  <c r="K311" i="116" s="1"/>
  <c r="G311" i="116"/>
  <c r="M310" i="116"/>
  <c r="L310" i="116"/>
  <c r="H310" i="116"/>
  <c r="J310" i="116" s="1"/>
  <c r="K310" i="116" s="1"/>
  <c r="G310" i="116"/>
  <c r="M309" i="116"/>
  <c r="L309" i="116"/>
  <c r="G309" i="116"/>
  <c r="H309" i="116" s="1"/>
  <c r="J309" i="116" s="1"/>
  <c r="K309" i="116" s="1"/>
  <c r="M308" i="116"/>
  <c r="L308" i="116"/>
  <c r="H308" i="116"/>
  <c r="J308" i="116" s="1"/>
  <c r="K308" i="116" s="1"/>
  <c r="G308" i="116"/>
  <c r="M307" i="116"/>
  <c r="L307" i="116"/>
  <c r="G307" i="116"/>
  <c r="H307" i="116" s="1"/>
  <c r="J307" i="116" s="1"/>
  <c r="K307" i="116" s="1"/>
  <c r="M306" i="116"/>
  <c r="L306" i="116"/>
  <c r="G306" i="116"/>
  <c r="H306" i="116" s="1"/>
  <c r="J306" i="116" s="1"/>
  <c r="K306" i="116" s="1"/>
  <c r="M305" i="116"/>
  <c r="L305" i="116"/>
  <c r="J305" i="116"/>
  <c r="K305" i="116" s="1"/>
  <c r="G305" i="116"/>
  <c r="H305" i="116" s="1"/>
  <c r="M304" i="116"/>
  <c r="L304" i="116"/>
  <c r="G304" i="116"/>
  <c r="H304" i="116" s="1"/>
  <c r="J304" i="116" s="1"/>
  <c r="K304" i="116" s="1"/>
  <c r="M303" i="116"/>
  <c r="L303" i="116"/>
  <c r="G303" i="116"/>
  <c r="H303" i="116" s="1"/>
  <c r="J303" i="116" s="1"/>
  <c r="K303" i="116" s="1"/>
  <c r="M302" i="116"/>
  <c r="L302" i="116"/>
  <c r="J302" i="116"/>
  <c r="K302" i="116" s="1"/>
  <c r="H302" i="116"/>
  <c r="G302" i="116"/>
  <c r="M301" i="116"/>
  <c r="L301" i="116"/>
  <c r="G301" i="116"/>
  <c r="H301" i="116" s="1"/>
  <c r="J301" i="116" s="1"/>
  <c r="K301" i="116" s="1"/>
  <c r="M300" i="116"/>
  <c r="L300" i="116"/>
  <c r="G300" i="116"/>
  <c r="H300" i="116" s="1"/>
  <c r="J300" i="116" s="1"/>
  <c r="K300" i="116" s="1"/>
  <c r="M299" i="116"/>
  <c r="L299" i="116"/>
  <c r="G299" i="116"/>
  <c r="H299" i="116" s="1"/>
  <c r="J299" i="116" s="1"/>
  <c r="K299" i="116" s="1"/>
  <c r="M298" i="116"/>
  <c r="L298" i="116"/>
  <c r="G298" i="116"/>
  <c r="H298" i="116" s="1"/>
  <c r="J298" i="116" s="1"/>
  <c r="K298" i="116" s="1"/>
  <c r="M297" i="116"/>
  <c r="L297" i="116"/>
  <c r="G297" i="116"/>
  <c r="H297" i="116" s="1"/>
  <c r="J297" i="116" s="1"/>
  <c r="K297" i="116" s="1"/>
  <c r="M296" i="116"/>
  <c r="L296" i="116"/>
  <c r="G296" i="116"/>
  <c r="H296" i="116" s="1"/>
  <c r="J296" i="116" s="1"/>
  <c r="K296" i="116" s="1"/>
  <c r="M295" i="116"/>
  <c r="L295" i="116"/>
  <c r="H295" i="116"/>
  <c r="J295" i="116" s="1"/>
  <c r="K295" i="116" s="1"/>
  <c r="G295" i="116"/>
  <c r="M294" i="116"/>
  <c r="L294" i="116"/>
  <c r="H294" i="116"/>
  <c r="J294" i="116" s="1"/>
  <c r="K294" i="116" s="1"/>
  <c r="G294" i="116"/>
  <c r="M293" i="116"/>
  <c r="L293" i="116"/>
  <c r="G293" i="116"/>
  <c r="H293" i="116" s="1"/>
  <c r="J293" i="116" s="1"/>
  <c r="K293" i="116" s="1"/>
  <c r="M292" i="116"/>
  <c r="L292" i="116"/>
  <c r="H292" i="116"/>
  <c r="J292" i="116" s="1"/>
  <c r="K292" i="116" s="1"/>
  <c r="G292" i="116"/>
  <c r="M291" i="116"/>
  <c r="L291" i="116"/>
  <c r="G291" i="116"/>
  <c r="H291" i="116" s="1"/>
  <c r="J291" i="116" s="1"/>
  <c r="K291" i="116" s="1"/>
  <c r="M290" i="116"/>
  <c r="L290" i="116"/>
  <c r="G290" i="116"/>
  <c r="H290" i="116" s="1"/>
  <c r="J290" i="116" s="1"/>
  <c r="K290" i="116" s="1"/>
  <c r="M289" i="116"/>
  <c r="L289" i="116"/>
  <c r="J289" i="116"/>
  <c r="K289" i="116" s="1"/>
  <c r="G289" i="116"/>
  <c r="H289" i="116" s="1"/>
  <c r="M288" i="116"/>
  <c r="L288" i="116"/>
  <c r="G288" i="116"/>
  <c r="H288" i="116" s="1"/>
  <c r="J288" i="116" s="1"/>
  <c r="K288" i="116" s="1"/>
  <c r="M287" i="116"/>
  <c r="L287" i="116"/>
  <c r="G287" i="116"/>
  <c r="H287" i="116" s="1"/>
  <c r="J287" i="116" s="1"/>
  <c r="K287" i="116" s="1"/>
  <c r="M286" i="116"/>
  <c r="L286" i="116"/>
  <c r="J286" i="116"/>
  <c r="K286" i="116" s="1"/>
  <c r="H286" i="116"/>
  <c r="G286" i="116"/>
  <c r="M285" i="116"/>
  <c r="L285" i="116"/>
  <c r="G285" i="116"/>
  <c r="H285" i="116" s="1"/>
  <c r="J285" i="116" s="1"/>
  <c r="K285" i="116" s="1"/>
  <c r="M284" i="116"/>
  <c r="L284" i="116"/>
  <c r="G284" i="116"/>
  <c r="H284" i="116" s="1"/>
  <c r="J284" i="116" s="1"/>
  <c r="K284" i="116" s="1"/>
  <c r="M283" i="116"/>
  <c r="L283" i="116"/>
  <c r="G283" i="116"/>
  <c r="H283" i="116" s="1"/>
  <c r="J283" i="116" s="1"/>
  <c r="K283" i="116" s="1"/>
  <c r="M282" i="116"/>
  <c r="L282" i="116"/>
  <c r="G282" i="116"/>
  <c r="H282" i="116" s="1"/>
  <c r="J282" i="116" s="1"/>
  <c r="K282" i="116" s="1"/>
  <c r="M281" i="116"/>
  <c r="L281" i="116"/>
  <c r="G281" i="116"/>
  <c r="H281" i="116" s="1"/>
  <c r="J281" i="116" s="1"/>
  <c r="K281" i="116" s="1"/>
  <c r="M280" i="116"/>
  <c r="L280" i="116"/>
  <c r="G280" i="116"/>
  <c r="H280" i="116" s="1"/>
  <c r="J280" i="116" s="1"/>
  <c r="K280" i="116" s="1"/>
  <c r="M279" i="116"/>
  <c r="L279" i="116"/>
  <c r="H279" i="116"/>
  <c r="J279" i="116" s="1"/>
  <c r="K279" i="116" s="1"/>
  <c r="G279" i="116"/>
  <c r="M278" i="116"/>
  <c r="L278" i="116"/>
  <c r="H278" i="116"/>
  <c r="J278" i="116" s="1"/>
  <c r="K278" i="116" s="1"/>
  <c r="G278" i="116"/>
  <c r="M277" i="116"/>
  <c r="L277" i="116"/>
  <c r="G277" i="116"/>
  <c r="H277" i="116" s="1"/>
  <c r="J277" i="116" s="1"/>
  <c r="K277" i="116" s="1"/>
  <c r="M276" i="116"/>
  <c r="L276" i="116"/>
  <c r="H276" i="116"/>
  <c r="J276" i="116" s="1"/>
  <c r="K276" i="116" s="1"/>
  <c r="G276" i="116"/>
  <c r="M275" i="116"/>
  <c r="L275" i="116"/>
  <c r="G275" i="116"/>
  <c r="H275" i="116" s="1"/>
  <c r="J275" i="116" s="1"/>
  <c r="K275" i="116" s="1"/>
  <c r="M274" i="116"/>
  <c r="L274" i="116"/>
  <c r="G274" i="116"/>
  <c r="H274" i="116" s="1"/>
  <c r="J274" i="116" s="1"/>
  <c r="K274" i="116" s="1"/>
  <c r="M273" i="116"/>
  <c r="L273" i="116"/>
  <c r="G273" i="116"/>
  <c r="H273" i="116" s="1"/>
  <c r="J273" i="116" s="1"/>
  <c r="K273" i="116" s="1"/>
  <c r="M272" i="116"/>
  <c r="L272" i="116"/>
  <c r="H272" i="116"/>
  <c r="J272" i="116" s="1"/>
  <c r="K272" i="116" s="1"/>
  <c r="G272" i="116"/>
  <c r="M271" i="116"/>
  <c r="L271" i="116"/>
  <c r="G271" i="116"/>
  <c r="H271" i="116" s="1"/>
  <c r="J271" i="116" s="1"/>
  <c r="K271" i="116" s="1"/>
  <c r="M270" i="116"/>
  <c r="L270" i="116"/>
  <c r="G270" i="116"/>
  <c r="H270" i="116" s="1"/>
  <c r="J270" i="116" s="1"/>
  <c r="K270" i="116" s="1"/>
  <c r="M269" i="116"/>
  <c r="L269" i="116"/>
  <c r="G269" i="116"/>
  <c r="H269" i="116" s="1"/>
  <c r="J269" i="116" s="1"/>
  <c r="K269" i="116" s="1"/>
  <c r="M268" i="116"/>
  <c r="L268" i="116"/>
  <c r="H268" i="116"/>
  <c r="J268" i="116" s="1"/>
  <c r="K268" i="116" s="1"/>
  <c r="G268" i="116"/>
  <c r="M267" i="116"/>
  <c r="L267" i="116"/>
  <c r="G267" i="116"/>
  <c r="H267" i="116" s="1"/>
  <c r="J267" i="116" s="1"/>
  <c r="K267" i="116" s="1"/>
  <c r="M266" i="116"/>
  <c r="L266" i="116"/>
  <c r="G266" i="116"/>
  <c r="H266" i="116" s="1"/>
  <c r="J266" i="116" s="1"/>
  <c r="K266" i="116" s="1"/>
  <c r="M265" i="116"/>
  <c r="L265" i="116"/>
  <c r="G265" i="116"/>
  <c r="H265" i="116" s="1"/>
  <c r="J265" i="116" s="1"/>
  <c r="K265" i="116" s="1"/>
  <c r="M264" i="116"/>
  <c r="L264" i="116"/>
  <c r="H264" i="116"/>
  <c r="J264" i="116" s="1"/>
  <c r="K264" i="116" s="1"/>
  <c r="G264" i="116"/>
  <c r="M263" i="116"/>
  <c r="L263" i="116"/>
  <c r="G263" i="116"/>
  <c r="H263" i="116" s="1"/>
  <c r="J263" i="116" s="1"/>
  <c r="K263" i="116" s="1"/>
  <c r="M262" i="116"/>
  <c r="L262" i="116"/>
  <c r="G262" i="116"/>
  <c r="H262" i="116" s="1"/>
  <c r="J262" i="116" s="1"/>
  <c r="K262" i="116" s="1"/>
  <c r="M261" i="116"/>
  <c r="L261" i="116"/>
  <c r="G261" i="116"/>
  <c r="H261" i="116" s="1"/>
  <c r="J261" i="116" s="1"/>
  <c r="K261" i="116" s="1"/>
  <c r="M260" i="116"/>
  <c r="L260" i="116"/>
  <c r="H260" i="116"/>
  <c r="J260" i="116" s="1"/>
  <c r="K260" i="116" s="1"/>
  <c r="G260" i="116"/>
  <c r="M259" i="116"/>
  <c r="L259" i="116"/>
  <c r="G259" i="116"/>
  <c r="H259" i="116" s="1"/>
  <c r="J259" i="116" s="1"/>
  <c r="K259" i="116" s="1"/>
  <c r="M258" i="116"/>
  <c r="L258" i="116"/>
  <c r="G258" i="116"/>
  <c r="H258" i="116" s="1"/>
  <c r="J258" i="116" s="1"/>
  <c r="K258" i="116" s="1"/>
  <c r="M257" i="116"/>
  <c r="L257" i="116"/>
  <c r="G257" i="116"/>
  <c r="H257" i="116" s="1"/>
  <c r="J257" i="116" s="1"/>
  <c r="K257" i="116" s="1"/>
  <c r="M256" i="116"/>
  <c r="L256" i="116"/>
  <c r="H256" i="116"/>
  <c r="J256" i="116" s="1"/>
  <c r="K256" i="116" s="1"/>
  <c r="G256" i="116"/>
  <c r="M255" i="116"/>
  <c r="L255" i="116"/>
  <c r="G255" i="116"/>
  <c r="H255" i="116" s="1"/>
  <c r="J255" i="116" s="1"/>
  <c r="K255" i="116" s="1"/>
  <c r="M254" i="116"/>
  <c r="L254" i="116"/>
  <c r="G254" i="116"/>
  <c r="H254" i="116" s="1"/>
  <c r="J254" i="116" s="1"/>
  <c r="K254" i="116" s="1"/>
  <c r="M253" i="116"/>
  <c r="L253" i="116"/>
  <c r="G253" i="116"/>
  <c r="H253" i="116" s="1"/>
  <c r="J253" i="116" s="1"/>
  <c r="K253" i="116" s="1"/>
  <c r="M252" i="116"/>
  <c r="L252" i="116"/>
  <c r="H252" i="116"/>
  <c r="J252" i="116" s="1"/>
  <c r="K252" i="116" s="1"/>
  <c r="G252" i="116"/>
  <c r="M251" i="116"/>
  <c r="L251" i="116"/>
  <c r="G251" i="116"/>
  <c r="H251" i="116" s="1"/>
  <c r="J251" i="116" s="1"/>
  <c r="K251" i="116" s="1"/>
  <c r="M250" i="116"/>
  <c r="L250" i="116"/>
  <c r="G250" i="116"/>
  <c r="H250" i="116" s="1"/>
  <c r="J250" i="116" s="1"/>
  <c r="K250" i="116" s="1"/>
  <c r="M249" i="116"/>
  <c r="L249" i="116"/>
  <c r="G249" i="116"/>
  <c r="H249" i="116" s="1"/>
  <c r="J249" i="116" s="1"/>
  <c r="K249" i="116" s="1"/>
  <c r="M248" i="116"/>
  <c r="L248" i="116"/>
  <c r="H248" i="116"/>
  <c r="J248" i="116" s="1"/>
  <c r="K248" i="116" s="1"/>
  <c r="G248" i="116"/>
  <c r="M247" i="116"/>
  <c r="L247" i="116"/>
  <c r="G247" i="116"/>
  <c r="H247" i="116" s="1"/>
  <c r="J247" i="116" s="1"/>
  <c r="K247" i="116" s="1"/>
  <c r="M246" i="116"/>
  <c r="L246" i="116"/>
  <c r="G246" i="116"/>
  <c r="H246" i="116" s="1"/>
  <c r="J246" i="116" s="1"/>
  <c r="K246" i="116" s="1"/>
  <c r="M245" i="116"/>
  <c r="L245" i="116"/>
  <c r="G245" i="116"/>
  <c r="H245" i="116" s="1"/>
  <c r="J245" i="116" s="1"/>
  <c r="K245" i="116" s="1"/>
  <c r="M244" i="116"/>
  <c r="L244" i="116"/>
  <c r="H244" i="116"/>
  <c r="J244" i="116" s="1"/>
  <c r="K244" i="116" s="1"/>
  <c r="G244" i="116"/>
  <c r="M243" i="116"/>
  <c r="L243" i="116"/>
  <c r="G243" i="116"/>
  <c r="H243" i="116" s="1"/>
  <c r="J243" i="116" s="1"/>
  <c r="K243" i="116" s="1"/>
  <c r="M242" i="116"/>
  <c r="L242" i="116"/>
  <c r="G242" i="116"/>
  <c r="H242" i="116" s="1"/>
  <c r="J242" i="116" s="1"/>
  <c r="K242" i="116" s="1"/>
  <c r="M241" i="116"/>
  <c r="L241" i="116"/>
  <c r="G241" i="116"/>
  <c r="H241" i="116" s="1"/>
  <c r="J241" i="116" s="1"/>
  <c r="K241" i="116" s="1"/>
  <c r="M240" i="116"/>
  <c r="L240" i="116"/>
  <c r="H240" i="116"/>
  <c r="J240" i="116" s="1"/>
  <c r="K240" i="116" s="1"/>
  <c r="G240" i="116"/>
  <c r="M239" i="116"/>
  <c r="L239" i="116"/>
  <c r="G239" i="116"/>
  <c r="H239" i="116" s="1"/>
  <c r="J239" i="116" s="1"/>
  <c r="K239" i="116" s="1"/>
  <c r="M238" i="116"/>
  <c r="L238" i="116"/>
  <c r="G238" i="116"/>
  <c r="H238" i="116" s="1"/>
  <c r="J238" i="116" s="1"/>
  <c r="K238" i="116" s="1"/>
  <c r="M237" i="116"/>
  <c r="L237" i="116"/>
  <c r="G237" i="116"/>
  <c r="H237" i="116" s="1"/>
  <c r="J237" i="116" s="1"/>
  <c r="K237" i="116" s="1"/>
  <c r="M236" i="116"/>
  <c r="L236" i="116"/>
  <c r="H236" i="116"/>
  <c r="J236" i="116" s="1"/>
  <c r="K236" i="116" s="1"/>
  <c r="G236" i="116"/>
  <c r="M235" i="116"/>
  <c r="L235" i="116"/>
  <c r="G235" i="116"/>
  <c r="H235" i="116" s="1"/>
  <c r="J235" i="116" s="1"/>
  <c r="K235" i="116" s="1"/>
  <c r="M234" i="116"/>
  <c r="L234" i="116"/>
  <c r="G234" i="116"/>
  <c r="H234" i="116" s="1"/>
  <c r="J234" i="116" s="1"/>
  <c r="K234" i="116" s="1"/>
  <c r="M233" i="116"/>
  <c r="L233" i="116"/>
  <c r="G233" i="116"/>
  <c r="H233" i="116" s="1"/>
  <c r="J233" i="116" s="1"/>
  <c r="K233" i="116" s="1"/>
  <c r="M232" i="116"/>
  <c r="L232" i="116"/>
  <c r="H232" i="116"/>
  <c r="J232" i="116" s="1"/>
  <c r="K232" i="116" s="1"/>
  <c r="G232" i="116"/>
  <c r="M231" i="116"/>
  <c r="L231" i="116"/>
  <c r="G231" i="116"/>
  <c r="H231" i="116" s="1"/>
  <c r="J231" i="116" s="1"/>
  <c r="K231" i="116" s="1"/>
  <c r="M230" i="116"/>
  <c r="L230" i="116"/>
  <c r="G230" i="116"/>
  <c r="H230" i="116" s="1"/>
  <c r="J230" i="116" s="1"/>
  <c r="K230" i="116" s="1"/>
  <c r="M229" i="116"/>
  <c r="L229" i="116"/>
  <c r="G229" i="116"/>
  <c r="H229" i="116" s="1"/>
  <c r="J229" i="116" s="1"/>
  <c r="K229" i="116" s="1"/>
  <c r="M228" i="116"/>
  <c r="L228" i="116"/>
  <c r="H228" i="116"/>
  <c r="J228" i="116" s="1"/>
  <c r="K228" i="116" s="1"/>
  <c r="G228" i="116"/>
  <c r="M227" i="116"/>
  <c r="L227" i="116"/>
  <c r="G227" i="116"/>
  <c r="H227" i="116" s="1"/>
  <c r="J227" i="116" s="1"/>
  <c r="K227" i="116" s="1"/>
  <c r="M226" i="116"/>
  <c r="L226" i="116"/>
  <c r="G226" i="116"/>
  <c r="H226" i="116" s="1"/>
  <c r="J226" i="116" s="1"/>
  <c r="K226" i="116" s="1"/>
  <c r="M225" i="116"/>
  <c r="L225" i="116"/>
  <c r="G225" i="116"/>
  <c r="H225" i="116" s="1"/>
  <c r="J225" i="116" s="1"/>
  <c r="K225" i="116" s="1"/>
  <c r="M224" i="116"/>
  <c r="L224" i="116"/>
  <c r="H224" i="116"/>
  <c r="J224" i="116" s="1"/>
  <c r="K224" i="116" s="1"/>
  <c r="G224" i="116"/>
  <c r="M223" i="116"/>
  <c r="L223" i="116"/>
  <c r="G223" i="116"/>
  <c r="H223" i="116" s="1"/>
  <c r="J223" i="116" s="1"/>
  <c r="K223" i="116" s="1"/>
  <c r="M222" i="116"/>
  <c r="L222" i="116"/>
  <c r="G222" i="116"/>
  <c r="H222" i="116" s="1"/>
  <c r="J222" i="116" s="1"/>
  <c r="K222" i="116" s="1"/>
  <c r="M221" i="116"/>
  <c r="L221" i="116"/>
  <c r="G221" i="116"/>
  <c r="H221" i="116" s="1"/>
  <c r="J221" i="116" s="1"/>
  <c r="K221" i="116" s="1"/>
  <c r="M220" i="116"/>
  <c r="L220" i="116"/>
  <c r="H220" i="116"/>
  <c r="J220" i="116" s="1"/>
  <c r="K220" i="116" s="1"/>
  <c r="G220" i="116"/>
  <c r="M219" i="116"/>
  <c r="L219" i="116"/>
  <c r="G219" i="116"/>
  <c r="H219" i="116" s="1"/>
  <c r="J219" i="116" s="1"/>
  <c r="K219" i="116" s="1"/>
  <c r="M218" i="116"/>
  <c r="L218" i="116"/>
  <c r="G218" i="116"/>
  <c r="H218" i="116" s="1"/>
  <c r="J218" i="116" s="1"/>
  <c r="K218" i="116" s="1"/>
  <c r="M217" i="116"/>
  <c r="L217" i="116"/>
  <c r="G217" i="116"/>
  <c r="H217" i="116" s="1"/>
  <c r="J217" i="116" s="1"/>
  <c r="K217" i="116" s="1"/>
  <c r="M216" i="116"/>
  <c r="L216" i="116"/>
  <c r="H216" i="116"/>
  <c r="J216" i="116" s="1"/>
  <c r="K216" i="116" s="1"/>
  <c r="G216" i="116"/>
  <c r="M215" i="116"/>
  <c r="L215" i="116"/>
  <c r="G215" i="116"/>
  <c r="H215" i="116" s="1"/>
  <c r="J215" i="116" s="1"/>
  <c r="K215" i="116" s="1"/>
  <c r="M214" i="116"/>
  <c r="L214" i="116"/>
  <c r="G214" i="116"/>
  <c r="H214" i="116" s="1"/>
  <c r="J214" i="116" s="1"/>
  <c r="K214" i="116" s="1"/>
  <c r="M213" i="116"/>
  <c r="L213" i="116"/>
  <c r="G213" i="116"/>
  <c r="H213" i="116" s="1"/>
  <c r="J213" i="116" s="1"/>
  <c r="K213" i="116" s="1"/>
  <c r="M212" i="116"/>
  <c r="L212" i="116"/>
  <c r="H212" i="116"/>
  <c r="J212" i="116" s="1"/>
  <c r="K212" i="116" s="1"/>
  <c r="G212" i="116"/>
  <c r="M211" i="116"/>
  <c r="L211" i="116"/>
  <c r="G211" i="116"/>
  <c r="H211" i="116" s="1"/>
  <c r="J211" i="116" s="1"/>
  <c r="K211" i="116" s="1"/>
  <c r="M210" i="116"/>
  <c r="L210" i="116"/>
  <c r="G210" i="116"/>
  <c r="H210" i="116" s="1"/>
  <c r="J210" i="116" s="1"/>
  <c r="K210" i="116" s="1"/>
  <c r="M209" i="116"/>
  <c r="L209" i="116"/>
  <c r="G209" i="116"/>
  <c r="H209" i="116" s="1"/>
  <c r="J209" i="116" s="1"/>
  <c r="K209" i="116" s="1"/>
  <c r="M208" i="116"/>
  <c r="L208" i="116"/>
  <c r="H208" i="116"/>
  <c r="J208" i="116" s="1"/>
  <c r="K208" i="116" s="1"/>
  <c r="G208" i="116"/>
  <c r="M207" i="116"/>
  <c r="L207" i="116"/>
  <c r="G207" i="116"/>
  <c r="H207" i="116" s="1"/>
  <c r="J207" i="116" s="1"/>
  <c r="K207" i="116" s="1"/>
  <c r="M206" i="116"/>
  <c r="L206" i="116"/>
  <c r="G206" i="116"/>
  <c r="H206" i="116" s="1"/>
  <c r="J206" i="116" s="1"/>
  <c r="K206" i="116" s="1"/>
  <c r="M205" i="116"/>
  <c r="L205" i="116"/>
  <c r="G205" i="116"/>
  <c r="H205" i="116" s="1"/>
  <c r="J205" i="116" s="1"/>
  <c r="K205" i="116" s="1"/>
  <c r="M204" i="116"/>
  <c r="L204" i="116"/>
  <c r="H204" i="116"/>
  <c r="J204" i="116" s="1"/>
  <c r="K204" i="116" s="1"/>
  <c r="G204" i="116"/>
  <c r="M203" i="116"/>
  <c r="L203" i="116"/>
  <c r="G203" i="116"/>
  <c r="H203" i="116" s="1"/>
  <c r="J203" i="116" s="1"/>
  <c r="K203" i="116" s="1"/>
  <c r="M202" i="116"/>
  <c r="L202" i="116"/>
  <c r="G202" i="116"/>
  <c r="H202" i="116" s="1"/>
  <c r="J202" i="116" s="1"/>
  <c r="K202" i="116" s="1"/>
  <c r="M201" i="116"/>
  <c r="L201" i="116"/>
  <c r="G201" i="116"/>
  <c r="H201" i="116" s="1"/>
  <c r="J201" i="116" s="1"/>
  <c r="K201" i="116" s="1"/>
  <c r="M200" i="116"/>
  <c r="L200" i="116"/>
  <c r="H200" i="116"/>
  <c r="J200" i="116" s="1"/>
  <c r="K200" i="116" s="1"/>
  <c r="G200" i="116"/>
  <c r="M199" i="116"/>
  <c r="L199" i="116"/>
  <c r="G199" i="116"/>
  <c r="H199" i="116" s="1"/>
  <c r="J199" i="116" s="1"/>
  <c r="K199" i="116" s="1"/>
  <c r="M198" i="116"/>
  <c r="L198" i="116"/>
  <c r="G198" i="116"/>
  <c r="H198" i="116" s="1"/>
  <c r="J198" i="116" s="1"/>
  <c r="K198" i="116" s="1"/>
  <c r="M197" i="116"/>
  <c r="L197" i="116"/>
  <c r="G197" i="116"/>
  <c r="H197" i="116" s="1"/>
  <c r="J197" i="116" s="1"/>
  <c r="K197" i="116" s="1"/>
  <c r="M196" i="116"/>
  <c r="L196" i="116"/>
  <c r="H196" i="116"/>
  <c r="J196" i="116" s="1"/>
  <c r="K196" i="116" s="1"/>
  <c r="G196" i="116"/>
  <c r="M195" i="116"/>
  <c r="L195" i="116"/>
  <c r="G195" i="116"/>
  <c r="H195" i="116" s="1"/>
  <c r="J195" i="116" s="1"/>
  <c r="K195" i="116" s="1"/>
  <c r="M194" i="116"/>
  <c r="L194" i="116"/>
  <c r="G194" i="116"/>
  <c r="H194" i="116" s="1"/>
  <c r="J194" i="116" s="1"/>
  <c r="K194" i="116" s="1"/>
  <c r="M193" i="116"/>
  <c r="L193" i="116"/>
  <c r="G193" i="116"/>
  <c r="H193" i="116" s="1"/>
  <c r="J193" i="116" s="1"/>
  <c r="K193" i="116" s="1"/>
  <c r="M192" i="116"/>
  <c r="L192" i="116"/>
  <c r="H192" i="116"/>
  <c r="J192" i="116" s="1"/>
  <c r="K192" i="116" s="1"/>
  <c r="G192" i="116"/>
  <c r="M191" i="116"/>
  <c r="L191" i="116"/>
  <c r="G191" i="116"/>
  <c r="H191" i="116" s="1"/>
  <c r="J191" i="116" s="1"/>
  <c r="K191" i="116" s="1"/>
  <c r="M190" i="116"/>
  <c r="L190" i="116"/>
  <c r="G190" i="116"/>
  <c r="H190" i="116" s="1"/>
  <c r="J190" i="116" s="1"/>
  <c r="K190" i="116" s="1"/>
  <c r="M189" i="116"/>
  <c r="L189" i="116"/>
  <c r="G189" i="116"/>
  <c r="H189" i="116" s="1"/>
  <c r="J189" i="116" s="1"/>
  <c r="K189" i="116" s="1"/>
  <c r="M188" i="116"/>
  <c r="L188" i="116"/>
  <c r="H188" i="116"/>
  <c r="J188" i="116" s="1"/>
  <c r="K188" i="116" s="1"/>
  <c r="G188" i="116"/>
  <c r="M187" i="116"/>
  <c r="L187" i="116"/>
  <c r="G187" i="116"/>
  <c r="H187" i="116" s="1"/>
  <c r="J187" i="116" s="1"/>
  <c r="K187" i="116" s="1"/>
  <c r="M186" i="116"/>
  <c r="L186" i="116"/>
  <c r="G186" i="116"/>
  <c r="H186" i="116" s="1"/>
  <c r="J186" i="116" s="1"/>
  <c r="K186" i="116" s="1"/>
  <c r="M185" i="116"/>
  <c r="L185" i="116"/>
  <c r="G185" i="116"/>
  <c r="H185" i="116" s="1"/>
  <c r="J185" i="116" s="1"/>
  <c r="K185" i="116" s="1"/>
  <c r="M184" i="116"/>
  <c r="L184" i="116"/>
  <c r="H184" i="116"/>
  <c r="J184" i="116" s="1"/>
  <c r="K184" i="116" s="1"/>
  <c r="G184" i="116"/>
  <c r="M183" i="116"/>
  <c r="L183" i="116"/>
  <c r="G183" i="116"/>
  <c r="H183" i="116" s="1"/>
  <c r="J183" i="116" s="1"/>
  <c r="K183" i="116" s="1"/>
  <c r="M182" i="116"/>
  <c r="L182" i="116"/>
  <c r="G182" i="116"/>
  <c r="H182" i="116" s="1"/>
  <c r="J182" i="116" s="1"/>
  <c r="K182" i="116" s="1"/>
  <c r="M181" i="116"/>
  <c r="L181" i="116"/>
  <c r="G181" i="116"/>
  <c r="H181" i="116" s="1"/>
  <c r="J181" i="116" s="1"/>
  <c r="K181" i="116" s="1"/>
  <c r="M180" i="116"/>
  <c r="L180" i="116"/>
  <c r="H180" i="116"/>
  <c r="J180" i="116" s="1"/>
  <c r="K180" i="116" s="1"/>
  <c r="G180" i="116"/>
  <c r="M179" i="116"/>
  <c r="L179" i="116"/>
  <c r="G179" i="116"/>
  <c r="H179" i="116" s="1"/>
  <c r="J179" i="116" s="1"/>
  <c r="K179" i="116" s="1"/>
  <c r="M178" i="116"/>
  <c r="L178" i="116"/>
  <c r="G178" i="116"/>
  <c r="H178" i="116" s="1"/>
  <c r="J178" i="116" s="1"/>
  <c r="K178" i="116" s="1"/>
  <c r="M177" i="116"/>
  <c r="L177" i="116"/>
  <c r="G177" i="116"/>
  <c r="H177" i="116" s="1"/>
  <c r="J177" i="116" s="1"/>
  <c r="K177" i="116" s="1"/>
  <c r="M176" i="116"/>
  <c r="L176" i="116"/>
  <c r="H176" i="116"/>
  <c r="J176" i="116" s="1"/>
  <c r="K176" i="116" s="1"/>
  <c r="G176" i="116"/>
  <c r="M175" i="116"/>
  <c r="L175" i="116"/>
  <c r="G175" i="116"/>
  <c r="H175" i="116" s="1"/>
  <c r="J175" i="116" s="1"/>
  <c r="K175" i="116" s="1"/>
  <c r="M174" i="116"/>
  <c r="L174" i="116"/>
  <c r="G174" i="116"/>
  <c r="H174" i="116" s="1"/>
  <c r="J174" i="116" s="1"/>
  <c r="K174" i="116" s="1"/>
  <c r="M173" i="116"/>
  <c r="L173" i="116"/>
  <c r="G173" i="116"/>
  <c r="H173" i="116" s="1"/>
  <c r="J173" i="116" s="1"/>
  <c r="K173" i="116" s="1"/>
  <c r="M172" i="116"/>
  <c r="L172" i="116"/>
  <c r="H172" i="116"/>
  <c r="J172" i="116" s="1"/>
  <c r="K172" i="116" s="1"/>
  <c r="G172" i="116"/>
  <c r="M171" i="116"/>
  <c r="L171" i="116"/>
  <c r="G171" i="116"/>
  <c r="H171" i="116" s="1"/>
  <c r="J171" i="116" s="1"/>
  <c r="K171" i="116" s="1"/>
  <c r="M170" i="116"/>
  <c r="L170" i="116"/>
  <c r="G170" i="116"/>
  <c r="H170" i="116" s="1"/>
  <c r="J170" i="116" s="1"/>
  <c r="K170" i="116" s="1"/>
  <c r="M169" i="116"/>
  <c r="L169" i="116"/>
  <c r="G169" i="116"/>
  <c r="H169" i="116" s="1"/>
  <c r="J169" i="116" s="1"/>
  <c r="K169" i="116" s="1"/>
  <c r="M168" i="116"/>
  <c r="L168" i="116"/>
  <c r="H168" i="116"/>
  <c r="J168" i="116" s="1"/>
  <c r="K168" i="116" s="1"/>
  <c r="G168" i="116"/>
  <c r="M167" i="116"/>
  <c r="L167" i="116"/>
  <c r="G167" i="116"/>
  <c r="H167" i="116" s="1"/>
  <c r="J167" i="116" s="1"/>
  <c r="K167" i="116" s="1"/>
  <c r="M166" i="116"/>
  <c r="L166" i="116"/>
  <c r="G166" i="116"/>
  <c r="H166" i="116" s="1"/>
  <c r="J166" i="116" s="1"/>
  <c r="K166" i="116" s="1"/>
  <c r="M165" i="116"/>
  <c r="L165" i="116"/>
  <c r="G165" i="116"/>
  <c r="H165" i="116" s="1"/>
  <c r="J165" i="116" s="1"/>
  <c r="K165" i="116" s="1"/>
  <c r="M164" i="116"/>
  <c r="L164" i="116"/>
  <c r="H164" i="116"/>
  <c r="J164" i="116" s="1"/>
  <c r="K164" i="116" s="1"/>
  <c r="G164" i="116"/>
  <c r="M163" i="116"/>
  <c r="L163" i="116"/>
  <c r="G163" i="116"/>
  <c r="H163" i="116" s="1"/>
  <c r="J163" i="116" s="1"/>
  <c r="K163" i="116" s="1"/>
  <c r="M162" i="116"/>
  <c r="L162" i="116"/>
  <c r="G162" i="116"/>
  <c r="H162" i="116" s="1"/>
  <c r="J162" i="116" s="1"/>
  <c r="K162" i="116" s="1"/>
  <c r="M161" i="116"/>
  <c r="L161" i="116"/>
  <c r="G161" i="116"/>
  <c r="H161" i="116" s="1"/>
  <c r="J161" i="116" s="1"/>
  <c r="K161" i="116" s="1"/>
  <c r="M160" i="116"/>
  <c r="L160" i="116"/>
  <c r="H160" i="116"/>
  <c r="J160" i="116" s="1"/>
  <c r="K160" i="116" s="1"/>
  <c r="G160" i="116"/>
  <c r="M159" i="116"/>
  <c r="L159" i="116"/>
  <c r="G159" i="116"/>
  <c r="H159" i="116" s="1"/>
  <c r="J159" i="116" s="1"/>
  <c r="K159" i="116" s="1"/>
  <c r="M158" i="116"/>
  <c r="L158" i="116"/>
  <c r="G158" i="116"/>
  <c r="H158" i="116" s="1"/>
  <c r="J158" i="116" s="1"/>
  <c r="K158" i="116" s="1"/>
  <c r="M157" i="116"/>
  <c r="L157" i="116"/>
  <c r="G157" i="116"/>
  <c r="H157" i="116" s="1"/>
  <c r="J157" i="116" s="1"/>
  <c r="K157" i="116" s="1"/>
  <c r="M156" i="116"/>
  <c r="L156" i="116"/>
  <c r="H156" i="116"/>
  <c r="J156" i="116" s="1"/>
  <c r="K156" i="116" s="1"/>
  <c r="G156" i="116"/>
  <c r="M155" i="116"/>
  <c r="L155" i="116"/>
  <c r="G155" i="116"/>
  <c r="H155" i="116" s="1"/>
  <c r="J155" i="116" s="1"/>
  <c r="K155" i="116" s="1"/>
  <c r="M154" i="116"/>
  <c r="L154" i="116"/>
  <c r="G154" i="116"/>
  <c r="H154" i="116" s="1"/>
  <c r="J154" i="116" s="1"/>
  <c r="K154" i="116" s="1"/>
  <c r="M153" i="116"/>
  <c r="L153" i="116"/>
  <c r="K153" i="116"/>
  <c r="G153" i="116"/>
  <c r="H153" i="116" s="1"/>
  <c r="J153" i="116" s="1"/>
  <c r="M152" i="116"/>
  <c r="L152" i="116"/>
  <c r="H152" i="116"/>
  <c r="J152" i="116" s="1"/>
  <c r="K152" i="116" s="1"/>
  <c r="G152" i="116"/>
  <c r="M151" i="116"/>
  <c r="L151" i="116"/>
  <c r="G151" i="116"/>
  <c r="H151" i="116" s="1"/>
  <c r="J151" i="116" s="1"/>
  <c r="K151" i="116" s="1"/>
  <c r="M150" i="116"/>
  <c r="L150" i="116"/>
  <c r="G150" i="116"/>
  <c r="H150" i="116" s="1"/>
  <c r="J150" i="116" s="1"/>
  <c r="K150" i="116" s="1"/>
  <c r="M149" i="116"/>
  <c r="L149" i="116"/>
  <c r="K149" i="116"/>
  <c r="G149" i="116"/>
  <c r="H149" i="116" s="1"/>
  <c r="J149" i="116" s="1"/>
  <c r="M148" i="116"/>
  <c r="L148" i="116"/>
  <c r="H148" i="116"/>
  <c r="J148" i="116" s="1"/>
  <c r="K148" i="116" s="1"/>
  <c r="G148" i="116"/>
  <c r="M147" i="116"/>
  <c r="L147" i="116"/>
  <c r="G147" i="116"/>
  <c r="H147" i="116" s="1"/>
  <c r="J147" i="116" s="1"/>
  <c r="K147" i="116" s="1"/>
  <c r="M146" i="116"/>
  <c r="L146" i="116"/>
  <c r="G146" i="116"/>
  <c r="H146" i="116" s="1"/>
  <c r="J146" i="116" s="1"/>
  <c r="K146" i="116" s="1"/>
  <c r="M145" i="116"/>
  <c r="L145" i="116"/>
  <c r="K145" i="116"/>
  <c r="G145" i="116"/>
  <c r="H145" i="116" s="1"/>
  <c r="J145" i="116" s="1"/>
  <c r="M144" i="116"/>
  <c r="L144" i="116"/>
  <c r="H144" i="116"/>
  <c r="J144" i="116" s="1"/>
  <c r="K144" i="116" s="1"/>
  <c r="G144" i="116"/>
  <c r="M143" i="116"/>
  <c r="L143" i="116"/>
  <c r="G143" i="116"/>
  <c r="H143" i="116" s="1"/>
  <c r="J143" i="116" s="1"/>
  <c r="K143" i="116" s="1"/>
  <c r="M142" i="116"/>
  <c r="L142" i="116"/>
  <c r="G142" i="116"/>
  <c r="H142" i="116" s="1"/>
  <c r="J142" i="116" s="1"/>
  <c r="K142" i="116" s="1"/>
  <c r="M141" i="116"/>
  <c r="L141" i="116"/>
  <c r="G141" i="116"/>
  <c r="H141" i="116" s="1"/>
  <c r="J141" i="116" s="1"/>
  <c r="K141" i="116" s="1"/>
  <c r="M140" i="116"/>
  <c r="L140" i="116"/>
  <c r="H140" i="116"/>
  <c r="J140" i="116" s="1"/>
  <c r="K140" i="116" s="1"/>
  <c r="G140" i="116"/>
  <c r="M139" i="116"/>
  <c r="L139" i="116"/>
  <c r="G139" i="116"/>
  <c r="H139" i="116" s="1"/>
  <c r="J139" i="116" s="1"/>
  <c r="K139" i="116" s="1"/>
  <c r="M138" i="116"/>
  <c r="L138" i="116"/>
  <c r="G138" i="116"/>
  <c r="H138" i="116" s="1"/>
  <c r="J138" i="116" s="1"/>
  <c r="K138" i="116" s="1"/>
  <c r="M137" i="116"/>
  <c r="L137" i="116"/>
  <c r="K137" i="116"/>
  <c r="G137" i="116"/>
  <c r="H137" i="116" s="1"/>
  <c r="J137" i="116" s="1"/>
  <c r="M136" i="116"/>
  <c r="L136" i="116"/>
  <c r="H136" i="116"/>
  <c r="J136" i="116" s="1"/>
  <c r="K136" i="116" s="1"/>
  <c r="G136" i="116"/>
  <c r="M135" i="116"/>
  <c r="L135" i="116"/>
  <c r="G135" i="116"/>
  <c r="H135" i="116" s="1"/>
  <c r="J135" i="116" s="1"/>
  <c r="K135" i="116" s="1"/>
  <c r="M134" i="116"/>
  <c r="L134" i="116"/>
  <c r="G134" i="116"/>
  <c r="H134" i="116" s="1"/>
  <c r="J134" i="116" s="1"/>
  <c r="K134" i="116" s="1"/>
  <c r="M133" i="116"/>
  <c r="L133" i="116"/>
  <c r="K133" i="116"/>
  <c r="G133" i="116"/>
  <c r="H133" i="116" s="1"/>
  <c r="J133" i="116" s="1"/>
  <c r="M132" i="116"/>
  <c r="L132" i="116"/>
  <c r="H132" i="116"/>
  <c r="J132" i="116" s="1"/>
  <c r="K132" i="116" s="1"/>
  <c r="G132" i="116"/>
  <c r="M131" i="116"/>
  <c r="L131" i="116"/>
  <c r="G131" i="116"/>
  <c r="H131" i="116" s="1"/>
  <c r="J131" i="116" s="1"/>
  <c r="K131" i="116" s="1"/>
  <c r="M130" i="116"/>
  <c r="L130" i="116"/>
  <c r="G130" i="116"/>
  <c r="H130" i="116" s="1"/>
  <c r="J130" i="116" s="1"/>
  <c r="K130" i="116" s="1"/>
  <c r="M129" i="116"/>
  <c r="L129" i="116"/>
  <c r="K129" i="116"/>
  <c r="G129" i="116"/>
  <c r="H129" i="116" s="1"/>
  <c r="J129" i="116" s="1"/>
  <c r="M128" i="116"/>
  <c r="L128" i="116"/>
  <c r="H128" i="116"/>
  <c r="J128" i="116" s="1"/>
  <c r="K128" i="116" s="1"/>
  <c r="G128" i="116"/>
  <c r="M127" i="116"/>
  <c r="L127" i="116"/>
  <c r="G127" i="116"/>
  <c r="H127" i="116" s="1"/>
  <c r="J127" i="116" s="1"/>
  <c r="K127" i="116" s="1"/>
  <c r="M126" i="116"/>
  <c r="L126" i="116"/>
  <c r="G126" i="116"/>
  <c r="H126" i="116" s="1"/>
  <c r="J126" i="116" s="1"/>
  <c r="K126" i="116" s="1"/>
  <c r="M125" i="116"/>
  <c r="L125" i="116"/>
  <c r="G125" i="116"/>
  <c r="H125" i="116" s="1"/>
  <c r="J125" i="116" s="1"/>
  <c r="K125" i="116" s="1"/>
  <c r="M124" i="116"/>
  <c r="L124" i="116"/>
  <c r="H124" i="116"/>
  <c r="J124" i="116" s="1"/>
  <c r="K124" i="116" s="1"/>
  <c r="G124" i="116"/>
  <c r="M123" i="116"/>
  <c r="L123" i="116"/>
  <c r="G123" i="116"/>
  <c r="H123" i="116" s="1"/>
  <c r="J123" i="116" s="1"/>
  <c r="K123" i="116" s="1"/>
  <c r="M122" i="116"/>
  <c r="L122" i="116"/>
  <c r="G122" i="116"/>
  <c r="H122" i="116" s="1"/>
  <c r="J122" i="116" s="1"/>
  <c r="K122" i="116" s="1"/>
  <c r="M121" i="116"/>
  <c r="L121" i="116"/>
  <c r="K121" i="116"/>
  <c r="G121" i="116"/>
  <c r="H121" i="116" s="1"/>
  <c r="J121" i="116" s="1"/>
  <c r="M120" i="116"/>
  <c r="L120" i="116"/>
  <c r="H120" i="116"/>
  <c r="J120" i="116" s="1"/>
  <c r="K120" i="116" s="1"/>
  <c r="G120" i="116"/>
  <c r="M119" i="116"/>
  <c r="L119" i="116"/>
  <c r="G119" i="116"/>
  <c r="H119" i="116" s="1"/>
  <c r="J119" i="116" s="1"/>
  <c r="K119" i="116" s="1"/>
  <c r="M118" i="116"/>
  <c r="L118" i="116"/>
  <c r="G118" i="116"/>
  <c r="H118" i="116" s="1"/>
  <c r="J118" i="116" s="1"/>
  <c r="K118" i="116" s="1"/>
  <c r="M117" i="116"/>
  <c r="L117" i="116"/>
  <c r="K117" i="116"/>
  <c r="G117" i="116"/>
  <c r="H117" i="116" s="1"/>
  <c r="J117" i="116" s="1"/>
  <c r="M116" i="116"/>
  <c r="L116" i="116"/>
  <c r="H116" i="116"/>
  <c r="J116" i="116" s="1"/>
  <c r="K116" i="116" s="1"/>
  <c r="G116" i="116"/>
  <c r="M115" i="116"/>
  <c r="L115" i="116"/>
  <c r="G115" i="116"/>
  <c r="H115" i="116" s="1"/>
  <c r="J115" i="116" s="1"/>
  <c r="K115" i="116" s="1"/>
  <c r="M114" i="116"/>
  <c r="L114" i="116"/>
  <c r="G114" i="116"/>
  <c r="H114" i="116" s="1"/>
  <c r="J114" i="116" s="1"/>
  <c r="K114" i="116" s="1"/>
  <c r="M113" i="116"/>
  <c r="L113" i="116"/>
  <c r="K113" i="116"/>
  <c r="G113" i="116"/>
  <c r="H113" i="116" s="1"/>
  <c r="J113" i="116" s="1"/>
  <c r="M112" i="116"/>
  <c r="L112" i="116"/>
  <c r="H112" i="116"/>
  <c r="J112" i="116" s="1"/>
  <c r="K112" i="116" s="1"/>
  <c r="G112" i="116"/>
  <c r="M111" i="116"/>
  <c r="L111" i="116"/>
  <c r="G111" i="116"/>
  <c r="H111" i="116" s="1"/>
  <c r="J111" i="116" s="1"/>
  <c r="K111" i="116" s="1"/>
  <c r="M110" i="116"/>
  <c r="L110" i="116"/>
  <c r="G110" i="116"/>
  <c r="H110" i="116" s="1"/>
  <c r="J110" i="116" s="1"/>
  <c r="K110" i="116" s="1"/>
  <c r="M109" i="116"/>
  <c r="L109" i="116"/>
  <c r="G109" i="116"/>
  <c r="H109" i="116" s="1"/>
  <c r="J109" i="116" s="1"/>
  <c r="K109" i="116" s="1"/>
  <c r="M108" i="116"/>
  <c r="L108" i="116"/>
  <c r="H108" i="116"/>
  <c r="J108" i="116" s="1"/>
  <c r="K108" i="116" s="1"/>
  <c r="G108" i="116"/>
  <c r="M107" i="116"/>
  <c r="L107" i="116"/>
  <c r="G107" i="116"/>
  <c r="H107" i="116" s="1"/>
  <c r="J107" i="116" s="1"/>
  <c r="K107" i="116" s="1"/>
  <c r="M106" i="116"/>
  <c r="L106" i="116"/>
  <c r="G106" i="116"/>
  <c r="H106" i="116" s="1"/>
  <c r="J106" i="116" s="1"/>
  <c r="K106" i="116" s="1"/>
  <c r="M105" i="116"/>
  <c r="L105" i="116"/>
  <c r="G105" i="116"/>
  <c r="H105" i="116" s="1"/>
  <c r="J105" i="116" s="1"/>
  <c r="K105" i="116" s="1"/>
  <c r="M104" i="116"/>
  <c r="L104" i="116"/>
  <c r="H104" i="116"/>
  <c r="J104" i="116" s="1"/>
  <c r="K104" i="116" s="1"/>
  <c r="G104" i="116"/>
  <c r="M103" i="116"/>
  <c r="L103" i="116"/>
  <c r="G103" i="116"/>
  <c r="H103" i="116" s="1"/>
  <c r="J103" i="116" s="1"/>
  <c r="K103" i="116" s="1"/>
  <c r="M102" i="116"/>
  <c r="L102" i="116"/>
  <c r="G102" i="116"/>
  <c r="H102" i="116" s="1"/>
  <c r="J102" i="116" s="1"/>
  <c r="K102" i="116" s="1"/>
  <c r="M101" i="116"/>
  <c r="L101" i="116"/>
  <c r="K101" i="116"/>
  <c r="G101" i="116"/>
  <c r="H101" i="116" s="1"/>
  <c r="J101" i="116" s="1"/>
  <c r="M100" i="116"/>
  <c r="L100" i="116"/>
  <c r="H100" i="116"/>
  <c r="J100" i="116" s="1"/>
  <c r="K100" i="116" s="1"/>
  <c r="G100" i="116"/>
  <c r="M99" i="116"/>
  <c r="L99" i="116"/>
  <c r="G99" i="116"/>
  <c r="H99" i="116" s="1"/>
  <c r="J99" i="116" s="1"/>
  <c r="K99" i="116" s="1"/>
  <c r="M98" i="116"/>
  <c r="L98" i="116"/>
  <c r="G98" i="116"/>
  <c r="H98" i="116" s="1"/>
  <c r="J98" i="116" s="1"/>
  <c r="K98" i="116" s="1"/>
  <c r="M97" i="116"/>
  <c r="L97" i="116"/>
  <c r="K97" i="116"/>
  <c r="G97" i="116"/>
  <c r="H97" i="116" s="1"/>
  <c r="J97" i="116" s="1"/>
  <c r="M96" i="116"/>
  <c r="L96" i="116"/>
  <c r="H96" i="116"/>
  <c r="J96" i="116" s="1"/>
  <c r="K96" i="116" s="1"/>
  <c r="G96" i="116"/>
  <c r="M95" i="116"/>
  <c r="L95" i="116"/>
  <c r="G95" i="116"/>
  <c r="H95" i="116" s="1"/>
  <c r="J95" i="116" s="1"/>
  <c r="K95" i="116" s="1"/>
  <c r="M94" i="116"/>
  <c r="L94" i="116"/>
  <c r="G94" i="116"/>
  <c r="H94" i="116" s="1"/>
  <c r="J94" i="116" s="1"/>
  <c r="K94" i="116" s="1"/>
  <c r="M93" i="116"/>
  <c r="L93" i="116"/>
  <c r="G93" i="116"/>
  <c r="H93" i="116" s="1"/>
  <c r="J93" i="116" s="1"/>
  <c r="K93" i="116" s="1"/>
  <c r="M92" i="116"/>
  <c r="L92" i="116"/>
  <c r="H92" i="116"/>
  <c r="J92" i="116" s="1"/>
  <c r="K92" i="116" s="1"/>
  <c r="G92" i="116"/>
  <c r="M91" i="116"/>
  <c r="L91" i="116"/>
  <c r="G91" i="116"/>
  <c r="H91" i="116" s="1"/>
  <c r="J91" i="116" s="1"/>
  <c r="K91" i="116" s="1"/>
  <c r="M90" i="116"/>
  <c r="L90" i="116"/>
  <c r="G90" i="116"/>
  <c r="H90" i="116" s="1"/>
  <c r="J90" i="116" s="1"/>
  <c r="K90" i="116" s="1"/>
  <c r="M89" i="116"/>
  <c r="L89" i="116"/>
  <c r="G89" i="116"/>
  <c r="H89" i="116" s="1"/>
  <c r="J89" i="116" s="1"/>
  <c r="K89" i="116" s="1"/>
  <c r="M88" i="116"/>
  <c r="L88" i="116"/>
  <c r="H88" i="116"/>
  <c r="J88" i="116" s="1"/>
  <c r="K88" i="116" s="1"/>
  <c r="G88" i="116"/>
  <c r="M87" i="116"/>
  <c r="L87" i="116"/>
  <c r="G87" i="116"/>
  <c r="H87" i="116" s="1"/>
  <c r="J87" i="116" s="1"/>
  <c r="K87" i="116" s="1"/>
  <c r="M86" i="116"/>
  <c r="L86" i="116"/>
  <c r="G86" i="116"/>
  <c r="H86" i="116" s="1"/>
  <c r="J86" i="116" s="1"/>
  <c r="K86" i="116" s="1"/>
  <c r="M85" i="116"/>
  <c r="L85" i="116"/>
  <c r="K85" i="116"/>
  <c r="G85" i="116"/>
  <c r="H85" i="116" s="1"/>
  <c r="J85" i="116" s="1"/>
  <c r="M84" i="116"/>
  <c r="L84" i="116"/>
  <c r="H84" i="116"/>
  <c r="J84" i="116" s="1"/>
  <c r="K84" i="116" s="1"/>
  <c r="G84" i="116"/>
  <c r="M83" i="116"/>
  <c r="L83" i="116"/>
  <c r="G83" i="116"/>
  <c r="H83" i="116" s="1"/>
  <c r="J83" i="116" s="1"/>
  <c r="K83" i="116" s="1"/>
  <c r="M82" i="116"/>
  <c r="L82" i="116"/>
  <c r="G82" i="116"/>
  <c r="H82" i="116" s="1"/>
  <c r="J82" i="116" s="1"/>
  <c r="K82" i="116" s="1"/>
  <c r="M81" i="116"/>
  <c r="L81" i="116"/>
  <c r="K81" i="116"/>
  <c r="G81" i="116"/>
  <c r="H81" i="116" s="1"/>
  <c r="J81" i="116" s="1"/>
  <c r="M80" i="116"/>
  <c r="L80" i="116"/>
  <c r="H80" i="116"/>
  <c r="J80" i="116" s="1"/>
  <c r="K80" i="116" s="1"/>
  <c r="G80" i="116"/>
  <c r="M79" i="116"/>
  <c r="L79" i="116"/>
  <c r="G79" i="116"/>
  <c r="H79" i="116" s="1"/>
  <c r="J79" i="116" s="1"/>
  <c r="K79" i="116" s="1"/>
  <c r="M78" i="116"/>
  <c r="L78" i="116"/>
  <c r="G78" i="116"/>
  <c r="H78" i="116" s="1"/>
  <c r="J78" i="116" s="1"/>
  <c r="K78" i="116" s="1"/>
  <c r="M77" i="116"/>
  <c r="L77" i="116"/>
  <c r="G77" i="116"/>
  <c r="H77" i="116" s="1"/>
  <c r="J77" i="116" s="1"/>
  <c r="K77" i="116" s="1"/>
  <c r="M76" i="116"/>
  <c r="L76" i="116"/>
  <c r="H76" i="116"/>
  <c r="J76" i="116" s="1"/>
  <c r="K76" i="116" s="1"/>
  <c r="G76" i="116"/>
  <c r="M75" i="116"/>
  <c r="L75" i="116"/>
  <c r="G75" i="116"/>
  <c r="H75" i="116" s="1"/>
  <c r="J75" i="116" s="1"/>
  <c r="K75" i="116" s="1"/>
  <c r="M74" i="116"/>
  <c r="L74" i="116"/>
  <c r="G74" i="116"/>
  <c r="H74" i="116" s="1"/>
  <c r="J74" i="116" s="1"/>
  <c r="K74" i="116" s="1"/>
  <c r="M73" i="116"/>
  <c r="L73" i="116"/>
  <c r="G73" i="116"/>
  <c r="H73" i="116" s="1"/>
  <c r="J73" i="116" s="1"/>
  <c r="K73" i="116" s="1"/>
  <c r="M72" i="116"/>
  <c r="L72" i="116"/>
  <c r="H72" i="116"/>
  <c r="J72" i="116" s="1"/>
  <c r="K72" i="116" s="1"/>
  <c r="G72" i="116"/>
  <c r="M71" i="116"/>
  <c r="L71" i="116"/>
  <c r="G71" i="116"/>
  <c r="H71" i="116" s="1"/>
  <c r="J71" i="116" s="1"/>
  <c r="K71" i="116" s="1"/>
  <c r="M70" i="116"/>
  <c r="L70" i="116"/>
  <c r="G70" i="116"/>
  <c r="H70" i="116" s="1"/>
  <c r="J70" i="116" s="1"/>
  <c r="K70" i="116" s="1"/>
  <c r="M69" i="116"/>
  <c r="L69" i="116"/>
  <c r="K69" i="116"/>
  <c r="G69" i="116"/>
  <c r="H69" i="116" s="1"/>
  <c r="J69" i="116" s="1"/>
  <c r="M68" i="116"/>
  <c r="L68" i="116"/>
  <c r="H68" i="116"/>
  <c r="J68" i="116" s="1"/>
  <c r="K68" i="116" s="1"/>
  <c r="G68" i="116"/>
  <c r="M67" i="116"/>
  <c r="L67" i="116"/>
  <c r="G67" i="116"/>
  <c r="H67" i="116" s="1"/>
  <c r="J67" i="116" s="1"/>
  <c r="K67" i="116" s="1"/>
  <c r="M66" i="116"/>
  <c r="L66" i="116"/>
  <c r="G66" i="116"/>
  <c r="H66" i="116" s="1"/>
  <c r="J66" i="116" s="1"/>
  <c r="K66" i="116" s="1"/>
  <c r="M65" i="116"/>
  <c r="L65" i="116"/>
  <c r="K65" i="116"/>
  <c r="G65" i="116"/>
  <c r="H65" i="116" s="1"/>
  <c r="J65" i="116" s="1"/>
  <c r="M64" i="116"/>
  <c r="L64" i="116"/>
  <c r="H64" i="116"/>
  <c r="J64" i="116" s="1"/>
  <c r="K64" i="116" s="1"/>
  <c r="G64" i="116"/>
  <c r="M63" i="116"/>
  <c r="L63" i="116"/>
  <c r="G63" i="116"/>
  <c r="H63" i="116" s="1"/>
  <c r="J63" i="116" s="1"/>
  <c r="K63" i="116" s="1"/>
  <c r="M62" i="116"/>
  <c r="L62" i="116"/>
  <c r="G62" i="116"/>
  <c r="H62" i="116" s="1"/>
  <c r="J62" i="116" s="1"/>
  <c r="K62" i="116" s="1"/>
  <c r="M61" i="116"/>
  <c r="L61" i="116"/>
  <c r="G61" i="116"/>
  <c r="H61" i="116" s="1"/>
  <c r="J61" i="116" s="1"/>
  <c r="K61" i="116" s="1"/>
  <c r="M60" i="116"/>
  <c r="L60" i="116"/>
  <c r="H60" i="116"/>
  <c r="J60" i="116" s="1"/>
  <c r="K60" i="116" s="1"/>
  <c r="G60" i="116"/>
  <c r="M59" i="116"/>
  <c r="L59" i="116"/>
  <c r="G59" i="116"/>
  <c r="H59" i="116" s="1"/>
  <c r="J59" i="116" s="1"/>
  <c r="K59" i="116" s="1"/>
  <c r="M58" i="116"/>
  <c r="L58" i="116"/>
  <c r="G58" i="116"/>
  <c r="H58" i="116" s="1"/>
  <c r="J58" i="116" s="1"/>
  <c r="K58" i="116" s="1"/>
  <c r="M57" i="116"/>
  <c r="L57" i="116"/>
  <c r="G57" i="116"/>
  <c r="H57" i="116" s="1"/>
  <c r="J57" i="116" s="1"/>
  <c r="K57" i="116" s="1"/>
  <c r="M56" i="116"/>
  <c r="L56" i="116"/>
  <c r="H56" i="116"/>
  <c r="J56" i="116" s="1"/>
  <c r="K56" i="116" s="1"/>
  <c r="G56" i="116"/>
  <c r="M55" i="116"/>
  <c r="L55" i="116"/>
  <c r="G55" i="116"/>
  <c r="H55" i="116" s="1"/>
  <c r="J55" i="116" s="1"/>
  <c r="K55" i="116" s="1"/>
  <c r="M54" i="116"/>
  <c r="L54" i="116"/>
  <c r="G54" i="116"/>
  <c r="H54" i="116" s="1"/>
  <c r="J54" i="116" s="1"/>
  <c r="K54" i="116" s="1"/>
  <c r="M53" i="116"/>
  <c r="L53" i="116"/>
  <c r="K53" i="116"/>
  <c r="G53" i="116"/>
  <c r="H53" i="116" s="1"/>
  <c r="J53" i="116" s="1"/>
  <c r="M52" i="116"/>
  <c r="L52" i="116"/>
  <c r="H52" i="116"/>
  <c r="J52" i="116" s="1"/>
  <c r="K52" i="116" s="1"/>
  <c r="G52" i="116"/>
  <c r="M51" i="116"/>
  <c r="L51" i="116"/>
  <c r="G51" i="116"/>
  <c r="H51" i="116" s="1"/>
  <c r="J51" i="116" s="1"/>
  <c r="K51" i="116" s="1"/>
  <c r="M50" i="116"/>
  <c r="L50" i="116"/>
  <c r="G50" i="116"/>
  <c r="H50" i="116" s="1"/>
  <c r="J50" i="116" s="1"/>
  <c r="K50" i="116" s="1"/>
  <c r="M49" i="116"/>
  <c r="L49" i="116"/>
  <c r="K49" i="116"/>
  <c r="G49" i="116"/>
  <c r="H49" i="116" s="1"/>
  <c r="J49" i="116" s="1"/>
  <c r="M48" i="116"/>
  <c r="L48" i="116"/>
  <c r="H48" i="116"/>
  <c r="J48" i="116" s="1"/>
  <c r="K48" i="116" s="1"/>
  <c r="G48" i="116"/>
  <c r="M47" i="116"/>
  <c r="L47" i="116"/>
  <c r="G47" i="116"/>
  <c r="H47" i="116" s="1"/>
  <c r="J47" i="116" s="1"/>
  <c r="K47" i="116" s="1"/>
  <c r="M46" i="116"/>
  <c r="L46" i="116"/>
  <c r="G46" i="116"/>
  <c r="H46" i="116" s="1"/>
  <c r="J46" i="116" s="1"/>
  <c r="K46" i="116" s="1"/>
  <c r="M45" i="116"/>
  <c r="L45" i="116"/>
  <c r="G45" i="116"/>
  <c r="H45" i="116" s="1"/>
  <c r="J45" i="116" s="1"/>
  <c r="K45" i="116" s="1"/>
  <c r="M44" i="116"/>
  <c r="L44" i="116"/>
  <c r="H44" i="116"/>
  <c r="J44" i="116" s="1"/>
  <c r="K44" i="116" s="1"/>
  <c r="G44" i="116"/>
  <c r="M43" i="116"/>
  <c r="L43" i="116"/>
  <c r="G43" i="116"/>
  <c r="H43" i="116" s="1"/>
  <c r="J43" i="116" s="1"/>
  <c r="K43" i="116" s="1"/>
  <c r="M42" i="116"/>
  <c r="L42" i="116"/>
  <c r="G42" i="116"/>
  <c r="H42" i="116" s="1"/>
  <c r="J42" i="116" s="1"/>
  <c r="K42" i="116" s="1"/>
  <c r="M41" i="116"/>
  <c r="L41" i="116"/>
  <c r="G41" i="116"/>
  <c r="H41" i="116" s="1"/>
  <c r="J41" i="116" s="1"/>
  <c r="K41" i="116" s="1"/>
  <c r="M40" i="116"/>
  <c r="L40" i="116"/>
  <c r="H40" i="116"/>
  <c r="J40" i="116" s="1"/>
  <c r="K40" i="116" s="1"/>
  <c r="G40" i="116"/>
  <c r="M39" i="116"/>
  <c r="L39" i="116"/>
  <c r="G39" i="116"/>
  <c r="H39" i="116" s="1"/>
  <c r="J39" i="116" s="1"/>
  <c r="K39" i="116" s="1"/>
  <c r="M38" i="116"/>
  <c r="L38" i="116"/>
  <c r="G38" i="116"/>
  <c r="H38" i="116" s="1"/>
  <c r="J38" i="116" s="1"/>
  <c r="K38" i="116" s="1"/>
  <c r="M37" i="116"/>
  <c r="L37" i="116"/>
  <c r="K37" i="116"/>
  <c r="G37" i="116"/>
  <c r="H37" i="116" s="1"/>
  <c r="J37" i="116" s="1"/>
  <c r="M36" i="116"/>
  <c r="L36" i="116"/>
  <c r="H36" i="116"/>
  <c r="J36" i="116" s="1"/>
  <c r="K36" i="116" s="1"/>
  <c r="G36" i="116"/>
  <c r="M35" i="116"/>
  <c r="L35" i="116"/>
  <c r="G35" i="116"/>
  <c r="H35" i="116" s="1"/>
  <c r="J35" i="116" s="1"/>
  <c r="K35" i="116" s="1"/>
  <c r="M34" i="116"/>
  <c r="L34" i="116"/>
  <c r="G34" i="116"/>
  <c r="H34" i="116" s="1"/>
  <c r="J34" i="116" s="1"/>
  <c r="K34" i="116" s="1"/>
  <c r="M33" i="116"/>
  <c r="L33" i="116"/>
  <c r="K33" i="116"/>
  <c r="G33" i="116"/>
  <c r="H33" i="116" s="1"/>
  <c r="J33" i="116" s="1"/>
  <c r="M32" i="116"/>
  <c r="L32" i="116"/>
  <c r="H32" i="116"/>
  <c r="J32" i="116" s="1"/>
  <c r="K32" i="116" s="1"/>
  <c r="G32" i="116"/>
  <c r="M31" i="116"/>
  <c r="L31" i="116"/>
  <c r="G31" i="116"/>
  <c r="H31" i="116" s="1"/>
  <c r="J31" i="116" s="1"/>
  <c r="K31" i="116" s="1"/>
  <c r="M30" i="116"/>
  <c r="L30" i="116"/>
  <c r="G30" i="116"/>
  <c r="H30" i="116" s="1"/>
  <c r="J30" i="116" s="1"/>
  <c r="K30" i="116" s="1"/>
  <c r="M29" i="116"/>
  <c r="L29" i="116"/>
  <c r="G29" i="116"/>
  <c r="H29" i="116" s="1"/>
  <c r="J29" i="116" s="1"/>
  <c r="K29" i="116" s="1"/>
  <c r="M28" i="116"/>
  <c r="L28" i="116"/>
  <c r="H28" i="116"/>
  <c r="J28" i="116" s="1"/>
  <c r="K28" i="116" s="1"/>
  <c r="G28" i="116"/>
  <c r="M27" i="116"/>
  <c r="L27" i="116"/>
  <c r="G27" i="116"/>
  <c r="H27" i="116" s="1"/>
  <c r="J27" i="116" s="1"/>
  <c r="K27" i="116" s="1"/>
  <c r="M26" i="116"/>
  <c r="L26" i="116"/>
  <c r="G26" i="116"/>
  <c r="H26" i="116" s="1"/>
  <c r="J26" i="116" s="1"/>
  <c r="K26" i="116" s="1"/>
  <c r="M25" i="116"/>
  <c r="L25" i="116"/>
  <c r="G25" i="116"/>
  <c r="H25" i="116" s="1"/>
  <c r="J25" i="116" s="1"/>
  <c r="K25" i="116" s="1"/>
  <c r="M24" i="116"/>
  <c r="L24" i="116"/>
  <c r="H24" i="116"/>
  <c r="J24" i="116" s="1"/>
  <c r="K24" i="116" s="1"/>
  <c r="G24" i="116"/>
  <c r="M23" i="116"/>
  <c r="L23" i="116"/>
  <c r="G23" i="116"/>
  <c r="H23" i="116" s="1"/>
  <c r="J23" i="116" s="1"/>
  <c r="K23" i="116" s="1"/>
  <c r="M22" i="116"/>
  <c r="L22" i="116"/>
  <c r="G22" i="116"/>
  <c r="H22" i="116" s="1"/>
  <c r="J22" i="116" s="1"/>
  <c r="K22" i="116" s="1"/>
  <c r="M21" i="116"/>
  <c r="L21" i="116"/>
  <c r="K21" i="116"/>
  <c r="G21" i="116"/>
  <c r="H21" i="116" s="1"/>
  <c r="J21" i="116" s="1"/>
  <c r="M20" i="116"/>
  <c r="L20" i="116"/>
  <c r="H20" i="116"/>
  <c r="J20" i="116" s="1"/>
  <c r="K20" i="116" s="1"/>
  <c r="G20" i="116"/>
  <c r="M19" i="116"/>
  <c r="L19" i="116"/>
  <c r="G19" i="116"/>
  <c r="H19" i="116" s="1"/>
  <c r="J19" i="116" s="1"/>
  <c r="K19" i="116" s="1"/>
  <c r="M18" i="116"/>
  <c r="L18" i="116"/>
  <c r="G18" i="116"/>
  <c r="H18" i="116" s="1"/>
  <c r="J18" i="116" s="1"/>
  <c r="K18" i="116" s="1"/>
  <c r="M17" i="116"/>
  <c r="L17" i="116"/>
  <c r="K17" i="116"/>
  <c r="G17" i="116"/>
  <c r="H17" i="116" s="1"/>
  <c r="J17" i="116" s="1"/>
  <c r="M16" i="116"/>
  <c r="L16" i="116"/>
  <c r="H16" i="116"/>
  <c r="J16" i="116" s="1"/>
  <c r="K16" i="116" s="1"/>
  <c r="G16" i="116"/>
  <c r="M15" i="116"/>
  <c r="L15" i="116"/>
  <c r="G15" i="116"/>
  <c r="H15" i="116" s="1"/>
  <c r="J15" i="116" s="1"/>
  <c r="K15" i="116" s="1"/>
  <c r="M14" i="116"/>
  <c r="L14" i="116"/>
  <c r="G14" i="116"/>
  <c r="H14" i="116" s="1"/>
  <c r="J14" i="116" s="1"/>
  <c r="K14" i="116" s="1"/>
  <c r="M13" i="116"/>
  <c r="L13" i="116"/>
  <c r="G13" i="116"/>
  <c r="H13" i="116" s="1"/>
  <c r="J13" i="116" s="1"/>
  <c r="K13" i="116" s="1"/>
  <c r="M12" i="116"/>
  <c r="L12" i="116"/>
  <c r="H12" i="116"/>
  <c r="J12" i="116" s="1"/>
  <c r="K12" i="116" s="1"/>
  <c r="G12" i="116"/>
  <c r="M11" i="116"/>
  <c r="L11" i="116"/>
  <c r="G11" i="116"/>
  <c r="H11" i="116" s="1"/>
  <c r="J11" i="116" s="1"/>
  <c r="K11" i="116" s="1"/>
  <c r="M10" i="116"/>
  <c r="L10" i="116"/>
  <c r="G10" i="116"/>
  <c r="H10" i="116" s="1"/>
  <c r="J10" i="116" s="1"/>
  <c r="K10" i="116" s="1"/>
  <c r="M9" i="116"/>
  <c r="L9" i="116"/>
  <c r="G9" i="116"/>
  <c r="H9" i="116" s="1"/>
  <c r="J9" i="116" s="1"/>
  <c r="K9" i="116" s="1"/>
  <c r="M8" i="116"/>
  <c r="L8" i="116"/>
  <c r="H8" i="116"/>
  <c r="J8" i="116" s="1"/>
  <c r="K8" i="116" s="1"/>
  <c r="G8" i="116"/>
  <c r="M7" i="116"/>
  <c r="L7" i="116"/>
  <c r="G7" i="116"/>
  <c r="H7" i="116" s="1"/>
  <c r="J7" i="116" s="1"/>
  <c r="K7" i="116" s="1"/>
  <c r="M6" i="116"/>
  <c r="L6" i="116"/>
  <c r="G6" i="116"/>
  <c r="H6" i="116" s="1"/>
  <c r="J6" i="116" s="1"/>
  <c r="K6" i="116" s="1"/>
  <c r="M5" i="116"/>
  <c r="L5" i="116"/>
  <c r="K5" i="116"/>
  <c r="G5" i="116"/>
  <c r="H5" i="116" s="1"/>
  <c r="J5" i="116" s="1"/>
  <c r="M4" i="116"/>
  <c r="L4" i="116"/>
  <c r="H4" i="116"/>
  <c r="J4" i="116" s="1"/>
  <c r="K4" i="116" s="1"/>
  <c r="G4" i="116"/>
  <c r="M3" i="116"/>
  <c r="L3" i="116"/>
  <c r="G3" i="116"/>
  <c r="H3" i="116" s="1"/>
  <c r="J3" i="116" s="1"/>
  <c r="K3" i="116" s="1"/>
  <c r="M2" i="116"/>
  <c r="L2" i="116"/>
  <c r="G2" i="116"/>
  <c r="H2" i="116" s="1"/>
  <c r="J2" i="116" s="1"/>
  <c r="K2" i="116" s="1"/>
</calcChain>
</file>

<file path=xl/sharedStrings.xml><?xml version="1.0" encoding="utf-8"?>
<sst xmlns="http://schemas.openxmlformats.org/spreadsheetml/2006/main" count="16020" uniqueCount="700">
  <si>
    <t>Investor #</t>
  </si>
  <si>
    <t>Investor Name</t>
  </si>
  <si>
    <t>Product Description</t>
  </si>
  <si>
    <t>Portfolio #</t>
  </si>
  <si>
    <t>Exposure to this Fund</t>
  </si>
  <si>
    <t>Fund Name</t>
  </si>
  <si>
    <t>New</t>
  </si>
  <si>
    <t>Date</t>
  </si>
  <si>
    <t>%</t>
  </si>
  <si>
    <t>Check</t>
  </si>
  <si>
    <t>Check2</t>
  </si>
  <si>
    <t>Check3</t>
  </si>
  <si>
    <t>Old</t>
  </si>
  <si>
    <t>Old P#</t>
  </si>
  <si>
    <t>Old Pr Description</t>
  </si>
  <si>
    <t>MJ Boshoff</t>
  </si>
  <si>
    <t>AIMS Investment Account</t>
  </si>
  <si>
    <t>IA10116050</t>
  </si>
  <si>
    <t>IA10116050a</t>
  </si>
  <si>
    <t>Absa Living Annuity</t>
  </si>
  <si>
    <t>LA00023469</t>
  </si>
  <si>
    <t>LA00023469a</t>
  </si>
  <si>
    <t>LA20005639</t>
  </si>
  <si>
    <t>LA20005639a</t>
  </si>
  <si>
    <t>IN Sinclair</t>
  </si>
  <si>
    <t>LA20009873</t>
  </si>
  <si>
    <t>LA20009873a</t>
  </si>
  <si>
    <t>GE Woolridge</t>
  </si>
  <si>
    <t>LA00016039</t>
  </si>
  <si>
    <t>LA00016039a</t>
  </si>
  <si>
    <t>KF STONESTREET</t>
  </si>
  <si>
    <t>LA20002682</t>
  </si>
  <si>
    <t>LA20002682a</t>
  </si>
  <si>
    <t>ML Kotze</t>
  </si>
  <si>
    <t>IA10108878</t>
  </si>
  <si>
    <t>IA10108878a</t>
  </si>
  <si>
    <t>CM Van Der Vyver</t>
  </si>
  <si>
    <t>IA10122489</t>
  </si>
  <si>
    <t>IA10122489a</t>
  </si>
  <si>
    <t>LA20007114</t>
  </si>
  <si>
    <t>LA20007114a</t>
  </si>
  <si>
    <t>Absa Retirement Annuity</t>
  </si>
  <si>
    <t>RA10001586</t>
  </si>
  <si>
    <t>RA10001586d</t>
  </si>
  <si>
    <t>RA10001587</t>
  </si>
  <si>
    <t>RA10001587d</t>
  </si>
  <si>
    <t>NCD Trevarthen</t>
  </si>
  <si>
    <t>LA20016187</t>
  </si>
  <si>
    <t>LA20016187a</t>
  </si>
  <si>
    <t>LA20016165</t>
  </si>
  <si>
    <t>LA20016165a</t>
  </si>
  <si>
    <t>JG Hericourt</t>
  </si>
  <si>
    <t>LA20014937</t>
  </si>
  <si>
    <t>LA20014937a</t>
  </si>
  <si>
    <t>LA20015029</t>
  </si>
  <si>
    <t>LA20015029a</t>
  </si>
  <si>
    <t>Absa Provident Preservation Fund</t>
  </si>
  <si>
    <t>PR10000526</t>
  </si>
  <si>
    <t>PR10000526d</t>
  </si>
  <si>
    <t>CA Stark</t>
  </si>
  <si>
    <t>LA20014803</t>
  </si>
  <si>
    <t>LA20014803a</t>
  </si>
  <si>
    <t>IA00020582</t>
  </si>
  <si>
    <t>IA00020582a</t>
  </si>
  <si>
    <t>DE Van Der Westhuizen</t>
  </si>
  <si>
    <t>IA10116852</t>
  </si>
  <si>
    <t>IA10116852a</t>
  </si>
  <si>
    <t>LA20015512</t>
  </si>
  <si>
    <t>LA20015512a</t>
  </si>
  <si>
    <t>AB Koorts</t>
  </si>
  <si>
    <t>LA20012231</t>
  </si>
  <si>
    <t>LA20012231a</t>
  </si>
  <si>
    <t>LA20016326</t>
  </si>
  <si>
    <t>LA20016326a</t>
  </si>
  <si>
    <t>LA20014975</t>
  </si>
  <si>
    <t>LA20014975a</t>
  </si>
  <si>
    <t>WJ Kerr</t>
  </si>
  <si>
    <t>LA00019329</t>
  </si>
  <si>
    <t>LA00019329a</t>
  </si>
  <si>
    <t>LA00019822</t>
  </si>
  <si>
    <t>LA00019822a</t>
  </si>
  <si>
    <t>CS Bradley</t>
  </si>
  <si>
    <t>LA20006897</t>
  </si>
  <si>
    <t>LA20006897a</t>
  </si>
  <si>
    <t>LA20007196</t>
  </si>
  <si>
    <t>LA20007196a</t>
  </si>
  <si>
    <t>CV Bond-Myatt</t>
  </si>
  <si>
    <t>LA20007895</t>
  </si>
  <si>
    <t>LA20007895a</t>
  </si>
  <si>
    <t>LA20008067</t>
  </si>
  <si>
    <t>LA20008067a</t>
  </si>
  <si>
    <t>D Swanepoel</t>
  </si>
  <si>
    <t>RA00015185</t>
  </si>
  <si>
    <t>RA00015185d</t>
  </si>
  <si>
    <t>VK MCBETH</t>
  </si>
  <si>
    <t>LA00016024</t>
  </si>
  <si>
    <t>LA00016024a</t>
  </si>
  <si>
    <t>LA00016036</t>
  </si>
  <si>
    <t>LA00016036a</t>
  </si>
  <si>
    <t>JL SELLORS</t>
  </si>
  <si>
    <t>LA00016038</t>
  </si>
  <si>
    <t>LA00016038a</t>
  </si>
  <si>
    <t>CJ MARAIS</t>
  </si>
  <si>
    <t>LA00020890</t>
  </si>
  <si>
    <t>LA00020890a</t>
  </si>
  <si>
    <t>CJ ROBERTS</t>
  </si>
  <si>
    <t>LA00016088</t>
  </si>
  <si>
    <t>LA00016088a</t>
  </si>
  <si>
    <t>HE LIEBENBERG</t>
  </si>
  <si>
    <t>LA00016368</t>
  </si>
  <si>
    <t>LA00016368a</t>
  </si>
  <si>
    <t>LB JAMES</t>
  </si>
  <si>
    <t>LA00016092</t>
  </si>
  <si>
    <t>LA00016092a</t>
  </si>
  <si>
    <t>JL Delport</t>
  </si>
  <si>
    <t>RA10006250</t>
  </si>
  <si>
    <t>RA10006250d</t>
  </si>
  <si>
    <t>IA10103425</t>
  </si>
  <si>
    <t>LA20002615</t>
  </si>
  <si>
    <t>LA20002615a</t>
  </si>
  <si>
    <t>LA00016370</t>
  </si>
  <si>
    <t>LA00016370a</t>
  </si>
  <si>
    <t>KR KELLY</t>
  </si>
  <si>
    <t>LA00025665</t>
  </si>
  <si>
    <t>LA00025665a</t>
  </si>
  <si>
    <t>GP DELPORT</t>
  </si>
  <si>
    <t>RA00016327</t>
  </si>
  <si>
    <t>RA00016327d</t>
  </si>
  <si>
    <t>AG Fourie</t>
  </si>
  <si>
    <t>RA10002722</t>
  </si>
  <si>
    <t>RA10002722d</t>
  </si>
  <si>
    <t>AB Delport</t>
  </si>
  <si>
    <t>LA20014871</t>
  </si>
  <si>
    <t>LA20014871a</t>
  </si>
  <si>
    <t>RH Nautsch</t>
  </si>
  <si>
    <t>IA10111291</t>
  </si>
  <si>
    <t>IA10111291a</t>
  </si>
  <si>
    <t>LA20000773</t>
  </si>
  <si>
    <t>LA20000773a</t>
  </si>
  <si>
    <t>LA20016233</t>
  </si>
  <si>
    <t>LA20016233a</t>
  </si>
  <si>
    <t>MW SWART</t>
  </si>
  <si>
    <t>IA00052726</t>
  </si>
  <si>
    <t>IA00052726a</t>
  </si>
  <si>
    <t>RA00016557</t>
  </si>
  <si>
    <t>RA00016557d</t>
  </si>
  <si>
    <t>LA00021246</t>
  </si>
  <si>
    <t>LA00021246a</t>
  </si>
  <si>
    <t>LA00026061</t>
  </si>
  <si>
    <t>LA00026061a</t>
  </si>
  <si>
    <t>RC Mack</t>
  </si>
  <si>
    <t>LA20008848</t>
  </si>
  <si>
    <t>LA20008848a</t>
  </si>
  <si>
    <t>LA20017038</t>
  </si>
  <si>
    <t>LA20017038a</t>
  </si>
  <si>
    <t>J DELPORT</t>
  </si>
  <si>
    <t>RA00020639</t>
  </si>
  <si>
    <t>RA00020639d</t>
  </si>
  <si>
    <t>ND OOSTHUIZEN</t>
  </si>
  <si>
    <t>RA00020632</t>
  </si>
  <si>
    <t>RA00020632d</t>
  </si>
  <si>
    <t>RLC Maggs</t>
  </si>
  <si>
    <t>IA10108396</t>
  </si>
  <si>
    <t>IA10108396a</t>
  </si>
  <si>
    <t>Absa Pension Preservation Fund</t>
  </si>
  <si>
    <t>JC Benade</t>
  </si>
  <si>
    <t>PN Badenhorst</t>
  </si>
  <si>
    <t>LA20001082</t>
  </si>
  <si>
    <t>LA20001082a</t>
  </si>
  <si>
    <t>LA20014928</t>
  </si>
  <si>
    <t>LA20014928a</t>
  </si>
  <si>
    <t>LA20002613</t>
  </si>
  <si>
    <t>LA20002613a</t>
  </si>
  <si>
    <t>AJ MENDECKI</t>
  </si>
  <si>
    <t>LA20002838</t>
  </si>
  <si>
    <t>LA20002838a</t>
  </si>
  <si>
    <t>AD Neethling</t>
  </si>
  <si>
    <t>LA20007498</t>
  </si>
  <si>
    <t>LA20007498a</t>
  </si>
  <si>
    <t>M DELPORT</t>
  </si>
  <si>
    <t>RA10003188</t>
  </si>
  <si>
    <t>RA10003188d</t>
  </si>
  <si>
    <t>ZR Charlton</t>
  </si>
  <si>
    <t>LA20004188</t>
  </si>
  <si>
    <t>LA20004188a</t>
  </si>
  <si>
    <t>LA20011592</t>
  </si>
  <si>
    <t>LA20011592a</t>
  </si>
  <si>
    <t>JR Schaffner</t>
  </si>
  <si>
    <t>IA10112964</t>
  </si>
  <si>
    <t>IA10112964a</t>
  </si>
  <si>
    <t>LA20005966</t>
  </si>
  <si>
    <t>LA20005966a</t>
  </si>
  <si>
    <t>LA20012873</t>
  </si>
  <si>
    <t>LA20012873a</t>
  </si>
  <si>
    <t>LA20016247</t>
  </si>
  <si>
    <t>LA20016247a</t>
  </si>
  <si>
    <t>MM Higgins</t>
  </si>
  <si>
    <t>IA10094665</t>
  </si>
  <si>
    <t>IA10094665a</t>
  </si>
  <si>
    <t>M Stonestreet</t>
  </si>
  <si>
    <t>RA10004301</t>
  </si>
  <si>
    <t>RA10004301d</t>
  </si>
  <si>
    <t>AF Fullard</t>
  </si>
  <si>
    <t>LA20014985</t>
  </si>
  <si>
    <t>LA20014985a</t>
  </si>
  <si>
    <t>ME Stonestreet</t>
  </si>
  <si>
    <t>IA10108777</t>
  </si>
  <si>
    <t>IA10108777a</t>
  </si>
  <si>
    <t>LA20007418</t>
  </si>
  <si>
    <t>LA20007418a</t>
  </si>
  <si>
    <t>DEB Bond-Myatt</t>
  </si>
  <si>
    <t>LA20008460</t>
  </si>
  <si>
    <t>LA20008460a</t>
  </si>
  <si>
    <t>LA20014961</t>
  </si>
  <si>
    <t>LA20014961a</t>
  </si>
  <si>
    <t>H Naude</t>
  </si>
  <si>
    <t>LA20008610</t>
  </si>
  <si>
    <t>LA20008610a</t>
  </si>
  <si>
    <t>WE Klingenberg</t>
  </si>
  <si>
    <t>IA10103279</t>
  </si>
  <si>
    <t>LA20009076</t>
  </si>
  <si>
    <t>LA20009076a</t>
  </si>
  <si>
    <t>LA20014821</t>
  </si>
  <si>
    <t>LA20014821a</t>
  </si>
  <si>
    <t>LA20016183</t>
  </si>
  <si>
    <t>LA20016183a</t>
  </si>
  <si>
    <t>A Delport</t>
  </si>
  <si>
    <t>IA10119461</t>
  </si>
  <si>
    <t>IA10119461f</t>
  </si>
  <si>
    <t>Flying Dutchman Trust</t>
  </si>
  <si>
    <t>IA10098490</t>
  </si>
  <si>
    <t>IA10098490a</t>
  </si>
  <si>
    <t>JWJ Van Antwerpen</t>
  </si>
  <si>
    <t>LA20011329</t>
  </si>
  <si>
    <t>LA20011329a</t>
  </si>
  <si>
    <t>BJ Scheepers</t>
  </si>
  <si>
    <t>RA10007673</t>
  </si>
  <si>
    <t>RA10007673d</t>
  </si>
  <si>
    <t>B Bradley</t>
  </si>
  <si>
    <t>RA10008524</t>
  </si>
  <si>
    <t>RA10008524d</t>
  </si>
  <si>
    <t>AR Ohsiek</t>
  </si>
  <si>
    <t>LA20012663</t>
  </si>
  <si>
    <t>LA20012663a</t>
  </si>
  <si>
    <t>C Bradley</t>
  </si>
  <si>
    <t>IA10108394</t>
  </si>
  <si>
    <t>IA10108394a</t>
  </si>
  <si>
    <t>JM Mays</t>
  </si>
  <si>
    <t>IA10108397</t>
  </si>
  <si>
    <t>IA10108397a</t>
  </si>
  <si>
    <t>L Scheepers</t>
  </si>
  <si>
    <t>IA10122023</t>
  </si>
  <si>
    <t>IA10122023a</t>
  </si>
  <si>
    <t>NJ Sparrow</t>
  </si>
  <si>
    <t>IA10114882</t>
  </si>
  <si>
    <t>IA10114882a</t>
  </si>
  <si>
    <t>CJG Du Toit</t>
  </si>
  <si>
    <t>LA20015125</t>
  </si>
  <si>
    <t>LA20015125a</t>
  </si>
  <si>
    <t>CM Van Rooyen</t>
  </si>
  <si>
    <t>IA10117703</t>
  </si>
  <si>
    <t>IA10117703a</t>
  </si>
  <si>
    <t>C Swartz</t>
  </si>
  <si>
    <t>IA10122116</t>
  </si>
  <si>
    <t>IA10122116a</t>
  </si>
  <si>
    <t>CMR Sparrow</t>
  </si>
  <si>
    <t>IA10116449</t>
  </si>
  <si>
    <t>IA10116449a</t>
  </si>
  <si>
    <t>CER Charlton</t>
  </si>
  <si>
    <t>RA10010330</t>
  </si>
  <si>
    <t>RA10010330d</t>
  </si>
  <si>
    <t>RA10010356</t>
  </si>
  <si>
    <t>RA10010356d</t>
  </si>
  <si>
    <t>MD Olsen</t>
  </si>
  <si>
    <t>LA20015543</t>
  </si>
  <si>
    <t>LA20015543a</t>
  </si>
  <si>
    <t>HRT Schon</t>
  </si>
  <si>
    <t>IA10119516</t>
  </si>
  <si>
    <t>IA10119516a</t>
  </si>
  <si>
    <t>PJG Dennison</t>
  </si>
  <si>
    <t>IA10122349</t>
  </si>
  <si>
    <t>IA10122349a</t>
  </si>
  <si>
    <t>IA10122515</t>
  </si>
  <si>
    <t>IA10122515a</t>
  </si>
  <si>
    <t>ND Gray</t>
  </si>
  <si>
    <t>LA20015967</t>
  </si>
  <si>
    <t>LA20015967a</t>
  </si>
  <si>
    <t>MM Pretorius</t>
  </si>
  <si>
    <t>LA20016160</t>
  </si>
  <si>
    <t>LA20016160a</t>
  </si>
  <si>
    <t>LA20016288</t>
  </si>
  <si>
    <t>LA20016288a</t>
  </si>
  <si>
    <t>J Caulkin</t>
  </si>
  <si>
    <t>LA20016255</t>
  </si>
  <si>
    <t>LA20016255a</t>
  </si>
  <si>
    <t>LA20016259</t>
  </si>
  <si>
    <t>LA20016259a</t>
  </si>
  <si>
    <t>C Friederang</t>
  </si>
  <si>
    <t>IA10122046</t>
  </si>
  <si>
    <t>IA10122046a</t>
  </si>
  <si>
    <t>LA20016232</t>
  </si>
  <si>
    <t>LA20016232a</t>
  </si>
  <si>
    <t>IE Venter</t>
  </si>
  <si>
    <t>LA20016190</t>
  </si>
  <si>
    <t>LA20016190a</t>
  </si>
  <si>
    <t>B Nel</t>
  </si>
  <si>
    <t>LA20016290</t>
  </si>
  <si>
    <t>LA20016290a</t>
  </si>
  <si>
    <t>KA Moxham</t>
  </si>
  <si>
    <t>PE10006391</t>
  </si>
  <si>
    <t>PE10006391d</t>
  </si>
  <si>
    <t>RA10010754</t>
  </si>
  <si>
    <t>RA10010754d</t>
  </si>
  <si>
    <t>GG Meyer</t>
  </si>
  <si>
    <t>LA20017023</t>
  </si>
  <si>
    <t>LA20017023a</t>
  </si>
  <si>
    <t>LA20017143</t>
  </si>
  <si>
    <t>LA20017143a</t>
  </si>
  <si>
    <t>GR Cavanagh</t>
  </si>
  <si>
    <t>LA20016270</t>
  </si>
  <si>
    <t>LA20016270a</t>
  </si>
  <si>
    <t>HJT Zarnack</t>
  </si>
  <si>
    <t>PE10006385</t>
  </si>
  <si>
    <t>PE10006385d</t>
  </si>
  <si>
    <t>HL Higgins</t>
  </si>
  <si>
    <t>LA20016166</t>
  </si>
  <si>
    <t>LA20016166a</t>
  </si>
  <si>
    <t>E Louw</t>
  </si>
  <si>
    <t>IA10122115</t>
  </si>
  <si>
    <t>IA10122115a</t>
  </si>
  <si>
    <t>Hamden Trust</t>
  </si>
  <si>
    <t>IA10122146</t>
  </si>
  <si>
    <t>IA10122146a</t>
  </si>
  <si>
    <t>GNP Cloete</t>
  </si>
  <si>
    <t>LA20016276</t>
  </si>
  <si>
    <t>LA20016276a</t>
  </si>
  <si>
    <t>W Enslin</t>
  </si>
  <si>
    <t>IA10121949</t>
  </si>
  <si>
    <t>IA10121949a</t>
  </si>
  <si>
    <t>RA10011179</t>
  </si>
  <si>
    <t>RA10011179d</t>
  </si>
  <si>
    <t>LV Herbert</t>
  </si>
  <si>
    <t>IA10122381</t>
  </si>
  <si>
    <t>IA10122381a</t>
  </si>
  <si>
    <t>WH Marks</t>
  </si>
  <si>
    <t>IA10122197</t>
  </si>
  <si>
    <t>IA10122197a</t>
  </si>
  <si>
    <t>J Van Eeden</t>
  </si>
  <si>
    <t>LA20016442</t>
  </si>
  <si>
    <t>LA20016442a</t>
  </si>
  <si>
    <t>EA Bosman</t>
  </si>
  <si>
    <t>LA20016395</t>
  </si>
  <si>
    <t>LA20016395a</t>
  </si>
  <si>
    <t>E Loots</t>
  </si>
  <si>
    <t>LA20016709</t>
  </si>
  <si>
    <t>LA20016709a</t>
  </si>
  <si>
    <t>JL Schroder</t>
  </si>
  <si>
    <t>LA20017175</t>
  </si>
  <si>
    <t>LA20017175a</t>
  </si>
  <si>
    <t>FM Jali</t>
  </si>
  <si>
    <t>IA10125446</t>
  </si>
  <si>
    <t>IA10125446a</t>
  </si>
  <si>
    <t>SS VAN NIEKERK</t>
  </si>
  <si>
    <t>LA00016090</t>
  </si>
  <si>
    <t>LA00016090f</t>
  </si>
  <si>
    <t>Old Mutual Income Fund</t>
  </si>
  <si>
    <t>MI Plan IP Global Macro Fund</t>
  </si>
  <si>
    <t>IA10116050b</t>
  </si>
  <si>
    <t>LA00023469b</t>
  </si>
  <si>
    <t>LA20005639b</t>
  </si>
  <si>
    <t>LA20009873b</t>
  </si>
  <si>
    <t>LA00016039b</t>
  </si>
  <si>
    <t>LA20002682b</t>
  </si>
  <si>
    <t>LA20007114b</t>
  </si>
  <si>
    <t>LA20016187b</t>
  </si>
  <si>
    <t>LA20016165b</t>
  </si>
  <si>
    <t>IA10115750</t>
  </si>
  <si>
    <t>IA10115750b</t>
  </si>
  <si>
    <t>LA20014937b</t>
  </si>
  <si>
    <t>LA20015029b</t>
  </si>
  <si>
    <t>LA20014803b</t>
  </si>
  <si>
    <t>IA10116852b</t>
  </si>
  <si>
    <t>LA20015512b</t>
  </si>
  <si>
    <t>IA10110602</t>
  </si>
  <si>
    <t>IA10110602b</t>
  </si>
  <si>
    <t>LA20012231b</t>
  </si>
  <si>
    <t>LA20014975b</t>
  </si>
  <si>
    <t>LA20016326b</t>
  </si>
  <si>
    <t>LA00019329b</t>
  </si>
  <si>
    <t>LA00019822b</t>
  </si>
  <si>
    <t>LA20006897b</t>
  </si>
  <si>
    <t>LA20007196b</t>
  </si>
  <si>
    <t>LA20007895b</t>
  </si>
  <si>
    <t>LA20008067b</t>
  </si>
  <si>
    <t>LA00016024b</t>
  </si>
  <si>
    <t>LA00016036b</t>
  </si>
  <si>
    <t>LA00016038b</t>
  </si>
  <si>
    <t>LA00020890b</t>
  </si>
  <si>
    <t>LA00016088b</t>
  </si>
  <si>
    <t>LA00016368b</t>
  </si>
  <si>
    <t>LA00016092b</t>
  </si>
  <si>
    <t>IA10103425b</t>
  </si>
  <si>
    <t>LA20002615b</t>
  </si>
  <si>
    <t>LA00016370b</t>
  </si>
  <si>
    <t>LA00025665b</t>
  </si>
  <si>
    <t>LA20014871b</t>
  </si>
  <si>
    <t>IA10111291b</t>
  </si>
  <si>
    <t>LA20000773b</t>
  </si>
  <si>
    <t>LA20016233b</t>
  </si>
  <si>
    <t>IA00052726b</t>
  </si>
  <si>
    <t>LA00021246b</t>
  </si>
  <si>
    <t>LA00026061b</t>
  </si>
  <si>
    <t>LA20008848b</t>
  </si>
  <si>
    <t>LA20017038b</t>
  </si>
  <si>
    <t>LA20001082b</t>
  </si>
  <si>
    <t>LA20014928b</t>
  </si>
  <si>
    <t>LA20002613b</t>
  </si>
  <si>
    <t>LA20002838b</t>
  </si>
  <si>
    <t>LA20007498b</t>
  </si>
  <si>
    <t>LA20004188b</t>
  </si>
  <si>
    <t>LA20011592b</t>
  </si>
  <si>
    <t>LA20005966b</t>
  </si>
  <si>
    <t>LA20012873b</t>
  </si>
  <si>
    <t>LA20016247b</t>
  </si>
  <si>
    <t>IA10097773</t>
  </si>
  <si>
    <t>IA10097773b</t>
  </si>
  <si>
    <t>LA20014985b</t>
  </si>
  <si>
    <t>LA20007418b</t>
  </si>
  <si>
    <t>LA20008460b</t>
  </si>
  <si>
    <t>LA20014961b</t>
  </si>
  <si>
    <t>LA20008610b</t>
  </si>
  <si>
    <t>LA20009076b</t>
  </si>
  <si>
    <t>LA20014821b</t>
  </si>
  <si>
    <t>LA20016183b</t>
  </si>
  <si>
    <t>IA10098490b</t>
  </si>
  <si>
    <t>LA20011329b</t>
  </si>
  <si>
    <t>MS Combrink</t>
  </si>
  <si>
    <t>IA10100758</t>
  </si>
  <si>
    <t>IA10100758b</t>
  </si>
  <si>
    <t>LA20012663b</t>
  </si>
  <si>
    <t>IA10108750</t>
  </si>
  <si>
    <t>IA10108750b</t>
  </si>
  <si>
    <t>IA10122023b</t>
  </si>
  <si>
    <t>GM Bradley</t>
  </si>
  <si>
    <t>IA10111228</t>
  </si>
  <si>
    <t>IA10111228b</t>
  </si>
  <si>
    <t>EH Bonnet</t>
  </si>
  <si>
    <t>IA10112887</t>
  </si>
  <si>
    <t>IA10112887b</t>
  </si>
  <si>
    <t>E Koorts</t>
  </si>
  <si>
    <t>IA10113979</t>
  </si>
  <si>
    <t>IA10113979b</t>
  </si>
  <si>
    <t>DJ Koorts</t>
  </si>
  <si>
    <t>IA10114323</t>
  </si>
  <si>
    <t>IA10114323b</t>
  </si>
  <si>
    <t>IA10114327</t>
  </si>
  <si>
    <t>IA10114327b</t>
  </si>
  <si>
    <t>LA20015125b</t>
  </si>
  <si>
    <t>IA10122116b</t>
  </si>
  <si>
    <t>B Koorts</t>
  </si>
  <si>
    <t>IA10115675</t>
  </si>
  <si>
    <t>IA10115675b</t>
  </si>
  <si>
    <t>LA20015543b</t>
  </si>
  <si>
    <t>IA10122349b</t>
  </si>
  <si>
    <t>IA10122515b</t>
  </si>
  <si>
    <t>LA20015967b</t>
  </si>
  <si>
    <t>LA20016160b</t>
  </si>
  <si>
    <t>LA20016288b</t>
  </si>
  <si>
    <t>LA20016255b</t>
  </si>
  <si>
    <t>LA20016259b</t>
  </si>
  <si>
    <t>IA10122046b</t>
  </si>
  <si>
    <t>LA20016232b</t>
  </si>
  <si>
    <t>LA20016190b</t>
  </si>
  <si>
    <t>LA20016290b</t>
  </si>
  <si>
    <t>LA20017023b</t>
  </si>
  <si>
    <t>LA20017143b</t>
  </si>
  <si>
    <t>IA10122131</t>
  </si>
  <si>
    <t>IA10122131b</t>
  </si>
  <si>
    <t>LA20016270b</t>
  </si>
  <si>
    <t>LA20016166b</t>
  </si>
  <si>
    <t>JSR Schaffner</t>
  </si>
  <si>
    <t>IA10121627</t>
  </si>
  <si>
    <t>IA10121627b</t>
  </si>
  <si>
    <t>IA10122115b</t>
  </si>
  <si>
    <t>IA10122146b</t>
  </si>
  <si>
    <t>LA20016276b</t>
  </si>
  <si>
    <t>IA10121949b</t>
  </si>
  <si>
    <t>LA20016442b</t>
  </si>
  <si>
    <t>LA20016395b</t>
  </si>
  <si>
    <t>LA20016709b</t>
  </si>
  <si>
    <t>LA20017175b</t>
  </si>
  <si>
    <t>IA10125446b</t>
  </si>
  <si>
    <t>Old Mutual Global Equity Fund</t>
  </si>
  <si>
    <t>36One BCI Flex Opp</t>
  </si>
  <si>
    <t>LA00023469c</t>
  </si>
  <si>
    <t>LA20005639c</t>
  </si>
  <si>
    <t>LA20009873c</t>
  </si>
  <si>
    <t>LA00016039c</t>
  </si>
  <si>
    <t>LA20002682c</t>
  </si>
  <si>
    <t>LA20007114c</t>
  </si>
  <si>
    <t>LA20016187c</t>
  </si>
  <si>
    <t>LA20016165c</t>
  </si>
  <si>
    <t>LA20014937c</t>
  </si>
  <si>
    <t>LA20015029c</t>
  </si>
  <si>
    <t>LA20014803c</t>
  </si>
  <si>
    <t>LA20012231c</t>
  </si>
  <si>
    <t>LA20014975c</t>
  </si>
  <si>
    <t>LA20016326c</t>
  </si>
  <si>
    <t>LA00019329c</t>
  </si>
  <si>
    <t>LA00019822c</t>
  </si>
  <si>
    <t>LA20006897c</t>
  </si>
  <si>
    <t>LA20007196c</t>
  </si>
  <si>
    <t>LA20007895c</t>
  </si>
  <si>
    <t>LA20008067c</t>
  </si>
  <si>
    <t>LA00016024c</t>
  </si>
  <si>
    <t>LA00016036c</t>
  </si>
  <si>
    <t>LA00016038c</t>
  </si>
  <si>
    <t>LA00020890c</t>
  </si>
  <si>
    <t>LA00016088c</t>
  </si>
  <si>
    <t>LA00016368c</t>
  </si>
  <si>
    <t>LA00016092c</t>
  </si>
  <si>
    <t>LA20002615c</t>
  </si>
  <si>
    <t>LA00016370c</t>
  </si>
  <si>
    <t>LA00025665c</t>
  </si>
  <si>
    <t>LA20014871c</t>
  </si>
  <si>
    <t>LA20000773c</t>
  </si>
  <si>
    <t>LA20016233c</t>
  </si>
  <si>
    <t>IA00052726c</t>
  </si>
  <si>
    <t>LA00021246c</t>
  </si>
  <si>
    <t>LA00026061c</t>
  </si>
  <si>
    <t>LA20008848c</t>
  </si>
  <si>
    <t>LA20017038c</t>
  </si>
  <si>
    <t>LA20001082c</t>
  </si>
  <si>
    <t>LA20014928c</t>
  </si>
  <si>
    <t>LA20002613c</t>
  </si>
  <si>
    <t>LA20002838c</t>
  </si>
  <si>
    <t>LA20007498c</t>
  </si>
  <si>
    <t>LA20004188c</t>
  </si>
  <si>
    <t>LA20011592c</t>
  </si>
  <si>
    <t>LA20005966c</t>
  </si>
  <si>
    <t>LA20012873c</t>
  </si>
  <si>
    <t>LA20016247c</t>
  </si>
  <si>
    <t>LA20014985c</t>
  </si>
  <si>
    <t>LA20007418c</t>
  </si>
  <si>
    <t>LA20008460c</t>
  </si>
  <si>
    <t>LA20014961c</t>
  </si>
  <si>
    <t>LA20008610c</t>
  </si>
  <si>
    <t>LA20009076c</t>
  </si>
  <si>
    <t>LA20014821c</t>
  </si>
  <si>
    <t>LA20016183c</t>
  </si>
  <si>
    <t>IA10098490c</t>
  </si>
  <si>
    <t>LA20011329c</t>
  </si>
  <si>
    <t>LA20012663c</t>
  </si>
  <si>
    <t>IA10122023c</t>
  </si>
  <si>
    <t>LA20015125c</t>
  </si>
  <si>
    <t>IA10122116c</t>
  </si>
  <si>
    <t>IA10122349c</t>
  </si>
  <si>
    <t>IA10122515c</t>
  </si>
  <si>
    <t>LA20015967c</t>
  </si>
  <si>
    <t>LA20016160c</t>
  </si>
  <si>
    <t>LA20016288c</t>
  </si>
  <si>
    <t>LA20016255c</t>
  </si>
  <si>
    <t>LA20016259c</t>
  </si>
  <si>
    <t>IA10122046c</t>
  </si>
  <si>
    <t>LA20016232c</t>
  </si>
  <si>
    <t>LA20016190c</t>
  </si>
  <si>
    <t>LA20016290c</t>
  </si>
  <si>
    <t>LA20017023c</t>
  </si>
  <si>
    <t>LA20017143c</t>
  </si>
  <si>
    <t>LA20016270c</t>
  </si>
  <si>
    <t>LA20016166c</t>
  </si>
  <si>
    <t>IA10122115c</t>
  </si>
  <si>
    <t>IA10122146c</t>
  </si>
  <si>
    <t>LA20016276c</t>
  </si>
  <si>
    <t>IA10121949c</t>
  </si>
  <si>
    <t>LA20016442c</t>
  </si>
  <si>
    <t>LA20016395c</t>
  </si>
  <si>
    <t>LA20016709c</t>
  </si>
  <si>
    <t>LA20017175c</t>
  </si>
  <si>
    <t>IA10125446c</t>
  </si>
  <si>
    <t>Centaur BCI Flex</t>
  </si>
  <si>
    <t>IA10103425a</t>
  </si>
  <si>
    <t>IA10127431</t>
  </si>
  <si>
    <t>IA10127431b</t>
  </si>
  <si>
    <t>IA10114882b</t>
  </si>
  <si>
    <t>IA10116449b</t>
  </si>
  <si>
    <t>LA20017745</t>
  </si>
  <si>
    <t>LA20017745a</t>
  </si>
  <si>
    <t>IA10129029</t>
  </si>
  <si>
    <t>IA10129029b</t>
  </si>
  <si>
    <t>Absa Investment Account</t>
  </si>
  <si>
    <t>LA20015543c</t>
  </si>
  <si>
    <t>AD Sutton</t>
  </si>
  <si>
    <t>WP Massyn</t>
  </si>
  <si>
    <t>PP Staley</t>
  </si>
  <si>
    <t>IA50130413</t>
  </si>
  <si>
    <t>TJ Visser</t>
  </si>
  <si>
    <t>LA50018286</t>
  </si>
  <si>
    <t>LA50018285</t>
  </si>
  <si>
    <t>IA50131689</t>
  </si>
  <si>
    <t>IA50131485</t>
  </si>
  <si>
    <t>Granate BCI Flexible A</t>
  </si>
  <si>
    <t>Satrix S&amp;P 500</t>
  </si>
  <si>
    <t>SIM Tactical Income Fund A</t>
  </si>
  <si>
    <t>A Kijko</t>
  </si>
  <si>
    <t>IA50132038</t>
  </si>
  <si>
    <t>Absa Retirement Annuity - Savings Component</t>
  </si>
  <si>
    <t>SRA5056950</t>
  </si>
  <si>
    <t>SRA5056951</t>
  </si>
  <si>
    <t>Absa Retirement Annuity - Retirement Component</t>
  </si>
  <si>
    <t>RRA5056954</t>
  </si>
  <si>
    <t>Absa Retirement Annuity - Vested Component</t>
  </si>
  <si>
    <t>Absa Provident Preservation Fund - Vested Component</t>
  </si>
  <si>
    <t>SRA5056942</t>
  </si>
  <si>
    <t>SRA5057126</t>
  </si>
  <si>
    <t>SRA5056943</t>
  </si>
  <si>
    <t>SRA5056953</t>
  </si>
  <si>
    <t>SRA5056944</t>
  </si>
  <si>
    <t>SRA5056947</t>
  </si>
  <si>
    <t>SRA5050497</t>
  </si>
  <si>
    <t>SRA5056954</t>
  </si>
  <si>
    <t>SRA5056956</t>
  </si>
  <si>
    <t>Absa Pension Preservation Fund - Savings Component</t>
  </si>
  <si>
    <t>Absa Pension Preservation Fund - Vested Component</t>
  </si>
  <si>
    <t>LA50018808</t>
  </si>
  <si>
    <t>SRA5057213</t>
  </si>
  <si>
    <t>SRA5057242</t>
  </si>
  <si>
    <t>RRA5057246</t>
  </si>
  <si>
    <t>SRA5057297</t>
  </si>
  <si>
    <t>SRA5057298</t>
  </si>
  <si>
    <t>SPE5028007</t>
  </si>
  <si>
    <t>SRA5057309</t>
  </si>
  <si>
    <t>SPE5028006</t>
  </si>
  <si>
    <t>SRA5057315</t>
  </si>
  <si>
    <t>RRA5057319</t>
  </si>
  <si>
    <t>IA50132667</t>
  </si>
  <si>
    <t>HPJ Pretorius</t>
  </si>
  <si>
    <t>LA50018823</t>
  </si>
  <si>
    <t>DA Roberts</t>
  </si>
  <si>
    <t>IA50134710</t>
  </si>
  <si>
    <t>PN Zarnack</t>
  </si>
  <si>
    <t>IA50134711</t>
  </si>
  <si>
    <t>Visio BCI Unconstrained Fixed Int</t>
  </si>
  <si>
    <t>Fairtree BCI Income Plus</t>
  </si>
  <si>
    <t>RRA5056954d</t>
  </si>
  <si>
    <t>SRA5056950d</t>
  </si>
  <si>
    <t>SRA5056951d</t>
  </si>
  <si>
    <t>SRA5056942d</t>
  </si>
  <si>
    <t>SRA5057126d</t>
  </si>
  <si>
    <t>SRA5056943d</t>
  </si>
  <si>
    <t>SRA5056953d</t>
  </si>
  <si>
    <t>SRA5056944d</t>
  </si>
  <si>
    <t>IA50132038a</t>
  </si>
  <si>
    <t>SRA5056947d</t>
  </si>
  <si>
    <t>SRA5050497d</t>
  </si>
  <si>
    <t>IA50131689a</t>
  </si>
  <si>
    <t>LA50018285a</t>
  </si>
  <si>
    <t>LA50018286a</t>
  </si>
  <si>
    <t>SRA5056954d</t>
  </si>
  <si>
    <t>SRA5056956d</t>
  </si>
  <si>
    <t>IA10103279f</t>
  </si>
  <si>
    <t>SRA5057213d</t>
  </si>
  <si>
    <t>RRA5057246d</t>
  </si>
  <si>
    <t>SRA5057242d</t>
  </si>
  <si>
    <t>SRA5057297d</t>
  </si>
  <si>
    <t>SRA5057298d</t>
  </si>
  <si>
    <t>IA50131485a</t>
  </si>
  <si>
    <t>SPE5028007d</t>
  </si>
  <si>
    <t>SRA5057309d</t>
  </si>
  <si>
    <t>SPE5028006d</t>
  </si>
  <si>
    <t>RRA5057319d</t>
  </si>
  <si>
    <t>SRA5057315d</t>
  </si>
  <si>
    <t>LA50018808a</t>
  </si>
  <si>
    <t>IA50134710a</t>
  </si>
  <si>
    <t>LA50018823a</t>
  </si>
  <si>
    <t>IA50134711a</t>
  </si>
  <si>
    <t>IA50130413b</t>
  </si>
  <si>
    <t>IA50132038b</t>
  </si>
  <si>
    <t>IA50131689b</t>
  </si>
  <si>
    <t>LA50018286b</t>
  </si>
  <si>
    <t>LA50018285b</t>
  </si>
  <si>
    <t>LA20017745b</t>
  </si>
  <si>
    <t>LA50018808b</t>
  </si>
  <si>
    <t>IA50132667b</t>
  </si>
  <si>
    <t>IA50134710b</t>
  </si>
  <si>
    <t>LA50018823b</t>
  </si>
  <si>
    <t>IA50134711b</t>
  </si>
  <si>
    <t>IA50132038c</t>
  </si>
  <si>
    <t>IA50131689c</t>
  </si>
  <si>
    <t>LA50018286c</t>
  </si>
  <si>
    <t>LA50018285c</t>
  </si>
  <si>
    <t>LA50018808c</t>
  </si>
  <si>
    <t>IA50134710c</t>
  </si>
  <si>
    <t>LA50018823c</t>
  </si>
  <si>
    <t>IA50134711c</t>
  </si>
  <si>
    <t>LA50019136</t>
  </si>
  <si>
    <t>LA50019136a</t>
  </si>
  <si>
    <t>IA10108394b</t>
  </si>
  <si>
    <t>LA50019136b</t>
  </si>
  <si>
    <t>LA50019136c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</si>
</sst>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&quot;\ #,##0.00;[Red]&quot;R&quot;\ \-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15" fontId="0" fillId="0" borderId="0" xfId="0" applyNumberFormat="1"/>
    <xf numFmtId="10" fontId="0" fillId="0" borderId="0" xfId="1" applyNumberFormat="1" applyFont="1"/>
    <xf numFmtId="0" fontId="0" fillId="0" borderId="0" xfId="0" applyAlignment="1">
      <alignment horizontal="right"/>
    </xf>
    <xf numFmtId="0" fontId="0" fillId="2" borderId="0" xfId="0" applyFill="1"/>
    <xf numFmtId="0" fontId="2" fillId="3" borderId="0" xfId="0" applyFont="1" applyFill="1"/>
    <xf numFmtId="8" fontId="0" fillId="0" borderId="0" xfId="0" applyNumberFormat="1"/>
    <xf numFmtId="0" fontId="3" fillId="0" borderId="0" xfId="0" applyFont="1"/>
    <xf numFmtId="8" fontId="3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DC6B-D81A-4758-8FDB-4DE675F987F3}">
  <sheetPr codeName="Sheet1"/>
  <dimension ref="A1:Q1352"/>
  <sheetViews>
    <sheetView topLeftCell="D1" workbookViewId="0">
      <selection activeCell="F1" sqref="F1:R2"/>
    </sheetView>
  </sheetViews>
  <sheetFormatPr defaultRowHeight="14.4" x14ac:dyDescent="0.3"/>
  <cols>
    <col min="1" max="1" width="10" bestFit="1" customWidth="1"/>
    <col min="2" max="2" width="20.21875" bestFit="1" customWidth="1"/>
    <col min="3" max="3" width="46.21875" bestFit="1" customWidth="1"/>
    <col min="4" max="4" width="11.33203125" bestFit="1" customWidth="1"/>
    <col min="5" max="5" width="18.5546875" bestFit="1" customWidth="1"/>
    <col min="6" max="6" width="32.5546875" bestFit="1" customWidth="1"/>
    <col min="9" max="9" width="9.21875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4"/>
      <c r="H1" t="s">
        <v>6</v>
      </c>
      <c r="I1" t="s">
        <v>7</v>
      </c>
      <c r="J1" t="s">
        <v>8</v>
      </c>
      <c r="K1" s="3" t="s">
        <v>9</v>
      </c>
      <c r="L1" s="5" t="s">
        <v>10</v>
      </c>
      <c r="M1" s="3" t="s">
        <v>11</v>
      </c>
      <c r="N1" t="s">
        <v>12</v>
      </c>
      <c r="O1" s="3" t="s">
        <v>13</v>
      </c>
      <c r="P1" s="1"/>
      <c r="Q1" t="s">
        <v>14</v>
      </c>
    </row>
    <row r="2" spans="1:17" x14ac:dyDescent="0.3">
      <c r="A2">
        <v>32490</v>
      </c>
      <c r="B2" t="s">
        <v>15</v>
      </c>
      <c r="C2" t="s">
        <v>590</v>
      </c>
      <c r="D2" t="s">
        <v>17</v>
      </c>
      <c r="E2" s="6">
        <v>256.58</v>
      </c>
      <c r="F2" t="s">
        <v>643</v>
      </c>
      <c r="G2" s="4" t="str">
        <f>SUBSTITUTE(E2,"R","")</f>
        <v>256.58</v>
      </c>
      <c r="H2" t="str">
        <f>SUBSTITUTE(G2,",","")</f>
        <v>256.58</v>
      </c>
      <c r="I2" s="1">
        <v>45716</v>
      </c>
      <c r="J2" s="2">
        <f t="shared" ref="J2" si="0">(H2-N2)/N2</f>
        <v>1.4912384794905193E-2</v>
      </c>
      <c r="K2" s="3" t="str">
        <f t="shared" ref="K2" si="1">IF(ABS(J2)&gt;0.1,"Check!","")</f>
        <v/>
      </c>
      <c r="L2" t="str">
        <f>IF(LEFT(O2,10)&lt;&gt;LEFT(D2,10),"Check","")</f>
        <v/>
      </c>
      <c r="M2" t="str">
        <f>IF(Q2&lt;&gt;C2,"Check","")</f>
        <v>Check</v>
      </c>
      <c r="N2">
        <v>252.81</v>
      </c>
      <c r="O2" s="3" t="s">
        <v>18</v>
      </c>
      <c r="Q2" t="s">
        <v>16</v>
      </c>
    </row>
    <row r="3" spans="1:17" x14ac:dyDescent="0.3">
      <c r="A3">
        <v>33672</v>
      </c>
      <c r="B3" t="s">
        <v>24</v>
      </c>
      <c r="C3" t="s">
        <v>19</v>
      </c>
      <c r="D3" t="s">
        <v>25</v>
      </c>
      <c r="E3" s="6">
        <v>637.19000000000005</v>
      </c>
      <c r="F3" t="s">
        <v>643</v>
      </c>
      <c r="G3" s="4" t="str">
        <f t="shared" ref="G3:G66" si="2">SUBSTITUTE(E3,"R","")</f>
        <v>637.19</v>
      </c>
      <c r="H3" t="str">
        <f t="shared" ref="H3:H66" si="3">SUBSTITUTE(G3,",","")</f>
        <v>637.19</v>
      </c>
      <c r="I3" s="1">
        <v>45716</v>
      </c>
      <c r="J3" s="2">
        <f t="shared" ref="J3:J66" si="4">(H3-N3)/N3</f>
        <v>1.0899225790074889E-2</v>
      </c>
      <c r="K3" s="3" t="str">
        <f t="shared" ref="K3:K66" si="5">IF(ABS(J3)&gt;0.1,"Check!","")</f>
        <v/>
      </c>
      <c r="L3" t="str">
        <f t="shared" ref="L3:L66" si="6">IF(LEFT(O3,10)&lt;&gt;LEFT(D3,10),"Check","")</f>
        <v/>
      </c>
      <c r="M3" t="str">
        <f t="shared" ref="M3:M66" si="7">IF(Q3&lt;&gt;C3,"Check","")</f>
        <v/>
      </c>
      <c r="N3">
        <v>630.32000000000005</v>
      </c>
      <c r="O3" t="s">
        <v>26</v>
      </c>
      <c r="Q3" t="s">
        <v>19</v>
      </c>
    </row>
    <row r="4" spans="1:17" x14ac:dyDescent="0.3">
      <c r="A4">
        <v>34171</v>
      </c>
      <c r="B4" t="s">
        <v>27</v>
      </c>
      <c r="C4" t="s">
        <v>19</v>
      </c>
      <c r="D4" t="s">
        <v>28</v>
      </c>
      <c r="E4" s="6">
        <v>130.96</v>
      </c>
      <c r="F4" t="s">
        <v>643</v>
      </c>
      <c r="G4" s="4" t="str">
        <f t="shared" si="2"/>
        <v>130.96</v>
      </c>
      <c r="H4" t="str">
        <f t="shared" si="3"/>
        <v>130.96</v>
      </c>
      <c r="I4" s="1">
        <v>45716</v>
      </c>
      <c r="J4" s="2">
        <f t="shared" si="4"/>
        <v>2.1847690387016318E-2</v>
      </c>
      <c r="K4" s="3" t="str">
        <f t="shared" si="5"/>
        <v/>
      </c>
      <c r="L4" t="str">
        <f t="shared" si="6"/>
        <v/>
      </c>
      <c r="M4" t="str">
        <f t="shared" si="7"/>
        <v/>
      </c>
      <c r="N4">
        <v>128.16</v>
      </c>
      <c r="O4" t="s">
        <v>29</v>
      </c>
      <c r="Q4" t="s">
        <v>19</v>
      </c>
    </row>
    <row r="5" spans="1:17" x14ac:dyDescent="0.3">
      <c r="A5">
        <v>34196</v>
      </c>
      <c r="B5" t="s">
        <v>33</v>
      </c>
      <c r="C5" t="s">
        <v>590</v>
      </c>
      <c r="D5" t="s">
        <v>34</v>
      </c>
      <c r="E5" s="6">
        <v>3593.14</v>
      </c>
      <c r="F5" t="s">
        <v>643</v>
      </c>
      <c r="G5" s="4" t="str">
        <f t="shared" si="2"/>
        <v>3593.14</v>
      </c>
      <c r="H5" t="str">
        <f t="shared" si="3"/>
        <v>3593.14</v>
      </c>
      <c r="I5" s="1">
        <v>45716</v>
      </c>
      <c r="J5" s="2">
        <f t="shared" si="4"/>
        <v>1.2408779690625782E-2</v>
      </c>
      <c r="K5" s="3" t="str">
        <f t="shared" si="5"/>
        <v/>
      </c>
      <c r="L5" t="str">
        <f t="shared" si="6"/>
        <v/>
      </c>
      <c r="M5" t="str">
        <f t="shared" si="7"/>
        <v>Check</v>
      </c>
      <c r="N5">
        <v>3549.1</v>
      </c>
      <c r="O5" t="s">
        <v>35</v>
      </c>
      <c r="Q5" t="s">
        <v>16</v>
      </c>
    </row>
    <row r="6" spans="1:17" x14ac:dyDescent="0.3">
      <c r="A6">
        <v>34199</v>
      </c>
      <c r="B6" t="s">
        <v>36</v>
      </c>
      <c r="C6" t="s">
        <v>590</v>
      </c>
      <c r="D6" t="s">
        <v>37</v>
      </c>
      <c r="E6" s="6">
        <v>254.27</v>
      </c>
      <c r="F6" t="s">
        <v>643</v>
      </c>
      <c r="G6" s="4" t="str">
        <f t="shared" si="2"/>
        <v>254.27</v>
      </c>
      <c r="H6" t="str">
        <f t="shared" si="3"/>
        <v>254.27</v>
      </c>
      <c r="I6" s="1">
        <v>45716</v>
      </c>
      <c r="J6" s="2">
        <f t="shared" si="4"/>
        <v>1.1939348111593107E-2</v>
      </c>
      <c r="K6" s="3" t="str">
        <f t="shared" si="5"/>
        <v/>
      </c>
      <c r="L6" t="str">
        <f t="shared" si="6"/>
        <v/>
      </c>
      <c r="M6" t="str">
        <f t="shared" si="7"/>
        <v>Check</v>
      </c>
      <c r="N6">
        <v>251.27</v>
      </c>
      <c r="O6" t="s">
        <v>38</v>
      </c>
      <c r="Q6" t="s">
        <v>16</v>
      </c>
    </row>
    <row r="7" spans="1:17" x14ac:dyDescent="0.3">
      <c r="A7">
        <v>34199</v>
      </c>
      <c r="B7" t="s">
        <v>36</v>
      </c>
      <c r="C7" t="s">
        <v>19</v>
      </c>
      <c r="D7" t="s">
        <v>39</v>
      </c>
      <c r="E7" s="6">
        <v>120.51</v>
      </c>
      <c r="F7" t="s">
        <v>643</v>
      </c>
      <c r="G7" s="4" t="str">
        <f t="shared" si="2"/>
        <v>120.51</v>
      </c>
      <c r="H7" t="str">
        <f t="shared" si="3"/>
        <v>120.51</v>
      </c>
      <c r="I7" s="1">
        <v>45716</v>
      </c>
      <c r="J7" s="2">
        <f t="shared" si="4"/>
        <v>1.4052507573207688E-2</v>
      </c>
      <c r="K7" s="3" t="str">
        <f t="shared" si="5"/>
        <v/>
      </c>
      <c r="L7" t="str">
        <f t="shared" si="6"/>
        <v/>
      </c>
      <c r="M7" t="str">
        <f t="shared" si="7"/>
        <v/>
      </c>
      <c r="N7">
        <v>118.84</v>
      </c>
      <c r="O7" t="s">
        <v>40</v>
      </c>
      <c r="Q7" t="s">
        <v>19</v>
      </c>
    </row>
    <row r="8" spans="1:17" x14ac:dyDescent="0.3">
      <c r="A8">
        <v>34200</v>
      </c>
      <c r="B8" t="s">
        <v>592</v>
      </c>
      <c r="C8" t="s">
        <v>611</v>
      </c>
      <c r="D8" t="s">
        <v>42</v>
      </c>
      <c r="E8" s="6">
        <v>161223.39000000001</v>
      </c>
      <c r="F8" t="s">
        <v>643</v>
      </c>
      <c r="G8" s="4" t="str">
        <f t="shared" si="2"/>
        <v>161223.39</v>
      </c>
      <c r="H8" t="str">
        <f t="shared" si="3"/>
        <v>161223.39</v>
      </c>
      <c r="I8" s="1">
        <v>45716</v>
      </c>
      <c r="J8" s="2">
        <f t="shared" si="4"/>
        <v>2.6245802280163037E-2</v>
      </c>
      <c r="K8" s="3" t="str">
        <f t="shared" si="5"/>
        <v/>
      </c>
      <c r="L8" t="str">
        <f t="shared" si="6"/>
        <v/>
      </c>
      <c r="M8" t="str">
        <f t="shared" si="7"/>
        <v>Check</v>
      </c>
      <c r="N8">
        <v>157100.17000000001</v>
      </c>
      <c r="O8" t="s">
        <v>43</v>
      </c>
      <c r="Q8" t="s">
        <v>41</v>
      </c>
    </row>
    <row r="9" spans="1:17" x14ac:dyDescent="0.3">
      <c r="A9">
        <v>34200</v>
      </c>
      <c r="B9" t="s">
        <v>592</v>
      </c>
      <c r="C9" t="s">
        <v>611</v>
      </c>
      <c r="D9" t="s">
        <v>44</v>
      </c>
      <c r="E9" s="6">
        <v>89475.96</v>
      </c>
      <c r="F9" t="s">
        <v>643</v>
      </c>
      <c r="G9" s="4" t="str">
        <f t="shared" si="2"/>
        <v>89475.96</v>
      </c>
      <c r="H9" t="str">
        <f t="shared" si="3"/>
        <v>89475.96</v>
      </c>
      <c r="I9" s="1">
        <v>45716</v>
      </c>
      <c r="J9" s="2">
        <f t="shared" si="4"/>
        <v>2.7485207127771402E-2</v>
      </c>
      <c r="K9" s="3" t="str">
        <f t="shared" si="5"/>
        <v/>
      </c>
      <c r="L9" t="str">
        <f t="shared" si="6"/>
        <v/>
      </c>
      <c r="M9" t="str">
        <f t="shared" si="7"/>
        <v>Check</v>
      </c>
      <c r="N9">
        <v>87082.48</v>
      </c>
      <c r="O9" t="s">
        <v>45</v>
      </c>
      <c r="Q9" t="s">
        <v>41</v>
      </c>
    </row>
    <row r="10" spans="1:17" x14ac:dyDescent="0.3">
      <c r="A10">
        <v>34200</v>
      </c>
      <c r="B10" t="s">
        <v>592</v>
      </c>
      <c r="C10" t="s">
        <v>609</v>
      </c>
      <c r="D10" t="s">
        <v>610</v>
      </c>
      <c r="E10" s="6">
        <v>22.2</v>
      </c>
      <c r="F10" t="s">
        <v>643</v>
      </c>
      <c r="G10" s="4" t="str">
        <f t="shared" si="2"/>
        <v>22.2</v>
      </c>
      <c r="H10" t="str">
        <f t="shared" si="3"/>
        <v>22.2</v>
      </c>
      <c r="I10" s="1">
        <v>45716</v>
      </c>
      <c r="J10" s="2">
        <f t="shared" si="4"/>
        <v>-0.9960047439166827</v>
      </c>
      <c r="K10" s="3" t="str">
        <f t="shared" si="5"/>
        <v>Check!</v>
      </c>
      <c r="L10" t="str">
        <f t="shared" si="6"/>
        <v/>
      </c>
      <c r="M10" t="str">
        <f t="shared" si="7"/>
        <v/>
      </c>
      <c r="N10">
        <v>5556.59</v>
      </c>
      <c r="O10" t="s">
        <v>644</v>
      </c>
      <c r="Q10" t="s">
        <v>609</v>
      </c>
    </row>
    <row r="11" spans="1:17" x14ac:dyDescent="0.3">
      <c r="A11">
        <v>34200</v>
      </c>
      <c r="B11" t="s">
        <v>592</v>
      </c>
      <c r="C11" t="s">
        <v>606</v>
      </c>
      <c r="D11" t="s">
        <v>607</v>
      </c>
      <c r="E11" s="6">
        <v>162.87</v>
      </c>
      <c r="F11" t="s">
        <v>643</v>
      </c>
      <c r="G11" s="4" t="str">
        <f t="shared" si="2"/>
        <v>162.87</v>
      </c>
      <c r="H11" t="str">
        <f t="shared" si="3"/>
        <v>162.87</v>
      </c>
      <c r="I11" s="1">
        <v>45716</v>
      </c>
      <c r="J11" s="2">
        <f t="shared" si="4"/>
        <v>2.5306893295561916E-2</v>
      </c>
      <c r="K11" s="3" t="str">
        <f t="shared" si="5"/>
        <v/>
      </c>
      <c r="L11" t="str">
        <f t="shared" si="6"/>
        <v/>
      </c>
      <c r="M11" t="str">
        <f t="shared" si="7"/>
        <v/>
      </c>
      <c r="N11">
        <v>158.85</v>
      </c>
      <c r="O11" t="s">
        <v>645</v>
      </c>
      <c r="Q11" t="s">
        <v>606</v>
      </c>
    </row>
    <row r="12" spans="1:17" x14ac:dyDescent="0.3">
      <c r="A12">
        <v>34200</v>
      </c>
      <c r="B12" t="s">
        <v>592</v>
      </c>
      <c r="C12" t="s">
        <v>606</v>
      </c>
      <c r="D12" t="s">
        <v>607</v>
      </c>
      <c r="E12" s="6">
        <v>11288.71</v>
      </c>
      <c r="F12" t="s">
        <v>643</v>
      </c>
      <c r="G12" s="4" t="str">
        <f t="shared" si="2"/>
        <v>11288.71</v>
      </c>
      <c r="H12" t="str">
        <f t="shared" si="3"/>
        <v>11288.71</v>
      </c>
      <c r="I12" s="1">
        <v>45716</v>
      </c>
      <c r="J12" s="2">
        <f t="shared" si="4"/>
        <v>7.6640992187022972E-2</v>
      </c>
      <c r="K12" s="3" t="str">
        <f t="shared" si="5"/>
        <v/>
      </c>
      <c r="L12" t="str">
        <f t="shared" si="6"/>
        <v/>
      </c>
      <c r="M12" t="str">
        <f t="shared" si="7"/>
        <v/>
      </c>
      <c r="N12">
        <v>10485.120000000001</v>
      </c>
      <c r="O12" t="s">
        <v>645</v>
      </c>
      <c r="Q12" t="s">
        <v>606</v>
      </c>
    </row>
    <row r="13" spans="1:17" x14ac:dyDescent="0.3">
      <c r="A13">
        <v>34200</v>
      </c>
      <c r="B13" t="s">
        <v>592</v>
      </c>
      <c r="C13" t="s">
        <v>606</v>
      </c>
      <c r="D13" t="s">
        <v>608</v>
      </c>
      <c r="E13" s="6">
        <v>151.13</v>
      </c>
      <c r="F13" t="s">
        <v>643</v>
      </c>
      <c r="G13" s="4" t="str">
        <f t="shared" si="2"/>
        <v>151.13</v>
      </c>
      <c r="H13" t="str">
        <f t="shared" si="3"/>
        <v>151.13</v>
      </c>
      <c r="I13" s="1">
        <v>45716</v>
      </c>
      <c r="J13" s="2">
        <f t="shared" si="4"/>
        <v>2.3222748815165926E-2</v>
      </c>
      <c r="K13" s="3" t="str">
        <f t="shared" si="5"/>
        <v/>
      </c>
      <c r="L13" t="str">
        <f t="shared" si="6"/>
        <v/>
      </c>
      <c r="M13" t="str">
        <f t="shared" si="7"/>
        <v/>
      </c>
      <c r="N13">
        <v>147.69999999999999</v>
      </c>
      <c r="O13" t="s">
        <v>646</v>
      </c>
      <c r="Q13" t="s">
        <v>606</v>
      </c>
    </row>
    <row r="14" spans="1:17" x14ac:dyDescent="0.3">
      <c r="A14">
        <v>34200</v>
      </c>
      <c r="B14" t="s">
        <v>592</v>
      </c>
      <c r="C14" t="s">
        <v>606</v>
      </c>
      <c r="D14" t="s">
        <v>608</v>
      </c>
      <c r="E14" s="6">
        <v>7890.98</v>
      </c>
      <c r="F14" t="s">
        <v>643</v>
      </c>
      <c r="G14" s="4" t="str">
        <f t="shared" si="2"/>
        <v>7890.98</v>
      </c>
      <c r="H14" t="str">
        <f t="shared" si="3"/>
        <v>7890.98</v>
      </c>
      <c r="I14" s="1">
        <v>45716</v>
      </c>
      <c r="J14" s="2">
        <f t="shared" si="4"/>
        <v>2.2688156435007035E-2</v>
      </c>
      <c r="K14" s="3" t="str">
        <f t="shared" si="5"/>
        <v/>
      </c>
      <c r="L14" t="str">
        <f t="shared" si="6"/>
        <v/>
      </c>
      <c r="M14" t="str">
        <f t="shared" si="7"/>
        <v/>
      </c>
      <c r="N14">
        <v>7715.92</v>
      </c>
      <c r="O14" t="s">
        <v>646</v>
      </c>
      <c r="Q14" t="s">
        <v>606</v>
      </c>
    </row>
    <row r="15" spans="1:17" x14ac:dyDescent="0.3">
      <c r="A15">
        <v>34202</v>
      </c>
      <c r="B15" t="s">
        <v>46</v>
      </c>
      <c r="C15" t="s">
        <v>19</v>
      </c>
      <c r="D15" t="s">
        <v>49</v>
      </c>
      <c r="E15" s="6">
        <v>1319.23</v>
      </c>
      <c r="F15" t="s">
        <v>643</v>
      </c>
      <c r="G15" s="4" t="str">
        <f t="shared" si="2"/>
        <v>1319.23</v>
      </c>
      <c r="H15" t="str">
        <f t="shared" si="3"/>
        <v>1319.23</v>
      </c>
      <c r="I15" s="1">
        <v>45716</v>
      </c>
      <c r="J15" s="2">
        <f t="shared" si="4"/>
        <v>-0.96367287718203531</v>
      </c>
      <c r="K15" s="3" t="str">
        <f t="shared" si="5"/>
        <v>Check!</v>
      </c>
      <c r="L15" t="str">
        <f t="shared" si="6"/>
        <v/>
      </c>
      <c r="M15" t="str">
        <f t="shared" si="7"/>
        <v/>
      </c>
      <c r="N15">
        <v>36315.29</v>
      </c>
      <c r="O15" t="s">
        <v>50</v>
      </c>
      <c r="Q15" t="s">
        <v>19</v>
      </c>
    </row>
    <row r="16" spans="1:17" x14ac:dyDescent="0.3">
      <c r="A16">
        <v>34202</v>
      </c>
      <c r="B16" t="s">
        <v>46</v>
      </c>
      <c r="C16" t="s">
        <v>19</v>
      </c>
      <c r="D16" t="s">
        <v>47</v>
      </c>
      <c r="E16" s="6">
        <v>261.63</v>
      </c>
      <c r="F16" t="s">
        <v>643</v>
      </c>
      <c r="G16" s="4" t="str">
        <f t="shared" si="2"/>
        <v>261.63</v>
      </c>
      <c r="H16" t="str">
        <f t="shared" si="3"/>
        <v>261.63</v>
      </c>
      <c r="I16" s="1">
        <v>45716</v>
      </c>
      <c r="J16" s="2">
        <f t="shared" si="4"/>
        <v>1.2343290512304587E-2</v>
      </c>
      <c r="K16" s="3" t="str">
        <f t="shared" si="5"/>
        <v/>
      </c>
      <c r="L16" t="str">
        <f t="shared" si="6"/>
        <v/>
      </c>
      <c r="M16" t="str">
        <f t="shared" si="7"/>
        <v/>
      </c>
      <c r="N16">
        <v>258.44</v>
      </c>
      <c r="O16" t="s">
        <v>48</v>
      </c>
      <c r="Q16" t="s">
        <v>19</v>
      </c>
    </row>
    <row r="17" spans="1:17" x14ac:dyDescent="0.3">
      <c r="A17">
        <v>34209</v>
      </c>
      <c r="B17" t="s">
        <v>51</v>
      </c>
      <c r="C17" t="s">
        <v>612</v>
      </c>
      <c r="D17" t="s">
        <v>57</v>
      </c>
      <c r="E17" s="6">
        <v>31702.63</v>
      </c>
      <c r="F17" t="s">
        <v>643</v>
      </c>
      <c r="G17" s="4" t="str">
        <f t="shared" si="2"/>
        <v>31702.63</v>
      </c>
      <c r="H17" t="str">
        <f t="shared" si="3"/>
        <v>31702.63</v>
      </c>
      <c r="I17" s="1">
        <v>45716</v>
      </c>
      <c r="J17" s="2">
        <f t="shared" si="4"/>
        <v>2.9852191113015531E-2</v>
      </c>
      <c r="K17" s="3" t="str">
        <f t="shared" si="5"/>
        <v/>
      </c>
      <c r="L17" t="str">
        <f t="shared" si="6"/>
        <v/>
      </c>
      <c r="M17" t="str">
        <f t="shared" si="7"/>
        <v>Check</v>
      </c>
      <c r="N17">
        <v>30783.67</v>
      </c>
      <c r="O17" t="s">
        <v>58</v>
      </c>
      <c r="Q17" t="s">
        <v>56</v>
      </c>
    </row>
    <row r="18" spans="1:17" x14ac:dyDescent="0.3">
      <c r="A18">
        <v>34216</v>
      </c>
      <c r="B18" t="s">
        <v>59</v>
      </c>
      <c r="C18" t="s">
        <v>590</v>
      </c>
      <c r="D18" t="s">
        <v>62</v>
      </c>
      <c r="E18" s="6">
        <v>249.36</v>
      </c>
      <c r="F18" t="s">
        <v>643</v>
      </c>
      <c r="G18" s="4" t="str">
        <f t="shared" si="2"/>
        <v>249.36</v>
      </c>
      <c r="H18" t="str">
        <f t="shared" si="3"/>
        <v>249.36</v>
      </c>
      <c r="I18" s="1">
        <v>45716</v>
      </c>
      <c r="J18" s="2">
        <f t="shared" si="4"/>
        <v>-0.98064456035767511</v>
      </c>
      <c r="K18" s="3" t="str">
        <f t="shared" si="5"/>
        <v>Check!</v>
      </c>
      <c r="L18" t="str">
        <f t="shared" si="6"/>
        <v/>
      </c>
      <c r="M18" t="str">
        <f t="shared" si="7"/>
        <v>Check</v>
      </c>
      <c r="N18">
        <v>12883.2</v>
      </c>
      <c r="O18" t="s">
        <v>63</v>
      </c>
      <c r="Q18" t="s">
        <v>16</v>
      </c>
    </row>
    <row r="19" spans="1:17" x14ac:dyDescent="0.3">
      <c r="A19">
        <v>34337</v>
      </c>
      <c r="B19" t="s">
        <v>64</v>
      </c>
      <c r="C19" t="s">
        <v>590</v>
      </c>
      <c r="D19" t="s">
        <v>65</v>
      </c>
      <c r="E19" s="6">
        <v>165.24</v>
      </c>
      <c r="F19" t="s">
        <v>643</v>
      </c>
      <c r="G19" s="4" t="str">
        <f t="shared" si="2"/>
        <v>165.24</v>
      </c>
      <c r="H19" t="str">
        <f t="shared" si="3"/>
        <v>165.24</v>
      </c>
      <c r="I19" s="1">
        <v>45716</v>
      </c>
      <c r="J19" s="2">
        <f t="shared" si="4"/>
        <v>2.3538156590683916E-2</v>
      </c>
      <c r="K19" s="3" t="str">
        <f t="shared" si="5"/>
        <v/>
      </c>
      <c r="L19" t="str">
        <f t="shared" si="6"/>
        <v/>
      </c>
      <c r="M19" t="str">
        <f t="shared" si="7"/>
        <v>Check</v>
      </c>
      <c r="N19">
        <v>161.44</v>
      </c>
      <c r="O19" t="s">
        <v>66</v>
      </c>
      <c r="Q19" t="s">
        <v>16</v>
      </c>
    </row>
    <row r="20" spans="1:17" x14ac:dyDescent="0.3">
      <c r="A20">
        <v>34337</v>
      </c>
      <c r="B20" t="s">
        <v>64</v>
      </c>
      <c r="C20" t="s">
        <v>19</v>
      </c>
      <c r="D20" t="s">
        <v>67</v>
      </c>
      <c r="E20" s="6">
        <v>1169.47</v>
      </c>
      <c r="F20" t="s">
        <v>643</v>
      </c>
      <c r="G20" s="4" t="str">
        <f t="shared" si="2"/>
        <v>1169.47</v>
      </c>
      <c r="H20" t="str">
        <f t="shared" si="3"/>
        <v>1169.47</v>
      </c>
      <c r="I20" s="1">
        <v>45716</v>
      </c>
      <c r="J20" s="2">
        <f t="shared" si="4"/>
        <v>1.3089504140822732E-2</v>
      </c>
      <c r="K20" s="3" t="str">
        <f t="shared" si="5"/>
        <v/>
      </c>
      <c r="L20" t="str">
        <f t="shared" si="6"/>
        <v/>
      </c>
      <c r="M20" t="str">
        <f t="shared" si="7"/>
        <v/>
      </c>
      <c r="N20">
        <v>1154.3599999999999</v>
      </c>
      <c r="O20" t="s">
        <v>68</v>
      </c>
      <c r="Q20" t="s">
        <v>19</v>
      </c>
    </row>
    <row r="21" spans="1:17" x14ac:dyDescent="0.3">
      <c r="A21">
        <v>34395</v>
      </c>
      <c r="B21" t="s">
        <v>69</v>
      </c>
      <c r="C21" t="s">
        <v>19</v>
      </c>
      <c r="D21" t="s">
        <v>74</v>
      </c>
      <c r="E21" s="6">
        <v>281.92</v>
      </c>
      <c r="F21" t="s">
        <v>643</v>
      </c>
      <c r="G21" s="4" t="str">
        <f t="shared" si="2"/>
        <v>281.92</v>
      </c>
      <c r="H21" t="str">
        <f t="shared" si="3"/>
        <v>281.92</v>
      </c>
      <c r="I21" s="1">
        <v>45716</v>
      </c>
      <c r="J21" s="2">
        <f t="shared" si="4"/>
        <v>1.3918360007192966E-2</v>
      </c>
      <c r="K21" s="3" t="str">
        <f t="shared" si="5"/>
        <v/>
      </c>
      <c r="L21" t="str">
        <f t="shared" si="6"/>
        <v/>
      </c>
      <c r="M21" t="str">
        <f t="shared" si="7"/>
        <v/>
      </c>
      <c r="N21">
        <v>278.05</v>
      </c>
      <c r="O21" t="s">
        <v>75</v>
      </c>
      <c r="Q21" t="s">
        <v>19</v>
      </c>
    </row>
    <row r="22" spans="1:17" x14ac:dyDescent="0.3">
      <c r="A22">
        <v>34395</v>
      </c>
      <c r="B22" t="s">
        <v>69</v>
      </c>
      <c r="C22" t="s">
        <v>19</v>
      </c>
      <c r="D22" t="s">
        <v>72</v>
      </c>
      <c r="E22" s="6">
        <v>174.76</v>
      </c>
      <c r="F22" t="s">
        <v>643</v>
      </c>
      <c r="G22" s="4" t="str">
        <f t="shared" si="2"/>
        <v>174.76</v>
      </c>
      <c r="H22" t="str">
        <f t="shared" si="3"/>
        <v>174.76</v>
      </c>
      <c r="I22" s="1">
        <v>45716</v>
      </c>
      <c r="J22" s="2">
        <f t="shared" si="4"/>
        <v>1.5338136184057554E-2</v>
      </c>
      <c r="K22" s="3" t="str">
        <f t="shared" si="5"/>
        <v/>
      </c>
      <c r="L22" t="str">
        <f t="shared" si="6"/>
        <v/>
      </c>
      <c r="M22" t="str">
        <f t="shared" si="7"/>
        <v/>
      </c>
      <c r="N22">
        <v>172.12</v>
      </c>
      <c r="O22" t="s">
        <v>73</v>
      </c>
      <c r="Q22" t="s">
        <v>19</v>
      </c>
    </row>
    <row r="23" spans="1:17" x14ac:dyDescent="0.3">
      <c r="A23">
        <v>36059</v>
      </c>
      <c r="B23" t="s">
        <v>81</v>
      </c>
      <c r="C23" t="s">
        <v>19</v>
      </c>
      <c r="D23" t="s">
        <v>82</v>
      </c>
      <c r="E23" s="6">
        <v>496.36</v>
      </c>
      <c r="F23" t="s">
        <v>643</v>
      </c>
      <c r="G23" s="4" t="str">
        <f t="shared" si="2"/>
        <v>496.36</v>
      </c>
      <c r="H23" t="str">
        <f t="shared" si="3"/>
        <v>496.36</v>
      </c>
      <c r="I23" s="1">
        <v>45716</v>
      </c>
      <c r="J23" s="2">
        <f t="shared" si="4"/>
        <v>-0.97691461579783312</v>
      </c>
      <c r="K23" s="3" t="str">
        <f t="shared" si="5"/>
        <v>Check!</v>
      </c>
      <c r="L23" t="str">
        <f t="shared" si="6"/>
        <v/>
      </c>
      <c r="M23" t="str">
        <f t="shared" si="7"/>
        <v/>
      </c>
      <c r="N23">
        <v>21501.05</v>
      </c>
      <c r="O23" t="s">
        <v>83</v>
      </c>
      <c r="Q23" t="s">
        <v>19</v>
      </c>
    </row>
    <row r="24" spans="1:17" x14ac:dyDescent="0.3">
      <c r="A24">
        <v>36059</v>
      </c>
      <c r="B24" t="s">
        <v>81</v>
      </c>
      <c r="C24" t="s">
        <v>19</v>
      </c>
      <c r="D24" t="s">
        <v>84</v>
      </c>
      <c r="E24" s="6">
        <v>324.98</v>
      </c>
      <c r="F24" t="s">
        <v>643</v>
      </c>
      <c r="G24" s="4" t="str">
        <f t="shared" si="2"/>
        <v>324.98</v>
      </c>
      <c r="H24" t="str">
        <f t="shared" si="3"/>
        <v>324.98</v>
      </c>
      <c r="I24" s="1">
        <v>45716</v>
      </c>
      <c r="J24" s="2">
        <f t="shared" si="4"/>
        <v>1.3187840997661788E-2</v>
      </c>
      <c r="K24" s="3" t="str">
        <f t="shared" si="5"/>
        <v/>
      </c>
      <c r="L24" t="str">
        <f t="shared" si="6"/>
        <v/>
      </c>
      <c r="M24" t="str">
        <f t="shared" si="7"/>
        <v/>
      </c>
      <c r="N24">
        <v>320.75</v>
      </c>
      <c r="O24" t="s">
        <v>85</v>
      </c>
      <c r="Q24" t="s">
        <v>19</v>
      </c>
    </row>
    <row r="25" spans="1:17" x14ac:dyDescent="0.3">
      <c r="A25">
        <v>36060</v>
      </c>
      <c r="B25" t="s">
        <v>86</v>
      </c>
      <c r="C25" t="s">
        <v>19</v>
      </c>
      <c r="D25" t="s">
        <v>87</v>
      </c>
      <c r="E25" s="6">
        <v>210.55</v>
      </c>
      <c r="F25" t="s">
        <v>643</v>
      </c>
      <c r="G25" s="4" t="str">
        <f t="shared" si="2"/>
        <v>210.55</v>
      </c>
      <c r="H25" t="str">
        <f t="shared" si="3"/>
        <v>210.55</v>
      </c>
      <c r="I25" s="1">
        <v>45716</v>
      </c>
      <c r="J25" s="2">
        <f t="shared" si="4"/>
        <v>1.2551697605078453E-2</v>
      </c>
      <c r="K25" s="3" t="str">
        <f t="shared" si="5"/>
        <v/>
      </c>
      <c r="L25" t="str">
        <f t="shared" si="6"/>
        <v/>
      </c>
      <c r="M25" t="str">
        <f t="shared" si="7"/>
        <v/>
      </c>
      <c r="N25">
        <v>207.94</v>
      </c>
      <c r="O25" t="s">
        <v>88</v>
      </c>
      <c r="Q25" t="s">
        <v>19</v>
      </c>
    </row>
    <row r="26" spans="1:17" x14ac:dyDescent="0.3">
      <c r="A26">
        <v>36060</v>
      </c>
      <c r="B26" t="s">
        <v>86</v>
      </c>
      <c r="C26" t="s">
        <v>19</v>
      </c>
      <c r="D26" t="s">
        <v>89</v>
      </c>
      <c r="E26" s="6">
        <v>28.68</v>
      </c>
      <c r="F26" t="s">
        <v>643</v>
      </c>
      <c r="G26" s="4" t="str">
        <f t="shared" si="2"/>
        <v>28.68</v>
      </c>
      <c r="H26" t="str">
        <f t="shared" si="3"/>
        <v>28.68</v>
      </c>
      <c r="I26" s="1">
        <v>45716</v>
      </c>
      <c r="J26" s="2">
        <f t="shared" si="4"/>
        <v>-0.98054300484389623</v>
      </c>
      <c r="K26" s="3" t="str">
        <f t="shared" si="5"/>
        <v>Check!</v>
      </c>
      <c r="L26" t="str">
        <f t="shared" si="6"/>
        <v/>
      </c>
      <c r="M26" t="str">
        <f t="shared" si="7"/>
        <v/>
      </c>
      <c r="N26">
        <v>1474.02</v>
      </c>
      <c r="O26" t="s">
        <v>90</v>
      </c>
      <c r="Q26" t="s">
        <v>19</v>
      </c>
    </row>
    <row r="27" spans="1:17" x14ac:dyDescent="0.3">
      <c r="A27">
        <v>36062</v>
      </c>
      <c r="B27" t="s">
        <v>91</v>
      </c>
      <c r="C27" t="s">
        <v>611</v>
      </c>
      <c r="D27" t="s">
        <v>92</v>
      </c>
      <c r="E27" s="6">
        <v>46139.3</v>
      </c>
      <c r="F27" t="s">
        <v>643</v>
      </c>
      <c r="G27" s="4" t="str">
        <f t="shared" si="2"/>
        <v>46139.3</v>
      </c>
      <c r="H27" t="str">
        <f t="shared" si="3"/>
        <v>46139.3</v>
      </c>
      <c r="I27" s="1">
        <v>45716</v>
      </c>
      <c r="J27" s="2">
        <f t="shared" si="4"/>
        <v>2.711728726506616E-2</v>
      </c>
      <c r="K27" s="3" t="str">
        <f t="shared" si="5"/>
        <v/>
      </c>
      <c r="L27" t="str">
        <f t="shared" si="6"/>
        <v/>
      </c>
      <c r="M27" t="str">
        <f t="shared" si="7"/>
        <v>Check</v>
      </c>
      <c r="N27">
        <v>44921.16</v>
      </c>
      <c r="O27" t="s">
        <v>93</v>
      </c>
      <c r="Q27" t="s">
        <v>41</v>
      </c>
    </row>
    <row r="28" spans="1:17" x14ac:dyDescent="0.3">
      <c r="A28">
        <v>36062</v>
      </c>
      <c r="B28" t="s">
        <v>91</v>
      </c>
      <c r="C28" t="s">
        <v>606</v>
      </c>
      <c r="D28" t="s">
        <v>613</v>
      </c>
      <c r="E28" s="6">
        <v>100.02</v>
      </c>
      <c r="F28" t="s">
        <v>643</v>
      </c>
      <c r="G28" s="4" t="str">
        <f t="shared" si="2"/>
        <v>100.02</v>
      </c>
      <c r="H28" t="str">
        <f t="shared" si="3"/>
        <v>100.02</v>
      </c>
      <c r="I28" s="1">
        <v>45716</v>
      </c>
      <c r="J28" s="2">
        <f t="shared" si="4"/>
        <v>3.4012198904166152E-2</v>
      </c>
      <c r="K28" s="3" t="str">
        <f t="shared" si="5"/>
        <v/>
      </c>
      <c r="L28" t="str">
        <f t="shared" si="6"/>
        <v/>
      </c>
      <c r="M28" t="str">
        <f t="shared" si="7"/>
        <v/>
      </c>
      <c r="N28">
        <v>96.73</v>
      </c>
      <c r="O28" t="s">
        <v>647</v>
      </c>
      <c r="Q28" t="s">
        <v>606</v>
      </c>
    </row>
    <row r="29" spans="1:17" x14ac:dyDescent="0.3">
      <c r="A29">
        <v>36062</v>
      </c>
      <c r="B29" t="s">
        <v>91</v>
      </c>
      <c r="C29" t="s">
        <v>606</v>
      </c>
      <c r="D29" t="s">
        <v>613</v>
      </c>
      <c r="E29" s="6">
        <v>5220.57</v>
      </c>
      <c r="F29" t="s">
        <v>643</v>
      </c>
      <c r="G29" s="4" t="str">
        <f t="shared" si="2"/>
        <v>5220.57</v>
      </c>
      <c r="H29" t="str">
        <f t="shared" si="3"/>
        <v>5220.57</v>
      </c>
      <c r="I29" s="1">
        <v>45716</v>
      </c>
      <c r="J29" s="2">
        <f t="shared" si="4"/>
        <v>3.3348574550334527E-2</v>
      </c>
      <c r="K29" s="3" t="str">
        <f t="shared" si="5"/>
        <v/>
      </c>
      <c r="L29" t="str">
        <f t="shared" si="6"/>
        <v/>
      </c>
      <c r="M29" t="str">
        <f t="shared" si="7"/>
        <v/>
      </c>
      <c r="N29">
        <v>5052.09</v>
      </c>
      <c r="O29" t="s">
        <v>647</v>
      </c>
      <c r="Q29" t="s">
        <v>606</v>
      </c>
    </row>
    <row r="30" spans="1:17" x14ac:dyDescent="0.3">
      <c r="A30">
        <v>36355</v>
      </c>
      <c r="B30" t="s">
        <v>94</v>
      </c>
      <c r="C30" t="s">
        <v>19</v>
      </c>
      <c r="D30" t="s">
        <v>95</v>
      </c>
      <c r="E30" s="6">
        <v>10.26</v>
      </c>
      <c r="F30" t="s">
        <v>643</v>
      </c>
      <c r="G30" s="4" t="str">
        <f t="shared" si="2"/>
        <v>10.26</v>
      </c>
      <c r="H30" t="str">
        <f t="shared" si="3"/>
        <v>10.26</v>
      </c>
      <c r="I30" s="1">
        <v>45716</v>
      </c>
      <c r="J30" s="2">
        <f t="shared" si="4"/>
        <v>-0.98100105549691685</v>
      </c>
      <c r="K30" s="3" t="str">
        <f t="shared" si="5"/>
        <v>Check!</v>
      </c>
      <c r="L30" t="str">
        <f t="shared" si="6"/>
        <v/>
      </c>
      <c r="M30" t="str">
        <f t="shared" si="7"/>
        <v/>
      </c>
      <c r="N30">
        <v>540.03</v>
      </c>
      <c r="O30" t="s">
        <v>96</v>
      </c>
      <c r="Q30" t="s">
        <v>19</v>
      </c>
    </row>
    <row r="31" spans="1:17" x14ac:dyDescent="0.3">
      <c r="A31">
        <v>37040</v>
      </c>
      <c r="B31" t="s">
        <v>596</v>
      </c>
      <c r="C31" t="s">
        <v>19</v>
      </c>
      <c r="D31" t="s">
        <v>97</v>
      </c>
      <c r="E31" s="6">
        <v>113.16</v>
      </c>
      <c r="F31" t="s">
        <v>643</v>
      </c>
      <c r="G31" s="4" t="str">
        <f t="shared" si="2"/>
        <v>113.16</v>
      </c>
      <c r="H31" t="str">
        <f t="shared" si="3"/>
        <v>113.16</v>
      </c>
      <c r="I31" s="1">
        <v>45716</v>
      </c>
      <c r="J31" s="2">
        <f t="shared" si="4"/>
        <v>1.2980037597350308E-2</v>
      </c>
      <c r="K31" s="3" t="str">
        <f t="shared" si="5"/>
        <v/>
      </c>
      <c r="L31" t="str">
        <f t="shared" si="6"/>
        <v/>
      </c>
      <c r="M31" t="str">
        <f t="shared" si="7"/>
        <v/>
      </c>
      <c r="N31">
        <v>111.71</v>
      </c>
      <c r="O31" t="s">
        <v>98</v>
      </c>
      <c r="Q31" t="s">
        <v>19</v>
      </c>
    </row>
    <row r="32" spans="1:17" x14ac:dyDescent="0.3">
      <c r="A32">
        <v>37041</v>
      </c>
      <c r="B32" t="s">
        <v>99</v>
      </c>
      <c r="C32" t="s">
        <v>19</v>
      </c>
      <c r="D32" t="s">
        <v>100</v>
      </c>
      <c r="E32" s="6">
        <v>63.29</v>
      </c>
      <c r="F32" t="s">
        <v>643</v>
      </c>
      <c r="G32" s="4" t="str">
        <f t="shared" si="2"/>
        <v>63.29</v>
      </c>
      <c r="H32" t="str">
        <f t="shared" si="3"/>
        <v>63.29</v>
      </c>
      <c r="I32" s="1">
        <v>45716</v>
      </c>
      <c r="J32" s="2">
        <f t="shared" si="4"/>
        <v>1.752411575562695E-2</v>
      </c>
      <c r="K32" s="3" t="str">
        <f t="shared" si="5"/>
        <v/>
      </c>
      <c r="L32" t="str">
        <f t="shared" si="6"/>
        <v/>
      </c>
      <c r="M32" t="str">
        <f t="shared" si="7"/>
        <v/>
      </c>
      <c r="N32">
        <v>62.2</v>
      </c>
      <c r="O32" t="s">
        <v>101</v>
      </c>
      <c r="Q32" t="s">
        <v>19</v>
      </c>
    </row>
    <row r="33" spans="1:17" x14ac:dyDescent="0.3">
      <c r="A33">
        <v>38586</v>
      </c>
      <c r="B33" t="s">
        <v>102</v>
      </c>
      <c r="C33" t="s">
        <v>19</v>
      </c>
      <c r="D33" t="s">
        <v>103</v>
      </c>
      <c r="E33" s="6">
        <v>46.35</v>
      </c>
      <c r="F33" t="s">
        <v>643</v>
      </c>
      <c r="G33" s="4" t="str">
        <f t="shared" si="2"/>
        <v>46.35</v>
      </c>
      <c r="H33" t="str">
        <f t="shared" si="3"/>
        <v>46.35</v>
      </c>
      <c r="I33" s="1">
        <v>45716</v>
      </c>
      <c r="J33" s="2">
        <f t="shared" si="4"/>
        <v>-0.98049431241925233</v>
      </c>
      <c r="K33" s="3" t="str">
        <f t="shared" si="5"/>
        <v>Check!</v>
      </c>
      <c r="L33" t="str">
        <f t="shared" si="6"/>
        <v/>
      </c>
      <c r="M33" t="str">
        <f t="shared" si="7"/>
        <v/>
      </c>
      <c r="N33">
        <v>2376.23</v>
      </c>
      <c r="O33" t="s">
        <v>104</v>
      </c>
      <c r="Q33" t="s">
        <v>19</v>
      </c>
    </row>
    <row r="34" spans="1:17" x14ac:dyDescent="0.3">
      <c r="A34">
        <v>38842</v>
      </c>
      <c r="B34" t="s">
        <v>105</v>
      </c>
      <c r="C34" t="s">
        <v>19</v>
      </c>
      <c r="D34" t="s">
        <v>106</v>
      </c>
      <c r="E34" s="6">
        <v>36.119999999999997</v>
      </c>
      <c r="F34" t="s">
        <v>643</v>
      </c>
      <c r="G34" s="4" t="str">
        <f t="shared" si="2"/>
        <v>36.12</v>
      </c>
      <c r="H34" t="str">
        <f t="shared" si="3"/>
        <v>36.12</v>
      </c>
      <c r="I34" s="1">
        <v>45716</v>
      </c>
      <c r="J34" s="2">
        <f t="shared" si="4"/>
        <v>-0.98049918206702202</v>
      </c>
      <c r="K34" s="3" t="str">
        <f t="shared" si="5"/>
        <v>Check!</v>
      </c>
      <c r="L34" t="str">
        <f t="shared" si="6"/>
        <v/>
      </c>
      <c r="M34" t="str">
        <f t="shared" si="7"/>
        <v/>
      </c>
      <c r="N34">
        <v>1852.23</v>
      </c>
      <c r="O34" t="s">
        <v>107</v>
      </c>
      <c r="Q34" t="s">
        <v>19</v>
      </c>
    </row>
    <row r="35" spans="1:17" x14ac:dyDescent="0.3">
      <c r="A35">
        <v>38851</v>
      </c>
      <c r="B35" t="s">
        <v>108</v>
      </c>
      <c r="C35" t="s">
        <v>19</v>
      </c>
      <c r="D35" t="s">
        <v>109</v>
      </c>
      <c r="E35" s="6">
        <v>3.46</v>
      </c>
      <c r="F35" t="s">
        <v>643</v>
      </c>
      <c r="G35" s="4" t="str">
        <f t="shared" si="2"/>
        <v>3.46</v>
      </c>
      <c r="H35" t="str">
        <f t="shared" si="3"/>
        <v>3.46</v>
      </c>
      <c r="I35" s="1">
        <v>45716</v>
      </c>
      <c r="J35" s="2">
        <f t="shared" si="4"/>
        <v>-0.98116699325059864</v>
      </c>
      <c r="K35" s="3" t="str">
        <f t="shared" si="5"/>
        <v>Check!</v>
      </c>
      <c r="L35" t="str">
        <f t="shared" si="6"/>
        <v/>
      </c>
      <c r="M35" t="str">
        <f t="shared" si="7"/>
        <v/>
      </c>
      <c r="N35">
        <v>183.72</v>
      </c>
      <c r="O35" t="s">
        <v>110</v>
      </c>
      <c r="Q35" t="s">
        <v>19</v>
      </c>
    </row>
    <row r="36" spans="1:17" x14ac:dyDescent="0.3">
      <c r="A36">
        <v>38887</v>
      </c>
      <c r="B36" t="s">
        <v>111</v>
      </c>
      <c r="C36" t="s">
        <v>19</v>
      </c>
      <c r="D36" t="s">
        <v>112</v>
      </c>
      <c r="E36" s="6">
        <v>15.62</v>
      </c>
      <c r="F36" t="s">
        <v>643</v>
      </c>
      <c r="G36" s="4" t="str">
        <f t="shared" si="2"/>
        <v>15.62</v>
      </c>
      <c r="H36" t="str">
        <f t="shared" si="3"/>
        <v>15.62</v>
      </c>
      <c r="I36" s="1">
        <v>45716</v>
      </c>
      <c r="J36" s="2">
        <f t="shared" si="4"/>
        <v>-0.97283808927608817</v>
      </c>
      <c r="K36" s="3" t="str">
        <f t="shared" si="5"/>
        <v>Check!</v>
      </c>
      <c r="L36" t="str">
        <f t="shared" si="6"/>
        <v/>
      </c>
      <c r="M36" t="str">
        <f t="shared" si="7"/>
        <v/>
      </c>
      <c r="N36">
        <v>575.07000000000005</v>
      </c>
      <c r="O36" t="s">
        <v>113</v>
      </c>
      <c r="Q36" t="s">
        <v>19</v>
      </c>
    </row>
    <row r="37" spans="1:17" x14ac:dyDescent="0.3">
      <c r="A37">
        <v>41695</v>
      </c>
      <c r="B37" t="s">
        <v>114</v>
      </c>
      <c r="C37" t="s">
        <v>590</v>
      </c>
      <c r="D37" t="s">
        <v>117</v>
      </c>
      <c r="E37" s="6">
        <v>40490.269999999997</v>
      </c>
      <c r="F37" t="s">
        <v>643</v>
      </c>
      <c r="G37" s="4" t="str">
        <f t="shared" si="2"/>
        <v>40490.27</v>
      </c>
      <c r="H37" t="str">
        <f t="shared" si="3"/>
        <v>40490.27</v>
      </c>
      <c r="I37" s="1">
        <v>45716</v>
      </c>
      <c r="J37" s="2">
        <f t="shared" si="4"/>
        <v>1.2794797236031562E-2</v>
      </c>
      <c r="K37" s="3" t="str">
        <f t="shared" si="5"/>
        <v/>
      </c>
      <c r="L37" t="str">
        <f t="shared" si="6"/>
        <v/>
      </c>
      <c r="M37" t="str">
        <f t="shared" si="7"/>
        <v>Check</v>
      </c>
      <c r="N37">
        <v>39978.75</v>
      </c>
      <c r="O37" t="s">
        <v>581</v>
      </c>
      <c r="Q37" t="s">
        <v>16</v>
      </c>
    </row>
    <row r="38" spans="1:17" x14ac:dyDescent="0.3">
      <c r="A38">
        <v>41695</v>
      </c>
      <c r="B38" t="s">
        <v>114</v>
      </c>
      <c r="C38" t="s">
        <v>611</v>
      </c>
      <c r="D38" t="s">
        <v>115</v>
      </c>
      <c r="E38" s="6">
        <v>12311.61</v>
      </c>
      <c r="F38" t="s">
        <v>643</v>
      </c>
      <c r="G38" s="4" t="str">
        <f t="shared" si="2"/>
        <v>12311.61</v>
      </c>
      <c r="H38" t="str">
        <f t="shared" si="3"/>
        <v>12311.61</v>
      </c>
      <c r="I38" s="1">
        <v>45716</v>
      </c>
      <c r="J38" s="2">
        <f t="shared" si="4"/>
        <v>2.9600272963104884E-2</v>
      </c>
      <c r="K38" s="3" t="str">
        <f t="shared" si="5"/>
        <v/>
      </c>
      <c r="L38" t="str">
        <f t="shared" si="6"/>
        <v/>
      </c>
      <c r="M38" t="str">
        <f t="shared" si="7"/>
        <v>Check</v>
      </c>
      <c r="N38">
        <v>11957.66</v>
      </c>
      <c r="O38" t="s">
        <v>116</v>
      </c>
      <c r="Q38" t="s">
        <v>41</v>
      </c>
    </row>
    <row r="39" spans="1:17" x14ac:dyDescent="0.3">
      <c r="A39">
        <v>41695</v>
      </c>
      <c r="B39" t="s">
        <v>114</v>
      </c>
      <c r="C39" t="s">
        <v>606</v>
      </c>
      <c r="D39" t="s">
        <v>614</v>
      </c>
      <c r="E39" s="6">
        <v>25.14</v>
      </c>
      <c r="F39" t="s">
        <v>643</v>
      </c>
      <c r="G39" s="4" t="str">
        <f t="shared" si="2"/>
        <v>25.14</v>
      </c>
      <c r="H39" t="str">
        <f t="shared" si="3"/>
        <v>25.14</v>
      </c>
      <c r="I39" s="1">
        <v>45716</v>
      </c>
      <c r="J39" s="2">
        <f t="shared" si="4"/>
        <v>-0.98061441658184501</v>
      </c>
      <c r="K39" s="3" t="str">
        <f t="shared" si="5"/>
        <v>Check!</v>
      </c>
      <c r="L39" t="str">
        <f t="shared" si="6"/>
        <v/>
      </c>
      <c r="M39" t="str">
        <f t="shared" si="7"/>
        <v/>
      </c>
      <c r="N39">
        <v>1296.8399999999999</v>
      </c>
      <c r="O39" t="s">
        <v>648</v>
      </c>
      <c r="Q39" t="s">
        <v>606</v>
      </c>
    </row>
    <row r="40" spans="1:17" x14ac:dyDescent="0.3">
      <c r="A40">
        <v>41695</v>
      </c>
      <c r="B40" t="s">
        <v>114</v>
      </c>
      <c r="C40" t="s">
        <v>606</v>
      </c>
      <c r="D40" t="s">
        <v>614</v>
      </c>
      <c r="E40" s="6">
        <v>1312.64</v>
      </c>
      <c r="F40" t="s">
        <v>643</v>
      </c>
      <c r="G40" s="4" t="str">
        <f t="shared" si="2"/>
        <v>1312.64</v>
      </c>
      <c r="H40" t="str">
        <f t="shared" si="3"/>
        <v>1312.64</v>
      </c>
      <c r="I40" s="1">
        <v>45716</v>
      </c>
      <c r="J40" s="2">
        <f t="shared" si="4"/>
        <v>1.2183461336788026E-2</v>
      </c>
      <c r="K40" s="3" t="str">
        <f t="shared" si="5"/>
        <v/>
      </c>
      <c r="L40" t="str">
        <f t="shared" si="6"/>
        <v/>
      </c>
      <c r="M40" t="str">
        <f t="shared" si="7"/>
        <v/>
      </c>
      <c r="N40">
        <v>1296.8399999999999</v>
      </c>
      <c r="O40" t="s">
        <v>648</v>
      </c>
      <c r="Q40" t="s">
        <v>606</v>
      </c>
    </row>
    <row r="41" spans="1:17" x14ac:dyDescent="0.3">
      <c r="A41">
        <v>46589</v>
      </c>
      <c r="B41" t="s">
        <v>638</v>
      </c>
      <c r="C41" t="s">
        <v>19</v>
      </c>
      <c r="D41" t="s">
        <v>120</v>
      </c>
      <c r="E41" s="6">
        <v>45.38</v>
      </c>
      <c r="F41" t="s">
        <v>643</v>
      </c>
      <c r="G41" s="4" t="str">
        <f t="shared" si="2"/>
        <v>45.38</v>
      </c>
      <c r="H41" t="str">
        <f t="shared" si="3"/>
        <v>45.38</v>
      </c>
      <c r="I41" s="1">
        <v>45716</v>
      </c>
      <c r="J41" s="2">
        <f t="shared" si="4"/>
        <v>-0.98046096282932826</v>
      </c>
      <c r="K41" s="3" t="str">
        <f t="shared" si="5"/>
        <v>Check!</v>
      </c>
      <c r="L41" t="str">
        <f t="shared" si="6"/>
        <v/>
      </c>
      <c r="M41" t="str">
        <f t="shared" si="7"/>
        <v/>
      </c>
      <c r="N41">
        <v>2322.5300000000002</v>
      </c>
      <c r="O41" t="s">
        <v>121</v>
      </c>
      <c r="Q41" t="s">
        <v>19</v>
      </c>
    </row>
    <row r="42" spans="1:17" x14ac:dyDescent="0.3">
      <c r="A42">
        <v>54985</v>
      </c>
      <c r="B42" t="s">
        <v>122</v>
      </c>
      <c r="C42" t="s">
        <v>19</v>
      </c>
      <c r="D42" t="s">
        <v>123</v>
      </c>
      <c r="E42" s="6">
        <v>20.100000000000001</v>
      </c>
      <c r="F42" t="s">
        <v>643</v>
      </c>
      <c r="G42" s="4" t="str">
        <f t="shared" si="2"/>
        <v>20.1</v>
      </c>
      <c r="H42" t="str">
        <f t="shared" si="3"/>
        <v>20.1</v>
      </c>
      <c r="I42" s="1">
        <v>45716</v>
      </c>
      <c r="J42" s="2">
        <f t="shared" si="4"/>
        <v>-0.97923253363089702</v>
      </c>
      <c r="K42" s="3" t="str">
        <f t="shared" si="5"/>
        <v>Check!</v>
      </c>
      <c r="L42" t="str">
        <f t="shared" si="6"/>
        <v/>
      </c>
      <c r="M42" t="str">
        <f t="shared" si="7"/>
        <v/>
      </c>
      <c r="N42">
        <v>967.86</v>
      </c>
      <c r="O42" t="s">
        <v>124</v>
      </c>
      <c r="Q42" t="s">
        <v>19</v>
      </c>
    </row>
    <row r="43" spans="1:17" x14ac:dyDescent="0.3">
      <c r="A43">
        <v>61172</v>
      </c>
      <c r="B43" t="s">
        <v>125</v>
      </c>
      <c r="C43" t="s">
        <v>611</v>
      </c>
      <c r="D43" t="s">
        <v>126</v>
      </c>
      <c r="E43" s="6">
        <v>93899.76</v>
      </c>
      <c r="F43" t="s">
        <v>643</v>
      </c>
      <c r="G43" s="4" t="str">
        <f t="shared" si="2"/>
        <v>93899.76</v>
      </c>
      <c r="H43" t="str">
        <f t="shared" si="3"/>
        <v>93899.76</v>
      </c>
      <c r="I43" s="1">
        <v>45716</v>
      </c>
      <c r="J43" s="2">
        <f t="shared" si="4"/>
        <v>2.7457476118117767E-2</v>
      </c>
      <c r="K43" s="3" t="str">
        <f t="shared" si="5"/>
        <v/>
      </c>
      <c r="L43" t="str">
        <f t="shared" si="6"/>
        <v/>
      </c>
      <c r="M43" t="str">
        <f t="shared" si="7"/>
        <v>Check</v>
      </c>
      <c r="N43">
        <v>91390.41</v>
      </c>
      <c r="O43" t="s">
        <v>127</v>
      </c>
      <c r="Q43" t="s">
        <v>41</v>
      </c>
    </row>
    <row r="44" spans="1:17" x14ac:dyDescent="0.3">
      <c r="A44">
        <v>61172</v>
      </c>
      <c r="B44" t="s">
        <v>125</v>
      </c>
      <c r="C44" t="s">
        <v>606</v>
      </c>
      <c r="D44" t="s">
        <v>615</v>
      </c>
      <c r="E44" s="6">
        <v>152.28</v>
      </c>
      <c r="F44" t="s">
        <v>643</v>
      </c>
      <c r="G44" s="4" t="str">
        <f t="shared" si="2"/>
        <v>152.28</v>
      </c>
      <c r="H44" t="str">
        <f t="shared" si="3"/>
        <v>152.28</v>
      </c>
      <c r="I44" s="1">
        <v>45716</v>
      </c>
      <c r="J44" s="2">
        <f t="shared" si="4"/>
        <v>2.7599703083878827E-2</v>
      </c>
      <c r="K44" s="3" t="str">
        <f t="shared" si="5"/>
        <v/>
      </c>
      <c r="L44" t="str">
        <f t="shared" si="6"/>
        <v/>
      </c>
      <c r="M44" t="str">
        <f t="shared" si="7"/>
        <v/>
      </c>
      <c r="N44">
        <v>148.19</v>
      </c>
      <c r="O44" t="s">
        <v>649</v>
      </c>
      <c r="Q44" t="s">
        <v>606</v>
      </c>
    </row>
    <row r="45" spans="1:17" x14ac:dyDescent="0.3">
      <c r="A45">
        <v>61172</v>
      </c>
      <c r="B45" t="s">
        <v>125</v>
      </c>
      <c r="C45" t="s">
        <v>606</v>
      </c>
      <c r="D45" t="s">
        <v>615</v>
      </c>
      <c r="E45" s="6">
        <v>7949.87</v>
      </c>
      <c r="F45" t="s">
        <v>643</v>
      </c>
      <c r="G45" s="4" t="str">
        <f t="shared" si="2"/>
        <v>7949.87</v>
      </c>
      <c r="H45" t="str">
        <f t="shared" si="3"/>
        <v>7949.87</v>
      </c>
      <c r="I45" s="1">
        <v>45716</v>
      </c>
      <c r="J45" s="2">
        <f t="shared" si="4"/>
        <v>2.6938523483690781E-2</v>
      </c>
      <c r="K45" s="3" t="str">
        <f t="shared" si="5"/>
        <v/>
      </c>
      <c r="L45" t="str">
        <f t="shared" si="6"/>
        <v/>
      </c>
      <c r="M45" t="str">
        <f t="shared" si="7"/>
        <v/>
      </c>
      <c r="N45">
        <v>7741.33</v>
      </c>
      <c r="O45" t="s">
        <v>649</v>
      </c>
      <c r="Q45" t="s">
        <v>606</v>
      </c>
    </row>
    <row r="46" spans="1:17" x14ac:dyDescent="0.3">
      <c r="A46">
        <v>62166</v>
      </c>
      <c r="B46" t="s">
        <v>128</v>
      </c>
      <c r="C46" t="s">
        <v>606</v>
      </c>
      <c r="D46" t="s">
        <v>616</v>
      </c>
      <c r="E46" s="6">
        <v>151.30000000000001</v>
      </c>
      <c r="F46" t="s">
        <v>643</v>
      </c>
      <c r="G46" s="4" t="str">
        <f t="shared" si="2"/>
        <v>151.3</v>
      </c>
      <c r="H46" t="str">
        <f t="shared" si="3"/>
        <v>151.3</v>
      </c>
      <c r="I46" s="1">
        <v>45716</v>
      </c>
      <c r="J46" s="2">
        <f t="shared" si="4"/>
        <v>2.6528258362168568E-2</v>
      </c>
      <c r="K46" s="3" t="str">
        <f t="shared" si="5"/>
        <v/>
      </c>
      <c r="L46" t="str">
        <f t="shared" si="6"/>
        <v/>
      </c>
      <c r="M46" t="str">
        <f t="shared" si="7"/>
        <v/>
      </c>
      <c r="N46">
        <v>147.38999999999999</v>
      </c>
      <c r="O46" t="s">
        <v>650</v>
      </c>
      <c r="Q46" t="s">
        <v>606</v>
      </c>
    </row>
    <row r="47" spans="1:17" x14ac:dyDescent="0.3">
      <c r="A47">
        <v>62166</v>
      </c>
      <c r="B47" t="s">
        <v>128</v>
      </c>
      <c r="C47" t="s">
        <v>606</v>
      </c>
      <c r="D47" t="s">
        <v>616</v>
      </c>
      <c r="E47" s="6">
        <v>7899.19</v>
      </c>
      <c r="F47" t="s">
        <v>643</v>
      </c>
      <c r="G47" s="4" t="str">
        <f t="shared" si="2"/>
        <v>7899.19</v>
      </c>
      <c r="H47" t="str">
        <f t="shared" si="3"/>
        <v>7899.19</v>
      </c>
      <c r="I47" s="1">
        <v>45716</v>
      </c>
      <c r="J47" s="2">
        <f t="shared" si="4"/>
        <v>2.5880821983633541E-2</v>
      </c>
      <c r="K47" s="3" t="str">
        <f t="shared" si="5"/>
        <v/>
      </c>
      <c r="L47" t="str">
        <f t="shared" si="6"/>
        <v/>
      </c>
      <c r="M47" t="str">
        <f t="shared" si="7"/>
        <v/>
      </c>
      <c r="N47">
        <v>7699.91</v>
      </c>
      <c r="O47" t="s">
        <v>650</v>
      </c>
      <c r="Q47" t="s">
        <v>606</v>
      </c>
    </row>
    <row r="48" spans="1:17" x14ac:dyDescent="0.3">
      <c r="A48">
        <v>62166</v>
      </c>
      <c r="B48" t="s">
        <v>128</v>
      </c>
      <c r="C48" t="s">
        <v>611</v>
      </c>
      <c r="D48" t="s">
        <v>129</v>
      </c>
      <c r="E48" s="6">
        <v>85398.39</v>
      </c>
      <c r="F48" t="s">
        <v>643</v>
      </c>
      <c r="G48" s="4" t="str">
        <f t="shared" si="2"/>
        <v>85398.39</v>
      </c>
      <c r="H48" t="str">
        <f t="shared" si="3"/>
        <v>85398.39</v>
      </c>
      <c r="I48" s="1">
        <v>45716</v>
      </c>
      <c r="J48" s="2">
        <f t="shared" si="4"/>
        <v>2.6495502326366386E-2</v>
      </c>
      <c r="K48" s="3" t="str">
        <f t="shared" si="5"/>
        <v/>
      </c>
      <c r="L48" t="str">
        <f t="shared" si="6"/>
        <v/>
      </c>
      <c r="M48" t="str">
        <f t="shared" si="7"/>
        <v>Check</v>
      </c>
      <c r="N48">
        <v>83194.12</v>
      </c>
      <c r="O48" t="s">
        <v>130</v>
      </c>
      <c r="Q48" t="s">
        <v>41</v>
      </c>
    </row>
    <row r="49" spans="1:17" x14ac:dyDescent="0.3">
      <c r="A49">
        <v>69046</v>
      </c>
      <c r="B49" t="s">
        <v>131</v>
      </c>
      <c r="C49" t="s">
        <v>19</v>
      </c>
      <c r="D49" t="s">
        <v>132</v>
      </c>
      <c r="E49" s="6">
        <v>321.7</v>
      </c>
      <c r="F49" t="s">
        <v>643</v>
      </c>
      <c r="G49" s="4" t="str">
        <f t="shared" si="2"/>
        <v>321.7</v>
      </c>
      <c r="H49" t="str">
        <f t="shared" si="3"/>
        <v>321.7</v>
      </c>
      <c r="I49" s="1">
        <v>45716</v>
      </c>
      <c r="J49" s="2">
        <f t="shared" si="4"/>
        <v>1.5595403460032825E-2</v>
      </c>
      <c r="K49" s="3" t="str">
        <f t="shared" si="5"/>
        <v/>
      </c>
      <c r="L49" t="str">
        <f t="shared" si="6"/>
        <v/>
      </c>
      <c r="M49" t="str">
        <f t="shared" si="7"/>
        <v/>
      </c>
      <c r="N49">
        <v>316.76</v>
      </c>
      <c r="O49" t="s">
        <v>133</v>
      </c>
      <c r="Q49" t="s">
        <v>19</v>
      </c>
    </row>
    <row r="50" spans="1:17" x14ac:dyDescent="0.3">
      <c r="A50">
        <v>72002</v>
      </c>
      <c r="B50" t="s">
        <v>134</v>
      </c>
      <c r="C50" t="s">
        <v>590</v>
      </c>
      <c r="D50" t="s">
        <v>135</v>
      </c>
      <c r="E50" s="6">
        <v>459.96</v>
      </c>
      <c r="F50" t="s">
        <v>643</v>
      </c>
      <c r="G50" s="4" t="str">
        <f t="shared" si="2"/>
        <v>459.96</v>
      </c>
      <c r="H50" t="str">
        <f t="shared" si="3"/>
        <v>459.96</v>
      </c>
      <c r="I50" s="1">
        <v>45716</v>
      </c>
      <c r="J50" s="2">
        <f t="shared" si="4"/>
        <v>-0.18400510928186201</v>
      </c>
      <c r="K50" s="3" t="str">
        <f t="shared" si="5"/>
        <v>Check!</v>
      </c>
      <c r="L50" t="str">
        <f t="shared" si="6"/>
        <v/>
      </c>
      <c r="M50" t="str">
        <f t="shared" si="7"/>
        <v>Check</v>
      </c>
      <c r="N50">
        <v>563.67999999999995</v>
      </c>
      <c r="O50" t="s">
        <v>136</v>
      </c>
      <c r="Q50" t="s">
        <v>16</v>
      </c>
    </row>
    <row r="51" spans="1:17" x14ac:dyDescent="0.3">
      <c r="A51">
        <v>72002</v>
      </c>
      <c r="B51" t="s">
        <v>134</v>
      </c>
      <c r="C51" t="s">
        <v>19</v>
      </c>
      <c r="D51" t="s">
        <v>137</v>
      </c>
      <c r="E51" s="6">
        <v>437.58</v>
      </c>
      <c r="F51" t="s">
        <v>643</v>
      </c>
      <c r="G51" s="4" t="str">
        <f t="shared" si="2"/>
        <v>437.58</v>
      </c>
      <c r="H51" t="str">
        <f t="shared" si="3"/>
        <v>437.58</v>
      </c>
      <c r="I51" s="1">
        <v>45716</v>
      </c>
      <c r="J51" s="2">
        <f t="shared" si="4"/>
        <v>1.2518221995973732E-2</v>
      </c>
      <c r="K51" s="3" t="str">
        <f t="shared" si="5"/>
        <v/>
      </c>
      <c r="L51" t="str">
        <f t="shared" si="6"/>
        <v/>
      </c>
      <c r="M51" t="str">
        <f t="shared" si="7"/>
        <v/>
      </c>
      <c r="N51">
        <v>432.17</v>
      </c>
      <c r="O51" t="s">
        <v>138</v>
      </c>
      <c r="Q51" t="s">
        <v>19</v>
      </c>
    </row>
    <row r="52" spans="1:17" x14ac:dyDescent="0.3">
      <c r="A52">
        <v>72002</v>
      </c>
      <c r="B52" t="s">
        <v>134</v>
      </c>
      <c r="C52" t="s">
        <v>19</v>
      </c>
      <c r="D52" t="s">
        <v>139</v>
      </c>
      <c r="E52" s="6">
        <v>105.02</v>
      </c>
      <c r="F52" t="s">
        <v>643</v>
      </c>
      <c r="G52" s="4" t="str">
        <f t="shared" si="2"/>
        <v>105.02</v>
      </c>
      <c r="H52" t="str">
        <f t="shared" si="3"/>
        <v>105.02</v>
      </c>
      <c r="I52" s="1">
        <v>45716</v>
      </c>
      <c r="J52" s="2">
        <f t="shared" si="4"/>
        <v>1.6945870049385109E-2</v>
      </c>
      <c r="K52" s="3" t="str">
        <f t="shared" si="5"/>
        <v/>
      </c>
      <c r="L52" t="str">
        <f t="shared" si="6"/>
        <v/>
      </c>
      <c r="M52" t="str">
        <f t="shared" si="7"/>
        <v/>
      </c>
      <c r="N52">
        <v>103.27</v>
      </c>
      <c r="O52" t="s">
        <v>140</v>
      </c>
      <c r="Q52" t="s">
        <v>19</v>
      </c>
    </row>
    <row r="53" spans="1:17" x14ac:dyDescent="0.3">
      <c r="A53">
        <v>80212</v>
      </c>
      <c r="B53" t="s">
        <v>141</v>
      </c>
      <c r="C53" t="s">
        <v>590</v>
      </c>
      <c r="D53" t="s">
        <v>142</v>
      </c>
      <c r="E53" s="6">
        <v>7.74</v>
      </c>
      <c r="F53" t="s">
        <v>643</v>
      </c>
      <c r="G53" s="4" t="str">
        <f t="shared" si="2"/>
        <v>7.74</v>
      </c>
      <c r="H53" t="str">
        <f t="shared" si="3"/>
        <v>7.74</v>
      </c>
      <c r="I53" s="1">
        <v>45716</v>
      </c>
      <c r="J53" s="2">
        <f t="shared" si="4"/>
        <v>-0.98042042953631325</v>
      </c>
      <c r="K53" s="3" t="str">
        <f t="shared" si="5"/>
        <v>Check!</v>
      </c>
      <c r="L53" t="str">
        <f t="shared" si="6"/>
        <v/>
      </c>
      <c r="M53" t="str">
        <f t="shared" si="7"/>
        <v>Check</v>
      </c>
      <c r="N53">
        <v>395.31</v>
      </c>
      <c r="O53" t="s">
        <v>143</v>
      </c>
      <c r="Q53" t="s">
        <v>16</v>
      </c>
    </row>
    <row r="54" spans="1:17" x14ac:dyDescent="0.3">
      <c r="A54">
        <v>80212</v>
      </c>
      <c r="B54" t="s">
        <v>141</v>
      </c>
      <c r="C54" t="s">
        <v>611</v>
      </c>
      <c r="D54" t="s">
        <v>144</v>
      </c>
      <c r="E54" s="6">
        <v>34257.93</v>
      </c>
      <c r="F54" t="s">
        <v>643</v>
      </c>
      <c r="G54" s="4" t="str">
        <f t="shared" si="2"/>
        <v>34257.93</v>
      </c>
      <c r="H54" t="str">
        <f t="shared" si="3"/>
        <v>34257.93</v>
      </c>
      <c r="I54" s="1">
        <v>45716</v>
      </c>
      <c r="J54" s="2">
        <f t="shared" si="4"/>
        <v>3.0119742869462719E-2</v>
      </c>
      <c r="K54" s="3" t="str">
        <f t="shared" si="5"/>
        <v/>
      </c>
      <c r="L54" t="str">
        <f t="shared" si="6"/>
        <v/>
      </c>
      <c r="M54" t="str">
        <f t="shared" si="7"/>
        <v>Check</v>
      </c>
      <c r="N54">
        <v>33256.26</v>
      </c>
      <c r="O54" t="s">
        <v>145</v>
      </c>
      <c r="Q54" t="s">
        <v>41</v>
      </c>
    </row>
    <row r="55" spans="1:17" x14ac:dyDescent="0.3">
      <c r="A55">
        <v>80212</v>
      </c>
      <c r="B55" t="s">
        <v>141</v>
      </c>
      <c r="C55" t="s">
        <v>606</v>
      </c>
      <c r="D55" t="s">
        <v>617</v>
      </c>
      <c r="E55" s="6">
        <v>74.87</v>
      </c>
      <c r="F55" t="s">
        <v>643</v>
      </c>
      <c r="G55" s="4" t="str">
        <f t="shared" si="2"/>
        <v>74.87</v>
      </c>
      <c r="H55" t="str">
        <f t="shared" si="3"/>
        <v>74.87</v>
      </c>
      <c r="I55" s="1">
        <v>45716</v>
      </c>
      <c r="J55" s="2">
        <f t="shared" si="4"/>
        <v>4.2322149519699377E-2</v>
      </c>
      <c r="K55" s="3" t="str">
        <f t="shared" si="5"/>
        <v/>
      </c>
      <c r="L55" t="str">
        <f t="shared" si="6"/>
        <v/>
      </c>
      <c r="M55" t="str">
        <f t="shared" si="7"/>
        <v/>
      </c>
      <c r="N55">
        <v>71.83</v>
      </c>
      <c r="O55" t="s">
        <v>651</v>
      </c>
      <c r="Q55" t="s">
        <v>606</v>
      </c>
    </row>
    <row r="56" spans="1:17" x14ac:dyDescent="0.3">
      <c r="A56">
        <v>80212</v>
      </c>
      <c r="B56" t="s">
        <v>141</v>
      </c>
      <c r="C56" t="s">
        <v>606</v>
      </c>
      <c r="D56" t="s">
        <v>617</v>
      </c>
      <c r="E56" s="6">
        <v>3907.49</v>
      </c>
      <c r="F56" t="s">
        <v>643</v>
      </c>
      <c r="G56" s="4" t="str">
        <f t="shared" si="2"/>
        <v>3907.49</v>
      </c>
      <c r="H56" t="str">
        <f t="shared" si="3"/>
        <v>3907.49</v>
      </c>
      <c r="I56" s="1">
        <v>45716</v>
      </c>
      <c r="J56" s="2">
        <f t="shared" si="4"/>
        <v>4.1691770414011856E-2</v>
      </c>
      <c r="K56" s="3" t="str">
        <f t="shared" si="5"/>
        <v/>
      </c>
      <c r="L56" t="str">
        <f t="shared" si="6"/>
        <v/>
      </c>
      <c r="M56" t="str">
        <f t="shared" si="7"/>
        <v/>
      </c>
      <c r="N56">
        <v>3751.1</v>
      </c>
      <c r="O56" t="s">
        <v>651</v>
      </c>
      <c r="Q56" t="s">
        <v>606</v>
      </c>
    </row>
    <row r="57" spans="1:17" x14ac:dyDescent="0.3">
      <c r="A57">
        <v>81381</v>
      </c>
      <c r="B57" t="s">
        <v>593</v>
      </c>
      <c r="C57" t="s">
        <v>19</v>
      </c>
      <c r="D57" t="s">
        <v>146</v>
      </c>
      <c r="E57" s="6">
        <v>126.98</v>
      </c>
      <c r="F57" t="s">
        <v>643</v>
      </c>
      <c r="G57" s="4" t="str">
        <f t="shared" si="2"/>
        <v>126.98</v>
      </c>
      <c r="H57" t="str">
        <f t="shared" si="3"/>
        <v>126.98</v>
      </c>
      <c r="I57" s="1">
        <v>45716</v>
      </c>
      <c r="J57" s="2">
        <f t="shared" si="4"/>
        <v>1.4703532044110623E-2</v>
      </c>
      <c r="K57" s="3" t="str">
        <f t="shared" si="5"/>
        <v/>
      </c>
      <c r="L57" t="str">
        <f t="shared" si="6"/>
        <v/>
      </c>
      <c r="M57" t="str">
        <f t="shared" si="7"/>
        <v/>
      </c>
      <c r="N57">
        <v>125.14</v>
      </c>
      <c r="O57" t="s">
        <v>147</v>
      </c>
      <c r="Q57" t="s">
        <v>19</v>
      </c>
    </row>
    <row r="58" spans="1:17" x14ac:dyDescent="0.3">
      <c r="A58">
        <v>81381</v>
      </c>
      <c r="B58" t="s">
        <v>593</v>
      </c>
      <c r="C58" t="s">
        <v>19</v>
      </c>
      <c r="D58" t="s">
        <v>148</v>
      </c>
      <c r="E58" s="6">
        <v>5690.82</v>
      </c>
      <c r="F58" t="s">
        <v>643</v>
      </c>
      <c r="G58" s="4" t="str">
        <f t="shared" si="2"/>
        <v>5690.82</v>
      </c>
      <c r="H58" t="str">
        <f t="shared" si="3"/>
        <v>5690.82</v>
      </c>
      <c r="I58" s="1">
        <v>45716</v>
      </c>
      <c r="J58" s="2">
        <f t="shared" si="4"/>
        <v>1.1742702368274483E-2</v>
      </c>
      <c r="K58" s="3" t="str">
        <f t="shared" si="5"/>
        <v/>
      </c>
      <c r="L58" t="str">
        <f t="shared" si="6"/>
        <v/>
      </c>
      <c r="M58" t="str">
        <f t="shared" si="7"/>
        <v/>
      </c>
      <c r="N58">
        <v>5624.77</v>
      </c>
      <c r="O58" t="s">
        <v>149</v>
      </c>
      <c r="Q58" t="s">
        <v>19</v>
      </c>
    </row>
    <row r="59" spans="1:17" x14ac:dyDescent="0.3">
      <c r="A59">
        <v>113590</v>
      </c>
      <c r="B59" t="s">
        <v>150</v>
      </c>
      <c r="C59" t="s">
        <v>19</v>
      </c>
      <c r="D59" t="s">
        <v>151</v>
      </c>
      <c r="E59" s="6">
        <v>173.43</v>
      </c>
      <c r="F59" t="s">
        <v>643</v>
      </c>
      <c r="G59" s="4" t="str">
        <f t="shared" si="2"/>
        <v>173.43</v>
      </c>
      <c r="H59" t="str">
        <f t="shared" si="3"/>
        <v>173.43</v>
      </c>
      <c r="I59" s="1">
        <v>45716</v>
      </c>
      <c r="J59" s="2">
        <f t="shared" si="4"/>
        <v>1.2375226198120393E-2</v>
      </c>
      <c r="K59" s="3" t="str">
        <f t="shared" si="5"/>
        <v/>
      </c>
      <c r="L59" t="str">
        <f t="shared" si="6"/>
        <v/>
      </c>
      <c r="M59" t="str">
        <f t="shared" si="7"/>
        <v/>
      </c>
      <c r="N59">
        <v>171.31</v>
      </c>
      <c r="O59" t="s">
        <v>152</v>
      </c>
      <c r="Q59" t="s">
        <v>19</v>
      </c>
    </row>
    <row r="60" spans="1:17" x14ac:dyDescent="0.3">
      <c r="A60">
        <v>113590</v>
      </c>
      <c r="B60" t="s">
        <v>150</v>
      </c>
      <c r="C60" t="s">
        <v>19</v>
      </c>
      <c r="D60" t="s">
        <v>153</v>
      </c>
      <c r="E60" s="6">
        <v>47</v>
      </c>
      <c r="F60" t="s">
        <v>643</v>
      </c>
      <c r="G60" s="4" t="str">
        <f t="shared" si="2"/>
        <v>47</v>
      </c>
      <c r="H60" t="str">
        <f t="shared" si="3"/>
        <v>47</v>
      </c>
      <c r="I60" s="1">
        <v>45716</v>
      </c>
      <c r="J60" s="2">
        <f t="shared" si="4"/>
        <v>-0.97882463190902702</v>
      </c>
      <c r="K60" s="3" t="str">
        <f t="shared" si="5"/>
        <v>Check!</v>
      </c>
      <c r="L60" t="str">
        <f t="shared" si="6"/>
        <v/>
      </c>
      <c r="M60" t="str">
        <f t="shared" si="7"/>
        <v/>
      </c>
      <c r="N60">
        <v>2219.56</v>
      </c>
      <c r="O60" t="s">
        <v>154</v>
      </c>
      <c r="Q60" t="s">
        <v>19</v>
      </c>
    </row>
    <row r="61" spans="1:17" x14ac:dyDescent="0.3">
      <c r="A61">
        <v>130912</v>
      </c>
      <c r="B61" t="s">
        <v>604</v>
      </c>
      <c r="C61" t="s">
        <v>590</v>
      </c>
      <c r="D61" t="s">
        <v>605</v>
      </c>
      <c r="E61" s="6">
        <v>154.63999999999999</v>
      </c>
      <c r="F61" t="s">
        <v>643</v>
      </c>
      <c r="G61" s="4" t="str">
        <f t="shared" si="2"/>
        <v>154.64</v>
      </c>
      <c r="H61" t="str">
        <f t="shared" si="3"/>
        <v>154.64</v>
      </c>
      <c r="I61" s="1">
        <v>45716</v>
      </c>
      <c r="J61" s="2">
        <f t="shared" si="4"/>
        <v>1.3833344260145448E-2</v>
      </c>
      <c r="K61" s="3" t="str">
        <f t="shared" si="5"/>
        <v/>
      </c>
      <c r="L61" t="str">
        <f t="shared" si="6"/>
        <v/>
      </c>
      <c r="M61" t="str">
        <f t="shared" si="7"/>
        <v/>
      </c>
      <c r="N61">
        <v>152.53</v>
      </c>
      <c r="O61" t="s">
        <v>652</v>
      </c>
      <c r="Q61" t="s">
        <v>590</v>
      </c>
    </row>
    <row r="62" spans="1:17" x14ac:dyDescent="0.3">
      <c r="A62">
        <v>133380</v>
      </c>
      <c r="B62" t="s">
        <v>155</v>
      </c>
      <c r="C62" t="s">
        <v>611</v>
      </c>
      <c r="D62" t="s">
        <v>156</v>
      </c>
      <c r="E62" s="6">
        <v>20909.43</v>
      </c>
      <c r="F62" t="s">
        <v>643</v>
      </c>
      <c r="G62" s="4" t="str">
        <f t="shared" si="2"/>
        <v>20909.43</v>
      </c>
      <c r="H62" t="str">
        <f t="shared" si="3"/>
        <v>20909.43</v>
      </c>
      <c r="I62" s="1">
        <v>45716</v>
      </c>
      <c r="J62" s="2">
        <f t="shared" si="4"/>
        <v>3.2602179042592272E-2</v>
      </c>
      <c r="K62" s="3" t="str">
        <f t="shared" si="5"/>
        <v/>
      </c>
      <c r="L62" t="str">
        <f t="shared" si="6"/>
        <v/>
      </c>
      <c r="M62" t="str">
        <f t="shared" si="7"/>
        <v>Check</v>
      </c>
      <c r="N62">
        <v>20249.259999999998</v>
      </c>
      <c r="O62" t="s">
        <v>157</v>
      </c>
      <c r="Q62" t="s">
        <v>41</v>
      </c>
    </row>
    <row r="63" spans="1:17" x14ac:dyDescent="0.3">
      <c r="A63">
        <v>133380</v>
      </c>
      <c r="B63" t="s">
        <v>155</v>
      </c>
      <c r="C63" t="s">
        <v>606</v>
      </c>
      <c r="D63" t="s">
        <v>618</v>
      </c>
      <c r="E63" s="6">
        <v>44.69</v>
      </c>
      <c r="F63" t="s">
        <v>643</v>
      </c>
      <c r="G63" s="4" t="str">
        <f t="shared" si="2"/>
        <v>44.69</v>
      </c>
      <c r="H63" t="str">
        <f t="shared" si="3"/>
        <v>44.69</v>
      </c>
      <c r="I63" s="1">
        <v>45716</v>
      </c>
      <c r="J63" s="2">
        <f t="shared" si="4"/>
        <v>-0.98060329861111106</v>
      </c>
      <c r="K63" s="3" t="str">
        <f t="shared" si="5"/>
        <v>Check!</v>
      </c>
      <c r="L63" t="str">
        <f t="shared" si="6"/>
        <v/>
      </c>
      <c r="M63" t="str">
        <f t="shared" si="7"/>
        <v/>
      </c>
      <c r="N63">
        <v>2304</v>
      </c>
      <c r="O63" t="s">
        <v>653</v>
      </c>
      <c r="Q63" t="s">
        <v>606</v>
      </c>
    </row>
    <row r="64" spans="1:17" x14ac:dyDescent="0.3">
      <c r="A64">
        <v>133380</v>
      </c>
      <c r="B64" t="s">
        <v>155</v>
      </c>
      <c r="C64" t="s">
        <v>606</v>
      </c>
      <c r="D64" t="s">
        <v>618</v>
      </c>
      <c r="E64" s="6">
        <v>2332.17</v>
      </c>
      <c r="F64" t="s">
        <v>643</v>
      </c>
      <c r="G64" s="4" t="str">
        <f t="shared" si="2"/>
        <v>2332.17</v>
      </c>
      <c r="H64" t="str">
        <f t="shared" si="3"/>
        <v>2332.17</v>
      </c>
      <c r="I64" s="1">
        <v>45716</v>
      </c>
      <c r="J64" s="2">
        <f t="shared" si="4"/>
        <v>1.2226562500000031E-2</v>
      </c>
      <c r="K64" s="3" t="str">
        <f t="shared" si="5"/>
        <v/>
      </c>
      <c r="L64" t="str">
        <f t="shared" si="6"/>
        <v/>
      </c>
      <c r="M64" t="str">
        <f t="shared" si="7"/>
        <v/>
      </c>
      <c r="N64">
        <v>2304</v>
      </c>
      <c r="O64" t="s">
        <v>653</v>
      </c>
      <c r="Q64" t="s">
        <v>606</v>
      </c>
    </row>
    <row r="65" spans="1:17" x14ac:dyDescent="0.3">
      <c r="A65">
        <v>133382</v>
      </c>
      <c r="B65" t="s">
        <v>158</v>
      </c>
      <c r="C65" t="s">
        <v>611</v>
      </c>
      <c r="D65" t="s">
        <v>159</v>
      </c>
      <c r="E65" s="6">
        <v>2408.1799999999998</v>
      </c>
      <c r="F65" t="s">
        <v>643</v>
      </c>
      <c r="G65" s="4" t="str">
        <f t="shared" si="2"/>
        <v>2408.18</v>
      </c>
      <c r="H65" t="str">
        <f t="shared" si="3"/>
        <v>2408.18</v>
      </c>
      <c r="I65" s="1">
        <v>45716</v>
      </c>
      <c r="J65" s="2">
        <f t="shared" si="4"/>
        <v>1.2235873681732639E-2</v>
      </c>
      <c r="K65" s="3" t="str">
        <f t="shared" si="5"/>
        <v/>
      </c>
      <c r="L65" t="str">
        <f t="shared" si="6"/>
        <v/>
      </c>
      <c r="M65" t="str">
        <f t="shared" si="7"/>
        <v>Check</v>
      </c>
      <c r="N65">
        <v>2379.0700000000002</v>
      </c>
      <c r="O65" t="s">
        <v>160</v>
      </c>
      <c r="Q65" t="s">
        <v>41</v>
      </c>
    </row>
    <row r="66" spans="1:17" x14ac:dyDescent="0.3">
      <c r="A66">
        <v>133382</v>
      </c>
      <c r="B66" t="s">
        <v>158</v>
      </c>
      <c r="C66" t="s">
        <v>606</v>
      </c>
      <c r="D66" t="s">
        <v>619</v>
      </c>
      <c r="E66" s="6">
        <v>5.18</v>
      </c>
      <c r="F66" t="s">
        <v>643</v>
      </c>
      <c r="G66" s="4" t="str">
        <f t="shared" si="2"/>
        <v>5.18</v>
      </c>
      <c r="H66" t="str">
        <f t="shared" si="3"/>
        <v>5.18</v>
      </c>
      <c r="I66" s="1">
        <v>45716</v>
      </c>
      <c r="J66" s="2">
        <f t="shared" si="4"/>
        <v>-0.9805519053876478</v>
      </c>
      <c r="K66" s="3" t="str">
        <f t="shared" si="5"/>
        <v>Check!</v>
      </c>
      <c r="L66" t="str">
        <f t="shared" si="6"/>
        <v/>
      </c>
      <c r="M66" t="str">
        <f t="shared" si="7"/>
        <v/>
      </c>
      <c r="N66">
        <v>266.35000000000002</v>
      </c>
      <c r="O66" t="s">
        <v>654</v>
      </c>
      <c r="Q66" t="s">
        <v>606</v>
      </c>
    </row>
    <row r="67" spans="1:17" x14ac:dyDescent="0.3">
      <c r="A67">
        <v>133382</v>
      </c>
      <c r="B67" t="s">
        <v>158</v>
      </c>
      <c r="C67" t="s">
        <v>606</v>
      </c>
      <c r="D67" t="s">
        <v>619</v>
      </c>
      <c r="E67" s="6">
        <v>269.69</v>
      </c>
      <c r="F67" t="s">
        <v>643</v>
      </c>
      <c r="G67" s="4" t="str">
        <f t="shared" ref="G67:G130" si="8">SUBSTITUTE(E67,"R","")</f>
        <v>269.69</v>
      </c>
      <c r="H67" t="str">
        <f t="shared" ref="H67:H130" si="9">SUBSTITUTE(G67,",","")</f>
        <v>269.69</v>
      </c>
      <c r="I67" s="1">
        <v>45716</v>
      </c>
      <c r="J67" s="2">
        <f t="shared" ref="J67:J130" si="10">(H67-N67)/N67</f>
        <v>1.2539891120705743E-2</v>
      </c>
      <c r="K67" s="3" t="str">
        <f t="shared" ref="K67:K130" si="11">IF(ABS(J67)&gt;0.1,"Check!","")</f>
        <v/>
      </c>
      <c r="L67" t="str">
        <f t="shared" ref="L67:L130" si="12">IF(LEFT(O67,10)&lt;&gt;LEFT(D67,10),"Check","")</f>
        <v/>
      </c>
      <c r="M67" t="str">
        <f t="shared" ref="M67:M130" si="13">IF(Q67&lt;&gt;C67,"Check","")</f>
        <v/>
      </c>
      <c r="N67">
        <v>266.35000000000002</v>
      </c>
      <c r="O67" t="s">
        <v>654</v>
      </c>
      <c r="Q67" t="s">
        <v>606</v>
      </c>
    </row>
    <row r="68" spans="1:17" x14ac:dyDescent="0.3">
      <c r="A68">
        <v>135931</v>
      </c>
      <c r="B68" t="s">
        <v>161</v>
      </c>
      <c r="C68" t="s">
        <v>590</v>
      </c>
      <c r="D68" t="s">
        <v>162</v>
      </c>
      <c r="E68" s="6">
        <v>14.44</v>
      </c>
      <c r="F68" t="s">
        <v>643</v>
      </c>
      <c r="G68" s="4" t="str">
        <f t="shared" si="8"/>
        <v>14.44</v>
      </c>
      <c r="H68" t="str">
        <f t="shared" si="9"/>
        <v>14.44</v>
      </c>
      <c r="I68" s="1">
        <v>45716</v>
      </c>
      <c r="J68" s="2">
        <f t="shared" si="10"/>
        <v>-0.98796827089721362</v>
      </c>
      <c r="K68" s="3" t="str">
        <f t="shared" si="11"/>
        <v>Check!</v>
      </c>
      <c r="L68" t="str">
        <f t="shared" si="12"/>
        <v/>
      </c>
      <c r="M68" t="str">
        <f t="shared" si="13"/>
        <v>Check</v>
      </c>
      <c r="N68">
        <v>1200.1600000000001</v>
      </c>
      <c r="O68" t="s">
        <v>163</v>
      </c>
      <c r="Q68" t="s">
        <v>16</v>
      </c>
    </row>
    <row r="69" spans="1:17" x14ac:dyDescent="0.3">
      <c r="A69">
        <v>100202693</v>
      </c>
      <c r="B69" t="s">
        <v>594</v>
      </c>
      <c r="C69" t="s">
        <v>590</v>
      </c>
      <c r="D69" t="s">
        <v>599</v>
      </c>
      <c r="E69" s="6">
        <v>1086.8399999999999</v>
      </c>
      <c r="F69" t="s">
        <v>643</v>
      </c>
      <c r="G69" s="4" t="str">
        <f t="shared" si="8"/>
        <v>1086.84</v>
      </c>
      <c r="H69" t="str">
        <f t="shared" si="9"/>
        <v>1086.84</v>
      </c>
      <c r="I69" s="1">
        <v>45716</v>
      </c>
      <c r="J69" s="2">
        <f t="shared" si="10"/>
        <v>1.2238055322715723E-2</v>
      </c>
      <c r="K69" s="3" t="str">
        <f t="shared" si="11"/>
        <v/>
      </c>
      <c r="L69" t="str">
        <f t="shared" si="12"/>
        <v/>
      </c>
      <c r="M69" t="str">
        <f t="shared" si="13"/>
        <v/>
      </c>
      <c r="N69">
        <v>1073.7</v>
      </c>
      <c r="O69" t="s">
        <v>655</v>
      </c>
      <c r="Q69" t="s">
        <v>590</v>
      </c>
    </row>
    <row r="70" spans="1:17" x14ac:dyDescent="0.3">
      <c r="A70">
        <v>100202693</v>
      </c>
      <c r="B70" t="s">
        <v>594</v>
      </c>
      <c r="C70" t="s">
        <v>19</v>
      </c>
      <c r="D70" t="s">
        <v>598</v>
      </c>
      <c r="E70" s="6">
        <v>2992.11</v>
      </c>
      <c r="F70" t="s">
        <v>643</v>
      </c>
      <c r="G70" s="4" t="str">
        <f t="shared" si="8"/>
        <v>2992.11</v>
      </c>
      <c r="H70" t="str">
        <f t="shared" si="9"/>
        <v>2992.11</v>
      </c>
      <c r="I70" s="1">
        <v>45716</v>
      </c>
      <c r="J70" s="2">
        <f t="shared" si="10"/>
        <v>-0.98063734946448589</v>
      </c>
      <c r="K70" s="3" t="str">
        <f t="shared" si="11"/>
        <v>Check!</v>
      </c>
      <c r="L70" t="str">
        <f t="shared" si="12"/>
        <v/>
      </c>
      <c r="M70" t="str">
        <f t="shared" si="13"/>
        <v/>
      </c>
      <c r="N70">
        <v>154529.98000000001</v>
      </c>
      <c r="O70" t="s">
        <v>656</v>
      </c>
      <c r="Q70" t="s">
        <v>19</v>
      </c>
    </row>
    <row r="71" spans="1:17" x14ac:dyDescent="0.3">
      <c r="A71">
        <v>100202693</v>
      </c>
      <c r="B71" t="s">
        <v>594</v>
      </c>
      <c r="C71" t="s">
        <v>19</v>
      </c>
      <c r="D71" t="s">
        <v>597</v>
      </c>
      <c r="E71" s="6">
        <v>767.8</v>
      </c>
      <c r="F71" t="s">
        <v>643</v>
      </c>
      <c r="G71" s="4" t="str">
        <f t="shared" si="8"/>
        <v>767.8</v>
      </c>
      <c r="H71" t="str">
        <f t="shared" si="9"/>
        <v>767.8</v>
      </c>
      <c r="I71" s="1">
        <v>45716</v>
      </c>
      <c r="J71" s="2">
        <f t="shared" si="10"/>
        <v>1.1954186601294183E-2</v>
      </c>
      <c r="K71" s="3" t="str">
        <f t="shared" si="11"/>
        <v/>
      </c>
      <c r="L71" t="str">
        <f t="shared" si="12"/>
        <v/>
      </c>
      <c r="M71" t="str">
        <f t="shared" si="13"/>
        <v/>
      </c>
      <c r="N71">
        <v>758.73</v>
      </c>
      <c r="O71" t="s">
        <v>657</v>
      </c>
      <c r="Q71" t="s">
        <v>19</v>
      </c>
    </row>
    <row r="72" spans="1:17" x14ac:dyDescent="0.3">
      <c r="A72">
        <v>100220898</v>
      </c>
      <c r="B72" t="s">
        <v>166</v>
      </c>
      <c r="C72" t="s">
        <v>19</v>
      </c>
      <c r="D72" t="s">
        <v>167</v>
      </c>
      <c r="E72" s="6">
        <v>1195.54</v>
      </c>
      <c r="F72" t="s">
        <v>643</v>
      </c>
      <c r="G72" s="4" t="str">
        <f t="shared" si="8"/>
        <v>1195.54</v>
      </c>
      <c r="H72" t="str">
        <f t="shared" si="9"/>
        <v>1195.54</v>
      </c>
      <c r="I72" s="1">
        <v>45716</v>
      </c>
      <c r="J72" s="2">
        <f t="shared" si="10"/>
        <v>1.1977416433184522E-2</v>
      </c>
      <c r="K72" s="3" t="str">
        <f t="shared" si="11"/>
        <v/>
      </c>
      <c r="L72" t="str">
        <f t="shared" si="12"/>
        <v/>
      </c>
      <c r="M72" t="str">
        <f t="shared" si="13"/>
        <v/>
      </c>
      <c r="N72">
        <v>1181.3900000000001</v>
      </c>
      <c r="O72" t="s">
        <v>168</v>
      </c>
      <c r="Q72" t="s">
        <v>19</v>
      </c>
    </row>
    <row r="73" spans="1:17" x14ac:dyDescent="0.3">
      <c r="A73">
        <v>100249944</v>
      </c>
      <c r="B73" t="s">
        <v>173</v>
      </c>
      <c r="C73" t="s">
        <v>19</v>
      </c>
      <c r="D73" t="s">
        <v>174</v>
      </c>
      <c r="E73" s="6">
        <v>203.13</v>
      </c>
      <c r="F73" t="s">
        <v>643</v>
      </c>
      <c r="G73" s="4" t="str">
        <f t="shared" si="8"/>
        <v>203.13</v>
      </c>
      <c r="H73" t="str">
        <f t="shared" si="9"/>
        <v>203.13</v>
      </c>
      <c r="I73" s="1">
        <v>45716</v>
      </c>
      <c r="J73" s="2">
        <f t="shared" si="10"/>
        <v>1.1956359288596652E-2</v>
      </c>
      <c r="K73" s="3" t="str">
        <f t="shared" si="11"/>
        <v/>
      </c>
      <c r="L73" t="str">
        <f t="shared" si="12"/>
        <v/>
      </c>
      <c r="M73" t="str">
        <f t="shared" si="13"/>
        <v/>
      </c>
      <c r="N73">
        <v>200.73</v>
      </c>
      <c r="O73" t="s">
        <v>175</v>
      </c>
      <c r="Q73" t="s">
        <v>19</v>
      </c>
    </row>
    <row r="74" spans="1:17" x14ac:dyDescent="0.3">
      <c r="A74">
        <v>100250182</v>
      </c>
      <c r="B74" t="s">
        <v>176</v>
      </c>
      <c r="C74" t="s">
        <v>19</v>
      </c>
      <c r="D74" t="s">
        <v>177</v>
      </c>
      <c r="E74" s="6">
        <v>1832.17</v>
      </c>
      <c r="F74" t="s">
        <v>643</v>
      </c>
      <c r="G74" s="4" t="str">
        <f t="shared" si="8"/>
        <v>1832.17</v>
      </c>
      <c r="H74" t="str">
        <f t="shared" si="9"/>
        <v>1832.17</v>
      </c>
      <c r="I74" s="1">
        <v>45716</v>
      </c>
      <c r="J74" s="2">
        <f t="shared" si="10"/>
        <v>1.1846116461959908E-2</v>
      </c>
      <c r="K74" s="3" t="str">
        <f t="shared" si="11"/>
        <v/>
      </c>
      <c r="L74" t="str">
        <f t="shared" si="12"/>
        <v/>
      </c>
      <c r="M74" t="str">
        <f t="shared" si="13"/>
        <v/>
      </c>
      <c r="N74">
        <v>1810.72</v>
      </c>
      <c r="O74" t="s">
        <v>178</v>
      </c>
      <c r="Q74" t="s">
        <v>19</v>
      </c>
    </row>
    <row r="75" spans="1:17" x14ac:dyDescent="0.3">
      <c r="A75">
        <v>100271808</v>
      </c>
      <c r="B75" t="s">
        <v>179</v>
      </c>
      <c r="C75" t="s">
        <v>611</v>
      </c>
      <c r="D75" t="s">
        <v>180</v>
      </c>
      <c r="E75" s="6">
        <v>16018.08</v>
      </c>
      <c r="F75" t="s">
        <v>643</v>
      </c>
      <c r="G75" s="4" t="str">
        <f t="shared" si="8"/>
        <v>16018.08</v>
      </c>
      <c r="H75" t="str">
        <f t="shared" si="9"/>
        <v>16018.08</v>
      </c>
      <c r="I75" s="1">
        <v>45716</v>
      </c>
      <c r="J75" s="2">
        <f t="shared" si="10"/>
        <v>3.4147752363588475E-2</v>
      </c>
      <c r="K75" s="3" t="str">
        <f t="shared" si="11"/>
        <v/>
      </c>
      <c r="L75" t="str">
        <f t="shared" si="12"/>
        <v/>
      </c>
      <c r="M75" t="str">
        <f t="shared" si="13"/>
        <v>Check</v>
      </c>
      <c r="N75">
        <v>15489.16</v>
      </c>
      <c r="O75" t="s">
        <v>181</v>
      </c>
      <c r="Q75" t="s">
        <v>41</v>
      </c>
    </row>
    <row r="76" spans="1:17" x14ac:dyDescent="0.3">
      <c r="A76">
        <v>100271808</v>
      </c>
      <c r="B76" t="s">
        <v>179</v>
      </c>
      <c r="C76" t="s">
        <v>606</v>
      </c>
      <c r="D76" t="s">
        <v>620</v>
      </c>
      <c r="E76" s="6">
        <v>34.46</v>
      </c>
      <c r="F76" t="s">
        <v>643</v>
      </c>
      <c r="G76" s="4" t="str">
        <f t="shared" si="8"/>
        <v>34.46</v>
      </c>
      <c r="H76" t="str">
        <f t="shared" si="9"/>
        <v>34.46</v>
      </c>
      <c r="I76" s="1">
        <v>45716</v>
      </c>
      <c r="J76" s="2">
        <f t="shared" si="10"/>
        <v>-0.98059488011172302</v>
      </c>
      <c r="K76" s="3" t="str">
        <f t="shared" si="11"/>
        <v>Check!</v>
      </c>
      <c r="L76" t="str">
        <f t="shared" si="12"/>
        <v/>
      </c>
      <c r="M76" t="str">
        <f t="shared" si="13"/>
        <v/>
      </c>
      <c r="N76">
        <v>1775.82</v>
      </c>
      <c r="O76" t="s">
        <v>658</v>
      </c>
      <c r="Q76" t="s">
        <v>606</v>
      </c>
    </row>
    <row r="77" spans="1:17" x14ac:dyDescent="0.3">
      <c r="A77">
        <v>100271808</v>
      </c>
      <c r="B77" t="s">
        <v>179</v>
      </c>
      <c r="C77" t="s">
        <v>606</v>
      </c>
      <c r="D77" t="s">
        <v>620</v>
      </c>
      <c r="E77" s="6">
        <v>1797.61</v>
      </c>
      <c r="F77" t="s">
        <v>643</v>
      </c>
      <c r="G77" s="4" t="str">
        <f t="shared" si="8"/>
        <v>1797.61</v>
      </c>
      <c r="H77" t="str">
        <f t="shared" si="9"/>
        <v>1797.61</v>
      </c>
      <c r="I77" s="1">
        <v>45716</v>
      </c>
      <c r="J77" s="2">
        <f t="shared" si="10"/>
        <v>1.2270387764525664E-2</v>
      </c>
      <c r="K77" s="3" t="str">
        <f t="shared" si="11"/>
        <v/>
      </c>
      <c r="L77" t="str">
        <f t="shared" si="12"/>
        <v/>
      </c>
      <c r="M77" t="str">
        <f t="shared" si="13"/>
        <v/>
      </c>
      <c r="N77">
        <v>1775.82</v>
      </c>
      <c r="O77" t="s">
        <v>658</v>
      </c>
      <c r="Q77" t="s">
        <v>606</v>
      </c>
    </row>
    <row r="78" spans="1:17" x14ac:dyDescent="0.3">
      <c r="A78">
        <v>100278188</v>
      </c>
      <c r="B78" t="s">
        <v>187</v>
      </c>
      <c r="C78" t="s">
        <v>590</v>
      </c>
      <c r="D78" t="s">
        <v>188</v>
      </c>
      <c r="E78" s="6">
        <v>160.77000000000001</v>
      </c>
      <c r="F78" t="s">
        <v>643</v>
      </c>
      <c r="G78" s="4" t="str">
        <f t="shared" si="8"/>
        <v>160.77</v>
      </c>
      <c r="H78" t="str">
        <f t="shared" si="9"/>
        <v>160.77</v>
      </c>
      <c r="I78" s="1">
        <v>45716</v>
      </c>
      <c r="J78" s="2">
        <f t="shared" si="10"/>
        <v>-0.98936666966501396</v>
      </c>
      <c r="K78" s="3" t="str">
        <f t="shared" si="11"/>
        <v>Check!</v>
      </c>
      <c r="L78" t="str">
        <f t="shared" si="12"/>
        <v/>
      </c>
      <c r="M78" t="str">
        <f t="shared" si="13"/>
        <v>Check</v>
      </c>
      <c r="N78">
        <v>15119.44</v>
      </c>
      <c r="O78" t="s">
        <v>189</v>
      </c>
      <c r="Q78" t="s">
        <v>16</v>
      </c>
    </row>
    <row r="79" spans="1:17" x14ac:dyDescent="0.3">
      <c r="A79">
        <v>100278188</v>
      </c>
      <c r="B79" t="s">
        <v>187</v>
      </c>
      <c r="C79" t="s">
        <v>19</v>
      </c>
      <c r="D79" t="s">
        <v>190</v>
      </c>
      <c r="E79" s="6">
        <v>170.58</v>
      </c>
      <c r="F79" t="s">
        <v>643</v>
      </c>
      <c r="G79" s="4" t="str">
        <f t="shared" si="8"/>
        <v>170.58</v>
      </c>
      <c r="H79" t="str">
        <f t="shared" si="9"/>
        <v>170.58</v>
      </c>
      <c r="I79" s="1">
        <v>45716</v>
      </c>
      <c r="J79" s="2">
        <f t="shared" si="10"/>
        <v>2.7466570292735828E-2</v>
      </c>
      <c r="K79" s="3" t="str">
        <f t="shared" si="11"/>
        <v/>
      </c>
      <c r="L79" t="str">
        <f t="shared" si="12"/>
        <v/>
      </c>
      <c r="M79" t="str">
        <f t="shared" si="13"/>
        <v/>
      </c>
      <c r="N79">
        <v>166.02</v>
      </c>
      <c r="O79" t="s">
        <v>191</v>
      </c>
      <c r="Q79" t="s">
        <v>19</v>
      </c>
    </row>
    <row r="80" spans="1:17" x14ac:dyDescent="0.3">
      <c r="A80">
        <v>100278188</v>
      </c>
      <c r="B80" t="s">
        <v>187</v>
      </c>
      <c r="C80" t="s">
        <v>19</v>
      </c>
      <c r="D80" t="s">
        <v>192</v>
      </c>
      <c r="E80" s="6">
        <v>273.93</v>
      </c>
      <c r="F80" t="s">
        <v>643</v>
      </c>
      <c r="G80" s="4" t="str">
        <f t="shared" si="8"/>
        <v>273.93</v>
      </c>
      <c r="H80" t="str">
        <f t="shared" si="9"/>
        <v>273.93</v>
      </c>
      <c r="I80" s="1">
        <v>45716</v>
      </c>
      <c r="J80" s="2">
        <f t="shared" si="10"/>
        <v>1.455555555555558E-2</v>
      </c>
      <c r="K80" s="3" t="str">
        <f t="shared" si="11"/>
        <v/>
      </c>
      <c r="L80" t="str">
        <f t="shared" si="12"/>
        <v/>
      </c>
      <c r="M80" t="str">
        <f t="shared" si="13"/>
        <v/>
      </c>
      <c r="N80">
        <v>270</v>
      </c>
      <c r="O80" t="s">
        <v>193</v>
      </c>
      <c r="Q80" t="s">
        <v>19</v>
      </c>
    </row>
    <row r="81" spans="1:17" x14ac:dyDescent="0.3">
      <c r="A81">
        <v>100278188</v>
      </c>
      <c r="B81" t="s">
        <v>187</v>
      </c>
      <c r="C81" t="s">
        <v>19</v>
      </c>
      <c r="D81" t="s">
        <v>194</v>
      </c>
      <c r="E81" s="6">
        <v>269.35000000000002</v>
      </c>
      <c r="F81" t="s">
        <v>643</v>
      </c>
      <c r="G81" s="4" t="str">
        <f t="shared" si="8"/>
        <v>269.35</v>
      </c>
      <c r="H81" t="str">
        <f t="shared" si="9"/>
        <v>269.35</v>
      </c>
      <c r="I81" s="1">
        <v>45716</v>
      </c>
      <c r="J81" s="2">
        <f t="shared" si="10"/>
        <v>1.2746277635734861E-2</v>
      </c>
      <c r="K81" s="3" t="str">
        <f t="shared" si="11"/>
        <v/>
      </c>
      <c r="L81" t="str">
        <f t="shared" si="12"/>
        <v/>
      </c>
      <c r="M81" t="str">
        <f t="shared" si="13"/>
        <v/>
      </c>
      <c r="N81">
        <v>265.95999999999998</v>
      </c>
      <c r="O81" t="s">
        <v>195</v>
      </c>
      <c r="Q81" t="s">
        <v>19</v>
      </c>
    </row>
    <row r="82" spans="1:17" x14ac:dyDescent="0.3">
      <c r="A82">
        <v>100317997</v>
      </c>
      <c r="B82" t="s">
        <v>199</v>
      </c>
      <c r="C82" t="s">
        <v>606</v>
      </c>
      <c r="D82" t="s">
        <v>621</v>
      </c>
      <c r="E82" s="6">
        <v>6.96</v>
      </c>
      <c r="F82" t="s">
        <v>643</v>
      </c>
      <c r="G82" s="4" t="str">
        <f t="shared" si="8"/>
        <v>6.96</v>
      </c>
      <c r="H82" t="str">
        <f t="shared" si="9"/>
        <v>6.96</v>
      </c>
      <c r="I82" s="1">
        <v>45716</v>
      </c>
      <c r="J82" s="2">
        <f t="shared" si="10"/>
        <v>-0.98061497326203217</v>
      </c>
      <c r="K82" s="3" t="str">
        <f t="shared" si="11"/>
        <v>Check!</v>
      </c>
      <c r="L82" t="str">
        <f t="shared" si="12"/>
        <v/>
      </c>
      <c r="M82" t="str">
        <f t="shared" si="13"/>
        <v/>
      </c>
      <c r="N82">
        <v>359.04</v>
      </c>
      <c r="O82" t="s">
        <v>659</v>
      </c>
      <c r="Q82" t="s">
        <v>606</v>
      </c>
    </row>
    <row r="83" spans="1:17" x14ac:dyDescent="0.3">
      <c r="A83">
        <v>100317997</v>
      </c>
      <c r="B83" t="s">
        <v>199</v>
      </c>
      <c r="C83" t="s">
        <v>606</v>
      </c>
      <c r="D83" t="s">
        <v>621</v>
      </c>
      <c r="E83" s="6">
        <v>363.08</v>
      </c>
      <c r="F83" t="s">
        <v>643</v>
      </c>
      <c r="G83" s="4" t="str">
        <f t="shared" si="8"/>
        <v>363.08</v>
      </c>
      <c r="H83" t="str">
        <f t="shared" si="9"/>
        <v>363.08</v>
      </c>
      <c r="I83" s="1">
        <v>45716</v>
      </c>
      <c r="J83" s="2">
        <f t="shared" si="10"/>
        <v>1.1252228163992769E-2</v>
      </c>
      <c r="K83" s="3" t="str">
        <f t="shared" si="11"/>
        <v/>
      </c>
      <c r="L83" t="str">
        <f t="shared" si="12"/>
        <v/>
      </c>
      <c r="M83" t="str">
        <f t="shared" si="13"/>
        <v/>
      </c>
      <c r="N83">
        <v>359.04</v>
      </c>
      <c r="O83" t="s">
        <v>659</v>
      </c>
      <c r="Q83" t="s">
        <v>606</v>
      </c>
    </row>
    <row r="84" spans="1:17" x14ac:dyDescent="0.3">
      <c r="A84">
        <v>100317997</v>
      </c>
      <c r="B84" t="s">
        <v>199</v>
      </c>
      <c r="C84" t="s">
        <v>611</v>
      </c>
      <c r="D84" t="s">
        <v>200</v>
      </c>
      <c r="E84" s="6">
        <v>3378.21</v>
      </c>
      <c r="F84" t="s">
        <v>643</v>
      </c>
      <c r="G84" s="4" t="str">
        <f t="shared" si="8"/>
        <v>3378.21</v>
      </c>
      <c r="H84" t="str">
        <f t="shared" si="9"/>
        <v>3378.21</v>
      </c>
      <c r="I84" s="1">
        <v>45716</v>
      </c>
      <c r="J84" s="2">
        <f t="shared" si="10"/>
        <v>3.0394441462105341E-2</v>
      </c>
      <c r="K84" s="3" t="str">
        <f t="shared" si="11"/>
        <v/>
      </c>
      <c r="L84" t="str">
        <f t="shared" si="12"/>
        <v/>
      </c>
      <c r="M84" t="str">
        <f t="shared" si="13"/>
        <v>Check</v>
      </c>
      <c r="N84">
        <v>3278.56</v>
      </c>
      <c r="O84" t="s">
        <v>201</v>
      </c>
      <c r="Q84" t="s">
        <v>41</v>
      </c>
    </row>
    <row r="85" spans="1:17" x14ac:dyDescent="0.3">
      <c r="A85">
        <v>100325823</v>
      </c>
      <c r="B85" t="s">
        <v>202</v>
      </c>
      <c r="C85" t="s">
        <v>19</v>
      </c>
      <c r="D85" t="s">
        <v>203</v>
      </c>
      <c r="E85" s="6">
        <v>186.01</v>
      </c>
      <c r="F85" t="s">
        <v>643</v>
      </c>
      <c r="G85" s="4" t="str">
        <f t="shared" si="8"/>
        <v>186.01</v>
      </c>
      <c r="H85" t="str">
        <f t="shared" si="9"/>
        <v>186.01</v>
      </c>
      <c r="I85" s="1">
        <v>45716</v>
      </c>
      <c r="J85" s="2">
        <f t="shared" si="10"/>
        <v>-0.98064508744620449</v>
      </c>
      <c r="K85" s="3" t="str">
        <f t="shared" si="11"/>
        <v>Check!</v>
      </c>
      <c r="L85" t="str">
        <f t="shared" si="12"/>
        <v/>
      </c>
      <c r="M85" t="str">
        <f t="shared" si="13"/>
        <v/>
      </c>
      <c r="N85">
        <v>9610.48</v>
      </c>
      <c r="O85" t="s">
        <v>204</v>
      </c>
      <c r="Q85" t="s">
        <v>19</v>
      </c>
    </row>
    <row r="86" spans="1:17" x14ac:dyDescent="0.3">
      <c r="A86">
        <v>100376880</v>
      </c>
      <c r="B86" t="s">
        <v>205</v>
      </c>
      <c r="C86" t="s">
        <v>590</v>
      </c>
      <c r="D86" t="s">
        <v>206</v>
      </c>
      <c r="E86" s="6">
        <v>2159.17</v>
      </c>
      <c r="F86" t="s">
        <v>643</v>
      </c>
      <c r="G86" s="4" t="str">
        <f t="shared" si="8"/>
        <v>2159.17</v>
      </c>
      <c r="H86" t="str">
        <f t="shared" si="9"/>
        <v>2159.17</v>
      </c>
      <c r="I86" s="1">
        <v>45716</v>
      </c>
      <c r="J86" s="2">
        <f t="shared" si="10"/>
        <v>1.2895931847181678E-2</v>
      </c>
      <c r="K86" s="3" t="str">
        <f t="shared" si="11"/>
        <v/>
      </c>
      <c r="L86" t="str">
        <f t="shared" si="12"/>
        <v/>
      </c>
      <c r="M86" t="str">
        <f t="shared" si="13"/>
        <v>Check</v>
      </c>
      <c r="N86">
        <v>2131.6799999999998</v>
      </c>
      <c r="O86" t="s">
        <v>207</v>
      </c>
      <c r="Q86" t="s">
        <v>16</v>
      </c>
    </row>
    <row r="87" spans="1:17" x14ac:dyDescent="0.3">
      <c r="A87">
        <v>100376880</v>
      </c>
      <c r="B87" t="s">
        <v>205</v>
      </c>
      <c r="C87" t="s">
        <v>19</v>
      </c>
      <c r="D87" t="s">
        <v>208</v>
      </c>
      <c r="E87" s="6">
        <v>1.38</v>
      </c>
      <c r="F87" t="s">
        <v>643</v>
      </c>
      <c r="G87" s="4" t="str">
        <f t="shared" si="8"/>
        <v>1.38</v>
      </c>
      <c r="H87" t="str">
        <f t="shared" si="9"/>
        <v>1.38</v>
      </c>
      <c r="I87" s="1">
        <v>45716</v>
      </c>
      <c r="J87" s="2">
        <f t="shared" si="10"/>
        <v>-0.97665764546684708</v>
      </c>
      <c r="K87" s="3" t="str">
        <f t="shared" si="11"/>
        <v>Check!</v>
      </c>
      <c r="L87" t="str">
        <f t="shared" si="12"/>
        <v/>
      </c>
      <c r="M87" t="str">
        <f t="shared" si="13"/>
        <v/>
      </c>
      <c r="N87">
        <v>59.12</v>
      </c>
      <c r="O87" t="s">
        <v>209</v>
      </c>
      <c r="Q87" t="s">
        <v>19</v>
      </c>
    </row>
    <row r="88" spans="1:17" x14ac:dyDescent="0.3">
      <c r="A88">
        <v>100408912</v>
      </c>
      <c r="B88" t="s">
        <v>215</v>
      </c>
      <c r="C88" t="s">
        <v>19</v>
      </c>
      <c r="D88" t="s">
        <v>216</v>
      </c>
      <c r="E88" s="6">
        <v>831.58</v>
      </c>
      <c r="F88" t="s">
        <v>643</v>
      </c>
      <c r="G88" s="4" t="str">
        <f t="shared" si="8"/>
        <v>831.58</v>
      </c>
      <c r="H88" t="str">
        <f t="shared" si="9"/>
        <v>831.58</v>
      </c>
      <c r="I88" s="1">
        <v>45716</v>
      </c>
      <c r="J88" s="2">
        <f t="shared" si="10"/>
        <v>1.209775570809607E-2</v>
      </c>
      <c r="K88" s="3" t="str">
        <f t="shared" si="11"/>
        <v/>
      </c>
      <c r="L88" t="str">
        <f t="shared" si="12"/>
        <v/>
      </c>
      <c r="M88" t="str">
        <f t="shared" si="13"/>
        <v/>
      </c>
      <c r="N88">
        <v>821.64</v>
      </c>
      <c r="O88" t="s">
        <v>217</v>
      </c>
      <c r="Q88" t="s">
        <v>19</v>
      </c>
    </row>
    <row r="89" spans="1:17" x14ac:dyDescent="0.3">
      <c r="A89">
        <v>100421069</v>
      </c>
      <c r="B89" t="s">
        <v>218</v>
      </c>
      <c r="C89" t="s">
        <v>590</v>
      </c>
      <c r="D89" t="s">
        <v>219</v>
      </c>
      <c r="E89" s="6">
        <v>170278.85</v>
      </c>
      <c r="F89" t="s">
        <v>643</v>
      </c>
      <c r="G89" s="4" t="str">
        <f t="shared" si="8"/>
        <v>170278.85</v>
      </c>
      <c r="H89" t="str">
        <f t="shared" si="9"/>
        <v>170278.85</v>
      </c>
      <c r="I89" s="1">
        <v>45716</v>
      </c>
      <c r="J89" s="2">
        <f t="shared" si="10"/>
        <v>2.0968966212487035E-3</v>
      </c>
      <c r="K89" s="3" t="str">
        <f t="shared" si="11"/>
        <v/>
      </c>
      <c r="L89" t="str">
        <f t="shared" si="12"/>
        <v/>
      </c>
      <c r="M89" t="str">
        <f t="shared" si="13"/>
        <v>Check</v>
      </c>
      <c r="N89">
        <v>169922.54</v>
      </c>
      <c r="O89" t="s">
        <v>660</v>
      </c>
      <c r="Q89" t="s">
        <v>16</v>
      </c>
    </row>
    <row r="90" spans="1:17" x14ac:dyDescent="0.3">
      <c r="A90">
        <v>100421069</v>
      </c>
      <c r="B90" t="s">
        <v>218</v>
      </c>
      <c r="C90" t="s">
        <v>19</v>
      </c>
      <c r="D90" t="s">
        <v>220</v>
      </c>
      <c r="E90" s="6">
        <v>414.6</v>
      </c>
      <c r="F90" t="s">
        <v>643</v>
      </c>
      <c r="G90" s="4" t="str">
        <f t="shared" si="8"/>
        <v>414.6</v>
      </c>
      <c r="H90" t="str">
        <f t="shared" si="9"/>
        <v>414.6</v>
      </c>
      <c r="I90" s="1">
        <v>45716</v>
      </c>
      <c r="J90" s="2">
        <f t="shared" si="10"/>
        <v>1.4684287812041116E-2</v>
      </c>
      <c r="K90" s="3" t="str">
        <f t="shared" si="11"/>
        <v/>
      </c>
      <c r="L90" t="str">
        <f t="shared" si="12"/>
        <v/>
      </c>
      <c r="M90" t="str">
        <f t="shared" si="13"/>
        <v/>
      </c>
      <c r="N90">
        <v>408.6</v>
      </c>
      <c r="O90" t="s">
        <v>221</v>
      </c>
      <c r="Q90" t="s">
        <v>19</v>
      </c>
    </row>
    <row r="91" spans="1:17" x14ac:dyDescent="0.3">
      <c r="A91">
        <v>100421069</v>
      </c>
      <c r="B91" t="s">
        <v>218</v>
      </c>
      <c r="C91" t="s">
        <v>19</v>
      </c>
      <c r="D91" t="s">
        <v>224</v>
      </c>
      <c r="E91" s="6">
        <v>225.46</v>
      </c>
      <c r="F91" t="s">
        <v>643</v>
      </c>
      <c r="G91" s="4" t="str">
        <f t="shared" si="8"/>
        <v>225.46</v>
      </c>
      <c r="H91" t="str">
        <f t="shared" si="9"/>
        <v>225.46</v>
      </c>
      <c r="I91" s="1">
        <v>45716</v>
      </c>
      <c r="J91" s="2">
        <f t="shared" si="10"/>
        <v>1.6868121955619743E-2</v>
      </c>
      <c r="K91" s="3" t="str">
        <f t="shared" si="11"/>
        <v/>
      </c>
      <c r="L91" t="str">
        <f t="shared" si="12"/>
        <v/>
      </c>
      <c r="M91" t="str">
        <f t="shared" si="13"/>
        <v/>
      </c>
      <c r="N91">
        <v>221.72</v>
      </c>
      <c r="O91" t="s">
        <v>225</v>
      </c>
      <c r="Q91" t="s">
        <v>19</v>
      </c>
    </row>
    <row r="92" spans="1:17" x14ac:dyDescent="0.3">
      <c r="A92">
        <v>100463771</v>
      </c>
      <c r="B92" t="s">
        <v>226</v>
      </c>
      <c r="C92" t="s">
        <v>590</v>
      </c>
      <c r="D92" t="s">
        <v>227</v>
      </c>
      <c r="E92" s="6">
        <v>1425.75</v>
      </c>
      <c r="F92" t="s">
        <v>643</v>
      </c>
      <c r="G92" s="4" t="str">
        <f t="shared" si="8"/>
        <v>1425.75</v>
      </c>
      <c r="H92" t="str">
        <f t="shared" si="9"/>
        <v>1425.75</v>
      </c>
      <c r="I92" s="1">
        <v>45716</v>
      </c>
      <c r="J92" s="2">
        <f t="shared" si="10"/>
        <v>1.2822334304184098E-2</v>
      </c>
      <c r="K92" s="3" t="str">
        <f t="shared" si="11"/>
        <v/>
      </c>
      <c r="L92" t="str">
        <f t="shared" si="12"/>
        <v/>
      </c>
      <c r="M92" t="str">
        <f t="shared" si="13"/>
        <v>Check</v>
      </c>
      <c r="N92">
        <v>1407.7</v>
      </c>
      <c r="O92" t="s">
        <v>228</v>
      </c>
      <c r="Q92" t="s">
        <v>16</v>
      </c>
    </row>
    <row r="93" spans="1:17" x14ac:dyDescent="0.3">
      <c r="A93">
        <v>100492707</v>
      </c>
      <c r="B93" t="s">
        <v>232</v>
      </c>
      <c r="C93" t="s">
        <v>19</v>
      </c>
      <c r="D93" t="s">
        <v>233</v>
      </c>
      <c r="E93" s="6">
        <v>286.07</v>
      </c>
      <c r="F93" t="s">
        <v>643</v>
      </c>
      <c r="G93" s="4" t="str">
        <f t="shared" si="8"/>
        <v>286.07</v>
      </c>
      <c r="H93" t="str">
        <f t="shared" si="9"/>
        <v>286.07</v>
      </c>
      <c r="I93" s="1">
        <v>45716</v>
      </c>
      <c r="J93" s="2">
        <f t="shared" si="10"/>
        <v>1.2565482089763597E-2</v>
      </c>
      <c r="K93" s="3" t="str">
        <f t="shared" si="11"/>
        <v/>
      </c>
      <c r="L93" t="str">
        <f t="shared" si="12"/>
        <v/>
      </c>
      <c r="M93" t="str">
        <f t="shared" si="13"/>
        <v/>
      </c>
      <c r="N93">
        <v>282.52</v>
      </c>
      <c r="O93" t="s">
        <v>234</v>
      </c>
      <c r="Q93" t="s">
        <v>19</v>
      </c>
    </row>
    <row r="94" spans="1:17" x14ac:dyDescent="0.3">
      <c r="A94">
        <v>100497270</v>
      </c>
      <c r="B94" t="s">
        <v>235</v>
      </c>
      <c r="C94" t="s">
        <v>606</v>
      </c>
      <c r="D94" t="s">
        <v>625</v>
      </c>
      <c r="E94" s="6">
        <v>57.59</v>
      </c>
      <c r="F94" t="s">
        <v>643</v>
      </c>
      <c r="G94" s="4" t="str">
        <f t="shared" si="8"/>
        <v>57.59</v>
      </c>
      <c r="H94" t="str">
        <f t="shared" si="9"/>
        <v>57.59</v>
      </c>
      <c r="I94" s="1">
        <v>45716</v>
      </c>
      <c r="J94" s="2">
        <f t="shared" si="10"/>
        <v>3.6910334893770332E-2</v>
      </c>
      <c r="K94" s="3" t="str">
        <f t="shared" si="11"/>
        <v/>
      </c>
      <c r="L94" t="str">
        <f t="shared" si="12"/>
        <v/>
      </c>
      <c r="M94" t="str">
        <f t="shared" si="13"/>
        <v/>
      </c>
      <c r="N94">
        <v>55.54</v>
      </c>
      <c r="O94" t="s">
        <v>661</v>
      </c>
      <c r="Q94" t="s">
        <v>606</v>
      </c>
    </row>
    <row r="95" spans="1:17" x14ac:dyDescent="0.3">
      <c r="A95">
        <v>100497270</v>
      </c>
      <c r="B95" t="s">
        <v>235</v>
      </c>
      <c r="C95" t="s">
        <v>606</v>
      </c>
      <c r="D95" t="s">
        <v>625</v>
      </c>
      <c r="E95" s="6">
        <v>3007.73</v>
      </c>
      <c r="F95" t="s">
        <v>643</v>
      </c>
      <c r="G95" s="4" t="str">
        <f t="shared" si="8"/>
        <v>3007.73</v>
      </c>
      <c r="H95" t="str">
        <f t="shared" si="9"/>
        <v>3007.73</v>
      </c>
      <c r="I95" s="1">
        <v>45716</v>
      </c>
      <c r="J95" s="2">
        <f t="shared" si="10"/>
        <v>3.663710653022826E-2</v>
      </c>
      <c r="K95" s="3" t="str">
        <f t="shared" si="11"/>
        <v/>
      </c>
      <c r="L95" t="str">
        <f t="shared" si="12"/>
        <v/>
      </c>
      <c r="M95" t="str">
        <f t="shared" si="13"/>
        <v/>
      </c>
      <c r="N95">
        <v>2901.43</v>
      </c>
      <c r="O95" t="s">
        <v>661</v>
      </c>
      <c r="Q95" t="s">
        <v>606</v>
      </c>
    </row>
    <row r="96" spans="1:17" x14ac:dyDescent="0.3">
      <c r="A96">
        <v>100497270</v>
      </c>
      <c r="B96" t="s">
        <v>235</v>
      </c>
      <c r="C96" t="s">
        <v>611</v>
      </c>
      <c r="D96" t="s">
        <v>236</v>
      </c>
      <c r="E96" s="6">
        <v>26476.65</v>
      </c>
      <c r="F96" t="s">
        <v>643</v>
      </c>
      <c r="G96" s="4" t="str">
        <f t="shared" si="8"/>
        <v>26476.65</v>
      </c>
      <c r="H96" t="str">
        <f t="shared" si="9"/>
        <v>26476.65</v>
      </c>
      <c r="I96" s="1">
        <v>45716</v>
      </c>
      <c r="J96" s="2">
        <f t="shared" si="10"/>
        <v>2.9306685119815969E-2</v>
      </c>
      <c r="K96" s="3" t="str">
        <f t="shared" si="11"/>
        <v/>
      </c>
      <c r="L96" t="str">
        <f t="shared" si="12"/>
        <v/>
      </c>
      <c r="M96" t="str">
        <f t="shared" si="13"/>
        <v>Check</v>
      </c>
      <c r="N96">
        <v>25722.799999999999</v>
      </c>
      <c r="O96" t="s">
        <v>237</v>
      </c>
      <c r="Q96" t="s">
        <v>41</v>
      </c>
    </row>
    <row r="97" spans="1:17" x14ac:dyDescent="0.3">
      <c r="A97">
        <v>100562496</v>
      </c>
      <c r="B97" t="s">
        <v>238</v>
      </c>
      <c r="C97" t="s">
        <v>611</v>
      </c>
      <c r="D97" t="s">
        <v>239</v>
      </c>
      <c r="E97" s="6">
        <v>32421.93</v>
      </c>
      <c r="F97" t="s">
        <v>643</v>
      </c>
      <c r="G97" s="4" t="str">
        <f t="shared" si="8"/>
        <v>32421.93</v>
      </c>
      <c r="H97" t="str">
        <f t="shared" si="9"/>
        <v>32421.93</v>
      </c>
      <c r="I97" s="1">
        <v>45716</v>
      </c>
      <c r="J97" s="2">
        <f t="shared" si="10"/>
        <v>2.9890130415336801E-2</v>
      </c>
      <c r="K97" s="3" t="str">
        <f t="shared" si="11"/>
        <v/>
      </c>
      <c r="L97" t="str">
        <f t="shared" si="12"/>
        <v/>
      </c>
      <c r="M97" t="str">
        <f t="shared" si="13"/>
        <v>Check</v>
      </c>
      <c r="N97">
        <v>31480.959999999999</v>
      </c>
      <c r="O97" t="s">
        <v>240</v>
      </c>
      <c r="Q97" t="s">
        <v>41</v>
      </c>
    </row>
    <row r="98" spans="1:17" x14ac:dyDescent="0.3">
      <c r="A98">
        <v>100562496</v>
      </c>
      <c r="B98" t="s">
        <v>238</v>
      </c>
      <c r="C98" t="s">
        <v>609</v>
      </c>
      <c r="D98" t="s">
        <v>627</v>
      </c>
      <c r="E98" s="6">
        <v>747.39</v>
      </c>
      <c r="F98" t="s">
        <v>643</v>
      </c>
      <c r="G98" s="4" t="str">
        <f t="shared" si="8"/>
        <v>747.39</v>
      </c>
      <c r="H98" t="str">
        <f t="shared" si="9"/>
        <v>747.39</v>
      </c>
      <c r="I98" s="1">
        <v>45716</v>
      </c>
      <c r="J98" s="2">
        <f t="shared" si="10"/>
        <v>0.21013260795647734</v>
      </c>
      <c r="K98" s="3" t="str">
        <f t="shared" si="11"/>
        <v>Check!</v>
      </c>
      <c r="L98" t="str">
        <f t="shared" si="12"/>
        <v/>
      </c>
      <c r="M98" t="str">
        <f t="shared" si="13"/>
        <v/>
      </c>
      <c r="N98">
        <v>617.61</v>
      </c>
      <c r="O98" t="s">
        <v>662</v>
      </c>
      <c r="Q98" t="s">
        <v>609</v>
      </c>
    </row>
    <row r="99" spans="1:17" x14ac:dyDescent="0.3">
      <c r="A99">
        <v>100562496</v>
      </c>
      <c r="B99" t="s">
        <v>238</v>
      </c>
      <c r="C99" t="s">
        <v>609</v>
      </c>
      <c r="D99" t="s">
        <v>627</v>
      </c>
      <c r="E99" s="6">
        <v>2.4</v>
      </c>
      <c r="F99" t="s">
        <v>643</v>
      </c>
      <c r="G99" s="4" t="str">
        <f t="shared" si="8"/>
        <v>2.4</v>
      </c>
      <c r="H99" t="str">
        <f t="shared" si="9"/>
        <v>2.4</v>
      </c>
      <c r="I99" s="1">
        <v>45716</v>
      </c>
      <c r="J99" s="2">
        <f t="shared" si="10"/>
        <v>-0.99611405255743923</v>
      </c>
      <c r="K99" s="3" t="str">
        <f t="shared" si="11"/>
        <v>Check!</v>
      </c>
      <c r="L99" t="str">
        <f t="shared" si="12"/>
        <v/>
      </c>
      <c r="M99" t="str">
        <f t="shared" si="13"/>
        <v/>
      </c>
      <c r="N99">
        <v>617.61</v>
      </c>
      <c r="O99" t="s">
        <v>662</v>
      </c>
      <c r="Q99" t="s">
        <v>609</v>
      </c>
    </row>
    <row r="100" spans="1:17" x14ac:dyDescent="0.3">
      <c r="A100">
        <v>100562496</v>
      </c>
      <c r="B100" t="s">
        <v>238</v>
      </c>
      <c r="C100" t="s">
        <v>606</v>
      </c>
      <c r="D100" t="s">
        <v>626</v>
      </c>
      <c r="E100" s="6">
        <v>70.25</v>
      </c>
      <c r="F100" t="s">
        <v>643</v>
      </c>
      <c r="G100" s="4" t="str">
        <f t="shared" si="8"/>
        <v>70.25</v>
      </c>
      <c r="H100" t="str">
        <f t="shared" si="9"/>
        <v>70.25</v>
      </c>
      <c r="I100" s="1">
        <v>45716</v>
      </c>
      <c r="J100" s="2">
        <f t="shared" si="10"/>
        <v>1.1810456574967494E-2</v>
      </c>
      <c r="K100" s="3" t="str">
        <f t="shared" si="11"/>
        <v/>
      </c>
      <c r="L100" t="str">
        <f t="shared" si="12"/>
        <v/>
      </c>
      <c r="M100" t="str">
        <f t="shared" si="13"/>
        <v/>
      </c>
      <c r="N100">
        <v>69.430000000000007</v>
      </c>
      <c r="O100" t="s">
        <v>663</v>
      </c>
      <c r="Q100" t="s">
        <v>606</v>
      </c>
    </row>
    <row r="101" spans="1:17" x14ac:dyDescent="0.3">
      <c r="A101">
        <v>100562496</v>
      </c>
      <c r="B101" t="s">
        <v>238</v>
      </c>
      <c r="C101" t="s">
        <v>606</v>
      </c>
      <c r="D101" t="s">
        <v>626</v>
      </c>
      <c r="E101" s="6">
        <v>3981.66</v>
      </c>
      <c r="F101" t="s">
        <v>643</v>
      </c>
      <c r="G101" s="4" t="str">
        <f t="shared" si="8"/>
        <v>3981.66</v>
      </c>
      <c r="H101" t="str">
        <f t="shared" si="9"/>
        <v>3981.66</v>
      </c>
      <c r="I101" s="1">
        <v>45716</v>
      </c>
      <c r="J101" s="2">
        <f t="shared" si="10"/>
        <v>2.7095768994639651E-2</v>
      </c>
      <c r="K101" s="3" t="str">
        <f t="shared" si="11"/>
        <v/>
      </c>
      <c r="L101" t="str">
        <f t="shared" si="12"/>
        <v/>
      </c>
      <c r="M101" t="str">
        <f t="shared" si="13"/>
        <v/>
      </c>
      <c r="N101">
        <v>3876.62</v>
      </c>
      <c r="O101" t="s">
        <v>663</v>
      </c>
      <c r="Q101" t="s">
        <v>606</v>
      </c>
    </row>
    <row r="102" spans="1:17" x14ac:dyDescent="0.3">
      <c r="A102">
        <v>100596197</v>
      </c>
      <c r="B102" t="s">
        <v>247</v>
      </c>
      <c r="C102" t="s">
        <v>590</v>
      </c>
      <c r="D102" t="s">
        <v>248</v>
      </c>
      <c r="E102" s="6">
        <v>82.31</v>
      </c>
      <c r="F102" t="s">
        <v>643</v>
      </c>
      <c r="G102" s="4" t="str">
        <f t="shared" si="8"/>
        <v>82.31</v>
      </c>
      <c r="H102" t="str">
        <f t="shared" si="9"/>
        <v>82.31</v>
      </c>
      <c r="I102" s="1">
        <v>45716</v>
      </c>
      <c r="J102" s="2">
        <f t="shared" si="10"/>
        <v>1.2174126906050286E-2</v>
      </c>
      <c r="K102" s="3" t="str">
        <f t="shared" si="11"/>
        <v/>
      </c>
      <c r="L102" t="str">
        <f t="shared" si="12"/>
        <v/>
      </c>
      <c r="M102" t="str">
        <f t="shared" si="13"/>
        <v>Check</v>
      </c>
      <c r="N102">
        <v>81.319999999999993</v>
      </c>
      <c r="O102" t="s">
        <v>249</v>
      </c>
      <c r="Q102" t="s">
        <v>16</v>
      </c>
    </row>
    <row r="103" spans="1:17" x14ac:dyDescent="0.3">
      <c r="A103">
        <v>100596689</v>
      </c>
      <c r="B103" t="s">
        <v>250</v>
      </c>
      <c r="C103" t="s">
        <v>590</v>
      </c>
      <c r="D103" t="s">
        <v>251</v>
      </c>
      <c r="E103" s="6">
        <v>42.98</v>
      </c>
      <c r="F103" t="s">
        <v>643</v>
      </c>
      <c r="G103" s="4" t="str">
        <f t="shared" si="8"/>
        <v>42.98</v>
      </c>
      <c r="H103" t="str">
        <f t="shared" si="9"/>
        <v>42.98</v>
      </c>
      <c r="I103" s="1">
        <v>45716</v>
      </c>
      <c r="J103" s="2">
        <f t="shared" si="10"/>
        <v>-0.98053177515060919</v>
      </c>
      <c r="K103" s="3" t="str">
        <f t="shared" si="11"/>
        <v>Check!</v>
      </c>
      <c r="L103" t="str">
        <f t="shared" si="12"/>
        <v/>
      </c>
      <c r="M103" t="str">
        <f t="shared" si="13"/>
        <v>Check</v>
      </c>
      <c r="N103">
        <v>2207.6999999999998</v>
      </c>
      <c r="O103" t="s">
        <v>252</v>
      </c>
      <c r="Q103" t="s">
        <v>16</v>
      </c>
    </row>
    <row r="104" spans="1:17" x14ac:dyDescent="0.3">
      <c r="A104">
        <v>100628990</v>
      </c>
      <c r="B104" t="s">
        <v>256</v>
      </c>
      <c r="C104" t="s">
        <v>19</v>
      </c>
      <c r="D104" t="s">
        <v>257</v>
      </c>
      <c r="E104" s="6">
        <v>12.78</v>
      </c>
      <c r="F104" t="s">
        <v>643</v>
      </c>
      <c r="G104" s="4" t="str">
        <f t="shared" si="8"/>
        <v>12.78</v>
      </c>
      <c r="H104" t="str">
        <f t="shared" si="9"/>
        <v>12.78</v>
      </c>
      <c r="I104" s="1">
        <v>45716</v>
      </c>
      <c r="J104" s="2">
        <f t="shared" si="10"/>
        <v>-0.97987528344671204</v>
      </c>
      <c r="K104" s="3" t="str">
        <f t="shared" si="11"/>
        <v>Check!</v>
      </c>
      <c r="L104" t="str">
        <f t="shared" si="12"/>
        <v/>
      </c>
      <c r="M104" t="str">
        <f t="shared" si="13"/>
        <v/>
      </c>
      <c r="N104">
        <v>635.04</v>
      </c>
      <c r="O104" t="s">
        <v>258</v>
      </c>
      <c r="Q104" t="s">
        <v>19</v>
      </c>
    </row>
    <row r="105" spans="1:17" x14ac:dyDescent="0.3">
      <c r="A105">
        <v>100630705</v>
      </c>
      <c r="B105" t="s">
        <v>259</v>
      </c>
      <c r="C105" t="s">
        <v>590</v>
      </c>
      <c r="D105" t="s">
        <v>260</v>
      </c>
      <c r="E105" s="6">
        <v>85.89</v>
      </c>
      <c r="F105" t="s">
        <v>643</v>
      </c>
      <c r="G105" s="4" t="str">
        <f t="shared" si="8"/>
        <v>85.89</v>
      </c>
      <c r="H105" t="str">
        <f t="shared" si="9"/>
        <v>85.89</v>
      </c>
      <c r="I105" s="1">
        <v>45716</v>
      </c>
      <c r="J105" s="2">
        <f t="shared" si="10"/>
        <v>-0.98064136603572849</v>
      </c>
      <c r="K105" s="3" t="str">
        <f t="shared" si="11"/>
        <v>Check!</v>
      </c>
      <c r="L105" t="str">
        <f t="shared" si="12"/>
        <v/>
      </c>
      <c r="M105" t="str">
        <f t="shared" si="13"/>
        <v>Check</v>
      </c>
      <c r="N105">
        <v>4436.78</v>
      </c>
      <c r="O105" t="s">
        <v>261</v>
      </c>
      <c r="Q105" t="s">
        <v>16</v>
      </c>
    </row>
    <row r="106" spans="1:17" x14ac:dyDescent="0.3">
      <c r="A106">
        <v>100630706</v>
      </c>
      <c r="B106" t="s">
        <v>262</v>
      </c>
      <c r="C106" t="s">
        <v>590</v>
      </c>
      <c r="D106" t="s">
        <v>263</v>
      </c>
      <c r="E106" s="6">
        <v>14.3</v>
      </c>
      <c r="F106" t="s">
        <v>643</v>
      </c>
      <c r="G106" s="4" t="str">
        <f t="shared" si="8"/>
        <v>14.3</v>
      </c>
      <c r="H106" t="str">
        <f t="shared" si="9"/>
        <v>14.3</v>
      </c>
      <c r="I106" s="1">
        <v>45716</v>
      </c>
      <c r="J106" s="2">
        <f t="shared" si="10"/>
        <v>-0.98051611848379983</v>
      </c>
      <c r="K106" s="3" t="str">
        <f t="shared" si="11"/>
        <v>Check!</v>
      </c>
      <c r="L106" t="str">
        <f t="shared" si="12"/>
        <v/>
      </c>
      <c r="M106" t="str">
        <f t="shared" si="13"/>
        <v>Check</v>
      </c>
      <c r="N106">
        <v>733.94</v>
      </c>
      <c r="O106" t="s">
        <v>264</v>
      </c>
      <c r="Q106" t="s">
        <v>16</v>
      </c>
    </row>
    <row r="107" spans="1:17" x14ac:dyDescent="0.3">
      <c r="A107">
        <v>100637079</v>
      </c>
      <c r="B107" t="s">
        <v>268</v>
      </c>
      <c r="C107" t="s">
        <v>611</v>
      </c>
      <c r="D107" t="s">
        <v>269</v>
      </c>
      <c r="E107" s="6">
        <v>36304.5</v>
      </c>
      <c r="F107" t="s">
        <v>643</v>
      </c>
      <c r="G107" s="4" t="str">
        <f t="shared" si="8"/>
        <v>36304.5</v>
      </c>
      <c r="H107" t="str">
        <f t="shared" si="9"/>
        <v>36304.5</v>
      </c>
      <c r="I107" s="1">
        <v>45716</v>
      </c>
      <c r="J107" s="2">
        <f t="shared" si="10"/>
        <v>2.9505135969995523E-2</v>
      </c>
      <c r="K107" s="3" t="str">
        <f t="shared" si="11"/>
        <v/>
      </c>
      <c r="L107" t="str">
        <f t="shared" si="12"/>
        <v/>
      </c>
      <c r="M107" t="str">
        <f t="shared" si="13"/>
        <v>Check</v>
      </c>
      <c r="N107">
        <v>35264.03</v>
      </c>
      <c r="O107" t="s">
        <v>270</v>
      </c>
      <c r="Q107" t="s">
        <v>41</v>
      </c>
    </row>
    <row r="108" spans="1:17" x14ac:dyDescent="0.3">
      <c r="A108">
        <v>100637079</v>
      </c>
      <c r="B108" t="s">
        <v>268</v>
      </c>
      <c r="C108" t="s">
        <v>611</v>
      </c>
      <c r="D108" t="s">
        <v>271</v>
      </c>
      <c r="E108" s="6">
        <v>50858.51</v>
      </c>
      <c r="F108" t="s">
        <v>643</v>
      </c>
      <c r="G108" s="4" t="str">
        <f t="shared" si="8"/>
        <v>50858.51</v>
      </c>
      <c r="H108" t="str">
        <f t="shared" si="9"/>
        <v>50858.51</v>
      </c>
      <c r="I108" s="1">
        <v>45716</v>
      </c>
      <c r="J108" s="2">
        <f t="shared" si="10"/>
        <v>2.6971617113733453E-2</v>
      </c>
      <c r="K108" s="3" t="str">
        <f t="shared" si="11"/>
        <v/>
      </c>
      <c r="L108" t="str">
        <f t="shared" si="12"/>
        <v/>
      </c>
      <c r="M108" t="str">
        <f t="shared" si="13"/>
        <v>Check</v>
      </c>
      <c r="N108">
        <v>49522.8</v>
      </c>
      <c r="O108" t="s">
        <v>272</v>
      </c>
      <c r="Q108" t="s">
        <v>41</v>
      </c>
    </row>
    <row r="109" spans="1:17" x14ac:dyDescent="0.3">
      <c r="A109">
        <v>100637079</v>
      </c>
      <c r="B109" t="s">
        <v>268</v>
      </c>
      <c r="C109" t="s">
        <v>606</v>
      </c>
      <c r="D109" t="s">
        <v>628</v>
      </c>
      <c r="E109" s="6">
        <v>79.17</v>
      </c>
      <c r="F109" t="s">
        <v>643</v>
      </c>
      <c r="G109" s="4" t="str">
        <f t="shared" si="8"/>
        <v>79.17</v>
      </c>
      <c r="H109" t="str">
        <f t="shared" si="9"/>
        <v>79.17</v>
      </c>
      <c r="I109" s="1">
        <v>45716</v>
      </c>
      <c r="J109" s="2">
        <f t="shared" si="10"/>
        <v>3.9931695783528259E-2</v>
      </c>
      <c r="K109" s="3" t="str">
        <f t="shared" si="11"/>
        <v/>
      </c>
      <c r="L109" t="str">
        <f t="shared" si="12"/>
        <v/>
      </c>
      <c r="M109" t="str">
        <f t="shared" si="13"/>
        <v/>
      </c>
      <c r="N109">
        <v>76.13</v>
      </c>
      <c r="O109" t="s">
        <v>664</v>
      </c>
      <c r="Q109" t="s">
        <v>606</v>
      </c>
    </row>
    <row r="110" spans="1:17" x14ac:dyDescent="0.3">
      <c r="A110">
        <v>100637079</v>
      </c>
      <c r="B110" t="s">
        <v>268</v>
      </c>
      <c r="C110" t="s">
        <v>606</v>
      </c>
      <c r="D110" t="s">
        <v>628</v>
      </c>
      <c r="E110" s="6">
        <v>4133.66</v>
      </c>
      <c r="F110" t="s">
        <v>643</v>
      </c>
      <c r="G110" s="4" t="str">
        <f t="shared" si="8"/>
        <v>4133.66</v>
      </c>
      <c r="H110" t="str">
        <f t="shared" si="9"/>
        <v>4133.66</v>
      </c>
      <c r="I110" s="1">
        <v>45716</v>
      </c>
      <c r="J110" s="2">
        <f t="shared" si="10"/>
        <v>3.9422864154814767E-2</v>
      </c>
      <c r="K110" s="3" t="str">
        <f t="shared" si="11"/>
        <v/>
      </c>
      <c r="L110" t="str">
        <f t="shared" si="12"/>
        <v/>
      </c>
      <c r="M110" t="str">
        <f t="shared" si="13"/>
        <v/>
      </c>
      <c r="N110">
        <v>3976.88</v>
      </c>
      <c r="O110" t="s">
        <v>664</v>
      </c>
      <c r="Q110" t="s">
        <v>606</v>
      </c>
    </row>
    <row r="111" spans="1:17" x14ac:dyDescent="0.3">
      <c r="A111">
        <v>100637079</v>
      </c>
      <c r="B111" t="s">
        <v>268</v>
      </c>
      <c r="C111" t="s">
        <v>606</v>
      </c>
      <c r="D111" t="s">
        <v>629</v>
      </c>
      <c r="E111" s="6">
        <v>109.46</v>
      </c>
      <c r="F111" t="s">
        <v>643</v>
      </c>
      <c r="G111" s="4" t="str">
        <f t="shared" si="8"/>
        <v>109.46</v>
      </c>
      <c r="H111" t="str">
        <f t="shared" si="9"/>
        <v>109.46</v>
      </c>
      <c r="I111" s="1">
        <v>45716</v>
      </c>
      <c r="J111" s="2">
        <f t="shared" si="10"/>
        <v>2.779342723004689E-2</v>
      </c>
      <c r="K111" s="3" t="str">
        <f t="shared" si="11"/>
        <v/>
      </c>
      <c r="L111" t="str">
        <f t="shared" si="12"/>
        <v/>
      </c>
      <c r="M111" t="str">
        <f t="shared" si="13"/>
        <v/>
      </c>
      <c r="N111">
        <v>106.5</v>
      </c>
      <c r="O111" t="s">
        <v>665</v>
      </c>
      <c r="Q111" t="s">
        <v>606</v>
      </c>
    </row>
    <row r="112" spans="1:17" x14ac:dyDescent="0.3">
      <c r="A112">
        <v>100637079</v>
      </c>
      <c r="B112" t="s">
        <v>268</v>
      </c>
      <c r="C112" t="s">
        <v>606</v>
      </c>
      <c r="D112" t="s">
        <v>629</v>
      </c>
      <c r="E112" s="6">
        <v>5713.88</v>
      </c>
      <c r="F112" t="s">
        <v>643</v>
      </c>
      <c r="G112" s="4" t="str">
        <f t="shared" si="8"/>
        <v>5713.88</v>
      </c>
      <c r="H112" t="str">
        <f t="shared" si="9"/>
        <v>5713.88</v>
      </c>
      <c r="I112" s="1">
        <v>45716</v>
      </c>
      <c r="J112" s="2">
        <f t="shared" si="10"/>
        <v>2.708513085993678E-2</v>
      </c>
      <c r="K112" s="3" t="str">
        <f t="shared" si="11"/>
        <v/>
      </c>
      <c r="L112" t="str">
        <f t="shared" si="12"/>
        <v/>
      </c>
      <c r="M112" t="str">
        <f t="shared" si="13"/>
        <v/>
      </c>
      <c r="N112">
        <v>5563.2</v>
      </c>
      <c r="O112" t="s">
        <v>665</v>
      </c>
      <c r="Q112" t="s">
        <v>606</v>
      </c>
    </row>
    <row r="113" spans="1:17" x14ac:dyDescent="0.3">
      <c r="A113">
        <v>100641153</v>
      </c>
      <c r="B113" t="s">
        <v>273</v>
      </c>
      <c r="C113" t="s">
        <v>19</v>
      </c>
      <c r="D113" t="s">
        <v>274</v>
      </c>
      <c r="E113" s="6">
        <v>399.8</v>
      </c>
      <c r="F113" t="s">
        <v>643</v>
      </c>
      <c r="G113" s="4" t="str">
        <f t="shared" si="8"/>
        <v>399.8</v>
      </c>
      <c r="H113" t="str">
        <f t="shared" si="9"/>
        <v>399.8</v>
      </c>
      <c r="I113" s="1">
        <v>45716</v>
      </c>
      <c r="J113" s="2">
        <f t="shared" si="10"/>
        <v>1.2126275284170073E-2</v>
      </c>
      <c r="K113" s="3" t="str">
        <f t="shared" si="11"/>
        <v/>
      </c>
      <c r="L113" t="str">
        <f t="shared" si="12"/>
        <v/>
      </c>
      <c r="M113" t="str">
        <f t="shared" si="13"/>
        <v/>
      </c>
      <c r="N113">
        <v>395.01</v>
      </c>
      <c r="O113" t="s">
        <v>275</v>
      </c>
      <c r="Q113" t="s">
        <v>19</v>
      </c>
    </row>
    <row r="114" spans="1:17" x14ac:dyDescent="0.3">
      <c r="A114">
        <v>100651305</v>
      </c>
      <c r="B114" t="s">
        <v>276</v>
      </c>
      <c r="C114" t="s">
        <v>590</v>
      </c>
      <c r="D114" t="s">
        <v>277</v>
      </c>
      <c r="E114" s="6">
        <v>347.06</v>
      </c>
      <c r="F114" t="s">
        <v>643</v>
      </c>
      <c r="G114" s="4" t="str">
        <f t="shared" si="8"/>
        <v>347.06</v>
      </c>
      <c r="H114" t="str">
        <f t="shared" si="9"/>
        <v>347.06</v>
      </c>
      <c r="I114" s="1">
        <v>45716</v>
      </c>
      <c r="J114" s="2">
        <f t="shared" si="10"/>
        <v>1.1600792818001686E-2</v>
      </c>
      <c r="K114" s="3" t="str">
        <f t="shared" si="11"/>
        <v/>
      </c>
      <c r="L114" t="str">
        <f t="shared" si="12"/>
        <v/>
      </c>
      <c r="M114" t="str">
        <f t="shared" si="13"/>
        <v>Check</v>
      </c>
      <c r="N114">
        <v>343.08</v>
      </c>
      <c r="O114" t="s">
        <v>278</v>
      </c>
      <c r="Q114" t="s">
        <v>16</v>
      </c>
    </row>
    <row r="115" spans="1:17" x14ac:dyDescent="0.3">
      <c r="A115">
        <v>100651921</v>
      </c>
      <c r="B115" t="s">
        <v>279</v>
      </c>
      <c r="C115" t="s">
        <v>590</v>
      </c>
      <c r="D115" t="s">
        <v>280</v>
      </c>
      <c r="E115" s="6">
        <v>508.98</v>
      </c>
      <c r="F115" t="s">
        <v>643</v>
      </c>
      <c r="G115" s="4" t="str">
        <f t="shared" si="8"/>
        <v>508.98</v>
      </c>
      <c r="H115" t="str">
        <f t="shared" si="9"/>
        <v>508.98</v>
      </c>
      <c r="I115" s="1">
        <v>45716</v>
      </c>
      <c r="J115" s="2">
        <f t="shared" si="10"/>
        <v>1.4793843209187368E-2</v>
      </c>
      <c r="K115" s="3" t="str">
        <f t="shared" si="11"/>
        <v/>
      </c>
      <c r="L115" t="str">
        <f t="shared" si="12"/>
        <v/>
      </c>
      <c r="M115" t="str">
        <f t="shared" si="13"/>
        <v>Check</v>
      </c>
      <c r="N115">
        <v>501.56</v>
      </c>
      <c r="O115" t="s">
        <v>281</v>
      </c>
      <c r="Q115" t="s">
        <v>16</v>
      </c>
    </row>
    <row r="116" spans="1:17" x14ac:dyDescent="0.3">
      <c r="A116">
        <v>100651921</v>
      </c>
      <c r="B116" t="s">
        <v>279</v>
      </c>
      <c r="C116" t="s">
        <v>590</v>
      </c>
      <c r="D116" t="s">
        <v>282</v>
      </c>
      <c r="E116" s="6">
        <v>66.08</v>
      </c>
      <c r="F116" t="s">
        <v>643</v>
      </c>
      <c r="G116" s="4" t="str">
        <f t="shared" si="8"/>
        <v>66.08</v>
      </c>
      <c r="H116" t="str">
        <f t="shared" si="9"/>
        <v>66.08</v>
      </c>
      <c r="I116" s="1">
        <v>45716</v>
      </c>
      <c r="J116" s="2">
        <f t="shared" si="10"/>
        <v>1.2409989275317945E-2</v>
      </c>
      <c r="K116" s="3" t="str">
        <f t="shared" si="11"/>
        <v/>
      </c>
      <c r="L116" t="str">
        <f t="shared" si="12"/>
        <v/>
      </c>
      <c r="M116" t="str">
        <f t="shared" si="13"/>
        <v>Check</v>
      </c>
      <c r="N116">
        <v>65.27</v>
      </c>
      <c r="O116" t="s">
        <v>283</v>
      </c>
      <c r="Q116" t="s">
        <v>16</v>
      </c>
    </row>
    <row r="117" spans="1:17" x14ac:dyDescent="0.3">
      <c r="A117">
        <v>100655835</v>
      </c>
      <c r="B117" t="s">
        <v>284</v>
      </c>
      <c r="C117" t="s">
        <v>19</v>
      </c>
      <c r="D117" t="s">
        <v>285</v>
      </c>
      <c r="E117" s="6">
        <v>19388.5</v>
      </c>
      <c r="F117" t="s">
        <v>643</v>
      </c>
      <c r="G117" s="4" t="str">
        <f t="shared" si="8"/>
        <v>19388.5</v>
      </c>
      <c r="H117" t="str">
        <f t="shared" si="9"/>
        <v>19388.5</v>
      </c>
      <c r="I117" s="1">
        <v>45716</v>
      </c>
      <c r="J117" s="2">
        <f t="shared" si="10"/>
        <v>1.2062695322593197E-2</v>
      </c>
      <c r="K117" s="3" t="str">
        <f t="shared" si="11"/>
        <v/>
      </c>
      <c r="L117" t="str">
        <f t="shared" si="12"/>
        <v/>
      </c>
      <c r="M117" t="str">
        <f t="shared" si="13"/>
        <v/>
      </c>
      <c r="N117">
        <v>19157.41</v>
      </c>
      <c r="O117" t="s">
        <v>286</v>
      </c>
      <c r="Q117" t="s">
        <v>19</v>
      </c>
    </row>
    <row r="118" spans="1:17" x14ac:dyDescent="0.3">
      <c r="A118">
        <v>100663638</v>
      </c>
      <c r="B118" t="s">
        <v>287</v>
      </c>
      <c r="C118" t="s">
        <v>590</v>
      </c>
      <c r="D118" t="s">
        <v>600</v>
      </c>
      <c r="E118" s="6">
        <v>808.39</v>
      </c>
      <c r="F118" t="s">
        <v>643</v>
      </c>
      <c r="G118" s="4" t="str">
        <f t="shared" si="8"/>
        <v>808.39</v>
      </c>
      <c r="H118" t="str">
        <f t="shared" si="9"/>
        <v>808.39</v>
      </c>
      <c r="I118" s="1">
        <v>45716</v>
      </c>
      <c r="J118" s="2">
        <f t="shared" si="10"/>
        <v>-0.98616253437584622</v>
      </c>
      <c r="K118" s="3" t="str">
        <f t="shared" si="11"/>
        <v>Check!</v>
      </c>
      <c r="L118" t="str">
        <f t="shared" si="12"/>
        <v/>
      </c>
      <c r="M118" t="str">
        <f t="shared" si="13"/>
        <v/>
      </c>
      <c r="N118">
        <v>58420.38</v>
      </c>
      <c r="O118" t="s">
        <v>666</v>
      </c>
      <c r="Q118" t="s">
        <v>590</v>
      </c>
    </row>
    <row r="119" spans="1:17" x14ac:dyDescent="0.3">
      <c r="A119">
        <v>100663638</v>
      </c>
      <c r="B119" t="s">
        <v>287</v>
      </c>
      <c r="C119" t="s">
        <v>19</v>
      </c>
      <c r="D119" t="s">
        <v>288</v>
      </c>
      <c r="E119" s="6">
        <v>2444.9</v>
      </c>
      <c r="F119" t="s">
        <v>643</v>
      </c>
      <c r="G119" s="4" t="str">
        <f t="shared" si="8"/>
        <v>2444.9</v>
      </c>
      <c r="H119" t="str">
        <f t="shared" si="9"/>
        <v>2444.9</v>
      </c>
      <c r="I119" s="1">
        <v>45716</v>
      </c>
      <c r="J119" s="2">
        <f t="shared" si="10"/>
        <v>1.2523502273612118E-2</v>
      </c>
      <c r="K119" s="3" t="str">
        <f t="shared" si="11"/>
        <v/>
      </c>
      <c r="L119" t="str">
        <f t="shared" si="12"/>
        <v/>
      </c>
      <c r="M119" t="str">
        <f t="shared" si="13"/>
        <v/>
      </c>
      <c r="N119">
        <v>2414.66</v>
      </c>
      <c r="O119" t="s">
        <v>289</v>
      </c>
      <c r="Q119" t="s">
        <v>19</v>
      </c>
    </row>
    <row r="120" spans="1:17" x14ac:dyDescent="0.3">
      <c r="A120">
        <v>100663638</v>
      </c>
      <c r="B120" t="s">
        <v>287</v>
      </c>
      <c r="C120" t="s">
        <v>19</v>
      </c>
      <c r="D120" t="s">
        <v>290</v>
      </c>
      <c r="E120" s="6">
        <v>95.39</v>
      </c>
      <c r="F120" t="s">
        <v>643</v>
      </c>
      <c r="G120" s="4" t="str">
        <f t="shared" si="8"/>
        <v>95.39</v>
      </c>
      <c r="H120" t="str">
        <f t="shared" si="9"/>
        <v>95.39</v>
      </c>
      <c r="I120" s="1">
        <v>45716</v>
      </c>
      <c r="J120" s="2">
        <f t="shared" si="10"/>
        <v>1.5976142294174035E-2</v>
      </c>
      <c r="K120" s="3" t="str">
        <f t="shared" si="11"/>
        <v/>
      </c>
      <c r="L120" t="str">
        <f t="shared" si="12"/>
        <v/>
      </c>
      <c r="M120" t="str">
        <f t="shared" si="13"/>
        <v/>
      </c>
      <c r="N120">
        <v>93.89</v>
      </c>
      <c r="O120" t="s">
        <v>291</v>
      </c>
      <c r="Q120" t="s">
        <v>19</v>
      </c>
    </row>
    <row r="121" spans="1:17" x14ac:dyDescent="0.3">
      <c r="A121">
        <v>100664029</v>
      </c>
      <c r="B121" t="s">
        <v>292</v>
      </c>
      <c r="C121" t="s">
        <v>19</v>
      </c>
      <c r="D121" t="s">
        <v>293</v>
      </c>
      <c r="E121" s="6">
        <v>387.51</v>
      </c>
      <c r="F121" t="s">
        <v>643</v>
      </c>
      <c r="G121" s="4" t="str">
        <f t="shared" si="8"/>
        <v>387.51</v>
      </c>
      <c r="H121" t="str">
        <f t="shared" si="9"/>
        <v>387.51</v>
      </c>
      <c r="I121" s="1">
        <v>45716</v>
      </c>
      <c r="J121" s="2">
        <f t="shared" si="10"/>
        <v>-0.97939630334026495</v>
      </c>
      <c r="K121" s="3" t="str">
        <f t="shared" si="11"/>
        <v>Check!</v>
      </c>
      <c r="L121" t="str">
        <f t="shared" si="12"/>
        <v/>
      </c>
      <c r="M121" t="str">
        <f t="shared" si="13"/>
        <v/>
      </c>
      <c r="N121">
        <v>18807.79</v>
      </c>
      <c r="O121" t="s">
        <v>294</v>
      </c>
      <c r="Q121" t="s">
        <v>19</v>
      </c>
    </row>
    <row r="122" spans="1:17" x14ac:dyDescent="0.3">
      <c r="A122">
        <v>100664029</v>
      </c>
      <c r="B122" t="s">
        <v>292</v>
      </c>
      <c r="C122" t="s">
        <v>19</v>
      </c>
      <c r="D122" t="s">
        <v>295</v>
      </c>
      <c r="E122" s="6">
        <v>271.85000000000002</v>
      </c>
      <c r="F122" t="s">
        <v>643</v>
      </c>
      <c r="G122" s="4" t="str">
        <f t="shared" si="8"/>
        <v>271.85</v>
      </c>
      <c r="H122" t="str">
        <f t="shared" si="9"/>
        <v>271.85</v>
      </c>
      <c r="I122" s="1">
        <v>45716</v>
      </c>
      <c r="J122" s="2">
        <f t="shared" si="10"/>
        <v>1.3836055791750715E-2</v>
      </c>
      <c r="K122" s="3" t="str">
        <f t="shared" si="11"/>
        <v/>
      </c>
      <c r="L122" t="str">
        <f t="shared" si="12"/>
        <v/>
      </c>
      <c r="M122" t="str">
        <f t="shared" si="13"/>
        <v/>
      </c>
      <c r="N122">
        <v>268.14</v>
      </c>
      <c r="O122" t="s">
        <v>296</v>
      </c>
      <c r="Q122" t="s">
        <v>19</v>
      </c>
    </row>
    <row r="123" spans="1:17" x14ac:dyDescent="0.3">
      <c r="A123">
        <v>100664292</v>
      </c>
      <c r="B123" t="s">
        <v>297</v>
      </c>
      <c r="C123" t="s">
        <v>590</v>
      </c>
      <c r="D123" t="s">
        <v>298</v>
      </c>
      <c r="E123" s="6">
        <v>431.03</v>
      </c>
      <c r="F123" t="s">
        <v>643</v>
      </c>
      <c r="G123" s="4" t="str">
        <f t="shared" si="8"/>
        <v>431.03</v>
      </c>
      <c r="H123" t="str">
        <f t="shared" si="9"/>
        <v>431.03</v>
      </c>
      <c r="I123" s="1">
        <v>45716</v>
      </c>
      <c r="J123" s="2">
        <f t="shared" si="10"/>
        <v>-0.98057565077180509</v>
      </c>
      <c r="K123" s="3" t="str">
        <f t="shared" si="11"/>
        <v>Check!</v>
      </c>
      <c r="L123" t="str">
        <f t="shared" si="12"/>
        <v/>
      </c>
      <c r="M123" t="str">
        <f t="shared" si="13"/>
        <v>Check</v>
      </c>
      <c r="N123">
        <v>22190.19</v>
      </c>
      <c r="O123" t="s">
        <v>299</v>
      </c>
      <c r="Q123" t="s">
        <v>16</v>
      </c>
    </row>
    <row r="124" spans="1:17" x14ac:dyDescent="0.3">
      <c r="A124">
        <v>100664292</v>
      </c>
      <c r="B124" t="s">
        <v>297</v>
      </c>
      <c r="C124" t="s">
        <v>19</v>
      </c>
      <c r="D124" t="s">
        <v>300</v>
      </c>
      <c r="E124" s="6">
        <v>1085.92</v>
      </c>
      <c r="F124" t="s">
        <v>643</v>
      </c>
      <c r="G124" s="4" t="str">
        <f t="shared" si="8"/>
        <v>1085.92</v>
      </c>
      <c r="H124" t="str">
        <f t="shared" si="9"/>
        <v>1085.92</v>
      </c>
      <c r="I124" s="1">
        <v>45716</v>
      </c>
      <c r="J124" s="2">
        <f t="shared" si="10"/>
        <v>1.1937266449851529E-2</v>
      </c>
      <c r="K124" s="3" t="str">
        <f t="shared" si="11"/>
        <v/>
      </c>
      <c r="L124" t="str">
        <f t="shared" si="12"/>
        <v/>
      </c>
      <c r="M124" t="str">
        <f t="shared" si="13"/>
        <v/>
      </c>
      <c r="N124">
        <v>1073.1099999999999</v>
      </c>
      <c r="O124" t="s">
        <v>301</v>
      </c>
      <c r="Q124" t="s">
        <v>19</v>
      </c>
    </row>
    <row r="125" spans="1:17" x14ac:dyDescent="0.3">
      <c r="A125">
        <v>100664348</v>
      </c>
      <c r="B125" t="s">
        <v>302</v>
      </c>
      <c r="C125" t="s">
        <v>19</v>
      </c>
      <c r="D125" t="s">
        <v>303</v>
      </c>
      <c r="E125" s="6">
        <v>1016.97</v>
      </c>
      <c r="F125" t="s">
        <v>643</v>
      </c>
      <c r="G125" s="4" t="str">
        <f t="shared" si="8"/>
        <v>1016.97</v>
      </c>
      <c r="H125" t="str">
        <f t="shared" si="9"/>
        <v>1016.97</v>
      </c>
      <c r="I125" s="1">
        <v>45716</v>
      </c>
      <c r="J125" s="2">
        <f t="shared" si="10"/>
        <v>1.2686336795355654E-2</v>
      </c>
      <c r="K125" s="3" t="str">
        <f t="shared" si="11"/>
        <v/>
      </c>
      <c r="L125" t="str">
        <f t="shared" si="12"/>
        <v/>
      </c>
      <c r="M125" t="str">
        <f t="shared" si="13"/>
        <v/>
      </c>
      <c r="N125">
        <v>1004.23</v>
      </c>
      <c r="O125" t="s">
        <v>304</v>
      </c>
      <c r="Q125" t="s">
        <v>19</v>
      </c>
    </row>
    <row r="126" spans="1:17" x14ac:dyDescent="0.3">
      <c r="A126">
        <v>100664351</v>
      </c>
      <c r="B126" t="s">
        <v>305</v>
      </c>
      <c r="C126" t="s">
        <v>19</v>
      </c>
      <c r="D126" t="s">
        <v>306</v>
      </c>
      <c r="E126" s="6">
        <v>8.15</v>
      </c>
      <c r="F126" t="s">
        <v>643</v>
      </c>
      <c r="G126" s="4" t="str">
        <f t="shared" si="8"/>
        <v>8.15</v>
      </c>
      <c r="H126" t="str">
        <f t="shared" si="9"/>
        <v>8.15</v>
      </c>
      <c r="I126" s="1">
        <v>45716</v>
      </c>
      <c r="J126" s="2">
        <f t="shared" si="10"/>
        <v>-0.98126005978385844</v>
      </c>
      <c r="K126" s="3" t="str">
        <f t="shared" si="11"/>
        <v>Check!</v>
      </c>
      <c r="L126" t="str">
        <f t="shared" si="12"/>
        <v/>
      </c>
      <c r="M126" t="str">
        <f t="shared" si="13"/>
        <v/>
      </c>
      <c r="N126">
        <v>434.9</v>
      </c>
      <c r="O126" t="s">
        <v>307</v>
      </c>
      <c r="Q126" t="s">
        <v>19</v>
      </c>
    </row>
    <row r="127" spans="1:17" x14ac:dyDescent="0.3">
      <c r="A127">
        <v>100664601</v>
      </c>
      <c r="B127" t="s">
        <v>308</v>
      </c>
      <c r="C127" t="s">
        <v>623</v>
      </c>
      <c r="D127" t="s">
        <v>309</v>
      </c>
      <c r="E127" s="6">
        <v>533633.51</v>
      </c>
      <c r="F127" t="s">
        <v>643</v>
      </c>
      <c r="G127" s="4" t="str">
        <f t="shared" si="8"/>
        <v>533633.51</v>
      </c>
      <c r="H127" t="str">
        <f t="shared" si="9"/>
        <v>533633.51</v>
      </c>
      <c r="I127" s="1">
        <v>45716</v>
      </c>
      <c r="J127" s="2">
        <f t="shared" si="10"/>
        <v>2.6161632499097958E-2</v>
      </c>
      <c r="K127" s="3" t="str">
        <f t="shared" si="11"/>
        <v/>
      </c>
      <c r="L127" t="str">
        <f t="shared" si="12"/>
        <v/>
      </c>
      <c r="M127" t="str">
        <f t="shared" si="13"/>
        <v>Check</v>
      </c>
      <c r="N127">
        <v>520028.71</v>
      </c>
      <c r="O127" t="s">
        <v>310</v>
      </c>
      <c r="Q127" t="s">
        <v>164</v>
      </c>
    </row>
    <row r="128" spans="1:17" x14ac:dyDescent="0.3">
      <c r="A128">
        <v>100664601</v>
      </c>
      <c r="B128" t="s">
        <v>308</v>
      </c>
      <c r="C128" t="s">
        <v>611</v>
      </c>
      <c r="D128" t="s">
        <v>311</v>
      </c>
      <c r="E128" s="6">
        <v>165174.10999999999</v>
      </c>
      <c r="F128" t="s">
        <v>643</v>
      </c>
      <c r="G128" s="4" t="str">
        <f t="shared" si="8"/>
        <v>165174.11</v>
      </c>
      <c r="H128" t="str">
        <f t="shared" si="9"/>
        <v>165174.11</v>
      </c>
      <c r="I128" s="1">
        <v>45716</v>
      </c>
      <c r="J128" s="2">
        <f t="shared" si="10"/>
        <v>2.6097271501489484E-2</v>
      </c>
      <c r="K128" s="3" t="str">
        <f t="shared" si="11"/>
        <v/>
      </c>
      <c r="L128" t="str">
        <f t="shared" si="12"/>
        <v/>
      </c>
      <c r="M128" t="str">
        <f t="shared" si="13"/>
        <v>Check</v>
      </c>
      <c r="N128">
        <v>160973.15</v>
      </c>
      <c r="O128" t="s">
        <v>312</v>
      </c>
      <c r="Q128" t="s">
        <v>41</v>
      </c>
    </row>
    <row r="129" spans="1:17" x14ac:dyDescent="0.3">
      <c r="A129">
        <v>100664601</v>
      </c>
      <c r="B129" t="s">
        <v>308</v>
      </c>
      <c r="C129" t="s">
        <v>622</v>
      </c>
      <c r="D129" t="s">
        <v>630</v>
      </c>
      <c r="E129" s="6">
        <v>150.44999999999999</v>
      </c>
      <c r="F129" t="s">
        <v>643</v>
      </c>
      <c r="G129" s="4" t="str">
        <f t="shared" si="8"/>
        <v>150.45</v>
      </c>
      <c r="H129" t="str">
        <f t="shared" si="9"/>
        <v>150.45</v>
      </c>
      <c r="I129" s="1">
        <v>45716</v>
      </c>
      <c r="J129" s="2">
        <f t="shared" si="10"/>
        <v>1.9861713665943453E-2</v>
      </c>
      <c r="K129" s="3" t="str">
        <f t="shared" si="11"/>
        <v/>
      </c>
      <c r="L129" t="str">
        <f t="shared" si="12"/>
        <v/>
      </c>
      <c r="M129" t="str">
        <f t="shared" si="13"/>
        <v/>
      </c>
      <c r="N129">
        <v>147.52000000000001</v>
      </c>
      <c r="O129" t="s">
        <v>667</v>
      </c>
      <c r="Q129" t="s">
        <v>622</v>
      </c>
    </row>
    <row r="130" spans="1:17" x14ac:dyDescent="0.3">
      <c r="A130">
        <v>100664601</v>
      </c>
      <c r="B130" t="s">
        <v>308</v>
      </c>
      <c r="C130" t="s">
        <v>622</v>
      </c>
      <c r="D130" t="s">
        <v>630</v>
      </c>
      <c r="E130" s="6">
        <v>7853.92</v>
      </c>
      <c r="F130" t="s">
        <v>643</v>
      </c>
      <c r="G130" s="4" t="str">
        <f t="shared" si="8"/>
        <v>7853.92</v>
      </c>
      <c r="H130" t="str">
        <f t="shared" si="9"/>
        <v>7853.92</v>
      </c>
      <c r="I130" s="1">
        <v>45716</v>
      </c>
      <c r="J130" s="2">
        <f t="shared" si="10"/>
        <v>1.9229820886767564E-2</v>
      </c>
      <c r="K130" s="3" t="str">
        <f t="shared" si="11"/>
        <v/>
      </c>
      <c r="L130" t="str">
        <f t="shared" si="12"/>
        <v/>
      </c>
      <c r="M130" t="str">
        <f t="shared" si="13"/>
        <v/>
      </c>
      <c r="N130">
        <v>7705.74</v>
      </c>
      <c r="O130" t="s">
        <v>667</v>
      </c>
      <c r="Q130" t="s">
        <v>622</v>
      </c>
    </row>
    <row r="131" spans="1:17" x14ac:dyDescent="0.3">
      <c r="A131">
        <v>100664601</v>
      </c>
      <c r="B131" t="s">
        <v>308</v>
      </c>
      <c r="C131" t="s">
        <v>606</v>
      </c>
      <c r="D131" t="s">
        <v>631</v>
      </c>
      <c r="E131" s="6">
        <v>151.38999999999999</v>
      </c>
      <c r="F131" t="s">
        <v>643</v>
      </c>
      <c r="G131" s="4" t="str">
        <f t="shared" ref="G131:G194" si="14">SUBSTITUTE(E131,"R","")</f>
        <v>151.39</v>
      </c>
      <c r="H131" t="str">
        <f t="shared" ref="H131:H194" si="15">SUBSTITUTE(G131,",","")</f>
        <v>151.39</v>
      </c>
      <c r="I131" s="1">
        <v>45716</v>
      </c>
      <c r="J131" s="2">
        <f t="shared" ref="J131:J194" si="16">(H131-N131)/N131</f>
        <v>2.6512069433143454E-2</v>
      </c>
      <c r="K131" s="3" t="str">
        <f t="shared" ref="K131:K194" si="17">IF(ABS(J131)&gt;0.1,"Check!","")</f>
        <v/>
      </c>
      <c r="L131" t="str">
        <f t="shared" ref="L131:L194" si="18">IF(LEFT(O131,10)&lt;&gt;LEFT(D131,10),"Check","")</f>
        <v/>
      </c>
      <c r="M131" t="str">
        <f t="shared" ref="M131:M194" si="19">IF(Q131&lt;&gt;C131,"Check","")</f>
        <v/>
      </c>
      <c r="N131">
        <v>147.47999999999999</v>
      </c>
      <c r="O131" t="s">
        <v>668</v>
      </c>
      <c r="Q131" t="s">
        <v>606</v>
      </c>
    </row>
    <row r="132" spans="1:17" x14ac:dyDescent="0.3">
      <c r="A132">
        <v>100664601</v>
      </c>
      <c r="B132" t="s">
        <v>308</v>
      </c>
      <c r="C132" t="s">
        <v>606</v>
      </c>
      <c r="D132" t="s">
        <v>631</v>
      </c>
      <c r="E132" s="6">
        <v>7904.09</v>
      </c>
      <c r="F132" t="s">
        <v>643</v>
      </c>
      <c r="G132" s="4" t="str">
        <f t="shared" si="14"/>
        <v>7904.09</v>
      </c>
      <c r="H132" t="str">
        <f t="shared" si="15"/>
        <v>7904.09</v>
      </c>
      <c r="I132" s="1">
        <v>45716</v>
      </c>
      <c r="J132" s="2">
        <f t="shared" si="16"/>
        <v>2.5872351471494876E-2</v>
      </c>
      <c r="K132" s="3" t="str">
        <f t="shared" si="17"/>
        <v/>
      </c>
      <c r="L132" t="str">
        <f t="shared" si="18"/>
        <v/>
      </c>
      <c r="M132" t="str">
        <f t="shared" si="19"/>
        <v/>
      </c>
      <c r="N132">
        <v>7704.75</v>
      </c>
      <c r="O132" t="s">
        <v>668</v>
      </c>
      <c r="Q132" t="s">
        <v>606</v>
      </c>
    </row>
    <row r="133" spans="1:17" x14ac:dyDescent="0.3">
      <c r="A133">
        <v>100664737</v>
      </c>
      <c r="B133" t="s">
        <v>313</v>
      </c>
      <c r="C133" t="s">
        <v>19</v>
      </c>
      <c r="D133" t="s">
        <v>314</v>
      </c>
      <c r="E133" s="6">
        <v>464.05</v>
      </c>
      <c r="F133" t="s">
        <v>643</v>
      </c>
      <c r="G133" s="4" t="str">
        <f t="shared" si="14"/>
        <v>464.05</v>
      </c>
      <c r="H133" t="str">
        <f t="shared" si="15"/>
        <v>464.05</v>
      </c>
      <c r="I133" s="1">
        <v>45716</v>
      </c>
      <c r="J133" s="2">
        <f t="shared" si="16"/>
        <v>1.3696535453711476E-2</v>
      </c>
      <c r="K133" s="3" t="str">
        <f t="shared" si="17"/>
        <v/>
      </c>
      <c r="L133" t="str">
        <f t="shared" si="18"/>
        <v/>
      </c>
      <c r="M133" t="str">
        <f t="shared" si="19"/>
        <v/>
      </c>
      <c r="N133">
        <v>457.78</v>
      </c>
      <c r="O133" t="s">
        <v>315</v>
      </c>
      <c r="Q133" t="s">
        <v>19</v>
      </c>
    </row>
    <row r="134" spans="1:17" x14ac:dyDescent="0.3">
      <c r="A134">
        <v>100664737</v>
      </c>
      <c r="B134" t="s">
        <v>313</v>
      </c>
      <c r="C134" t="s">
        <v>19</v>
      </c>
      <c r="D134" t="s">
        <v>316</v>
      </c>
      <c r="E134" s="6">
        <v>233.11</v>
      </c>
      <c r="F134" t="s">
        <v>643</v>
      </c>
      <c r="G134" s="4" t="str">
        <f t="shared" si="14"/>
        <v>233.11</v>
      </c>
      <c r="H134" t="str">
        <f t="shared" si="15"/>
        <v>233.11</v>
      </c>
      <c r="I134" s="1">
        <v>45716</v>
      </c>
      <c r="J134" s="2">
        <f t="shared" si="16"/>
        <v>1.5243238534907015E-2</v>
      </c>
      <c r="K134" s="3" t="str">
        <f t="shared" si="17"/>
        <v/>
      </c>
      <c r="L134" t="str">
        <f t="shared" si="18"/>
        <v/>
      </c>
      <c r="M134" t="str">
        <f t="shared" si="19"/>
        <v/>
      </c>
      <c r="N134">
        <v>229.61</v>
      </c>
      <c r="O134" t="s">
        <v>317</v>
      </c>
      <c r="Q134" t="s">
        <v>19</v>
      </c>
    </row>
    <row r="135" spans="1:17" x14ac:dyDescent="0.3">
      <c r="A135">
        <v>100665510</v>
      </c>
      <c r="B135" t="s">
        <v>318</v>
      </c>
      <c r="C135" t="s">
        <v>19</v>
      </c>
      <c r="D135" t="s">
        <v>319</v>
      </c>
      <c r="E135" s="6">
        <v>81.81</v>
      </c>
      <c r="F135" t="s">
        <v>643</v>
      </c>
      <c r="G135" s="4" t="str">
        <f t="shared" si="14"/>
        <v>81.81</v>
      </c>
      <c r="H135" t="str">
        <f t="shared" si="15"/>
        <v>81.81</v>
      </c>
      <c r="I135" s="1">
        <v>45716</v>
      </c>
      <c r="J135" s="2">
        <f t="shared" si="16"/>
        <v>1.2750680861599419E-2</v>
      </c>
      <c r="K135" s="3" t="str">
        <f t="shared" si="17"/>
        <v/>
      </c>
      <c r="L135" t="str">
        <f t="shared" si="18"/>
        <v/>
      </c>
      <c r="M135" t="str">
        <f t="shared" si="19"/>
        <v/>
      </c>
      <c r="N135">
        <v>80.78</v>
      </c>
      <c r="O135" t="s">
        <v>320</v>
      </c>
      <c r="Q135" t="s">
        <v>19</v>
      </c>
    </row>
    <row r="136" spans="1:17" x14ac:dyDescent="0.3">
      <c r="A136">
        <v>100665581</v>
      </c>
      <c r="B136" t="s">
        <v>321</v>
      </c>
      <c r="C136" t="s">
        <v>623</v>
      </c>
      <c r="D136" t="s">
        <v>322</v>
      </c>
      <c r="E136" s="6">
        <v>318488.53999999998</v>
      </c>
      <c r="F136" t="s">
        <v>643</v>
      </c>
      <c r="G136" s="4" t="str">
        <f t="shared" si="14"/>
        <v>318488.54</v>
      </c>
      <c r="H136" t="str">
        <f t="shared" si="15"/>
        <v>318488.54</v>
      </c>
      <c r="I136" s="1">
        <v>45716</v>
      </c>
      <c r="J136" s="2">
        <f t="shared" si="16"/>
        <v>2.6183077003875763E-2</v>
      </c>
      <c r="K136" s="3" t="str">
        <f t="shared" si="17"/>
        <v/>
      </c>
      <c r="L136" t="str">
        <f t="shared" si="18"/>
        <v/>
      </c>
      <c r="M136" t="str">
        <f t="shared" si="19"/>
        <v>Check</v>
      </c>
      <c r="N136">
        <v>310362.3</v>
      </c>
      <c r="O136" t="s">
        <v>323</v>
      </c>
      <c r="Q136" t="s">
        <v>164</v>
      </c>
    </row>
    <row r="137" spans="1:17" x14ac:dyDescent="0.3">
      <c r="A137">
        <v>100665581</v>
      </c>
      <c r="B137" t="s">
        <v>321</v>
      </c>
      <c r="C137" t="s">
        <v>622</v>
      </c>
      <c r="D137" t="s">
        <v>632</v>
      </c>
      <c r="E137" s="6">
        <v>150.47</v>
      </c>
      <c r="F137" t="s">
        <v>643</v>
      </c>
      <c r="G137" s="4" t="str">
        <f t="shared" si="14"/>
        <v>150.47</v>
      </c>
      <c r="H137" t="str">
        <f t="shared" si="15"/>
        <v>150.47</v>
      </c>
      <c r="I137" s="1">
        <v>45716</v>
      </c>
      <c r="J137" s="2">
        <f t="shared" si="16"/>
        <v>1.985902128236415E-2</v>
      </c>
      <c r="K137" s="3" t="str">
        <f t="shared" si="17"/>
        <v/>
      </c>
      <c r="L137" t="str">
        <f t="shared" si="18"/>
        <v/>
      </c>
      <c r="M137" t="str">
        <f t="shared" si="19"/>
        <v/>
      </c>
      <c r="N137">
        <v>147.54</v>
      </c>
      <c r="O137" t="s">
        <v>669</v>
      </c>
      <c r="Q137" t="s">
        <v>622</v>
      </c>
    </row>
    <row r="138" spans="1:17" x14ac:dyDescent="0.3">
      <c r="A138">
        <v>100665581</v>
      </c>
      <c r="B138" t="s">
        <v>321</v>
      </c>
      <c r="C138" t="s">
        <v>622</v>
      </c>
      <c r="D138" t="s">
        <v>632</v>
      </c>
      <c r="E138" s="6">
        <v>7855.3</v>
      </c>
      <c r="F138" t="s">
        <v>643</v>
      </c>
      <c r="G138" s="4" t="str">
        <f t="shared" si="14"/>
        <v>7855.3</v>
      </c>
      <c r="H138" t="str">
        <f t="shared" si="15"/>
        <v>7855.3</v>
      </c>
      <c r="I138" s="1">
        <v>45716</v>
      </c>
      <c r="J138" s="2">
        <f t="shared" si="16"/>
        <v>1.9231667505722045E-2</v>
      </c>
      <c r="K138" s="3" t="str">
        <f t="shared" si="17"/>
        <v/>
      </c>
      <c r="L138" t="str">
        <f t="shared" si="18"/>
        <v/>
      </c>
      <c r="M138" t="str">
        <f t="shared" si="19"/>
        <v/>
      </c>
      <c r="N138">
        <v>7707.08</v>
      </c>
      <c r="O138" t="s">
        <v>669</v>
      </c>
      <c r="Q138" t="s">
        <v>622</v>
      </c>
    </row>
    <row r="139" spans="1:17" x14ac:dyDescent="0.3">
      <c r="A139">
        <v>100666150</v>
      </c>
      <c r="B139" t="s">
        <v>324</v>
      </c>
      <c r="C139" t="s">
        <v>19</v>
      </c>
      <c r="D139" t="s">
        <v>325</v>
      </c>
      <c r="E139" s="6">
        <v>1579.88</v>
      </c>
      <c r="F139" t="s">
        <v>643</v>
      </c>
      <c r="G139" s="4" t="str">
        <f t="shared" si="14"/>
        <v>1579.88</v>
      </c>
      <c r="H139" t="str">
        <f t="shared" si="15"/>
        <v>1579.88</v>
      </c>
      <c r="I139" s="1">
        <v>45716</v>
      </c>
      <c r="J139" s="2">
        <f t="shared" si="16"/>
        <v>1.2185589995259158E-2</v>
      </c>
      <c r="K139" s="3" t="str">
        <f t="shared" si="17"/>
        <v/>
      </c>
      <c r="L139" t="str">
        <f t="shared" si="18"/>
        <v/>
      </c>
      <c r="M139" t="str">
        <f t="shared" si="19"/>
        <v/>
      </c>
      <c r="N139">
        <v>1560.86</v>
      </c>
      <c r="O139" t="s">
        <v>326</v>
      </c>
      <c r="Q139" t="s">
        <v>19</v>
      </c>
    </row>
    <row r="140" spans="1:17" x14ac:dyDescent="0.3">
      <c r="A140">
        <v>100668409</v>
      </c>
      <c r="B140" t="s">
        <v>327</v>
      </c>
      <c r="C140" t="s">
        <v>590</v>
      </c>
      <c r="D140" t="s">
        <v>328</v>
      </c>
      <c r="E140" s="6">
        <v>71.78</v>
      </c>
      <c r="F140" t="s">
        <v>643</v>
      </c>
      <c r="G140" s="4" t="str">
        <f t="shared" si="14"/>
        <v>71.78</v>
      </c>
      <c r="H140" t="str">
        <f t="shared" si="15"/>
        <v>71.78</v>
      </c>
      <c r="I140" s="1">
        <v>45716</v>
      </c>
      <c r="J140" s="2">
        <f t="shared" si="16"/>
        <v>1.3412395877453097E-2</v>
      </c>
      <c r="K140" s="3" t="str">
        <f t="shared" si="17"/>
        <v/>
      </c>
      <c r="L140" t="str">
        <f t="shared" si="18"/>
        <v/>
      </c>
      <c r="M140" t="str">
        <f t="shared" si="19"/>
        <v>Check</v>
      </c>
      <c r="N140">
        <v>70.83</v>
      </c>
      <c r="O140" t="s">
        <v>329</v>
      </c>
      <c r="Q140" t="s">
        <v>16</v>
      </c>
    </row>
    <row r="141" spans="1:17" x14ac:dyDescent="0.3">
      <c r="A141">
        <v>100668534</v>
      </c>
      <c r="B141" t="s">
        <v>330</v>
      </c>
      <c r="C141" t="s">
        <v>590</v>
      </c>
      <c r="D141" t="s">
        <v>331</v>
      </c>
      <c r="E141" s="6">
        <v>67.05</v>
      </c>
      <c r="F141" t="s">
        <v>643</v>
      </c>
      <c r="G141" s="4" t="str">
        <f t="shared" si="14"/>
        <v>67.05</v>
      </c>
      <c r="H141" t="str">
        <f t="shared" si="15"/>
        <v>67.05</v>
      </c>
      <c r="I141" s="1">
        <v>45716</v>
      </c>
      <c r="J141" s="2">
        <f t="shared" si="16"/>
        <v>1.2686905301314054E-2</v>
      </c>
      <c r="K141" s="3" t="str">
        <f t="shared" si="17"/>
        <v/>
      </c>
      <c r="L141" t="str">
        <f t="shared" si="18"/>
        <v/>
      </c>
      <c r="M141" t="str">
        <f t="shared" si="19"/>
        <v>Check</v>
      </c>
      <c r="N141">
        <v>66.209999999999994</v>
      </c>
      <c r="O141" t="s">
        <v>332</v>
      </c>
      <c r="Q141" t="s">
        <v>16</v>
      </c>
    </row>
    <row r="142" spans="1:17" x14ac:dyDescent="0.3">
      <c r="A142">
        <v>100669580</v>
      </c>
      <c r="B142" t="s">
        <v>333</v>
      </c>
      <c r="C142" t="s">
        <v>19</v>
      </c>
      <c r="D142" t="s">
        <v>334</v>
      </c>
      <c r="E142" s="6">
        <v>693.22</v>
      </c>
      <c r="F142" t="s">
        <v>643</v>
      </c>
      <c r="G142" s="4" t="str">
        <f t="shared" si="14"/>
        <v>693.22</v>
      </c>
      <c r="H142" t="str">
        <f t="shared" si="15"/>
        <v>693.22</v>
      </c>
      <c r="I142" s="1">
        <v>45716</v>
      </c>
      <c r="J142" s="2">
        <f t="shared" si="16"/>
        <v>1.1911365427845856E-2</v>
      </c>
      <c r="K142" s="3" t="str">
        <f t="shared" si="17"/>
        <v/>
      </c>
      <c r="L142" t="str">
        <f t="shared" si="18"/>
        <v/>
      </c>
      <c r="M142" t="str">
        <f t="shared" si="19"/>
        <v/>
      </c>
      <c r="N142">
        <v>685.06</v>
      </c>
      <c r="O142" t="s">
        <v>335</v>
      </c>
      <c r="Q142" t="s">
        <v>19</v>
      </c>
    </row>
    <row r="143" spans="1:17" x14ac:dyDescent="0.3">
      <c r="A143">
        <v>100670671</v>
      </c>
      <c r="B143" t="s">
        <v>336</v>
      </c>
      <c r="C143" t="s">
        <v>590</v>
      </c>
      <c r="D143" t="s">
        <v>337</v>
      </c>
      <c r="E143" s="6">
        <v>360.31</v>
      </c>
      <c r="F143" t="s">
        <v>643</v>
      </c>
      <c r="G143" s="4" t="str">
        <f t="shared" si="14"/>
        <v>360.31</v>
      </c>
      <c r="H143" t="str">
        <f t="shared" si="15"/>
        <v>360.31</v>
      </c>
      <c r="I143" s="1">
        <v>45716</v>
      </c>
      <c r="J143" s="2">
        <f t="shared" si="16"/>
        <v>1.2021458865825998E-2</v>
      </c>
      <c r="K143" s="3" t="str">
        <f t="shared" si="17"/>
        <v/>
      </c>
      <c r="L143" t="str">
        <f t="shared" si="18"/>
        <v/>
      </c>
      <c r="M143" t="str">
        <f t="shared" si="19"/>
        <v>Check</v>
      </c>
      <c r="N143">
        <v>356.03</v>
      </c>
      <c r="O143" t="s">
        <v>338</v>
      </c>
      <c r="Q143" t="s">
        <v>16</v>
      </c>
    </row>
    <row r="144" spans="1:17" x14ac:dyDescent="0.3">
      <c r="A144">
        <v>100670671</v>
      </c>
      <c r="B144" t="s">
        <v>336</v>
      </c>
      <c r="C144" t="s">
        <v>611</v>
      </c>
      <c r="D144" t="s">
        <v>339</v>
      </c>
      <c r="E144" s="6">
        <v>33394.85</v>
      </c>
      <c r="F144" t="s">
        <v>643</v>
      </c>
      <c r="G144" s="4" t="str">
        <f t="shared" si="14"/>
        <v>33394.85</v>
      </c>
      <c r="H144" t="str">
        <f t="shared" si="15"/>
        <v>33394.85</v>
      </c>
      <c r="I144" s="1">
        <v>45716</v>
      </c>
      <c r="J144" s="2">
        <f t="shared" si="16"/>
        <v>2.9660967302914325E-2</v>
      </c>
      <c r="K144" s="3" t="str">
        <f t="shared" si="17"/>
        <v/>
      </c>
      <c r="L144" t="str">
        <f t="shared" si="18"/>
        <v/>
      </c>
      <c r="M144" t="str">
        <f t="shared" si="19"/>
        <v>Check</v>
      </c>
      <c r="N144">
        <v>32432.86</v>
      </c>
      <c r="O144" t="s">
        <v>340</v>
      </c>
      <c r="Q144" t="s">
        <v>41</v>
      </c>
    </row>
    <row r="145" spans="1:17" x14ac:dyDescent="0.3">
      <c r="A145">
        <v>100670671</v>
      </c>
      <c r="B145" t="s">
        <v>336</v>
      </c>
      <c r="C145" t="s">
        <v>609</v>
      </c>
      <c r="D145" t="s">
        <v>634</v>
      </c>
      <c r="E145" s="6">
        <v>510.35</v>
      </c>
      <c r="F145" t="s">
        <v>643</v>
      </c>
      <c r="G145" s="4" t="str">
        <f t="shared" si="14"/>
        <v>510.35</v>
      </c>
      <c r="H145" t="str">
        <f t="shared" si="15"/>
        <v>510.35</v>
      </c>
      <c r="I145" s="1">
        <v>45716</v>
      </c>
      <c r="J145" s="2">
        <f t="shared" si="16"/>
        <v>0.21013444620966021</v>
      </c>
      <c r="K145" s="3" t="str">
        <f t="shared" si="17"/>
        <v>Check!</v>
      </c>
      <c r="L145" t="str">
        <f t="shared" si="18"/>
        <v/>
      </c>
      <c r="M145" t="str">
        <f t="shared" si="19"/>
        <v/>
      </c>
      <c r="N145">
        <v>421.73</v>
      </c>
      <c r="O145" t="s">
        <v>670</v>
      </c>
      <c r="Q145" t="s">
        <v>609</v>
      </c>
    </row>
    <row r="146" spans="1:17" x14ac:dyDescent="0.3">
      <c r="A146">
        <v>100670671</v>
      </c>
      <c r="B146" t="s">
        <v>336</v>
      </c>
      <c r="C146" t="s">
        <v>609</v>
      </c>
      <c r="D146" t="s">
        <v>634</v>
      </c>
      <c r="E146" s="6">
        <v>1.64</v>
      </c>
      <c r="F146" t="s">
        <v>643</v>
      </c>
      <c r="G146" s="4" t="str">
        <f t="shared" si="14"/>
        <v>1.64</v>
      </c>
      <c r="H146" t="str">
        <f t="shared" si="15"/>
        <v>1.64</v>
      </c>
      <c r="I146" s="1">
        <v>45716</v>
      </c>
      <c r="J146" s="2">
        <f t="shared" si="16"/>
        <v>-0.99611125601688288</v>
      </c>
      <c r="K146" s="3" t="str">
        <f t="shared" si="17"/>
        <v>Check!</v>
      </c>
      <c r="L146" t="str">
        <f t="shared" si="18"/>
        <v/>
      </c>
      <c r="M146" t="str">
        <f t="shared" si="19"/>
        <v/>
      </c>
      <c r="N146">
        <v>421.73</v>
      </c>
      <c r="O146" t="s">
        <v>670</v>
      </c>
      <c r="Q146" t="s">
        <v>609</v>
      </c>
    </row>
    <row r="147" spans="1:17" x14ac:dyDescent="0.3">
      <c r="A147">
        <v>100670671</v>
      </c>
      <c r="B147" t="s">
        <v>336</v>
      </c>
      <c r="C147" t="s">
        <v>606</v>
      </c>
      <c r="D147" t="s">
        <v>633</v>
      </c>
      <c r="E147" s="6">
        <v>74.05</v>
      </c>
      <c r="F147" t="s">
        <v>643</v>
      </c>
      <c r="G147" s="4" t="str">
        <f t="shared" si="14"/>
        <v>74.05</v>
      </c>
      <c r="H147" t="str">
        <f t="shared" si="15"/>
        <v>74.05</v>
      </c>
      <c r="I147" s="1">
        <v>45716</v>
      </c>
      <c r="J147" s="2">
        <f t="shared" si="16"/>
        <v>4.2517246233985583E-2</v>
      </c>
      <c r="K147" s="3" t="str">
        <f t="shared" si="17"/>
        <v/>
      </c>
      <c r="L147" t="str">
        <f t="shared" si="18"/>
        <v/>
      </c>
      <c r="M147" t="str">
        <f t="shared" si="19"/>
        <v/>
      </c>
      <c r="N147">
        <v>71.03</v>
      </c>
      <c r="O147" t="s">
        <v>671</v>
      </c>
      <c r="Q147" t="s">
        <v>606</v>
      </c>
    </row>
    <row r="148" spans="1:17" x14ac:dyDescent="0.3">
      <c r="A148">
        <v>100670671</v>
      </c>
      <c r="B148" t="s">
        <v>336</v>
      </c>
      <c r="C148" t="s">
        <v>606</v>
      </c>
      <c r="D148" t="s">
        <v>633</v>
      </c>
      <c r="E148" s="6">
        <v>4087.36</v>
      </c>
      <c r="F148" t="s">
        <v>643</v>
      </c>
      <c r="G148" s="4" t="str">
        <f t="shared" si="14"/>
        <v>4087.36</v>
      </c>
      <c r="H148" t="str">
        <f t="shared" si="15"/>
        <v>4087.36</v>
      </c>
      <c r="I148" s="1">
        <v>45716</v>
      </c>
      <c r="J148" s="2">
        <f t="shared" si="16"/>
        <v>5.3063327665275425E-2</v>
      </c>
      <c r="K148" s="3" t="str">
        <f t="shared" si="17"/>
        <v/>
      </c>
      <c r="L148" t="str">
        <f t="shared" si="18"/>
        <v/>
      </c>
      <c r="M148" t="str">
        <f t="shared" si="19"/>
        <v/>
      </c>
      <c r="N148">
        <v>3881.4</v>
      </c>
      <c r="O148" t="s">
        <v>671</v>
      </c>
      <c r="Q148" t="s">
        <v>606</v>
      </c>
    </row>
    <row r="149" spans="1:17" x14ac:dyDescent="0.3">
      <c r="A149">
        <v>100672294</v>
      </c>
      <c r="B149" t="s">
        <v>341</v>
      </c>
      <c r="C149" t="s">
        <v>590</v>
      </c>
      <c r="D149" t="s">
        <v>342</v>
      </c>
      <c r="E149" s="6">
        <v>316.08</v>
      </c>
      <c r="F149" t="s">
        <v>643</v>
      </c>
      <c r="G149" s="4" t="str">
        <f t="shared" si="14"/>
        <v>316.08</v>
      </c>
      <c r="H149" t="str">
        <f t="shared" si="15"/>
        <v>316.08</v>
      </c>
      <c r="I149" s="1">
        <v>45716</v>
      </c>
      <c r="J149" s="2">
        <f t="shared" si="16"/>
        <v>-0.24137765510620424</v>
      </c>
      <c r="K149" s="3" t="str">
        <f t="shared" si="17"/>
        <v>Check!</v>
      </c>
      <c r="L149" t="str">
        <f t="shared" si="18"/>
        <v/>
      </c>
      <c r="M149" t="str">
        <f t="shared" si="19"/>
        <v>Check</v>
      </c>
      <c r="N149">
        <v>416.65</v>
      </c>
      <c r="O149" t="s">
        <v>343</v>
      </c>
      <c r="Q149" t="s">
        <v>16</v>
      </c>
    </row>
    <row r="150" spans="1:17" x14ac:dyDescent="0.3">
      <c r="A150">
        <v>100672395</v>
      </c>
      <c r="B150" t="s">
        <v>344</v>
      </c>
      <c r="C150" t="s">
        <v>590</v>
      </c>
      <c r="D150" t="s">
        <v>345</v>
      </c>
      <c r="E150" s="6">
        <v>115.29</v>
      </c>
      <c r="F150" t="s">
        <v>643</v>
      </c>
      <c r="G150" s="4" t="str">
        <f t="shared" si="14"/>
        <v>115.29</v>
      </c>
      <c r="H150" t="str">
        <f t="shared" si="15"/>
        <v>115.29</v>
      </c>
      <c r="I150" s="1">
        <v>45716</v>
      </c>
      <c r="J150" s="2">
        <f t="shared" si="16"/>
        <v>1.1670761670761781E-2</v>
      </c>
      <c r="K150" s="3" t="str">
        <f t="shared" si="17"/>
        <v/>
      </c>
      <c r="L150" t="str">
        <f t="shared" si="18"/>
        <v/>
      </c>
      <c r="M150" t="str">
        <f t="shared" si="19"/>
        <v>Check</v>
      </c>
      <c r="N150">
        <v>113.96</v>
      </c>
      <c r="O150" t="s">
        <v>346</v>
      </c>
      <c r="Q150" t="s">
        <v>16</v>
      </c>
    </row>
    <row r="151" spans="1:17" x14ac:dyDescent="0.3">
      <c r="A151">
        <v>100675336</v>
      </c>
      <c r="B151" t="s">
        <v>347</v>
      </c>
      <c r="C151" t="s">
        <v>19</v>
      </c>
      <c r="D151" t="s">
        <v>348</v>
      </c>
      <c r="E151" s="6">
        <v>279.31</v>
      </c>
      <c r="F151" t="s">
        <v>643</v>
      </c>
      <c r="G151" s="4" t="str">
        <f t="shared" si="14"/>
        <v>279.31</v>
      </c>
      <c r="H151" t="str">
        <f t="shared" si="15"/>
        <v>279.31</v>
      </c>
      <c r="I151" s="1">
        <v>45716</v>
      </c>
      <c r="J151" s="2">
        <f t="shared" si="16"/>
        <v>1.1809454808911395E-2</v>
      </c>
      <c r="K151" s="3" t="str">
        <f t="shared" si="17"/>
        <v/>
      </c>
      <c r="L151" t="str">
        <f t="shared" si="18"/>
        <v/>
      </c>
      <c r="M151" t="str">
        <f t="shared" si="19"/>
        <v/>
      </c>
      <c r="N151">
        <v>276.05</v>
      </c>
      <c r="O151" t="s">
        <v>349</v>
      </c>
      <c r="Q151" t="s">
        <v>19</v>
      </c>
    </row>
    <row r="152" spans="1:17" x14ac:dyDescent="0.3">
      <c r="A152">
        <v>100677278</v>
      </c>
      <c r="B152" t="s">
        <v>350</v>
      </c>
      <c r="C152" t="s">
        <v>19</v>
      </c>
      <c r="D152" t="s">
        <v>351</v>
      </c>
      <c r="E152" s="6">
        <v>984.89</v>
      </c>
      <c r="F152" t="s">
        <v>643</v>
      </c>
      <c r="G152" s="4" t="str">
        <f t="shared" si="14"/>
        <v>984.89</v>
      </c>
      <c r="H152" t="str">
        <f t="shared" si="15"/>
        <v>984.89</v>
      </c>
      <c r="I152" s="1">
        <v>45716</v>
      </c>
      <c r="J152" s="2">
        <f t="shared" si="16"/>
        <v>-0.97748344734230419</v>
      </c>
      <c r="K152" s="3" t="str">
        <f t="shared" si="17"/>
        <v>Check!</v>
      </c>
      <c r="L152" t="str">
        <f t="shared" si="18"/>
        <v/>
      </c>
      <c r="M152" t="str">
        <f t="shared" si="19"/>
        <v/>
      </c>
      <c r="N152">
        <v>43740.71</v>
      </c>
      <c r="O152" t="s">
        <v>352</v>
      </c>
      <c r="Q152" t="s">
        <v>19</v>
      </c>
    </row>
    <row r="153" spans="1:17" x14ac:dyDescent="0.3">
      <c r="A153">
        <v>100677585</v>
      </c>
      <c r="B153" t="s">
        <v>353</v>
      </c>
      <c r="C153" t="s">
        <v>19</v>
      </c>
      <c r="D153" t="s">
        <v>354</v>
      </c>
      <c r="E153" s="6">
        <v>122.54</v>
      </c>
      <c r="F153" t="s">
        <v>643</v>
      </c>
      <c r="G153" s="4" t="str">
        <f t="shared" si="14"/>
        <v>122.54</v>
      </c>
      <c r="H153" t="str">
        <f t="shared" si="15"/>
        <v>122.54</v>
      </c>
      <c r="I153" s="1">
        <v>45716</v>
      </c>
      <c r="J153" s="2">
        <f t="shared" si="16"/>
        <v>-0.97512342871991431</v>
      </c>
      <c r="K153" s="3" t="str">
        <f t="shared" si="17"/>
        <v>Check!</v>
      </c>
      <c r="L153" t="str">
        <f t="shared" si="18"/>
        <v/>
      </c>
      <c r="M153" t="str">
        <f t="shared" si="19"/>
        <v/>
      </c>
      <c r="N153">
        <v>4925.92</v>
      </c>
      <c r="O153" t="s">
        <v>355</v>
      </c>
      <c r="Q153" t="s">
        <v>19</v>
      </c>
    </row>
    <row r="154" spans="1:17" x14ac:dyDescent="0.3">
      <c r="A154">
        <v>100706842</v>
      </c>
      <c r="B154" t="s">
        <v>356</v>
      </c>
      <c r="C154" t="s">
        <v>19</v>
      </c>
      <c r="D154" t="s">
        <v>357</v>
      </c>
      <c r="E154" s="6">
        <v>1217.27</v>
      </c>
      <c r="F154" t="s">
        <v>643</v>
      </c>
      <c r="G154" s="4" t="str">
        <f t="shared" si="14"/>
        <v>1217.27</v>
      </c>
      <c r="H154" t="str">
        <f t="shared" si="15"/>
        <v>1217.27</v>
      </c>
      <c r="I154" s="1">
        <v>45716</v>
      </c>
      <c r="J154" s="2">
        <f t="shared" si="16"/>
        <v>-0.97305979487492744</v>
      </c>
      <c r="K154" s="3" t="str">
        <f t="shared" si="17"/>
        <v>Check!</v>
      </c>
      <c r="L154" t="str">
        <f t="shared" si="18"/>
        <v/>
      </c>
      <c r="M154" t="str">
        <f t="shared" si="19"/>
        <v/>
      </c>
      <c r="N154">
        <v>45184.14</v>
      </c>
      <c r="O154" t="s">
        <v>358</v>
      </c>
      <c r="Q154" t="s">
        <v>19</v>
      </c>
    </row>
    <row r="155" spans="1:17" x14ac:dyDescent="0.3">
      <c r="A155">
        <v>100711105</v>
      </c>
      <c r="B155" t="s">
        <v>359</v>
      </c>
      <c r="C155" t="s">
        <v>590</v>
      </c>
      <c r="D155" t="s">
        <v>360</v>
      </c>
      <c r="E155" s="6">
        <v>22.35</v>
      </c>
      <c r="F155" t="s">
        <v>643</v>
      </c>
      <c r="G155" s="4" t="str">
        <f t="shared" si="14"/>
        <v>22.35</v>
      </c>
      <c r="H155" t="str">
        <f t="shared" si="15"/>
        <v>22.35</v>
      </c>
      <c r="I155" s="1">
        <v>45716</v>
      </c>
      <c r="J155" s="2">
        <f t="shared" si="16"/>
        <v>-0.8908424908424909</v>
      </c>
      <c r="K155" s="3" t="str">
        <f t="shared" si="17"/>
        <v>Check!</v>
      </c>
      <c r="L155" t="str">
        <f t="shared" si="18"/>
        <v/>
      </c>
      <c r="M155" t="str">
        <f t="shared" si="19"/>
        <v>Check</v>
      </c>
      <c r="N155">
        <v>204.75</v>
      </c>
      <c r="O155" t="s">
        <v>361</v>
      </c>
      <c r="Q155" t="s">
        <v>16</v>
      </c>
    </row>
    <row r="156" spans="1:17" s="7" customFormat="1" x14ac:dyDescent="0.3">
      <c r="A156" s="7">
        <v>32490</v>
      </c>
      <c r="B156" s="7" t="s">
        <v>15</v>
      </c>
      <c r="C156" s="7" t="s">
        <v>590</v>
      </c>
      <c r="D156" s="7" t="s">
        <v>17</v>
      </c>
      <c r="E156" s="8">
        <v>15633.4</v>
      </c>
      <c r="F156" s="7" t="s">
        <v>643</v>
      </c>
      <c r="G156" s="4" t="str">
        <f t="shared" si="14"/>
        <v>15633.4</v>
      </c>
      <c r="H156" t="str">
        <f t="shared" si="15"/>
        <v>15633.4</v>
      </c>
      <c r="I156" s="1">
        <v>45716</v>
      </c>
      <c r="J156" s="2">
        <f t="shared" si="16"/>
        <v>-0.10340900032059215</v>
      </c>
      <c r="K156" s="3" t="str">
        <f t="shared" si="17"/>
        <v>Check!</v>
      </c>
      <c r="L156" t="str">
        <f t="shared" si="18"/>
        <v/>
      </c>
      <c r="M156" t="str">
        <f t="shared" si="19"/>
        <v>Check</v>
      </c>
      <c r="N156" s="7">
        <v>17436.490000000002</v>
      </c>
      <c r="O156" s="7" t="s">
        <v>18</v>
      </c>
      <c r="Q156" s="7" t="s">
        <v>16</v>
      </c>
    </row>
    <row r="157" spans="1:17" x14ac:dyDescent="0.3">
      <c r="A157">
        <v>32490</v>
      </c>
      <c r="B157" t="s">
        <v>15</v>
      </c>
      <c r="C157" t="s">
        <v>19</v>
      </c>
      <c r="D157" t="s">
        <v>20</v>
      </c>
      <c r="E157" s="6">
        <v>1908.98</v>
      </c>
      <c r="F157" t="s">
        <v>643</v>
      </c>
      <c r="G157" s="4" t="str">
        <f t="shared" si="14"/>
        <v>1908.98</v>
      </c>
      <c r="H157" t="str">
        <f t="shared" si="15"/>
        <v>1908.98</v>
      </c>
      <c r="I157" s="1">
        <v>45716</v>
      </c>
      <c r="J157" s="2">
        <f t="shared" si="16"/>
        <v>-0.28886686882082535</v>
      </c>
      <c r="K157" s="3" t="str">
        <f t="shared" si="17"/>
        <v>Check!</v>
      </c>
      <c r="L157" t="str">
        <f t="shared" si="18"/>
        <v/>
      </c>
      <c r="M157" t="str">
        <f t="shared" si="19"/>
        <v/>
      </c>
      <c r="N157">
        <v>2684.42</v>
      </c>
      <c r="O157" t="s">
        <v>21</v>
      </c>
      <c r="Q157" t="s">
        <v>19</v>
      </c>
    </row>
    <row r="158" spans="1:17" x14ac:dyDescent="0.3">
      <c r="A158">
        <v>32490</v>
      </c>
      <c r="B158" t="s">
        <v>15</v>
      </c>
      <c r="C158" t="s">
        <v>19</v>
      </c>
      <c r="D158" t="s">
        <v>22</v>
      </c>
      <c r="E158" s="6">
        <v>6352.84</v>
      </c>
      <c r="F158" t="s">
        <v>643</v>
      </c>
      <c r="G158" s="4" t="str">
        <f t="shared" si="14"/>
        <v>6352.84</v>
      </c>
      <c r="H158" t="str">
        <f t="shared" si="15"/>
        <v>6352.84</v>
      </c>
      <c r="I158" s="1">
        <v>45716</v>
      </c>
      <c r="J158" s="2">
        <f t="shared" si="16"/>
        <v>-0.32622098344729428</v>
      </c>
      <c r="K158" s="3" t="str">
        <f t="shared" si="17"/>
        <v>Check!</v>
      </c>
      <c r="L158" t="str">
        <f t="shared" si="18"/>
        <v/>
      </c>
      <c r="M158" t="str">
        <f t="shared" si="19"/>
        <v/>
      </c>
      <c r="N158">
        <v>9428.67</v>
      </c>
      <c r="O158" t="s">
        <v>23</v>
      </c>
      <c r="Q158" t="s">
        <v>19</v>
      </c>
    </row>
    <row r="159" spans="1:17" x14ac:dyDescent="0.3">
      <c r="A159">
        <v>33672</v>
      </c>
      <c r="B159" t="s">
        <v>24</v>
      </c>
      <c r="C159" t="s">
        <v>19</v>
      </c>
      <c r="D159" t="s">
        <v>25</v>
      </c>
      <c r="E159" s="6">
        <v>27402.06</v>
      </c>
      <c r="F159" t="s">
        <v>643</v>
      </c>
      <c r="G159" s="4" t="str">
        <f t="shared" si="14"/>
        <v>27402.06</v>
      </c>
      <c r="H159" t="str">
        <f t="shared" si="15"/>
        <v>27402.06</v>
      </c>
      <c r="I159" s="1">
        <v>45716</v>
      </c>
      <c r="J159" s="2">
        <f t="shared" si="16"/>
        <v>-0.25968470342605127</v>
      </c>
      <c r="K159" s="3" t="str">
        <f t="shared" si="17"/>
        <v>Check!</v>
      </c>
      <c r="L159" t="str">
        <f t="shared" si="18"/>
        <v/>
      </c>
      <c r="M159" t="str">
        <f t="shared" si="19"/>
        <v/>
      </c>
      <c r="N159">
        <v>37014.04</v>
      </c>
      <c r="O159" t="s">
        <v>26</v>
      </c>
      <c r="Q159" t="s">
        <v>19</v>
      </c>
    </row>
    <row r="160" spans="1:17" x14ac:dyDescent="0.3">
      <c r="A160">
        <v>34171</v>
      </c>
      <c r="B160" t="s">
        <v>27</v>
      </c>
      <c r="C160" t="s">
        <v>19</v>
      </c>
      <c r="D160" t="s">
        <v>28</v>
      </c>
      <c r="E160" s="6">
        <v>7983.71</v>
      </c>
      <c r="F160" t="s">
        <v>643</v>
      </c>
      <c r="G160" s="4" t="str">
        <f t="shared" si="14"/>
        <v>7983.71</v>
      </c>
      <c r="H160" t="str">
        <f t="shared" si="15"/>
        <v>7983.71</v>
      </c>
      <c r="I160" s="1">
        <v>45716</v>
      </c>
      <c r="J160" s="2">
        <f t="shared" si="16"/>
        <v>-9.6935872652474012E-2</v>
      </c>
      <c r="K160" s="3" t="str">
        <f t="shared" si="17"/>
        <v/>
      </c>
      <c r="L160" t="str">
        <f t="shared" si="18"/>
        <v/>
      </c>
      <c r="M160" t="str">
        <f t="shared" si="19"/>
        <v/>
      </c>
      <c r="N160">
        <v>8840.69</v>
      </c>
      <c r="O160" t="s">
        <v>29</v>
      </c>
      <c r="Q160" t="s">
        <v>19</v>
      </c>
    </row>
    <row r="161" spans="1:17" x14ac:dyDescent="0.3">
      <c r="A161">
        <v>34173</v>
      </c>
      <c r="B161" t="s">
        <v>30</v>
      </c>
      <c r="C161" t="s">
        <v>19</v>
      </c>
      <c r="D161" t="s">
        <v>31</v>
      </c>
      <c r="E161" s="6">
        <v>9472.44</v>
      </c>
      <c r="F161" t="s">
        <v>643</v>
      </c>
      <c r="G161" s="4" t="str">
        <f t="shared" si="14"/>
        <v>9472.44</v>
      </c>
      <c r="H161" t="str">
        <f t="shared" si="15"/>
        <v>9472.44</v>
      </c>
      <c r="I161" s="1">
        <v>45716</v>
      </c>
      <c r="J161" s="2">
        <f t="shared" si="16"/>
        <v>-9.3325165471000116E-2</v>
      </c>
      <c r="K161" s="3" t="str">
        <f t="shared" si="17"/>
        <v/>
      </c>
      <c r="L161" t="str">
        <f t="shared" si="18"/>
        <v/>
      </c>
      <c r="M161" t="str">
        <f t="shared" si="19"/>
        <v/>
      </c>
      <c r="N161">
        <v>10447.450000000001</v>
      </c>
      <c r="O161" t="s">
        <v>32</v>
      </c>
      <c r="Q161" t="s">
        <v>19</v>
      </c>
    </row>
    <row r="162" spans="1:17" x14ac:dyDescent="0.3">
      <c r="A162">
        <v>34196</v>
      </c>
      <c r="B162" t="s">
        <v>33</v>
      </c>
      <c r="C162" t="s">
        <v>590</v>
      </c>
      <c r="D162" t="s">
        <v>34</v>
      </c>
      <c r="E162" s="6">
        <v>218765.66</v>
      </c>
      <c r="F162" t="s">
        <v>643</v>
      </c>
      <c r="G162" s="4" t="str">
        <f t="shared" si="14"/>
        <v>218765.66</v>
      </c>
      <c r="H162" t="str">
        <f t="shared" si="15"/>
        <v>218765.66</v>
      </c>
      <c r="I162" s="1">
        <v>45716</v>
      </c>
      <c r="J162" s="2">
        <f t="shared" si="16"/>
        <v>-0.10571908426466452</v>
      </c>
      <c r="K162" s="3" t="str">
        <f t="shared" si="17"/>
        <v>Check!</v>
      </c>
      <c r="L162" t="str">
        <f t="shared" si="18"/>
        <v/>
      </c>
      <c r="M162" t="str">
        <f t="shared" si="19"/>
        <v>Check</v>
      </c>
      <c r="N162">
        <v>244627.45</v>
      </c>
      <c r="O162" t="s">
        <v>35</v>
      </c>
      <c r="Q162" t="s">
        <v>16</v>
      </c>
    </row>
    <row r="163" spans="1:17" x14ac:dyDescent="0.3">
      <c r="A163">
        <v>34199</v>
      </c>
      <c r="B163" t="s">
        <v>36</v>
      </c>
      <c r="C163" t="s">
        <v>590</v>
      </c>
      <c r="D163" t="s">
        <v>37</v>
      </c>
      <c r="E163" s="6">
        <v>9499.16</v>
      </c>
      <c r="F163" t="s">
        <v>643</v>
      </c>
      <c r="G163" s="4" t="str">
        <f t="shared" si="14"/>
        <v>9499.16</v>
      </c>
      <c r="H163" t="str">
        <f t="shared" si="15"/>
        <v>9499.16</v>
      </c>
      <c r="I163" s="1">
        <v>45716</v>
      </c>
      <c r="J163" s="2">
        <f t="shared" si="16"/>
        <v>-0.28280512922729384</v>
      </c>
      <c r="K163" s="3" t="str">
        <f t="shared" si="17"/>
        <v>Check!</v>
      </c>
      <c r="L163" t="str">
        <f t="shared" si="18"/>
        <v/>
      </c>
      <c r="M163" t="str">
        <f t="shared" si="19"/>
        <v>Check</v>
      </c>
      <c r="N163">
        <v>13244.88</v>
      </c>
      <c r="O163" t="s">
        <v>38</v>
      </c>
      <c r="Q163" t="s">
        <v>16</v>
      </c>
    </row>
    <row r="164" spans="1:17" x14ac:dyDescent="0.3">
      <c r="A164">
        <v>34199</v>
      </c>
      <c r="B164" t="s">
        <v>36</v>
      </c>
      <c r="C164" t="s">
        <v>19</v>
      </c>
      <c r="D164" t="s">
        <v>39</v>
      </c>
      <c r="E164" s="6">
        <v>7343.83</v>
      </c>
      <c r="F164" t="s">
        <v>643</v>
      </c>
      <c r="G164" s="4" t="str">
        <f t="shared" si="14"/>
        <v>7343.83</v>
      </c>
      <c r="H164" t="str">
        <f t="shared" si="15"/>
        <v>7343.83</v>
      </c>
      <c r="I164" s="1">
        <v>45716</v>
      </c>
      <c r="J164" s="2">
        <f t="shared" si="16"/>
        <v>-0.10384596141713739</v>
      </c>
      <c r="K164" s="3" t="str">
        <f t="shared" si="17"/>
        <v>Check!</v>
      </c>
      <c r="L164" t="str">
        <f t="shared" si="18"/>
        <v/>
      </c>
      <c r="M164" t="str">
        <f t="shared" si="19"/>
        <v/>
      </c>
      <c r="N164">
        <v>8194.83</v>
      </c>
      <c r="O164" t="s">
        <v>40</v>
      </c>
      <c r="Q164" t="s">
        <v>19</v>
      </c>
    </row>
    <row r="165" spans="1:17" x14ac:dyDescent="0.3">
      <c r="A165">
        <v>34200</v>
      </c>
      <c r="B165" t="s">
        <v>592</v>
      </c>
      <c r="C165" t="s">
        <v>611</v>
      </c>
      <c r="D165" t="s">
        <v>42</v>
      </c>
      <c r="E165" s="6">
        <v>259782.81</v>
      </c>
      <c r="F165" t="s">
        <v>643</v>
      </c>
      <c r="G165" s="4" t="str">
        <f t="shared" si="14"/>
        <v>259782.81</v>
      </c>
      <c r="H165" t="str">
        <f t="shared" si="15"/>
        <v>259782.81</v>
      </c>
      <c r="I165" s="1">
        <v>45716</v>
      </c>
      <c r="J165" s="2">
        <f t="shared" si="16"/>
        <v>2.6568424127424242E-2</v>
      </c>
      <c r="K165" s="3" t="str">
        <f t="shared" si="17"/>
        <v/>
      </c>
      <c r="L165" t="str">
        <f t="shared" si="18"/>
        <v/>
      </c>
      <c r="M165" t="str">
        <f t="shared" si="19"/>
        <v>Check</v>
      </c>
      <c r="N165">
        <v>253059.42</v>
      </c>
      <c r="O165" t="s">
        <v>43</v>
      </c>
      <c r="Q165" t="s">
        <v>41</v>
      </c>
    </row>
    <row r="166" spans="1:17" x14ac:dyDescent="0.3">
      <c r="A166">
        <v>34200</v>
      </c>
      <c r="B166" t="s">
        <v>592</v>
      </c>
      <c r="C166" t="s">
        <v>611</v>
      </c>
      <c r="D166" t="s">
        <v>44</v>
      </c>
      <c r="E166" s="6">
        <v>143761.41</v>
      </c>
      <c r="F166" t="s">
        <v>643</v>
      </c>
      <c r="G166" s="4" t="str">
        <f t="shared" si="14"/>
        <v>143761.41</v>
      </c>
      <c r="H166" t="str">
        <f t="shared" si="15"/>
        <v>143761.41</v>
      </c>
      <c r="I166" s="1">
        <v>45716</v>
      </c>
      <c r="J166" s="2">
        <f t="shared" si="16"/>
        <v>2.7808172667791769E-2</v>
      </c>
      <c r="K166" s="3" t="str">
        <f t="shared" si="17"/>
        <v/>
      </c>
      <c r="L166" t="str">
        <f t="shared" si="18"/>
        <v/>
      </c>
      <c r="M166" t="str">
        <f t="shared" si="19"/>
        <v>Check</v>
      </c>
      <c r="N166">
        <v>139871.82999999999</v>
      </c>
      <c r="O166" t="s">
        <v>45</v>
      </c>
      <c r="Q166" t="s">
        <v>41</v>
      </c>
    </row>
    <row r="167" spans="1:17" x14ac:dyDescent="0.3">
      <c r="A167">
        <v>34200</v>
      </c>
      <c r="B167" t="s">
        <v>592</v>
      </c>
      <c r="C167" t="s">
        <v>609</v>
      </c>
      <c r="D167" t="s">
        <v>610</v>
      </c>
      <c r="E167" s="6">
        <v>10959.4</v>
      </c>
      <c r="F167" t="s">
        <v>643</v>
      </c>
      <c r="G167" s="4" t="str">
        <f t="shared" si="14"/>
        <v>10959.4</v>
      </c>
      <c r="H167" t="str">
        <f t="shared" si="15"/>
        <v>10959.4</v>
      </c>
      <c r="I167" s="1">
        <v>45716</v>
      </c>
      <c r="J167" s="2">
        <f t="shared" si="16"/>
        <v>0.22772388143302033</v>
      </c>
      <c r="K167" s="3" t="str">
        <f t="shared" si="17"/>
        <v>Check!</v>
      </c>
      <c r="L167" t="str">
        <f t="shared" si="18"/>
        <v/>
      </c>
      <c r="M167" t="str">
        <f t="shared" si="19"/>
        <v/>
      </c>
      <c r="N167">
        <v>8926.6</v>
      </c>
      <c r="O167" t="s">
        <v>644</v>
      </c>
      <c r="Q167" t="s">
        <v>609</v>
      </c>
    </row>
    <row r="168" spans="1:17" x14ac:dyDescent="0.3">
      <c r="A168">
        <v>34200</v>
      </c>
      <c r="B168" t="s">
        <v>592</v>
      </c>
      <c r="C168" t="s">
        <v>606</v>
      </c>
      <c r="D168" t="s">
        <v>607</v>
      </c>
      <c r="E168" s="6">
        <v>18423.48</v>
      </c>
      <c r="F168" t="s">
        <v>643</v>
      </c>
      <c r="G168" s="4" t="str">
        <f t="shared" si="14"/>
        <v>18423.48</v>
      </c>
      <c r="H168" t="str">
        <f t="shared" si="15"/>
        <v>18423.48</v>
      </c>
      <c r="I168" s="1">
        <v>45716</v>
      </c>
      <c r="J168" s="2">
        <f t="shared" si="16"/>
        <v>7.5905952513739799E-2</v>
      </c>
      <c r="K168" s="3" t="str">
        <f t="shared" si="17"/>
        <v/>
      </c>
      <c r="L168" t="str">
        <f t="shared" si="18"/>
        <v/>
      </c>
      <c r="M168" t="str">
        <f t="shared" si="19"/>
        <v/>
      </c>
      <c r="N168">
        <v>17123.689999999999</v>
      </c>
      <c r="O168" t="s">
        <v>645</v>
      </c>
      <c r="Q168" t="s">
        <v>606</v>
      </c>
    </row>
    <row r="169" spans="1:17" x14ac:dyDescent="0.3">
      <c r="A169">
        <v>34200</v>
      </c>
      <c r="B169" t="s">
        <v>592</v>
      </c>
      <c r="C169" t="s">
        <v>606</v>
      </c>
      <c r="D169" t="s">
        <v>608</v>
      </c>
      <c r="E169" s="6">
        <v>12962.14</v>
      </c>
      <c r="F169" t="s">
        <v>643</v>
      </c>
      <c r="G169" s="4" t="str">
        <f t="shared" si="14"/>
        <v>12962.14</v>
      </c>
      <c r="H169" t="str">
        <f t="shared" si="15"/>
        <v>12962.14</v>
      </c>
      <c r="I169" s="1">
        <v>45716</v>
      </c>
      <c r="J169" s="2">
        <f t="shared" si="16"/>
        <v>2.3008363448957771E-2</v>
      </c>
      <c r="K169" s="3" t="str">
        <f t="shared" si="17"/>
        <v/>
      </c>
      <c r="L169" t="str">
        <f t="shared" si="18"/>
        <v/>
      </c>
      <c r="M169" t="str">
        <f t="shared" si="19"/>
        <v/>
      </c>
      <c r="N169">
        <v>12670.61</v>
      </c>
      <c r="O169" t="s">
        <v>646</v>
      </c>
      <c r="Q169" t="s">
        <v>606</v>
      </c>
    </row>
    <row r="170" spans="1:17" x14ac:dyDescent="0.3">
      <c r="A170">
        <v>34202</v>
      </c>
      <c r="B170" t="s">
        <v>46</v>
      </c>
      <c r="C170" t="s">
        <v>19</v>
      </c>
      <c r="D170" t="s">
        <v>47</v>
      </c>
      <c r="E170" s="6">
        <v>4070.01</v>
      </c>
      <c r="F170" t="s">
        <v>643</v>
      </c>
      <c r="G170" s="4" t="str">
        <f t="shared" si="14"/>
        <v>4070.01</v>
      </c>
      <c r="H170" t="str">
        <f t="shared" si="15"/>
        <v>4070.01</v>
      </c>
      <c r="I170" s="1">
        <v>45716</v>
      </c>
      <c r="J170" s="2">
        <f t="shared" si="16"/>
        <v>-0.58471785882278515</v>
      </c>
      <c r="K170" s="3" t="str">
        <f t="shared" si="17"/>
        <v>Check!</v>
      </c>
      <c r="L170" t="str">
        <f t="shared" si="18"/>
        <v/>
      </c>
      <c r="M170" t="str">
        <f t="shared" si="19"/>
        <v/>
      </c>
      <c r="N170">
        <v>9800.59</v>
      </c>
      <c r="O170" t="s">
        <v>48</v>
      </c>
      <c r="Q170" t="s">
        <v>19</v>
      </c>
    </row>
    <row r="171" spans="1:17" x14ac:dyDescent="0.3">
      <c r="A171">
        <v>34202</v>
      </c>
      <c r="B171" t="s">
        <v>46</v>
      </c>
      <c r="C171" t="s">
        <v>19</v>
      </c>
      <c r="D171" t="s">
        <v>49</v>
      </c>
      <c r="E171" s="6">
        <v>18038.169999999998</v>
      </c>
      <c r="F171" t="s">
        <v>643</v>
      </c>
      <c r="G171" s="4" t="str">
        <f t="shared" si="14"/>
        <v>18038.17</v>
      </c>
      <c r="H171" t="str">
        <f t="shared" si="15"/>
        <v>18038.17</v>
      </c>
      <c r="I171" s="1">
        <v>45716</v>
      </c>
      <c r="J171" s="2">
        <f t="shared" si="16"/>
        <v>-0.62322887596142262</v>
      </c>
      <c r="K171" s="3" t="str">
        <f t="shared" si="17"/>
        <v>Check!</v>
      </c>
      <c r="L171" t="str">
        <f t="shared" si="18"/>
        <v/>
      </c>
      <c r="M171" t="str">
        <f t="shared" si="19"/>
        <v/>
      </c>
      <c r="N171">
        <v>47875.67</v>
      </c>
      <c r="O171" t="s">
        <v>50</v>
      </c>
      <c r="Q171" t="s">
        <v>19</v>
      </c>
    </row>
    <row r="172" spans="1:17" x14ac:dyDescent="0.3">
      <c r="A172">
        <v>34209</v>
      </c>
      <c r="B172" t="s">
        <v>51</v>
      </c>
      <c r="C172" t="s">
        <v>19</v>
      </c>
      <c r="D172" t="s">
        <v>54</v>
      </c>
      <c r="E172" s="6">
        <v>81774.350000000006</v>
      </c>
      <c r="F172" t="s">
        <v>643</v>
      </c>
      <c r="G172" s="4" t="str">
        <f t="shared" si="14"/>
        <v>81774.35</v>
      </c>
      <c r="H172" t="str">
        <f t="shared" si="15"/>
        <v>81774.35</v>
      </c>
      <c r="I172" s="1">
        <v>45716</v>
      </c>
      <c r="J172" s="2">
        <f t="shared" si="16"/>
        <v>-8.246173518047506E-2</v>
      </c>
      <c r="K172" s="3" t="str">
        <f t="shared" si="17"/>
        <v/>
      </c>
      <c r="L172" t="str">
        <f t="shared" si="18"/>
        <v/>
      </c>
      <c r="M172" t="str">
        <f t="shared" si="19"/>
        <v/>
      </c>
      <c r="N172">
        <v>89123.64</v>
      </c>
      <c r="O172" t="s">
        <v>55</v>
      </c>
      <c r="Q172" t="s">
        <v>19</v>
      </c>
    </row>
    <row r="173" spans="1:17" x14ac:dyDescent="0.3">
      <c r="A173">
        <v>34209</v>
      </c>
      <c r="B173" t="s">
        <v>51</v>
      </c>
      <c r="C173" t="s">
        <v>19</v>
      </c>
      <c r="D173" t="s">
        <v>52</v>
      </c>
      <c r="E173" s="6">
        <v>64782.2</v>
      </c>
      <c r="F173" t="s">
        <v>643</v>
      </c>
      <c r="G173" s="4" t="str">
        <f t="shared" si="14"/>
        <v>64782.2</v>
      </c>
      <c r="H173" t="str">
        <f t="shared" si="15"/>
        <v>64782.2</v>
      </c>
      <c r="I173" s="1">
        <v>45716</v>
      </c>
      <c r="J173" s="2">
        <f t="shared" si="16"/>
        <v>-0.10173646830248238</v>
      </c>
      <c r="K173" s="3" t="str">
        <f t="shared" si="17"/>
        <v>Check!</v>
      </c>
      <c r="L173" t="str">
        <f t="shared" si="18"/>
        <v/>
      </c>
      <c r="M173" t="str">
        <f t="shared" si="19"/>
        <v/>
      </c>
      <c r="N173">
        <v>72119.37</v>
      </c>
      <c r="O173" t="s">
        <v>53</v>
      </c>
      <c r="Q173" t="s">
        <v>19</v>
      </c>
    </row>
    <row r="174" spans="1:17" x14ac:dyDescent="0.3">
      <c r="A174">
        <v>34209</v>
      </c>
      <c r="B174" t="s">
        <v>51</v>
      </c>
      <c r="C174" t="s">
        <v>612</v>
      </c>
      <c r="D174" t="s">
        <v>57</v>
      </c>
      <c r="E174" s="6">
        <v>51099.23</v>
      </c>
      <c r="F174" t="s">
        <v>643</v>
      </c>
      <c r="G174" s="4" t="str">
        <f t="shared" si="14"/>
        <v>51099.23</v>
      </c>
      <c r="H174" t="str">
        <f t="shared" si="15"/>
        <v>51099.23</v>
      </c>
      <c r="I174" s="1">
        <v>45716</v>
      </c>
      <c r="J174" s="2">
        <f t="shared" si="16"/>
        <v>3.0175110231405854E-2</v>
      </c>
      <c r="K174" s="3" t="str">
        <f t="shared" si="17"/>
        <v/>
      </c>
      <c r="L174" t="str">
        <f t="shared" si="18"/>
        <v/>
      </c>
      <c r="M174" t="str">
        <f t="shared" si="19"/>
        <v>Check</v>
      </c>
      <c r="N174">
        <v>49602.47</v>
      </c>
      <c r="O174" t="s">
        <v>58</v>
      </c>
      <c r="Q174" t="s">
        <v>56</v>
      </c>
    </row>
    <row r="175" spans="1:17" x14ac:dyDescent="0.3">
      <c r="A175">
        <v>34216</v>
      </c>
      <c r="B175" t="s">
        <v>59</v>
      </c>
      <c r="C175" t="s">
        <v>19</v>
      </c>
      <c r="D175" t="s">
        <v>60</v>
      </c>
      <c r="E175" s="6">
        <v>4777.96</v>
      </c>
      <c r="F175" t="s">
        <v>643</v>
      </c>
      <c r="G175" s="4" t="str">
        <f t="shared" si="14"/>
        <v>4777.96</v>
      </c>
      <c r="H175" t="str">
        <f t="shared" si="15"/>
        <v>4777.96</v>
      </c>
      <c r="I175" s="1">
        <v>45716</v>
      </c>
      <c r="J175" s="2">
        <f t="shared" si="16"/>
        <v>-9.1338546738072013E-2</v>
      </c>
      <c r="K175" s="3" t="str">
        <f t="shared" si="17"/>
        <v/>
      </c>
      <c r="L175" t="str">
        <f t="shared" si="18"/>
        <v/>
      </c>
      <c r="M175" t="str">
        <f t="shared" si="19"/>
        <v/>
      </c>
      <c r="N175">
        <v>5258.24</v>
      </c>
      <c r="O175" t="s">
        <v>61</v>
      </c>
      <c r="Q175" t="s">
        <v>19</v>
      </c>
    </row>
    <row r="176" spans="1:17" x14ac:dyDescent="0.3">
      <c r="A176">
        <v>34216</v>
      </c>
      <c r="B176" t="s">
        <v>59</v>
      </c>
      <c r="C176" t="s">
        <v>590</v>
      </c>
      <c r="D176" t="s">
        <v>62</v>
      </c>
      <c r="E176" s="6">
        <v>15184.65</v>
      </c>
      <c r="F176" t="s">
        <v>643</v>
      </c>
      <c r="G176" s="4" t="str">
        <f t="shared" si="14"/>
        <v>15184.65</v>
      </c>
      <c r="H176" t="str">
        <f t="shared" si="15"/>
        <v>15184.65</v>
      </c>
      <c r="I176" s="1">
        <v>45716</v>
      </c>
      <c r="J176" s="2">
        <f t="shared" si="16"/>
        <v>-0.10615487040565663</v>
      </c>
      <c r="K176" s="3" t="str">
        <f t="shared" si="17"/>
        <v>Check!</v>
      </c>
      <c r="L176" t="str">
        <f t="shared" si="18"/>
        <v/>
      </c>
      <c r="M176" t="str">
        <f t="shared" si="19"/>
        <v>Check</v>
      </c>
      <c r="N176">
        <v>16988.009999999998</v>
      </c>
      <c r="O176" t="s">
        <v>63</v>
      </c>
      <c r="Q176" t="s">
        <v>16</v>
      </c>
    </row>
    <row r="177" spans="1:17" x14ac:dyDescent="0.3">
      <c r="A177">
        <v>34337</v>
      </c>
      <c r="B177" t="s">
        <v>64</v>
      </c>
      <c r="C177" t="s">
        <v>590</v>
      </c>
      <c r="D177" t="s">
        <v>65</v>
      </c>
      <c r="E177" s="6">
        <v>3644.8</v>
      </c>
      <c r="F177" t="s">
        <v>643</v>
      </c>
      <c r="G177" s="4" t="str">
        <f t="shared" si="14"/>
        <v>3644.8</v>
      </c>
      <c r="H177" t="str">
        <f t="shared" si="15"/>
        <v>3644.8</v>
      </c>
      <c r="I177" s="1">
        <v>45716</v>
      </c>
      <c r="J177" s="2">
        <f t="shared" si="16"/>
        <v>-0.46600796710018355</v>
      </c>
      <c r="K177" s="3" t="str">
        <f t="shared" si="17"/>
        <v>Check!</v>
      </c>
      <c r="L177" t="str">
        <f t="shared" si="18"/>
        <v/>
      </c>
      <c r="M177" t="str">
        <f t="shared" si="19"/>
        <v>Check</v>
      </c>
      <c r="N177">
        <v>6825.57</v>
      </c>
      <c r="O177" t="s">
        <v>66</v>
      </c>
      <c r="Q177" t="s">
        <v>16</v>
      </c>
    </row>
    <row r="178" spans="1:17" x14ac:dyDescent="0.3">
      <c r="A178">
        <v>34337</v>
      </c>
      <c r="B178" t="s">
        <v>64</v>
      </c>
      <c r="C178" t="s">
        <v>19</v>
      </c>
      <c r="D178" t="s">
        <v>67</v>
      </c>
      <c r="E178" s="6">
        <v>62568.11</v>
      </c>
      <c r="F178" t="s">
        <v>643</v>
      </c>
      <c r="G178" s="4" t="str">
        <f t="shared" si="14"/>
        <v>62568.11</v>
      </c>
      <c r="H178" t="str">
        <f t="shared" si="15"/>
        <v>62568.11</v>
      </c>
      <c r="I178" s="1">
        <v>45716</v>
      </c>
      <c r="J178" s="2">
        <f t="shared" si="16"/>
        <v>-0.15147491459229226</v>
      </c>
      <c r="K178" s="3" t="str">
        <f t="shared" si="17"/>
        <v>Check!</v>
      </c>
      <c r="L178" t="str">
        <f t="shared" si="18"/>
        <v/>
      </c>
      <c r="M178" t="str">
        <f t="shared" si="19"/>
        <v/>
      </c>
      <c r="N178">
        <v>73737.490000000005</v>
      </c>
      <c r="O178" t="s">
        <v>68</v>
      </c>
      <c r="Q178" t="s">
        <v>19</v>
      </c>
    </row>
    <row r="179" spans="1:17" x14ac:dyDescent="0.3">
      <c r="A179">
        <v>34395</v>
      </c>
      <c r="B179" t="s">
        <v>69</v>
      </c>
      <c r="C179" t="s">
        <v>19</v>
      </c>
      <c r="D179" t="s">
        <v>74</v>
      </c>
      <c r="E179" s="6">
        <v>13751.31</v>
      </c>
      <c r="F179" t="s">
        <v>643</v>
      </c>
      <c r="G179" s="4" t="str">
        <f t="shared" si="14"/>
        <v>13751.31</v>
      </c>
      <c r="H179" t="str">
        <f t="shared" si="15"/>
        <v>13751.31</v>
      </c>
      <c r="I179" s="1">
        <v>45716</v>
      </c>
      <c r="J179" s="2">
        <f t="shared" si="16"/>
        <v>-0.17673291688967599</v>
      </c>
      <c r="K179" s="3" t="str">
        <f t="shared" si="17"/>
        <v>Check!</v>
      </c>
      <c r="L179" t="str">
        <f t="shared" si="18"/>
        <v/>
      </c>
      <c r="M179" t="str">
        <f t="shared" si="19"/>
        <v/>
      </c>
      <c r="N179">
        <v>16703.34</v>
      </c>
      <c r="O179" t="s">
        <v>75</v>
      </c>
      <c r="Q179" t="s">
        <v>19</v>
      </c>
    </row>
    <row r="180" spans="1:17" x14ac:dyDescent="0.3">
      <c r="A180">
        <v>34395</v>
      </c>
      <c r="B180" t="s">
        <v>69</v>
      </c>
      <c r="C180" t="s">
        <v>19</v>
      </c>
      <c r="D180" t="s">
        <v>72</v>
      </c>
      <c r="E180" s="6">
        <v>8609.82</v>
      </c>
      <c r="F180" t="s">
        <v>643</v>
      </c>
      <c r="G180" s="4" t="str">
        <f t="shared" si="14"/>
        <v>8609.82</v>
      </c>
      <c r="H180" t="str">
        <f t="shared" si="15"/>
        <v>8609.82</v>
      </c>
      <c r="I180" s="1">
        <v>45716</v>
      </c>
      <c r="J180" s="2">
        <f t="shared" si="16"/>
        <v>-0.17766997802298568</v>
      </c>
      <c r="K180" s="3" t="str">
        <f t="shared" si="17"/>
        <v>Check!</v>
      </c>
      <c r="L180" t="str">
        <f t="shared" si="18"/>
        <v/>
      </c>
      <c r="M180" t="str">
        <f t="shared" si="19"/>
        <v/>
      </c>
      <c r="N180">
        <v>10470.030000000001</v>
      </c>
      <c r="O180" t="s">
        <v>73</v>
      </c>
      <c r="Q180" t="s">
        <v>19</v>
      </c>
    </row>
    <row r="181" spans="1:17" x14ac:dyDescent="0.3">
      <c r="A181">
        <v>34395</v>
      </c>
      <c r="B181" t="s">
        <v>69</v>
      </c>
      <c r="C181" t="s">
        <v>19</v>
      </c>
      <c r="D181" t="s">
        <v>70</v>
      </c>
      <c r="E181" s="6">
        <v>152861.94</v>
      </c>
      <c r="F181" t="s">
        <v>643</v>
      </c>
      <c r="G181" s="4" t="str">
        <f t="shared" si="14"/>
        <v>152861.94</v>
      </c>
      <c r="H181" t="str">
        <f t="shared" si="15"/>
        <v>152861.94</v>
      </c>
      <c r="I181" s="1">
        <v>45716</v>
      </c>
      <c r="J181" s="2">
        <f t="shared" si="16"/>
        <v>-0.14802733991605668</v>
      </c>
      <c r="K181" s="3" t="str">
        <f t="shared" si="17"/>
        <v>Check!</v>
      </c>
      <c r="L181" t="str">
        <f t="shared" si="18"/>
        <v/>
      </c>
      <c r="M181" t="str">
        <f t="shared" si="19"/>
        <v/>
      </c>
      <c r="N181">
        <v>179421.18</v>
      </c>
      <c r="O181" t="s">
        <v>71</v>
      </c>
      <c r="Q181" t="s">
        <v>19</v>
      </c>
    </row>
    <row r="182" spans="1:17" x14ac:dyDescent="0.3">
      <c r="A182">
        <v>36048</v>
      </c>
      <c r="B182" t="s">
        <v>76</v>
      </c>
      <c r="C182" t="s">
        <v>19</v>
      </c>
      <c r="D182" t="s">
        <v>77</v>
      </c>
      <c r="E182" s="6">
        <v>1877.21</v>
      </c>
      <c r="F182" t="s">
        <v>643</v>
      </c>
      <c r="G182" s="4" t="str">
        <f t="shared" si="14"/>
        <v>1877.21</v>
      </c>
      <c r="H182" t="str">
        <f t="shared" si="15"/>
        <v>1877.21</v>
      </c>
      <c r="I182" s="1">
        <v>45716</v>
      </c>
      <c r="J182" s="2">
        <f t="shared" si="16"/>
        <v>-0.27077117906644282</v>
      </c>
      <c r="K182" s="3" t="str">
        <f t="shared" si="17"/>
        <v>Check!</v>
      </c>
      <c r="L182" t="str">
        <f t="shared" si="18"/>
        <v/>
      </c>
      <c r="M182" t="str">
        <f t="shared" si="19"/>
        <v/>
      </c>
      <c r="N182">
        <v>2574.2399999999998</v>
      </c>
      <c r="O182" t="s">
        <v>78</v>
      </c>
      <c r="Q182" t="s">
        <v>19</v>
      </c>
    </row>
    <row r="183" spans="1:17" x14ac:dyDescent="0.3">
      <c r="A183">
        <v>36048</v>
      </c>
      <c r="B183" t="s">
        <v>76</v>
      </c>
      <c r="C183" t="s">
        <v>19</v>
      </c>
      <c r="D183" t="s">
        <v>79</v>
      </c>
      <c r="E183" s="6">
        <v>5058.5</v>
      </c>
      <c r="F183" t="s">
        <v>643</v>
      </c>
      <c r="G183" s="4" t="str">
        <f t="shared" si="14"/>
        <v>5058.5</v>
      </c>
      <c r="H183" t="str">
        <f t="shared" si="15"/>
        <v>5058.5</v>
      </c>
      <c r="I183" s="1">
        <v>45716</v>
      </c>
      <c r="J183" s="2">
        <f t="shared" si="16"/>
        <v>-0.3113030171422036</v>
      </c>
      <c r="K183" s="3" t="str">
        <f t="shared" si="17"/>
        <v>Check!</v>
      </c>
      <c r="L183" t="str">
        <f t="shared" si="18"/>
        <v/>
      </c>
      <c r="M183" t="str">
        <f t="shared" si="19"/>
        <v/>
      </c>
      <c r="N183">
        <v>7345.03</v>
      </c>
      <c r="O183" t="s">
        <v>80</v>
      </c>
      <c r="Q183" t="s">
        <v>19</v>
      </c>
    </row>
    <row r="184" spans="1:17" x14ac:dyDescent="0.3">
      <c r="A184">
        <v>36059</v>
      </c>
      <c r="B184" t="s">
        <v>81</v>
      </c>
      <c r="C184" t="s">
        <v>19</v>
      </c>
      <c r="D184" t="s">
        <v>82</v>
      </c>
      <c r="E184" s="6">
        <v>22170.36</v>
      </c>
      <c r="F184" t="s">
        <v>643</v>
      </c>
      <c r="G184" s="4" t="str">
        <f t="shared" si="14"/>
        <v>22170.36</v>
      </c>
      <c r="H184" t="str">
        <f t="shared" si="15"/>
        <v>22170.36</v>
      </c>
      <c r="I184" s="1">
        <v>45716</v>
      </c>
      <c r="J184" s="2">
        <f t="shared" si="16"/>
        <v>-0.21807270218682148</v>
      </c>
      <c r="K184" s="3" t="str">
        <f t="shared" si="17"/>
        <v>Check!</v>
      </c>
      <c r="L184" t="str">
        <f t="shared" si="18"/>
        <v/>
      </c>
      <c r="M184" t="str">
        <f t="shared" si="19"/>
        <v/>
      </c>
      <c r="N184">
        <v>28353.48</v>
      </c>
      <c r="O184" t="s">
        <v>83</v>
      </c>
      <c r="Q184" t="s">
        <v>19</v>
      </c>
    </row>
    <row r="185" spans="1:17" x14ac:dyDescent="0.3">
      <c r="A185">
        <v>36059</v>
      </c>
      <c r="B185" t="s">
        <v>81</v>
      </c>
      <c r="C185" t="s">
        <v>19</v>
      </c>
      <c r="D185" t="s">
        <v>84</v>
      </c>
      <c r="E185" s="6">
        <v>14567.53</v>
      </c>
      <c r="F185" t="s">
        <v>643</v>
      </c>
      <c r="G185" s="4" t="str">
        <f t="shared" si="14"/>
        <v>14567.53</v>
      </c>
      <c r="H185" t="str">
        <f t="shared" si="15"/>
        <v>14567.53</v>
      </c>
      <c r="I185" s="1">
        <v>45716</v>
      </c>
      <c r="J185" s="2">
        <f t="shared" si="16"/>
        <v>-0.21338530082449253</v>
      </c>
      <c r="K185" s="3" t="str">
        <f t="shared" si="17"/>
        <v>Check!</v>
      </c>
      <c r="L185" t="str">
        <f t="shared" si="18"/>
        <v/>
      </c>
      <c r="M185" t="str">
        <f t="shared" si="19"/>
        <v/>
      </c>
      <c r="N185">
        <v>18519.27</v>
      </c>
      <c r="O185" t="s">
        <v>85</v>
      </c>
      <c r="Q185" t="s">
        <v>19</v>
      </c>
    </row>
    <row r="186" spans="1:17" x14ac:dyDescent="0.3">
      <c r="A186">
        <v>36060</v>
      </c>
      <c r="B186" t="s">
        <v>86</v>
      </c>
      <c r="C186" t="s">
        <v>19</v>
      </c>
      <c r="D186" t="s">
        <v>87</v>
      </c>
      <c r="E186" s="6">
        <v>2650.94</v>
      </c>
      <c r="F186" t="s">
        <v>643</v>
      </c>
      <c r="G186" s="4" t="str">
        <f t="shared" si="14"/>
        <v>2650.94</v>
      </c>
      <c r="H186" t="str">
        <f t="shared" si="15"/>
        <v>2650.94</v>
      </c>
      <c r="I186" s="1">
        <v>45716</v>
      </c>
      <c r="J186" s="2">
        <f t="shared" si="16"/>
        <v>-0.6449178979628194</v>
      </c>
      <c r="K186" s="3" t="str">
        <f t="shared" si="17"/>
        <v>Check!</v>
      </c>
      <c r="L186" t="str">
        <f t="shared" si="18"/>
        <v/>
      </c>
      <c r="M186" t="str">
        <f t="shared" si="19"/>
        <v/>
      </c>
      <c r="N186">
        <v>7465.71</v>
      </c>
      <c r="O186" t="s">
        <v>88</v>
      </c>
      <c r="Q186" t="s">
        <v>19</v>
      </c>
    </row>
    <row r="187" spans="1:17" x14ac:dyDescent="0.3">
      <c r="A187">
        <v>36060</v>
      </c>
      <c r="B187" t="s">
        <v>86</v>
      </c>
      <c r="C187" t="s">
        <v>19</v>
      </c>
      <c r="D187" t="s">
        <v>89</v>
      </c>
      <c r="E187" s="6">
        <v>1731.01</v>
      </c>
      <c r="F187" t="s">
        <v>643</v>
      </c>
      <c r="G187" s="4" t="str">
        <f t="shared" si="14"/>
        <v>1731.01</v>
      </c>
      <c r="H187" t="str">
        <f t="shared" si="15"/>
        <v>1731.01</v>
      </c>
      <c r="I187" s="1">
        <v>45716</v>
      </c>
      <c r="J187" s="2">
        <f t="shared" si="16"/>
        <v>-9.1628971148497551E-2</v>
      </c>
      <c r="K187" s="3" t="str">
        <f t="shared" si="17"/>
        <v/>
      </c>
      <c r="L187" t="str">
        <f t="shared" si="18"/>
        <v/>
      </c>
      <c r="M187" t="str">
        <f t="shared" si="19"/>
        <v/>
      </c>
      <c r="N187">
        <v>1905.62</v>
      </c>
      <c r="O187" t="s">
        <v>90</v>
      </c>
      <c r="Q187" t="s">
        <v>19</v>
      </c>
    </row>
    <row r="188" spans="1:17" x14ac:dyDescent="0.3">
      <c r="A188">
        <v>36062</v>
      </c>
      <c r="B188" t="s">
        <v>91</v>
      </c>
      <c r="C188" t="s">
        <v>611</v>
      </c>
      <c r="D188" t="s">
        <v>92</v>
      </c>
      <c r="E188" s="6">
        <v>74356.820000000007</v>
      </c>
      <c r="F188" t="s">
        <v>643</v>
      </c>
      <c r="G188" s="4" t="str">
        <f t="shared" si="14"/>
        <v>74356.82</v>
      </c>
      <c r="H188" t="str">
        <f t="shared" si="15"/>
        <v>74356.82</v>
      </c>
      <c r="I188" s="1">
        <v>45716</v>
      </c>
      <c r="J188" s="2">
        <f t="shared" si="16"/>
        <v>2.7439869881528543E-2</v>
      </c>
      <c r="K188" s="3" t="str">
        <f t="shared" si="17"/>
        <v/>
      </c>
      <c r="L188" t="str">
        <f t="shared" si="18"/>
        <v/>
      </c>
      <c r="M188" t="str">
        <f t="shared" si="19"/>
        <v>Check</v>
      </c>
      <c r="N188">
        <v>72370.97</v>
      </c>
      <c r="O188" t="s">
        <v>93</v>
      </c>
      <c r="Q188" t="s">
        <v>41</v>
      </c>
    </row>
    <row r="189" spans="1:17" x14ac:dyDescent="0.3">
      <c r="A189">
        <v>36062</v>
      </c>
      <c r="B189" t="s">
        <v>91</v>
      </c>
      <c r="C189" t="s">
        <v>606</v>
      </c>
      <c r="D189" t="s">
        <v>613</v>
      </c>
      <c r="E189" s="6">
        <v>8579.07</v>
      </c>
      <c r="F189" t="s">
        <v>643</v>
      </c>
      <c r="G189" s="4" t="str">
        <f t="shared" si="14"/>
        <v>8579.07</v>
      </c>
      <c r="H189" t="str">
        <f t="shared" si="15"/>
        <v>8579.07</v>
      </c>
      <c r="I189" s="1">
        <v>45716</v>
      </c>
      <c r="J189" s="2">
        <f t="shared" si="16"/>
        <v>3.3663989050167008E-2</v>
      </c>
      <c r="K189" s="3" t="str">
        <f t="shared" si="17"/>
        <v/>
      </c>
      <c r="L189" t="str">
        <f t="shared" si="18"/>
        <v/>
      </c>
      <c r="M189" t="str">
        <f t="shared" si="19"/>
        <v/>
      </c>
      <c r="N189">
        <v>8299.67</v>
      </c>
      <c r="O189" t="s">
        <v>647</v>
      </c>
      <c r="Q189" t="s">
        <v>606</v>
      </c>
    </row>
    <row r="190" spans="1:17" x14ac:dyDescent="0.3">
      <c r="A190">
        <v>36355</v>
      </c>
      <c r="B190" t="s">
        <v>94</v>
      </c>
      <c r="C190" t="s">
        <v>19</v>
      </c>
      <c r="D190" t="s">
        <v>95</v>
      </c>
      <c r="E190" s="6">
        <v>630.16999999999996</v>
      </c>
      <c r="F190" t="s">
        <v>643</v>
      </c>
      <c r="G190" s="4" t="str">
        <f t="shared" si="14"/>
        <v>630.17</v>
      </c>
      <c r="H190" t="str">
        <f t="shared" si="15"/>
        <v>630.17</v>
      </c>
      <c r="I190" s="1">
        <v>45716</v>
      </c>
      <c r="J190" s="2">
        <f t="shared" si="16"/>
        <v>-0.12118761069351679</v>
      </c>
      <c r="K190" s="3" t="str">
        <f t="shared" si="17"/>
        <v>Check!</v>
      </c>
      <c r="L190" t="str">
        <f t="shared" si="18"/>
        <v/>
      </c>
      <c r="M190" t="str">
        <f t="shared" si="19"/>
        <v/>
      </c>
      <c r="N190">
        <v>717.07</v>
      </c>
      <c r="O190" t="s">
        <v>96</v>
      </c>
      <c r="Q190" t="s">
        <v>19</v>
      </c>
    </row>
    <row r="191" spans="1:17" x14ac:dyDescent="0.3">
      <c r="A191">
        <v>37040</v>
      </c>
      <c r="B191" t="s">
        <v>596</v>
      </c>
      <c r="C191" t="s">
        <v>19</v>
      </c>
      <c r="D191" t="s">
        <v>97</v>
      </c>
      <c r="E191" s="6">
        <v>1589.17</v>
      </c>
      <c r="F191" t="s">
        <v>643</v>
      </c>
      <c r="G191" s="4" t="str">
        <f t="shared" si="14"/>
        <v>1589.17</v>
      </c>
      <c r="H191" t="str">
        <f t="shared" si="15"/>
        <v>1589.17</v>
      </c>
      <c r="I191" s="1">
        <v>45716</v>
      </c>
      <c r="J191" s="2">
        <f t="shared" si="16"/>
        <v>-0.6139155321030485</v>
      </c>
      <c r="K191" s="3" t="str">
        <f t="shared" si="17"/>
        <v>Check!</v>
      </c>
      <c r="L191" t="str">
        <f t="shared" si="18"/>
        <v/>
      </c>
      <c r="M191" t="str">
        <f t="shared" si="19"/>
        <v/>
      </c>
      <c r="N191">
        <v>4116.12</v>
      </c>
      <c r="O191" t="s">
        <v>98</v>
      </c>
      <c r="Q191" t="s">
        <v>19</v>
      </c>
    </row>
    <row r="192" spans="1:17" x14ac:dyDescent="0.3">
      <c r="A192">
        <v>37041</v>
      </c>
      <c r="B192" t="s">
        <v>99</v>
      </c>
      <c r="C192" t="s">
        <v>19</v>
      </c>
      <c r="D192" t="s">
        <v>100</v>
      </c>
      <c r="E192" s="6">
        <v>3279.59</v>
      </c>
      <c r="F192" t="s">
        <v>643</v>
      </c>
      <c r="G192" s="4" t="str">
        <f t="shared" si="14"/>
        <v>3279.59</v>
      </c>
      <c r="H192" t="str">
        <f t="shared" si="15"/>
        <v>3279.59</v>
      </c>
      <c r="I192" s="1">
        <v>45716</v>
      </c>
      <c r="J192" s="2">
        <f t="shared" si="16"/>
        <v>-0.15921530624540137</v>
      </c>
      <c r="K192" s="3" t="str">
        <f t="shared" si="17"/>
        <v>Check!</v>
      </c>
      <c r="L192" t="str">
        <f t="shared" si="18"/>
        <v/>
      </c>
      <c r="M192" t="str">
        <f t="shared" si="19"/>
        <v/>
      </c>
      <c r="N192">
        <v>3900.63</v>
      </c>
      <c r="O192" t="s">
        <v>101</v>
      </c>
      <c r="Q192" t="s">
        <v>19</v>
      </c>
    </row>
    <row r="193" spans="1:17" x14ac:dyDescent="0.3">
      <c r="A193">
        <v>38586</v>
      </c>
      <c r="B193" t="s">
        <v>102</v>
      </c>
      <c r="C193" t="s">
        <v>19</v>
      </c>
      <c r="D193" t="s">
        <v>103</v>
      </c>
      <c r="E193" s="6">
        <v>2831.93</v>
      </c>
      <c r="F193" t="s">
        <v>643</v>
      </c>
      <c r="G193" s="4" t="str">
        <f t="shared" si="14"/>
        <v>2831.93</v>
      </c>
      <c r="H193" t="str">
        <f t="shared" si="15"/>
        <v>2831.93</v>
      </c>
      <c r="I193" s="1">
        <v>45716</v>
      </c>
      <c r="J193" s="2">
        <f t="shared" si="16"/>
        <v>-9.8197624430786973E-2</v>
      </c>
      <c r="K193" s="3" t="str">
        <f t="shared" si="17"/>
        <v/>
      </c>
      <c r="L193" t="str">
        <f t="shared" si="18"/>
        <v/>
      </c>
      <c r="M193" t="str">
        <f t="shared" si="19"/>
        <v/>
      </c>
      <c r="N193">
        <v>3140.3</v>
      </c>
      <c r="O193" t="s">
        <v>104</v>
      </c>
      <c r="Q193" t="s">
        <v>19</v>
      </c>
    </row>
    <row r="194" spans="1:17" x14ac:dyDescent="0.3">
      <c r="A194">
        <v>38842</v>
      </c>
      <c r="B194" t="s">
        <v>105</v>
      </c>
      <c r="C194" t="s">
        <v>19</v>
      </c>
      <c r="D194" t="s">
        <v>106</v>
      </c>
      <c r="E194" s="6">
        <v>2207.71</v>
      </c>
      <c r="F194" t="s">
        <v>643</v>
      </c>
      <c r="G194" s="4" t="str">
        <f t="shared" si="14"/>
        <v>2207.71</v>
      </c>
      <c r="H194" t="str">
        <f t="shared" si="15"/>
        <v>2207.71</v>
      </c>
      <c r="I194" s="1">
        <v>45716</v>
      </c>
      <c r="J194" s="2">
        <f t="shared" si="16"/>
        <v>-9.9386458018879506E-2</v>
      </c>
      <c r="K194" s="3" t="str">
        <f t="shared" si="17"/>
        <v/>
      </c>
      <c r="L194" t="str">
        <f t="shared" si="18"/>
        <v/>
      </c>
      <c r="M194" t="str">
        <f t="shared" si="19"/>
        <v/>
      </c>
      <c r="N194">
        <v>2451.34</v>
      </c>
      <c r="O194" t="s">
        <v>107</v>
      </c>
      <c r="Q194" t="s">
        <v>19</v>
      </c>
    </row>
    <row r="195" spans="1:17" x14ac:dyDescent="0.3">
      <c r="A195">
        <v>38851</v>
      </c>
      <c r="B195" t="s">
        <v>108</v>
      </c>
      <c r="C195" t="s">
        <v>19</v>
      </c>
      <c r="D195" t="s">
        <v>109</v>
      </c>
      <c r="E195" s="6">
        <v>209.83</v>
      </c>
      <c r="F195" t="s">
        <v>643</v>
      </c>
      <c r="G195" s="4" t="str">
        <f t="shared" ref="G195:G258" si="20">SUBSTITUTE(E195,"R","")</f>
        <v>209.83</v>
      </c>
      <c r="H195" t="str">
        <f t="shared" ref="H195:H258" si="21">SUBSTITUTE(G195,",","")</f>
        <v>209.83</v>
      </c>
      <c r="I195" s="1">
        <v>45716</v>
      </c>
      <c r="J195" s="2">
        <f t="shared" ref="J195:J258" si="22">(H195-N195)/N195</f>
        <v>-0.13368564468849342</v>
      </c>
      <c r="K195" s="3" t="str">
        <f t="shared" ref="K195:K258" si="23">IF(ABS(J195)&gt;0.1,"Check!","")</f>
        <v>Check!</v>
      </c>
      <c r="L195" t="str">
        <f t="shared" ref="L195:L258" si="24">IF(LEFT(O195,10)&lt;&gt;LEFT(D195,10),"Check","")</f>
        <v/>
      </c>
      <c r="M195" t="str">
        <f t="shared" ref="M195:M258" si="25">IF(Q195&lt;&gt;C195,"Check","")</f>
        <v/>
      </c>
      <c r="N195">
        <v>242.21</v>
      </c>
      <c r="O195" t="s">
        <v>110</v>
      </c>
      <c r="Q195" t="s">
        <v>19</v>
      </c>
    </row>
    <row r="196" spans="1:17" x14ac:dyDescent="0.3">
      <c r="A196">
        <v>38887</v>
      </c>
      <c r="B196" t="s">
        <v>111</v>
      </c>
      <c r="C196" t="s">
        <v>19</v>
      </c>
      <c r="D196" t="s">
        <v>112</v>
      </c>
      <c r="E196" s="6">
        <v>652.88</v>
      </c>
      <c r="F196" t="s">
        <v>643</v>
      </c>
      <c r="G196" s="4" t="str">
        <f t="shared" si="20"/>
        <v>652.88</v>
      </c>
      <c r="H196" t="str">
        <f t="shared" si="21"/>
        <v>652.88</v>
      </c>
      <c r="I196" s="1">
        <v>45716</v>
      </c>
      <c r="J196" s="2">
        <f t="shared" si="22"/>
        <v>-0.14589220303506015</v>
      </c>
      <c r="K196" s="3" t="str">
        <f t="shared" si="23"/>
        <v>Check!</v>
      </c>
      <c r="L196" t="str">
        <f t="shared" si="24"/>
        <v/>
      </c>
      <c r="M196" t="str">
        <f t="shared" si="25"/>
        <v/>
      </c>
      <c r="N196">
        <v>764.4</v>
      </c>
      <c r="O196" t="s">
        <v>113</v>
      </c>
      <c r="Q196" t="s">
        <v>19</v>
      </c>
    </row>
    <row r="197" spans="1:17" x14ac:dyDescent="0.3">
      <c r="A197">
        <v>38888</v>
      </c>
      <c r="B197" t="s">
        <v>362</v>
      </c>
      <c r="C197" t="s">
        <v>19</v>
      </c>
      <c r="D197" t="s">
        <v>363</v>
      </c>
      <c r="E197" s="6">
        <v>54332.22</v>
      </c>
      <c r="F197" t="s">
        <v>643</v>
      </c>
      <c r="G197" s="4" t="str">
        <f t="shared" si="20"/>
        <v>54332.22</v>
      </c>
      <c r="H197" t="str">
        <f t="shared" si="21"/>
        <v>54332.22</v>
      </c>
      <c r="I197" s="1">
        <v>45716</v>
      </c>
      <c r="J197" s="2">
        <f t="shared" si="22"/>
        <v>1.2174661457896785E-2</v>
      </c>
      <c r="K197" s="3" t="str">
        <f t="shared" si="23"/>
        <v/>
      </c>
      <c r="L197" t="str">
        <f t="shared" si="24"/>
        <v/>
      </c>
      <c r="M197" t="str">
        <f t="shared" si="25"/>
        <v/>
      </c>
      <c r="N197">
        <v>53678.7</v>
      </c>
      <c r="O197" t="s">
        <v>364</v>
      </c>
      <c r="Q197" t="s">
        <v>19</v>
      </c>
    </row>
    <row r="198" spans="1:17" x14ac:dyDescent="0.3">
      <c r="A198">
        <v>41695</v>
      </c>
      <c r="B198" t="s">
        <v>114</v>
      </c>
      <c r="C198" t="s">
        <v>611</v>
      </c>
      <c r="D198" t="s">
        <v>115</v>
      </c>
      <c r="E198" s="6">
        <v>19490.830000000002</v>
      </c>
      <c r="F198" t="s">
        <v>643</v>
      </c>
      <c r="G198" s="4" t="str">
        <f t="shared" si="20"/>
        <v>19490.83</v>
      </c>
      <c r="H198" t="str">
        <f t="shared" si="21"/>
        <v>19490.83</v>
      </c>
      <c r="I198" s="1">
        <v>45716</v>
      </c>
      <c r="J198" s="2">
        <f t="shared" si="22"/>
        <v>2.9924124932032815E-2</v>
      </c>
      <c r="K198" s="3" t="str">
        <f t="shared" si="23"/>
        <v/>
      </c>
      <c r="L198" t="str">
        <f t="shared" si="24"/>
        <v/>
      </c>
      <c r="M198" t="str">
        <f t="shared" si="25"/>
        <v>Check</v>
      </c>
      <c r="N198">
        <v>18924.53</v>
      </c>
      <c r="O198" t="s">
        <v>116</v>
      </c>
      <c r="Q198" t="s">
        <v>41</v>
      </c>
    </row>
    <row r="199" spans="1:17" x14ac:dyDescent="0.3">
      <c r="A199">
        <v>41695</v>
      </c>
      <c r="B199" t="s">
        <v>114</v>
      </c>
      <c r="C199" t="s">
        <v>606</v>
      </c>
      <c r="D199" t="s">
        <v>614</v>
      </c>
      <c r="E199" s="6">
        <v>2157.34</v>
      </c>
      <c r="F199" t="s">
        <v>643</v>
      </c>
      <c r="G199" s="4" t="str">
        <f t="shared" si="20"/>
        <v>2157.34</v>
      </c>
      <c r="H199" t="str">
        <f t="shared" si="21"/>
        <v>2157.34</v>
      </c>
      <c r="I199" s="1">
        <v>45716</v>
      </c>
      <c r="J199" s="2">
        <f t="shared" si="22"/>
        <v>1.2483925772267083E-2</v>
      </c>
      <c r="K199" s="3" t="str">
        <f t="shared" si="23"/>
        <v/>
      </c>
      <c r="L199" t="str">
        <f t="shared" si="24"/>
        <v/>
      </c>
      <c r="M199" t="str">
        <f t="shared" si="25"/>
        <v/>
      </c>
      <c r="N199">
        <v>2130.7399999999998</v>
      </c>
      <c r="O199" t="s">
        <v>648</v>
      </c>
      <c r="Q199" t="s">
        <v>606</v>
      </c>
    </row>
    <row r="200" spans="1:17" x14ac:dyDescent="0.3">
      <c r="A200">
        <v>41695</v>
      </c>
      <c r="B200" t="s">
        <v>114</v>
      </c>
      <c r="C200" t="s">
        <v>590</v>
      </c>
      <c r="D200" t="s">
        <v>117</v>
      </c>
      <c r="E200" s="6">
        <v>41312.050000000003</v>
      </c>
      <c r="F200" t="s">
        <v>643</v>
      </c>
      <c r="G200" s="4" t="str">
        <f t="shared" si="20"/>
        <v>41312.05</v>
      </c>
      <c r="H200" t="str">
        <f t="shared" si="21"/>
        <v>41312.05</v>
      </c>
      <c r="I200" s="1">
        <v>45716</v>
      </c>
      <c r="J200" s="2">
        <f t="shared" si="22"/>
        <v>1.3114162319271389E-2</v>
      </c>
      <c r="K200" s="3" t="str">
        <f t="shared" si="23"/>
        <v/>
      </c>
      <c r="L200" t="str">
        <f t="shared" si="24"/>
        <v/>
      </c>
      <c r="M200" t="str">
        <f t="shared" si="25"/>
        <v>Check</v>
      </c>
      <c r="N200">
        <v>40777.29</v>
      </c>
      <c r="O200" t="s">
        <v>581</v>
      </c>
      <c r="Q200" t="s">
        <v>16</v>
      </c>
    </row>
    <row r="201" spans="1:17" x14ac:dyDescent="0.3">
      <c r="A201">
        <v>46589</v>
      </c>
      <c r="B201" t="s">
        <v>638</v>
      </c>
      <c r="C201" t="s">
        <v>19</v>
      </c>
      <c r="D201" t="s">
        <v>120</v>
      </c>
      <c r="E201" s="6">
        <v>2773.66</v>
      </c>
      <c r="F201" t="s">
        <v>643</v>
      </c>
      <c r="G201" s="4" t="str">
        <f t="shared" si="20"/>
        <v>2773.66</v>
      </c>
      <c r="H201" t="str">
        <f t="shared" si="21"/>
        <v>2773.66</v>
      </c>
      <c r="I201" s="1">
        <v>45716</v>
      </c>
      <c r="J201" s="2">
        <f t="shared" si="22"/>
        <v>-9.7256939019944852E-2</v>
      </c>
      <c r="K201" s="3" t="str">
        <f t="shared" si="23"/>
        <v/>
      </c>
      <c r="L201" t="str">
        <f t="shared" si="24"/>
        <v/>
      </c>
      <c r="M201" t="str">
        <f t="shared" si="25"/>
        <v/>
      </c>
      <c r="N201">
        <v>3072.48</v>
      </c>
      <c r="O201" t="s">
        <v>121</v>
      </c>
      <c r="Q201" t="s">
        <v>19</v>
      </c>
    </row>
    <row r="202" spans="1:17" x14ac:dyDescent="0.3">
      <c r="A202">
        <v>46589</v>
      </c>
      <c r="B202" t="s">
        <v>638</v>
      </c>
      <c r="C202" t="s">
        <v>19</v>
      </c>
      <c r="D202" t="s">
        <v>118</v>
      </c>
      <c r="E202" s="6">
        <v>67294.710000000006</v>
      </c>
      <c r="F202" t="s">
        <v>643</v>
      </c>
      <c r="G202" s="4" t="str">
        <f t="shared" si="20"/>
        <v>67294.71</v>
      </c>
      <c r="H202" t="str">
        <f t="shared" si="21"/>
        <v>67294.71</v>
      </c>
      <c r="I202" s="1">
        <v>45716</v>
      </c>
      <c r="J202" s="2">
        <f t="shared" si="22"/>
        <v>-7.3588974043721916E-2</v>
      </c>
      <c r="K202" s="3" t="str">
        <f t="shared" si="23"/>
        <v/>
      </c>
      <c r="L202" t="str">
        <f t="shared" si="24"/>
        <v/>
      </c>
      <c r="M202" t="str">
        <f t="shared" si="25"/>
        <v/>
      </c>
      <c r="N202">
        <v>72640.23</v>
      </c>
      <c r="O202" t="s">
        <v>119</v>
      </c>
      <c r="Q202" t="s">
        <v>19</v>
      </c>
    </row>
    <row r="203" spans="1:17" x14ac:dyDescent="0.3">
      <c r="A203">
        <v>54985</v>
      </c>
      <c r="B203" t="s">
        <v>122</v>
      </c>
      <c r="C203" t="s">
        <v>19</v>
      </c>
      <c r="D203" t="s">
        <v>123</v>
      </c>
      <c r="E203" s="6">
        <v>823.48</v>
      </c>
      <c r="F203" t="s">
        <v>643</v>
      </c>
      <c r="G203" s="4" t="str">
        <f t="shared" si="20"/>
        <v>823.48</v>
      </c>
      <c r="H203" t="str">
        <f t="shared" si="21"/>
        <v>823.48</v>
      </c>
      <c r="I203" s="1">
        <v>45716</v>
      </c>
      <c r="J203" s="2">
        <f t="shared" si="22"/>
        <v>-0.35993657505285409</v>
      </c>
      <c r="K203" s="3" t="str">
        <f t="shared" si="23"/>
        <v>Check!</v>
      </c>
      <c r="L203" t="str">
        <f t="shared" si="24"/>
        <v/>
      </c>
      <c r="M203" t="str">
        <f t="shared" si="25"/>
        <v/>
      </c>
      <c r="N203">
        <v>1286.56</v>
      </c>
      <c r="O203" t="s">
        <v>124</v>
      </c>
      <c r="Q203" t="s">
        <v>19</v>
      </c>
    </row>
    <row r="204" spans="1:17" x14ac:dyDescent="0.3">
      <c r="A204">
        <v>61172</v>
      </c>
      <c r="B204" t="s">
        <v>125</v>
      </c>
      <c r="C204" t="s">
        <v>611</v>
      </c>
      <c r="D204" t="s">
        <v>126</v>
      </c>
      <c r="E204" s="6">
        <v>151263.28</v>
      </c>
      <c r="F204" t="s">
        <v>643</v>
      </c>
      <c r="G204" s="4" t="str">
        <f t="shared" si="20"/>
        <v>151263.28</v>
      </c>
      <c r="H204" t="str">
        <f t="shared" si="21"/>
        <v>151263.28</v>
      </c>
      <c r="I204" s="1">
        <v>45716</v>
      </c>
      <c r="J204" s="2">
        <f t="shared" si="22"/>
        <v>2.7780174777275016E-2</v>
      </c>
      <c r="K204" s="3" t="str">
        <f t="shared" si="23"/>
        <v/>
      </c>
      <c r="L204" t="str">
        <f t="shared" si="24"/>
        <v/>
      </c>
      <c r="M204" t="str">
        <f t="shared" si="25"/>
        <v>Check</v>
      </c>
      <c r="N204">
        <v>147174.74</v>
      </c>
      <c r="O204" t="s">
        <v>127</v>
      </c>
      <c r="Q204" t="s">
        <v>41</v>
      </c>
    </row>
    <row r="205" spans="1:17" x14ac:dyDescent="0.3">
      <c r="A205">
        <v>61172</v>
      </c>
      <c r="B205" t="s">
        <v>125</v>
      </c>
      <c r="C205" t="s">
        <v>606</v>
      </c>
      <c r="D205" t="s">
        <v>615</v>
      </c>
      <c r="E205" s="6">
        <v>13058.82</v>
      </c>
      <c r="F205" t="s">
        <v>643</v>
      </c>
      <c r="G205" s="4" t="str">
        <f t="shared" si="20"/>
        <v>13058.82</v>
      </c>
      <c r="H205" t="str">
        <f t="shared" si="21"/>
        <v>13058.82</v>
      </c>
      <c r="I205" s="1">
        <v>45716</v>
      </c>
      <c r="J205" s="2">
        <f t="shared" si="22"/>
        <v>2.7255406951041238E-2</v>
      </c>
      <c r="K205" s="3" t="str">
        <f t="shared" si="23"/>
        <v/>
      </c>
      <c r="L205" t="str">
        <f t="shared" si="24"/>
        <v/>
      </c>
      <c r="M205" t="str">
        <f t="shared" si="25"/>
        <v/>
      </c>
      <c r="N205">
        <v>12712.34</v>
      </c>
      <c r="O205" t="s">
        <v>649</v>
      </c>
      <c r="Q205" t="s">
        <v>606</v>
      </c>
    </row>
    <row r="206" spans="1:17" x14ac:dyDescent="0.3">
      <c r="A206">
        <v>62166</v>
      </c>
      <c r="B206" t="s">
        <v>128</v>
      </c>
      <c r="C206" t="s">
        <v>611</v>
      </c>
      <c r="D206" t="s">
        <v>129</v>
      </c>
      <c r="E206" s="6">
        <v>130542.61</v>
      </c>
      <c r="F206" t="s">
        <v>643</v>
      </c>
      <c r="G206" s="4" t="str">
        <f t="shared" si="20"/>
        <v>130542.61</v>
      </c>
      <c r="H206" t="str">
        <f t="shared" si="21"/>
        <v>130542.61</v>
      </c>
      <c r="I206" s="1">
        <v>45716</v>
      </c>
      <c r="J206" s="2">
        <f t="shared" si="22"/>
        <v>2.6817863504858742E-2</v>
      </c>
      <c r="K206" s="3" t="str">
        <f t="shared" si="23"/>
        <v/>
      </c>
      <c r="L206" t="str">
        <f t="shared" si="24"/>
        <v/>
      </c>
      <c r="M206" t="str">
        <f t="shared" si="25"/>
        <v>Check</v>
      </c>
      <c r="N206">
        <v>127133.17</v>
      </c>
      <c r="O206" t="s">
        <v>130</v>
      </c>
      <c r="Q206" t="s">
        <v>41</v>
      </c>
    </row>
    <row r="207" spans="1:17" x14ac:dyDescent="0.3">
      <c r="A207">
        <v>62166</v>
      </c>
      <c r="B207" t="s">
        <v>128</v>
      </c>
      <c r="C207" t="s">
        <v>606</v>
      </c>
      <c r="D207" t="s">
        <v>616</v>
      </c>
      <c r="E207" s="6">
        <v>12973.74</v>
      </c>
      <c r="F207" t="s">
        <v>643</v>
      </c>
      <c r="G207" s="4" t="str">
        <f t="shared" si="20"/>
        <v>12973.74</v>
      </c>
      <c r="H207" t="str">
        <f t="shared" si="21"/>
        <v>12973.74</v>
      </c>
      <c r="I207" s="1">
        <v>45716</v>
      </c>
      <c r="J207" s="2">
        <f t="shared" si="22"/>
        <v>2.6201325846411584E-2</v>
      </c>
      <c r="K207" s="3" t="str">
        <f t="shared" si="23"/>
        <v/>
      </c>
      <c r="L207" t="str">
        <f t="shared" si="24"/>
        <v/>
      </c>
      <c r="M207" t="str">
        <f t="shared" si="25"/>
        <v/>
      </c>
      <c r="N207">
        <v>12642.49</v>
      </c>
      <c r="O207" t="s">
        <v>650</v>
      </c>
      <c r="Q207" t="s">
        <v>606</v>
      </c>
    </row>
    <row r="208" spans="1:17" x14ac:dyDescent="0.3">
      <c r="A208">
        <v>69046</v>
      </c>
      <c r="B208" t="s">
        <v>131</v>
      </c>
      <c r="C208" t="s">
        <v>19</v>
      </c>
      <c r="D208" t="s">
        <v>132</v>
      </c>
      <c r="E208" s="6">
        <v>15502.11</v>
      </c>
      <c r="F208" t="s">
        <v>643</v>
      </c>
      <c r="G208" s="4" t="str">
        <f t="shared" si="20"/>
        <v>15502.11</v>
      </c>
      <c r="H208" t="str">
        <f t="shared" si="21"/>
        <v>15502.11</v>
      </c>
      <c r="I208" s="1">
        <v>45716</v>
      </c>
      <c r="J208" s="2">
        <f t="shared" si="22"/>
        <v>-0.18745783873285826</v>
      </c>
      <c r="K208" s="3" t="str">
        <f t="shared" si="23"/>
        <v>Check!</v>
      </c>
      <c r="L208" t="str">
        <f t="shared" si="24"/>
        <v/>
      </c>
      <c r="M208" t="str">
        <f t="shared" si="25"/>
        <v/>
      </c>
      <c r="N208">
        <v>19078.53</v>
      </c>
      <c r="O208" t="s">
        <v>133</v>
      </c>
      <c r="Q208" t="s">
        <v>19</v>
      </c>
    </row>
    <row r="209" spans="1:17" x14ac:dyDescent="0.3">
      <c r="A209">
        <v>72002</v>
      </c>
      <c r="B209" t="s">
        <v>134</v>
      </c>
      <c r="C209" t="s">
        <v>590</v>
      </c>
      <c r="D209" t="s">
        <v>135</v>
      </c>
      <c r="E209" s="6">
        <v>19408.21</v>
      </c>
      <c r="F209" t="s">
        <v>643</v>
      </c>
      <c r="G209" s="4" t="str">
        <f t="shared" si="20"/>
        <v>19408.21</v>
      </c>
      <c r="H209" t="str">
        <f t="shared" si="21"/>
        <v>19408.21</v>
      </c>
      <c r="I209" s="1">
        <v>45716</v>
      </c>
      <c r="J209" s="2">
        <f t="shared" si="22"/>
        <v>-0.27917002942639157</v>
      </c>
      <c r="K209" s="3" t="str">
        <f t="shared" si="23"/>
        <v>Check!</v>
      </c>
      <c r="L209" t="str">
        <f t="shared" si="24"/>
        <v/>
      </c>
      <c r="M209" t="str">
        <f t="shared" si="25"/>
        <v>Check</v>
      </c>
      <c r="N209">
        <v>26924.81</v>
      </c>
      <c r="O209" t="s">
        <v>136</v>
      </c>
      <c r="Q209" t="s">
        <v>16</v>
      </c>
    </row>
    <row r="210" spans="1:17" x14ac:dyDescent="0.3">
      <c r="A210">
        <v>72002</v>
      </c>
      <c r="B210" t="s">
        <v>134</v>
      </c>
      <c r="C210" t="s">
        <v>19</v>
      </c>
      <c r="D210" t="s">
        <v>137</v>
      </c>
      <c r="E210" s="6">
        <v>16170.26</v>
      </c>
      <c r="F210" t="s">
        <v>643</v>
      </c>
      <c r="G210" s="4" t="str">
        <f t="shared" si="20"/>
        <v>16170.26</v>
      </c>
      <c r="H210" t="str">
        <f t="shared" si="21"/>
        <v>16170.26</v>
      </c>
      <c r="I210" s="1">
        <v>45716</v>
      </c>
      <c r="J210" s="2">
        <f t="shared" si="22"/>
        <v>-0.28808685112713373</v>
      </c>
      <c r="K210" s="3" t="str">
        <f t="shared" si="23"/>
        <v>Check!</v>
      </c>
      <c r="L210" t="str">
        <f t="shared" si="24"/>
        <v/>
      </c>
      <c r="M210" t="str">
        <f t="shared" si="25"/>
        <v/>
      </c>
      <c r="N210">
        <v>22713.81</v>
      </c>
      <c r="O210" t="s">
        <v>138</v>
      </c>
      <c r="Q210" t="s">
        <v>19</v>
      </c>
    </row>
    <row r="211" spans="1:17" x14ac:dyDescent="0.3">
      <c r="A211">
        <v>72002</v>
      </c>
      <c r="B211" t="s">
        <v>134</v>
      </c>
      <c r="C211" t="s">
        <v>19</v>
      </c>
      <c r="D211" t="s">
        <v>139</v>
      </c>
      <c r="E211" s="6">
        <v>5837.21</v>
      </c>
      <c r="F211" t="s">
        <v>643</v>
      </c>
      <c r="G211" s="4" t="str">
        <f t="shared" si="20"/>
        <v>5837.21</v>
      </c>
      <c r="H211" t="str">
        <f t="shared" si="21"/>
        <v>5837.21</v>
      </c>
      <c r="I211" s="1">
        <v>45716</v>
      </c>
      <c r="J211" s="2">
        <f t="shared" si="22"/>
        <v>-0.13421999543171756</v>
      </c>
      <c r="K211" s="3" t="str">
        <f t="shared" si="23"/>
        <v>Check!</v>
      </c>
      <c r="L211" t="str">
        <f t="shared" si="24"/>
        <v/>
      </c>
      <c r="M211" t="str">
        <f t="shared" si="25"/>
        <v/>
      </c>
      <c r="N211">
        <v>6742.14</v>
      </c>
      <c r="O211" t="s">
        <v>140</v>
      </c>
      <c r="Q211" t="s">
        <v>19</v>
      </c>
    </row>
    <row r="212" spans="1:17" x14ac:dyDescent="0.3">
      <c r="A212">
        <v>80212</v>
      </c>
      <c r="B212" t="s">
        <v>141</v>
      </c>
      <c r="C212" t="s">
        <v>590</v>
      </c>
      <c r="D212" t="s">
        <v>142</v>
      </c>
      <c r="E212" s="6">
        <v>469.38</v>
      </c>
      <c r="F212" t="s">
        <v>643</v>
      </c>
      <c r="G212" s="4" t="str">
        <f t="shared" si="20"/>
        <v>469.38</v>
      </c>
      <c r="H212" t="str">
        <f t="shared" si="21"/>
        <v>469.38</v>
      </c>
      <c r="I212" s="1">
        <v>45716</v>
      </c>
      <c r="J212" s="2">
        <f t="shared" si="22"/>
        <v>-9.9061402330179113E-2</v>
      </c>
      <c r="K212" s="3" t="str">
        <f t="shared" si="23"/>
        <v/>
      </c>
      <c r="L212" t="str">
        <f t="shared" si="24"/>
        <v/>
      </c>
      <c r="M212" t="str">
        <f t="shared" si="25"/>
        <v>Check</v>
      </c>
      <c r="N212">
        <v>520.99</v>
      </c>
      <c r="O212" t="s">
        <v>143</v>
      </c>
      <c r="Q212" t="s">
        <v>16</v>
      </c>
    </row>
    <row r="213" spans="1:17" x14ac:dyDescent="0.3">
      <c r="A213">
        <v>80212</v>
      </c>
      <c r="B213" t="s">
        <v>141</v>
      </c>
      <c r="C213" t="s">
        <v>611</v>
      </c>
      <c r="D213" t="s">
        <v>144</v>
      </c>
      <c r="E213" s="6">
        <v>55202.09</v>
      </c>
      <c r="F213" t="s">
        <v>643</v>
      </c>
      <c r="G213" s="4" t="str">
        <f t="shared" si="20"/>
        <v>55202.09</v>
      </c>
      <c r="H213" t="str">
        <f t="shared" si="21"/>
        <v>55202.09</v>
      </c>
      <c r="I213" s="1">
        <v>45716</v>
      </c>
      <c r="J213" s="2">
        <f t="shared" si="22"/>
        <v>3.0442255791631453E-2</v>
      </c>
      <c r="K213" s="3" t="str">
        <f t="shared" si="23"/>
        <v/>
      </c>
      <c r="L213" t="str">
        <f t="shared" si="24"/>
        <v/>
      </c>
      <c r="M213" t="str">
        <f t="shared" si="25"/>
        <v>Check</v>
      </c>
      <c r="N213">
        <v>53571.26</v>
      </c>
      <c r="O213" t="s">
        <v>145</v>
      </c>
      <c r="Q213" t="s">
        <v>41</v>
      </c>
    </row>
    <row r="214" spans="1:17" x14ac:dyDescent="0.3">
      <c r="A214">
        <v>80212</v>
      </c>
      <c r="B214" t="s">
        <v>141</v>
      </c>
      <c r="C214" t="s">
        <v>606</v>
      </c>
      <c r="D214" t="s">
        <v>617</v>
      </c>
      <c r="E214" s="6">
        <v>6420.39</v>
      </c>
      <c r="F214" t="s">
        <v>643</v>
      </c>
      <c r="G214" s="4" t="str">
        <f t="shared" si="20"/>
        <v>6420.39</v>
      </c>
      <c r="H214" t="str">
        <f t="shared" si="21"/>
        <v>6420.39</v>
      </c>
      <c r="I214" s="1">
        <v>45716</v>
      </c>
      <c r="J214" s="2">
        <f t="shared" si="22"/>
        <v>4.200383667825467E-2</v>
      </c>
      <c r="K214" s="3" t="str">
        <f t="shared" si="23"/>
        <v/>
      </c>
      <c r="L214" t="str">
        <f t="shared" si="24"/>
        <v/>
      </c>
      <c r="M214" t="str">
        <f t="shared" si="25"/>
        <v/>
      </c>
      <c r="N214">
        <v>6161.58</v>
      </c>
      <c r="O214" t="s">
        <v>651</v>
      </c>
      <c r="Q214" t="s">
        <v>606</v>
      </c>
    </row>
    <row r="215" spans="1:17" x14ac:dyDescent="0.3">
      <c r="A215">
        <v>81381</v>
      </c>
      <c r="B215" t="s">
        <v>593</v>
      </c>
      <c r="C215" t="s">
        <v>19</v>
      </c>
      <c r="D215" t="s">
        <v>146</v>
      </c>
      <c r="E215" s="6">
        <v>5349.01</v>
      </c>
      <c r="F215" t="s">
        <v>643</v>
      </c>
      <c r="G215" s="4" t="str">
        <f t="shared" si="20"/>
        <v>5349.01</v>
      </c>
      <c r="H215" t="str">
        <f t="shared" si="21"/>
        <v>5349.01</v>
      </c>
      <c r="I215" s="1">
        <v>45716</v>
      </c>
      <c r="J215" s="2">
        <f t="shared" si="22"/>
        <v>-0.23064830236658981</v>
      </c>
      <c r="K215" s="3" t="str">
        <f t="shared" si="23"/>
        <v>Check!</v>
      </c>
      <c r="L215" t="str">
        <f t="shared" si="24"/>
        <v/>
      </c>
      <c r="M215" t="str">
        <f t="shared" si="25"/>
        <v/>
      </c>
      <c r="N215">
        <v>6952.62</v>
      </c>
      <c r="O215" t="s">
        <v>147</v>
      </c>
      <c r="Q215" t="s">
        <v>19</v>
      </c>
    </row>
    <row r="216" spans="1:17" x14ac:dyDescent="0.3">
      <c r="A216">
        <v>81381</v>
      </c>
      <c r="B216" t="s">
        <v>593</v>
      </c>
      <c r="C216" t="s">
        <v>19</v>
      </c>
      <c r="D216" t="s">
        <v>148</v>
      </c>
      <c r="E216" s="6">
        <v>331857</v>
      </c>
      <c r="F216" t="s">
        <v>643</v>
      </c>
      <c r="G216" s="4" t="str">
        <f t="shared" si="20"/>
        <v>331857</v>
      </c>
      <c r="H216" t="str">
        <f t="shared" si="21"/>
        <v>331857</v>
      </c>
      <c r="I216" s="1">
        <v>45716</v>
      </c>
      <c r="J216" s="2">
        <f t="shared" si="22"/>
        <v>-0.12163008254385597</v>
      </c>
      <c r="K216" s="3" t="str">
        <f t="shared" si="23"/>
        <v>Check!</v>
      </c>
      <c r="L216" t="str">
        <f t="shared" si="24"/>
        <v/>
      </c>
      <c r="M216" t="str">
        <f t="shared" si="25"/>
        <v/>
      </c>
      <c r="N216">
        <v>377810.07</v>
      </c>
      <c r="O216" t="s">
        <v>149</v>
      </c>
      <c r="Q216" t="s">
        <v>19</v>
      </c>
    </row>
    <row r="217" spans="1:17" x14ac:dyDescent="0.3">
      <c r="A217">
        <v>113590</v>
      </c>
      <c r="B217" t="s">
        <v>150</v>
      </c>
      <c r="C217" t="s">
        <v>19</v>
      </c>
      <c r="D217" t="s">
        <v>151</v>
      </c>
      <c r="E217" s="6">
        <v>9012.7800000000007</v>
      </c>
      <c r="F217" t="s">
        <v>643</v>
      </c>
      <c r="G217" s="4" t="str">
        <f t="shared" si="20"/>
        <v>9012.78</v>
      </c>
      <c r="H217" t="str">
        <f t="shared" si="21"/>
        <v>9012.78</v>
      </c>
      <c r="I217" s="1">
        <v>45716</v>
      </c>
      <c r="J217" s="2">
        <f t="shared" si="22"/>
        <v>-0.16256316005627025</v>
      </c>
      <c r="K217" s="3" t="str">
        <f t="shared" si="23"/>
        <v>Check!</v>
      </c>
      <c r="L217" t="str">
        <f t="shared" si="24"/>
        <v/>
      </c>
      <c r="M217" t="str">
        <f t="shared" si="25"/>
        <v/>
      </c>
      <c r="N217">
        <v>10762.34</v>
      </c>
      <c r="O217" t="s">
        <v>152</v>
      </c>
      <c r="Q217" t="s">
        <v>19</v>
      </c>
    </row>
    <row r="218" spans="1:17" x14ac:dyDescent="0.3">
      <c r="A218">
        <v>113590</v>
      </c>
      <c r="B218" t="s">
        <v>150</v>
      </c>
      <c r="C218" t="s">
        <v>19</v>
      </c>
      <c r="D218" t="s">
        <v>153</v>
      </c>
      <c r="E218" s="6">
        <v>2465.8000000000002</v>
      </c>
      <c r="F218" t="s">
        <v>643</v>
      </c>
      <c r="G218" s="4" t="str">
        <f t="shared" si="20"/>
        <v>2465.8</v>
      </c>
      <c r="H218" t="str">
        <f t="shared" si="21"/>
        <v>2465.8</v>
      </c>
      <c r="I218" s="1">
        <v>45716</v>
      </c>
      <c r="J218" s="2">
        <f t="shared" si="22"/>
        <v>-0.15839556568869712</v>
      </c>
      <c r="K218" s="3" t="str">
        <f t="shared" si="23"/>
        <v>Check!</v>
      </c>
      <c r="L218" t="str">
        <f t="shared" si="24"/>
        <v/>
      </c>
      <c r="M218" t="str">
        <f t="shared" si="25"/>
        <v/>
      </c>
      <c r="N218">
        <v>2929.88</v>
      </c>
      <c r="O218" t="s">
        <v>154</v>
      </c>
      <c r="Q218" t="s">
        <v>19</v>
      </c>
    </row>
    <row r="219" spans="1:17" x14ac:dyDescent="0.3">
      <c r="A219">
        <v>130912</v>
      </c>
      <c r="B219" t="s">
        <v>604</v>
      </c>
      <c r="C219" t="s">
        <v>590</v>
      </c>
      <c r="D219" t="s">
        <v>605</v>
      </c>
      <c r="E219" s="6">
        <v>9397.31</v>
      </c>
      <c r="F219" t="s">
        <v>643</v>
      </c>
      <c r="G219" s="4" t="str">
        <f t="shared" si="20"/>
        <v>9397.31</v>
      </c>
      <c r="H219" t="str">
        <f t="shared" si="21"/>
        <v>9397.31</v>
      </c>
      <c r="I219" s="1">
        <v>45716</v>
      </c>
      <c r="J219" s="2">
        <f t="shared" si="22"/>
        <v>-0.1026885036771657</v>
      </c>
      <c r="K219" s="3" t="str">
        <f t="shared" si="23"/>
        <v>Check!</v>
      </c>
      <c r="L219" t="str">
        <f t="shared" si="24"/>
        <v/>
      </c>
      <c r="M219" t="str">
        <f t="shared" si="25"/>
        <v/>
      </c>
      <c r="N219">
        <v>10472.74</v>
      </c>
      <c r="O219" t="s">
        <v>652</v>
      </c>
      <c r="Q219" t="s">
        <v>590</v>
      </c>
    </row>
    <row r="220" spans="1:17" x14ac:dyDescent="0.3">
      <c r="A220">
        <v>133380</v>
      </c>
      <c r="B220" t="s">
        <v>155</v>
      </c>
      <c r="C220" t="s">
        <v>611</v>
      </c>
      <c r="D220" t="s">
        <v>156</v>
      </c>
      <c r="E220" s="6">
        <v>33692.47</v>
      </c>
      <c r="F220" t="s">
        <v>643</v>
      </c>
      <c r="G220" s="4" t="str">
        <f t="shared" si="20"/>
        <v>33692.47</v>
      </c>
      <c r="H220" t="str">
        <f t="shared" si="21"/>
        <v>33692.47</v>
      </c>
      <c r="I220" s="1">
        <v>45716</v>
      </c>
      <c r="J220" s="2">
        <f t="shared" si="22"/>
        <v>3.2926130502135754E-2</v>
      </c>
      <c r="K220" s="3" t="str">
        <f t="shared" si="23"/>
        <v/>
      </c>
      <c r="L220" t="str">
        <f t="shared" si="24"/>
        <v/>
      </c>
      <c r="M220" t="str">
        <f t="shared" si="25"/>
        <v>Check</v>
      </c>
      <c r="N220">
        <v>32618.47</v>
      </c>
      <c r="O220" t="s">
        <v>157</v>
      </c>
      <c r="Q220" t="s">
        <v>41</v>
      </c>
    </row>
    <row r="221" spans="1:17" x14ac:dyDescent="0.3">
      <c r="A221">
        <v>133380</v>
      </c>
      <c r="B221" t="s">
        <v>155</v>
      </c>
      <c r="C221" t="s">
        <v>606</v>
      </c>
      <c r="D221" t="s">
        <v>618</v>
      </c>
      <c r="E221" s="6">
        <v>3831.92</v>
      </c>
      <c r="F221" t="s">
        <v>643</v>
      </c>
      <c r="G221" s="4" t="str">
        <f t="shared" si="20"/>
        <v>3831.92</v>
      </c>
      <c r="H221" t="str">
        <f t="shared" si="21"/>
        <v>3831.92</v>
      </c>
      <c r="I221" s="1">
        <v>45716</v>
      </c>
      <c r="J221" s="2">
        <f t="shared" si="22"/>
        <v>1.2530056810675141E-2</v>
      </c>
      <c r="K221" s="3" t="str">
        <f t="shared" si="23"/>
        <v/>
      </c>
      <c r="L221" t="str">
        <f t="shared" si="24"/>
        <v/>
      </c>
      <c r="M221" t="str">
        <f t="shared" si="25"/>
        <v/>
      </c>
      <c r="N221">
        <v>3784.5</v>
      </c>
      <c r="O221" t="s">
        <v>653</v>
      </c>
      <c r="Q221" t="s">
        <v>606</v>
      </c>
    </row>
    <row r="222" spans="1:17" x14ac:dyDescent="0.3">
      <c r="A222">
        <v>133382</v>
      </c>
      <c r="B222" t="s">
        <v>158</v>
      </c>
      <c r="C222" t="s">
        <v>611</v>
      </c>
      <c r="D222" t="s">
        <v>159</v>
      </c>
      <c r="E222" s="6">
        <v>3892.36</v>
      </c>
      <c r="F222" t="s">
        <v>643</v>
      </c>
      <c r="G222" s="4" t="str">
        <f t="shared" si="20"/>
        <v>3892.36</v>
      </c>
      <c r="H222" t="str">
        <f t="shared" si="21"/>
        <v>3892.36</v>
      </c>
      <c r="I222" s="1">
        <v>45716</v>
      </c>
      <c r="J222" s="2">
        <f t="shared" si="22"/>
        <v>1.2554303998335167E-2</v>
      </c>
      <c r="K222" s="3" t="str">
        <f t="shared" si="23"/>
        <v/>
      </c>
      <c r="L222" t="str">
        <f t="shared" si="24"/>
        <v/>
      </c>
      <c r="M222" t="str">
        <f t="shared" si="25"/>
        <v>Check</v>
      </c>
      <c r="N222">
        <v>3844.1</v>
      </c>
      <c r="O222" t="s">
        <v>160</v>
      </c>
      <c r="Q222" t="s">
        <v>41</v>
      </c>
    </row>
    <row r="223" spans="1:17" x14ac:dyDescent="0.3">
      <c r="A223">
        <v>133382</v>
      </c>
      <c r="B223" t="s">
        <v>158</v>
      </c>
      <c r="C223" t="s">
        <v>606</v>
      </c>
      <c r="D223" t="s">
        <v>619</v>
      </c>
      <c r="E223" s="6">
        <v>444.45</v>
      </c>
      <c r="F223" t="s">
        <v>643</v>
      </c>
      <c r="G223" s="4" t="str">
        <f t="shared" si="20"/>
        <v>444.45</v>
      </c>
      <c r="H223" t="str">
        <f t="shared" si="21"/>
        <v>444.45</v>
      </c>
      <c r="I223" s="1">
        <v>45716</v>
      </c>
      <c r="J223" s="2">
        <f t="shared" si="22"/>
        <v>1.2852943187256412E-2</v>
      </c>
      <c r="K223" s="3" t="str">
        <f t="shared" si="23"/>
        <v/>
      </c>
      <c r="L223" t="str">
        <f t="shared" si="24"/>
        <v/>
      </c>
      <c r="M223" t="str">
        <f t="shared" si="25"/>
        <v/>
      </c>
      <c r="N223">
        <v>438.81</v>
      </c>
      <c r="O223" t="s">
        <v>654</v>
      </c>
      <c r="Q223" t="s">
        <v>606</v>
      </c>
    </row>
    <row r="224" spans="1:17" x14ac:dyDescent="0.3">
      <c r="A224">
        <v>135931</v>
      </c>
      <c r="B224" t="s">
        <v>161</v>
      </c>
      <c r="C224" t="s">
        <v>590</v>
      </c>
      <c r="D224" t="s">
        <v>162</v>
      </c>
      <c r="E224" s="6">
        <v>877.24</v>
      </c>
      <c r="F224" t="s">
        <v>643</v>
      </c>
      <c r="G224" s="4" t="str">
        <f t="shared" si="20"/>
        <v>877.24</v>
      </c>
      <c r="H224" t="str">
        <f t="shared" si="21"/>
        <v>877.24</v>
      </c>
      <c r="I224" s="1">
        <v>45716</v>
      </c>
      <c r="J224" s="2">
        <f t="shared" si="22"/>
        <v>-0.4455042508138175</v>
      </c>
      <c r="K224" s="3" t="str">
        <f t="shared" si="23"/>
        <v>Check!</v>
      </c>
      <c r="L224" t="str">
        <f t="shared" si="24"/>
        <v/>
      </c>
      <c r="M224" t="str">
        <f t="shared" si="25"/>
        <v>Check</v>
      </c>
      <c r="N224">
        <v>1582.05</v>
      </c>
      <c r="O224" t="s">
        <v>163</v>
      </c>
      <c r="Q224" t="s">
        <v>16</v>
      </c>
    </row>
    <row r="225" spans="1:17" x14ac:dyDescent="0.3">
      <c r="A225">
        <v>100202693</v>
      </c>
      <c r="B225" t="s">
        <v>594</v>
      </c>
      <c r="C225" t="s">
        <v>590</v>
      </c>
      <c r="D225" t="s">
        <v>599</v>
      </c>
      <c r="E225" s="6">
        <v>66224.02</v>
      </c>
      <c r="F225" t="s">
        <v>643</v>
      </c>
      <c r="G225" s="4" t="str">
        <f t="shared" si="20"/>
        <v>66224.02</v>
      </c>
      <c r="H225" t="str">
        <f t="shared" si="21"/>
        <v>66224.02</v>
      </c>
      <c r="I225" s="1">
        <v>45716</v>
      </c>
      <c r="J225" s="2">
        <f t="shared" si="22"/>
        <v>-0.10599378445552295</v>
      </c>
      <c r="K225" s="3" t="str">
        <f t="shared" si="23"/>
        <v>Check!</v>
      </c>
      <c r="L225" t="str">
        <f t="shared" si="24"/>
        <v/>
      </c>
      <c r="M225" t="str">
        <f t="shared" si="25"/>
        <v/>
      </c>
      <c r="N225">
        <v>74075.570000000007</v>
      </c>
      <c r="O225" t="s">
        <v>655</v>
      </c>
      <c r="Q225" t="s">
        <v>590</v>
      </c>
    </row>
    <row r="226" spans="1:17" x14ac:dyDescent="0.3">
      <c r="A226">
        <v>100202693</v>
      </c>
      <c r="B226" t="s">
        <v>594</v>
      </c>
      <c r="C226" t="s">
        <v>19</v>
      </c>
      <c r="D226" t="s">
        <v>598</v>
      </c>
      <c r="E226" s="6">
        <v>182171.2</v>
      </c>
      <c r="F226" t="s">
        <v>643</v>
      </c>
      <c r="G226" s="4" t="str">
        <f t="shared" si="20"/>
        <v>182171.2</v>
      </c>
      <c r="H226" t="str">
        <f t="shared" si="21"/>
        <v>182171.2</v>
      </c>
      <c r="I226" s="1">
        <v>45716</v>
      </c>
      <c r="J226" s="2">
        <f t="shared" si="22"/>
        <v>-0.10588189100047113</v>
      </c>
      <c r="K226" s="3" t="str">
        <f t="shared" si="23"/>
        <v>Check!</v>
      </c>
      <c r="L226" t="str">
        <f t="shared" si="24"/>
        <v/>
      </c>
      <c r="M226" t="str">
        <f t="shared" si="25"/>
        <v/>
      </c>
      <c r="N226">
        <v>203744</v>
      </c>
      <c r="O226" t="s">
        <v>656</v>
      </c>
      <c r="Q226" t="s">
        <v>19</v>
      </c>
    </row>
    <row r="227" spans="1:17" x14ac:dyDescent="0.3">
      <c r="A227">
        <v>100202693</v>
      </c>
      <c r="B227" t="s">
        <v>594</v>
      </c>
      <c r="C227" t="s">
        <v>19</v>
      </c>
      <c r="D227" t="s">
        <v>597</v>
      </c>
      <c r="E227" s="6">
        <v>46746.19</v>
      </c>
      <c r="F227" t="s">
        <v>643</v>
      </c>
      <c r="G227" s="4" t="str">
        <f t="shared" si="20"/>
        <v>46746.19</v>
      </c>
      <c r="H227" t="str">
        <f t="shared" si="21"/>
        <v>46746.19</v>
      </c>
      <c r="I227" s="1">
        <v>45716</v>
      </c>
      <c r="J227" s="2">
        <f t="shared" si="22"/>
        <v>-0.10611858633227096</v>
      </c>
      <c r="K227" s="3" t="str">
        <f t="shared" si="23"/>
        <v>Check!</v>
      </c>
      <c r="L227" t="str">
        <f t="shared" si="24"/>
        <v/>
      </c>
      <c r="M227" t="str">
        <f t="shared" si="25"/>
        <v/>
      </c>
      <c r="N227">
        <v>52295.74</v>
      </c>
      <c r="O227" t="s">
        <v>657</v>
      </c>
      <c r="Q227" t="s">
        <v>19</v>
      </c>
    </row>
    <row r="228" spans="1:17" x14ac:dyDescent="0.3">
      <c r="A228">
        <v>100205932</v>
      </c>
      <c r="B228" t="s">
        <v>165</v>
      </c>
      <c r="C228" t="s">
        <v>19</v>
      </c>
      <c r="D228" t="s">
        <v>586</v>
      </c>
      <c r="E228" s="6">
        <v>80934.880000000005</v>
      </c>
      <c r="F228" t="s">
        <v>643</v>
      </c>
      <c r="G228" s="4" t="str">
        <f t="shared" si="20"/>
        <v>80934.88</v>
      </c>
      <c r="H228" t="str">
        <f t="shared" si="21"/>
        <v>80934.88</v>
      </c>
      <c r="I228" s="1">
        <v>45716</v>
      </c>
      <c r="J228" s="2">
        <f t="shared" si="22"/>
        <v>-0.10506805241355546</v>
      </c>
      <c r="K228" s="3" t="str">
        <f t="shared" si="23"/>
        <v>Check!</v>
      </c>
      <c r="L228" t="str">
        <f t="shared" si="24"/>
        <v/>
      </c>
      <c r="M228" t="str">
        <f t="shared" si="25"/>
        <v/>
      </c>
      <c r="N228">
        <v>90436.91</v>
      </c>
      <c r="O228" t="s">
        <v>587</v>
      </c>
      <c r="Q228" t="s">
        <v>19</v>
      </c>
    </row>
    <row r="229" spans="1:17" x14ac:dyDescent="0.3">
      <c r="A229">
        <v>100220898</v>
      </c>
      <c r="B229" t="s">
        <v>166</v>
      </c>
      <c r="C229" t="s">
        <v>19</v>
      </c>
      <c r="D229" t="s">
        <v>167</v>
      </c>
      <c r="E229" s="6">
        <v>72804.72</v>
      </c>
      <c r="F229" t="s">
        <v>643</v>
      </c>
      <c r="G229" s="4" t="str">
        <f t="shared" si="20"/>
        <v>72804.72</v>
      </c>
      <c r="H229" t="str">
        <f t="shared" si="21"/>
        <v>72804.72</v>
      </c>
      <c r="I229" s="1">
        <v>45716</v>
      </c>
      <c r="J229" s="2">
        <f t="shared" si="22"/>
        <v>-0.10599322686419324</v>
      </c>
      <c r="K229" s="3" t="str">
        <f t="shared" si="23"/>
        <v>Check!</v>
      </c>
      <c r="L229" t="str">
        <f t="shared" si="24"/>
        <v/>
      </c>
      <c r="M229" t="str">
        <f t="shared" si="25"/>
        <v/>
      </c>
      <c r="N229">
        <v>81436.429999999993</v>
      </c>
      <c r="O229" t="s">
        <v>168</v>
      </c>
      <c r="Q229" t="s">
        <v>19</v>
      </c>
    </row>
    <row r="230" spans="1:17" x14ac:dyDescent="0.3">
      <c r="A230">
        <v>100220898</v>
      </c>
      <c r="B230" t="s">
        <v>166</v>
      </c>
      <c r="C230" t="s">
        <v>19</v>
      </c>
      <c r="D230" t="s">
        <v>169</v>
      </c>
      <c r="E230" s="6">
        <v>54209.39</v>
      </c>
      <c r="F230" t="s">
        <v>643</v>
      </c>
      <c r="G230" s="4" t="str">
        <f t="shared" si="20"/>
        <v>54209.39</v>
      </c>
      <c r="H230" t="str">
        <f t="shared" si="21"/>
        <v>54209.39</v>
      </c>
      <c r="I230" s="1">
        <v>45716</v>
      </c>
      <c r="J230" s="2">
        <f t="shared" si="22"/>
        <v>-0.1352747890284422</v>
      </c>
      <c r="K230" s="3" t="str">
        <f t="shared" si="23"/>
        <v>Check!</v>
      </c>
      <c r="L230" t="str">
        <f t="shared" si="24"/>
        <v/>
      </c>
      <c r="M230" t="str">
        <f t="shared" si="25"/>
        <v/>
      </c>
      <c r="N230">
        <v>62689.73</v>
      </c>
      <c r="O230" t="s">
        <v>170</v>
      </c>
      <c r="Q230" t="s">
        <v>19</v>
      </c>
    </row>
    <row r="231" spans="1:17" x14ac:dyDescent="0.3">
      <c r="A231">
        <v>100247003</v>
      </c>
      <c r="B231" t="s">
        <v>105</v>
      </c>
      <c r="C231" t="s">
        <v>19</v>
      </c>
      <c r="D231" t="s">
        <v>171</v>
      </c>
      <c r="E231" s="6">
        <v>7223.64</v>
      </c>
      <c r="F231" t="s">
        <v>643</v>
      </c>
      <c r="G231" s="4" t="str">
        <f t="shared" si="20"/>
        <v>7223.64</v>
      </c>
      <c r="H231" t="str">
        <f t="shared" si="21"/>
        <v>7223.64</v>
      </c>
      <c r="I231" s="1">
        <v>45716</v>
      </c>
      <c r="J231" s="2">
        <f t="shared" si="22"/>
        <v>-9.0962402173543719E-2</v>
      </c>
      <c r="K231" s="3" t="str">
        <f t="shared" si="23"/>
        <v/>
      </c>
      <c r="L231" t="str">
        <f t="shared" si="24"/>
        <v/>
      </c>
      <c r="M231" t="str">
        <f t="shared" si="25"/>
        <v/>
      </c>
      <c r="N231">
        <v>7946.47</v>
      </c>
      <c r="O231" t="s">
        <v>172</v>
      </c>
      <c r="Q231" t="s">
        <v>19</v>
      </c>
    </row>
    <row r="232" spans="1:17" x14ac:dyDescent="0.3">
      <c r="A232">
        <v>100249944</v>
      </c>
      <c r="B232" t="s">
        <v>173</v>
      </c>
      <c r="C232" t="s">
        <v>19</v>
      </c>
      <c r="D232" t="s">
        <v>174</v>
      </c>
      <c r="E232" s="6">
        <v>7480.87</v>
      </c>
      <c r="F232" t="s">
        <v>643</v>
      </c>
      <c r="G232" s="4" t="str">
        <f t="shared" si="20"/>
        <v>7480.87</v>
      </c>
      <c r="H232" t="str">
        <f t="shared" si="21"/>
        <v>7480.87</v>
      </c>
      <c r="I232" s="1">
        <v>45716</v>
      </c>
      <c r="J232" s="2">
        <f t="shared" si="22"/>
        <v>-0.28978587825611446</v>
      </c>
      <c r="K232" s="3" t="str">
        <f t="shared" si="23"/>
        <v>Check!</v>
      </c>
      <c r="L232" t="str">
        <f t="shared" si="24"/>
        <v/>
      </c>
      <c r="M232" t="str">
        <f t="shared" si="25"/>
        <v/>
      </c>
      <c r="N232">
        <v>10533.26</v>
      </c>
      <c r="O232" t="s">
        <v>175</v>
      </c>
      <c r="Q232" t="s">
        <v>19</v>
      </c>
    </row>
    <row r="233" spans="1:17" x14ac:dyDescent="0.3">
      <c r="A233">
        <v>100250182</v>
      </c>
      <c r="B233" t="s">
        <v>176</v>
      </c>
      <c r="C233" t="s">
        <v>19</v>
      </c>
      <c r="D233" t="s">
        <v>177</v>
      </c>
      <c r="E233" s="6">
        <v>102720.45</v>
      </c>
      <c r="F233" t="s">
        <v>643</v>
      </c>
      <c r="G233" s="4" t="str">
        <f t="shared" si="20"/>
        <v>102720.45</v>
      </c>
      <c r="H233" t="str">
        <f t="shared" si="21"/>
        <v>102720.45</v>
      </c>
      <c r="I233" s="1">
        <v>45716</v>
      </c>
      <c r="J233" s="2">
        <f t="shared" si="22"/>
        <v>-0.13986905501565008</v>
      </c>
      <c r="K233" s="3" t="str">
        <f t="shared" si="23"/>
        <v>Check!</v>
      </c>
      <c r="L233" t="str">
        <f t="shared" si="24"/>
        <v/>
      </c>
      <c r="M233" t="str">
        <f t="shared" si="25"/>
        <v/>
      </c>
      <c r="N233">
        <v>119424.2</v>
      </c>
      <c r="O233" t="s">
        <v>178</v>
      </c>
      <c r="Q233" t="s">
        <v>19</v>
      </c>
    </row>
    <row r="234" spans="1:17" x14ac:dyDescent="0.3">
      <c r="A234">
        <v>100271808</v>
      </c>
      <c r="B234" t="s">
        <v>179</v>
      </c>
      <c r="C234" t="s">
        <v>611</v>
      </c>
      <c r="D234" t="s">
        <v>180</v>
      </c>
      <c r="E234" s="6">
        <v>25815.15</v>
      </c>
      <c r="F234" t="s">
        <v>643</v>
      </c>
      <c r="G234" s="4" t="str">
        <f t="shared" si="20"/>
        <v>25815.15</v>
      </c>
      <c r="H234" t="str">
        <f t="shared" si="21"/>
        <v>25815.15</v>
      </c>
      <c r="I234" s="1">
        <v>45716</v>
      </c>
      <c r="J234" s="2">
        <f t="shared" si="22"/>
        <v>3.4472602363705154E-2</v>
      </c>
      <c r="K234" s="3" t="str">
        <f t="shared" si="23"/>
        <v/>
      </c>
      <c r="L234" t="str">
        <f t="shared" si="24"/>
        <v/>
      </c>
      <c r="M234" t="str">
        <f t="shared" si="25"/>
        <v>Check</v>
      </c>
      <c r="N234">
        <v>24954.89</v>
      </c>
      <c r="O234" t="s">
        <v>181</v>
      </c>
      <c r="Q234" t="s">
        <v>41</v>
      </c>
    </row>
    <row r="235" spans="1:17" x14ac:dyDescent="0.3">
      <c r="A235">
        <v>100271808</v>
      </c>
      <c r="B235" t="s">
        <v>179</v>
      </c>
      <c r="C235" t="s">
        <v>606</v>
      </c>
      <c r="D235" t="s">
        <v>620</v>
      </c>
      <c r="E235" s="6">
        <v>2954.04</v>
      </c>
      <c r="F235" t="s">
        <v>643</v>
      </c>
      <c r="G235" s="4" t="str">
        <f t="shared" si="20"/>
        <v>2954.04</v>
      </c>
      <c r="H235" t="str">
        <f t="shared" si="21"/>
        <v>2954.04</v>
      </c>
      <c r="I235" s="1">
        <v>45716</v>
      </c>
      <c r="J235" s="2">
        <f t="shared" si="22"/>
        <v>1.2579952970856951E-2</v>
      </c>
      <c r="K235" s="3" t="str">
        <f t="shared" si="23"/>
        <v/>
      </c>
      <c r="L235" t="str">
        <f t="shared" si="24"/>
        <v/>
      </c>
      <c r="M235" t="str">
        <f t="shared" si="25"/>
        <v/>
      </c>
      <c r="N235">
        <v>2917.34</v>
      </c>
      <c r="O235" t="s">
        <v>658</v>
      </c>
      <c r="Q235" t="s">
        <v>606</v>
      </c>
    </row>
    <row r="236" spans="1:17" x14ac:dyDescent="0.3">
      <c r="A236">
        <v>100273792</v>
      </c>
      <c r="B236" t="s">
        <v>182</v>
      </c>
      <c r="C236" t="s">
        <v>19</v>
      </c>
      <c r="D236" t="s">
        <v>183</v>
      </c>
      <c r="E236" s="6">
        <v>6929.9</v>
      </c>
      <c r="F236" t="s">
        <v>643</v>
      </c>
      <c r="G236" s="4" t="str">
        <f t="shared" si="20"/>
        <v>6929.9</v>
      </c>
      <c r="H236" t="str">
        <f t="shared" si="21"/>
        <v>6929.9</v>
      </c>
      <c r="I236" s="1">
        <v>45716</v>
      </c>
      <c r="J236" s="2">
        <f t="shared" si="22"/>
        <v>-7.3335891836813868E-2</v>
      </c>
      <c r="K236" s="3" t="str">
        <f t="shared" si="23"/>
        <v/>
      </c>
      <c r="L236" t="str">
        <f t="shared" si="24"/>
        <v/>
      </c>
      <c r="M236" t="str">
        <f t="shared" si="25"/>
        <v/>
      </c>
      <c r="N236">
        <v>7478.33</v>
      </c>
      <c r="O236" t="s">
        <v>184</v>
      </c>
      <c r="Q236" t="s">
        <v>19</v>
      </c>
    </row>
    <row r="237" spans="1:17" x14ac:dyDescent="0.3">
      <c r="A237">
        <v>100273792</v>
      </c>
      <c r="B237" t="s">
        <v>182</v>
      </c>
      <c r="C237" t="s">
        <v>19</v>
      </c>
      <c r="D237" t="s">
        <v>185</v>
      </c>
      <c r="E237" s="6">
        <v>5993.07</v>
      </c>
      <c r="F237" t="s">
        <v>643</v>
      </c>
      <c r="G237" s="4" t="str">
        <f t="shared" si="20"/>
        <v>5993.07</v>
      </c>
      <c r="H237" t="str">
        <f t="shared" si="21"/>
        <v>5993.07</v>
      </c>
      <c r="I237" s="1">
        <v>45716</v>
      </c>
      <c r="J237" s="2">
        <f t="shared" si="22"/>
        <v>-9.3062531495771067E-2</v>
      </c>
      <c r="K237" s="3" t="str">
        <f t="shared" si="23"/>
        <v/>
      </c>
      <c r="L237" t="str">
        <f t="shared" si="24"/>
        <v/>
      </c>
      <c r="M237" t="str">
        <f t="shared" si="25"/>
        <v/>
      </c>
      <c r="N237">
        <v>6608.03</v>
      </c>
      <c r="O237" t="s">
        <v>186</v>
      </c>
      <c r="Q237" t="s">
        <v>19</v>
      </c>
    </row>
    <row r="238" spans="1:17" x14ac:dyDescent="0.3">
      <c r="A238">
        <v>100278188</v>
      </c>
      <c r="B238" t="s">
        <v>187</v>
      </c>
      <c r="C238" t="s">
        <v>590</v>
      </c>
      <c r="D238" t="s">
        <v>188</v>
      </c>
      <c r="E238" s="6">
        <v>9756.9699999999993</v>
      </c>
      <c r="F238" t="s">
        <v>643</v>
      </c>
      <c r="G238" s="4" t="str">
        <f t="shared" si="20"/>
        <v>9756.97</v>
      </c>
      <c r="H238" t="str">
        <f t="shared" si="21"/>
        <v>9756.97</v>
      </c>
      <c r="I238" s="1">
        <v>45716</v>
      </c>
      <c r="J238" s="2">
        <f t="shared" si="22"/>
        <v>-0.50970862321516963</v>
      </c>
      <c r="K238" s="3" t="str">
        <f t="shared" si="23"/>
        <v>Check!</v>
      </c>
      <c r="L238" t="str">
        <f t="shared" si="24"/>
        <v/>
      </c>
      <c r="M238" t="str">
        <f t="shared" si="25"/>
        <v>Check</v>
      </c>
      <c r="N238">
        <v>19900.349999999999</v>
      </c>
      <c r="O238" t="s">
        <v>189</v>
      </c>
      <c r="Q238" t="s">
        <v>16</v>
      </c>
    </row>
    <row r="239" spans="1:17" x14ac:dyDescent="0.3">
      <c r="A239">
        <v>100278188</v>
      </c>
      <c r="B239" t="s">
        <v>187</v>
      </c>
      <c r="C239" t="s">
        <v>19</v>
      </c>
      <c r="D239" t="s">
        <v>190</v>
      </c>
      <c r="E239" s="6">
        <v>4947.8599999999997</v>
      </c>
      <c r="F239" t="s">
        <v>643</v>
      </c>
      <c r="G239" s="4" t="str">
        <f t="shared" si="20"/>
        <v>4947.86</v>
      </c>
      <c r="H239" t="str">
        <f t="shared" si="21"/>
        <v>4947.86</v>
      </c>
      <c r="I239" s="1">
        <v>45716</v>
      </c>
      <c r="J239" s="2">
        <f t="shared" si="22"/>
        <v>-8.7235322114692856E-2</v>
      </c>
      <c r="K239" s="3" t="str">
        <f t="shared" si="23"/>
        <v/>
      </c>
      <c r="L239" t="str">
        <f t="shared" si="24"/>
        <v/>
      </c>
      <c r="M239" t="str">
        <f t="shared" si="25"/>
        <v/>
      </c>
      <c r="N239">
        <v>5420.74</v>
      </c>
      <c r="O239" t="s">
        <v>191</v>
      </c>
      <c r="Q239" t="s">
        <v>19</v>
      </c>
    </row>
    <row r="240" spans="1:17" x14ac:dyDescent="0.3">
      <c r="A240">
        <v>100278188</v>
      </c>
      <c r="B240" t="s">
        <v>187</v>
      </c>
      <c r="C240" t="s">
        <v>19</v>
      </c>
      <c r="D240" t="s">
        <v>192</v>
      </c>
      <c r="E240" s="6">
        <v>16140.84</v>
      </c>
      <c r="F240" t="s">
        <v>643</v>
      </c>
      <c r="G240" s="4" t="str">
        <f t="shared" si="20"/>
        <v>16140.84</v>
      </c>
      <c r="H240" t="str">
        <f t="shared" si="21"/>
        <v>16140.84</v>
      </c>
      <c r="I240" s="1">
        <v>45716</v>
      </c>
      <c r="J240" s="2">
        <f t="shared" si="22"/>
        <v>-0.11492102973085461</v>
      </c>
      <c r="K240" s="3" t="str">
        <f t="shared" si="23"/>
        <v>Check!</v>
      </c>
      <c r="L240" t="str">
        <f t="shared" si="24"/>
        <v/>
      </c>
      <c r="M240" t="str">
        <f t="shared" si="25"/>
        <v/>
      </c>
      <c r="N240">
        <v>18236.61</v>
      </c>
      <c r="O240" t="s">
        <v>193</v>
      </c>
      <c r="Q240" t="s">
        <v>19</v>
      </c>
    </row>
    <row r="241" spans="1:17" x14ac:dyDescent="0.3">
      <c r="A241">
        <v>100278188</v>
      </c>
      <c r="B241" t="s">
        <v>187</v>
      </c>
      <c r="C241" t="s">
        <v>19</v>
      </c>
      <c r="D241" t="s">
        <v>194</v>
      </c>
      <c r="E241" s="6">
        <v>2036.18</v>
      </c>
      <c r="F241" t="s">
        <v>643</v>
      </c>
      <c r="G241" s="4" t="str">
        <f t="shared" si="20"/>
        <v>2036.18</v>
      </c>
      <c r="H241" t="str">
        <f t="shared" si="21"/>
        <v>2036.18</v>
      </c>
      <c r="I241" s="1">
        <v>45716</v>
      </c>
      <c r="J241" s="2">
        <f t="shared" si="22"/>
        <v>-0.10444833440356069</v>
      </c>
      <c r="K241" s="3" t="str">
        <f t="shared" si="23"/>
        <v>Check!</v>
      </c>
      <c r="L241" t="str">
        <f t="shared" si="24"/>
        <v/>
      </c>
      <c r="M241" t="str">
        <f t="shared" si="25"/>
        <v/>
      </c>
      <c r="N241">
        <v>2273.66</v>
      </c>
      <c r="O241" t="s">
        <v>195</v>
      </c>
      <c r="Q241" t="s">
        <v>19</v>
      </c>
    </row>
    <row r="242" spans="1:17" x14ac:dyDescent="0.3">
      <c r="A242">
        <v>100309343</v>
      </c>
      <c r="B242" t="s">
        <v>196</v>
      </c>
      <c r="C242" t="s">
        <v>590</v>
      </c>
      <c r="D242" t="s">
        <v>197</v>
      </c>
      <c r="E242" s="6">
        <v>65595.289999999994</v>
      </c>
      <c r="F242" t="s">
        <v>643</v>
      </c>
      <c r="G242" s="4" t="str">
        <f t="shared" si="20"/>
        <v>65595.29</v>
      </c>
      <c r="H242" t="str">
        <f t="shared" si="21"/>
        <v>65595.29</v>
      </c>
      <c r="I242" s="1">
        <v>45716</v>
      </c>
      <c r="J242" s="2">
        <f t="shared" si="22"/>
        <v>-0.34268771245813473</v>
      </c>
      <c r="K242" s="3" t="str">
        <f t="shared" si="23"/>
        <v>Check!</v>
      </c>
      <c r="L242" t="str">
        <f t="shared" si="24"/>
        <v/>
      </c>
      <c r="M242" t="str">
        <f t="shared" si="25"/>
        <v>Check</v>
      </c>
      <c r="N242">
        <v>99793.19</v>
      </c>
      <c r="O242" t="s">
        <v>198</v>
      </c>
      <c r="Q242" t="s">
        <v>16</v>
      </c>
    </row>
    <row r="243" spans="1:17" x14ac:dyDescent="0.3">
      <c r="A243">
        <v>100317997</v>
      </c>
      <c r="B243" t="s">
        <v>199</v>
      </c>
      <c r="C243" t="s">
        <v>611</v>
      </c>
      <c r="D243" t="s">
        <v>200</v>
      </c>
      <c r="E243" s="6">
        <v>5455.71</v>
      </c>
      <c r="F243" t="s">
        <v>643</v>
      </c>
      <c r="G243" s="4" t="str">
        <f t="shared" si="20"/>
        <v>5455.71</v>
      </c>
      <c r="H243" t="str">
        <f t="shared" si="21"/>
        <v>5455.71</v>
      </c>
      <c r="I243" s="1">
        <v>45716</v>
      </c>
      <c r="J243" s="2">
        <f t="shared" si="22"/>
        <v>3.0715285662736399E-2</v>
      </c>
      <c r="K243" s="3" t="str">
        <f t="shared" si="23"/>
        <v/>
      </c>
      <c r="L243" t="str">
        <f t="shared" si="24"/>
        <v/>
      </c>
      <c r="M243" t="str">
        <f t="shared" si="25"/>
        <v>Check</v>
      </c>
      <c r="N243">
        <v>5293.13</v>
      </c>
      <c r="O243" t="s">
        <v>201</v>
      </c>
      <c r="Q243" t="s">
        <v>41</v>
      </c>
    </row>
    <row r="244" spans="1:17" x14ac:dyDescent="0.3">
      <c r="A244">
        <v>100317997</v>
      </c>
      <c r="B244" t="s">
        <v>199</v>
      </c>
      <c r="C244" t="s">
        <v>606</v>
      </c>
      <c r="D244" t="s">
        <v>621</v>
      </c>
      <c r="E244" s="6">
        <v>597.91</v>
      </c>
      <c r="F244" t="s">
        <v>643</v>
      </c>
      <c r="G244" s="4" t="str">
        <f t="shared" si="20"/>
        <v>597.91</v>
      </c>
      <c r="H244" t="str">
        <f t="shared" si="21"/>
        <v>597.91</v>
      </c>
      <c r="I244" s="1">
        <v>45716</v>
      </c>
      <c r="J244" s="2">
        <f t="shared" si="22"/>
        <v>1.1572233407210513E-2</v>
      </c>
      <c r="K244" s="3" t="str">
        <f t="shared" si="23"/>
        <v/>
      </c>
      <c r="L244" t="str">
        <f t="shared" si="24"/>
        <v/>
      </c>
      <c r="M244" t="str">
        <f t="shared" si="25"/>
        <v/>
      </c>
      <c r="N244">
        <v>591.07000000000005</v>
      </c>
      <c r="O244" t="s">
        <v>659</v>
      </c>
      <c r="Q244" t="s">
        <v>606</v>
      </c>
    </row>
    <row r="245" spans="1:17" x14ac:dyDescent="0.3">
      <c r="A245">
        <v>100325823</v>
      </c>
      <c r="B245" t="s">
        <v>202</v>
      </c>
      <c r="C245" t="s">
        <v>19</v>
      </c>
      <c r="D245" t="s">
        <v>203</v>
      </c>
      <c r="E245" s="6">
        <v>11328.14</v>
      </c>
      <c r="F245" t="s">
        <v>643</v>
      </c>
      <c r="G245" s="4" t="str">
        <f t="shared" si="20"/>
        <v>11328.14</v>
      </c>
      <c r="H245" t="str">
        <f t="shared" si="21"/>
        <v>11328.14</v>
      </c>
      <c r="I245" s="1">
        <v>45716</v>
      </c>
      <c r="J245" s="2">
        <f t="shared" si="22"/>
        <v>-0.10619908916753205</v>
      </c>
      <c r="K245" s="3" t="str">
        <f t="shared" si="23"/>
        <v>Check!</v>
      </c>
      <c r="L245" t="str">
        <f t="shared" si="24"/>
        <v/>
      </c>
      <c r="M245" t="str">
        <f t="shared" si="25"/>
        <v/>
      </c>
      <c r="N245">
        <v>12674.12</v>
      </c>
      <c r="O245" t="s">
        <v>204</v>
      </c>
      <c r="Q245" t="s">
        <v>19</v>
      </c>
    </row>
    <row r="246" spans="1:17" x14ac:dyDescent="0.3">
      <c r="A246">
        <v>100376880</v>
      </c>
      <c r="B246" t="s">
        <v>205</v>
      </c>
      <c r="C246" t="s">
        <v>590</v>
      </c>
      <c r="D246" t="s">
        <v>206</v>
      </c>
      <c r="E246" s="6">
        <v>131431.37</v>
      </c>
      <c r="F246" t="s">
        <v>643</v>
      </c>
      <c r="G246" s="4" t="str">
        <f t="shared" si="20"/>
        <v>131431.37</v>
      </c>
      <c r="H246" t="str">
        <f t="shared" si="21"/>
        <v>131431.37</v>
      </c>
      <c r="I246" s="1">
        <v>45716</v>
      </c>
      <c r="J246" s="2">
        <f t="shared" si="22"/>
        <v>-0.10536338014056738</v>
      </c>
      <c r="K246" s="3" t="str">
        <f t="shared" si="23"/>
        <v>Check!</v>
      </c>
      <c r="L246" t="str">
        <f t="shared" si="24"/>
        <v/>
      </c>
      <c r="M246" t="str">
        <f t="shared" si="25"/>
        <v>Check</v>
      </c>
      <c r="N246">
        <v>146910.34</v>
      </c>
      <c r="O246" t="s">
        <v>207</v>
      </c>
      <c r="Q246" t="s">
        <v>16</v>
      </c>
    </row>
    <row r="247" spans="1:17" x14ac:dyDescent="0.3">
      <c r="A247">
        <v>100376880</v>
      </c>
      <c r="B247" t="s">
        <v>205</v>
      </c>
      <c r="C247" t="s">
        <v>19</v>
      </c>
      <c r="D247" t="s">
        <v>208</v>
      </c>
      <c r="E247" s="6">
        <v>79.73</v>
      </c>
      <c r="F247" t="s">
        <v>643</v>
      </c>
      <c r="G247" s="4" t="str">
        <f t="shared" si="20"/>
        <v>79.73</v>
      </c>
      <c r="H247" t="str">
        <f t="shared" si="21"/>
        <v>79.73</v>
      </c>
      <c r="I247" s="1">
        <v>45716</v>
      </c>
      <c r="J247" s="2">
        <f t="shared" si="22"/>
        <v>1.8913738019169381E-2</v>
      </c>
      <c r="K247" s="3" t="str">
        <f t="shared" si="23"/>
        <v/>
      </c>
      <c r="L247" t="str">
        <f t="shared" si="24"/>
        <v/>
      </c>
      <c r="M247" t="str">
        <f t="shared" si="25"/>
        <v/>
      </c>
      <c r="N247">
        <v>78.25</v>
      </c>
      <c r="O247" t="s">
        <v>209</v>
      </c>
      <c r="Q247" t="s">
        <v>19</v>
      </c>
    </row>
    <row r="248" spans="1:17" x14ac:dyDescent="0.3">
      <c r="A248">
        <v>100388471</v>
      </c>
      <c r="B248" t="s">
        <v>210</v>
      </c>
      <c r="C248" t="s">
        <v>19</v>
      </c>
      <c r="D248" t="s">
        <v>211</v>
      </c>
      <c r="E248" s="6">
        <v>53695.26</v>
      </c>
      <c r="F248" t="s">
        <v>643</v>
      </c>
      <c r="G248" s="4" t="str">
        <f t="shared" si="20"/>
        <v>53695.26</v>
      </c>
      <c r="H248" t="str">
        <f t="shared" si="21"/>
        <v>53695.26</v>
      </c>
      <c r="I248" s="1">
        <v>45716</v>
      </c>
      <c r="J248" s="2">
        <f t="shared" si="22"/>
        <v>-8.2336546635261604E-2</v>
      </c>
      <c r="K248" s="3" t="str">
        <f t="shared" si="23"/>
        <v/>
      </c>
      <c r="L248" t="str">
        <f t="shared" si="24"/>
        <v/>
      </c>
      <c r="M248" t="str">
        <f t="shared" si="25"/>
        <v/>
      </c>
      <c r="N248">
        <v>58513.02</v>
      </c>
      <c r="O248" t="s">
        <v>212</v>
      </c>
      <c r="Q248" t="s">
        <v>19</v>
      </c>
    </row>
    <row r="249" spans="1:17" x14ac:dyDescent="0.3">
      <c r="A249">
        <v>100388471</v>
      </c>
      <c r="B249" t="s">
        <v>210</v>
      </c>
      <c r="C249" t="s">
        <v>19</v>
      </c>
      <c r="D249" t="s">
        <v>213</v>
      </c>
      <c r="E249" s="6">
        <v>9566.39</v>
      </c>
      <c r="F249" t="s">
        <v>643</v>
      </c>
      <c r="G249" s="4" t="str">
        <f t="shared" si="20"/>
        <v>9566.39</v>
      </c>
      <c r="H249" t="str">
        <f t="shared" si="21"/>
        <v>9566.39</v>
      </c>
      <c r="I249" s="1">
        <v>45716</v>
      </c>
      <c r="J249" s="2">
        <f t="shared" si="22"/>
        <v>-0.12307762820777245</v>
      </c>
      <c r="K249" s="3" t="str">
        <f t="shared" si="23"/>
        <v>Check!</v>
      </c>
      <c r="L249" t="str">
        <f t="shared" si="24"/>
        <v/>
      </c>
      <c r="M249" t="str">
        <f t="shared" si="25"/>
        <v/>
      </c>
      <c r="N249">
        <v>10909.05</v>
      </c>
      <c r="O249" t="s">
        <v>214</v>
      </c>
      <c r="Q249" t="s">
        <v>19</v>
      </c>
    </row>
    <row r="250" spans="1:17" x14ac:dyDescent="0.3">
      <c r="A250">
        <v>100408912</v>
      </c>
      <c r="B250" t="s">
        <v>215</v>
      </c>
      <c r="C250" t="s">
        <v>19</v>
      </c>
      <c r="D250" t="s">
        <v>216</v>
      </c>
      <c r="E250" s="6">
        <v>26037.18</v>
      </c>
      <c r="F250" t="s">
        <v>643</v>
      </c>
      <c r="G250" s="4" t="str">
        <f t="shared" si="20"/>
        <v>26037.18</v>
      </c>
      <c r="H250" t="str">
        <f t="shared" si="21"/>
        <v>26037.18</v>
      </c>
      <c r="I250" s="1">
        <v>45716</v>
      </c>
      <c r="J250" s="2">
        <f t="shared" si="22"/>
        <v>-0.3494564349699541</v>
      </c>
      <c r="K250" s="3" t="str">
        <f t="shared" si="23"/>
        <v>Check!</v>
      </c>
      <c r="L250" t="str">
        <f t="shared" si="24"/>
        <v/>
      </c>
      <c r="M250" t="str">
        <f t="shared" si="25"/>
        <v/>
      </c>
      <c r="N250">
        <v>40023.730000000003</v>
      </c>
      <c r="O250" t="s">
        <v>217</v>
      </c>
      <c r="Q250" t="s">
        <v>19</v>
      </c>
    </row>
    <row r="251" spans="1:17" x14ac:dyDescent="0.3">
      <c r="A251">
        <v>100421069</v>
      </c>
      <c r="B251" t="s">
        <v>218</v>
      </c>
      <c r="C251" t="s">
        <v>590</v>
      </c>
      <c r="D251" t="s">
        <v>219</v>
      </c>
      <c r="E251" s="6">
        <v>43432.29</v>
      </c>
      <c r="F251" t="s">
        <v>643</v>
      </c>
      <c r="G251" s="4" t="str">
        <f t="shared" si="20"/>
        <v>43432.29</v>
      </c>
      <c r="H251" t="str">
        <f t="shared" si="21"/>
        <v>43432.29</v>
      </c>
      <c r="I251" s="1">
        <v>45716</v>
      </c>
      <c r="J251" s="2">
        <f t="shared" si="22"/>
        <v>2.4127724149073256E-3</v>
      </c>
      <c r="K251" s="3" t="str">
        <f t="shared" si="23"/>
        <v/>
      </c>
      <c r="L251" t="str">
        <f t="shared" si="24"/>
        <v/>
      </c>
      <c r="M251" t="str">
        <f t="shared" si="25"/>
        <v>Check</v>
      </c>
      <c r="N251">
        <v>43327.75</v>
      </c>
      <c r="O251" t="s">
        <v>660</v>
      </c>
      <c r="Q251" t="s">
        <v>16</v>
      </c>
    </row>
    <row r="252" spans="1:17" x14ac:dyDescent="0.3">
      <c r="A252">
        <v>100421069</v>
      </c>
      <c r="B252" t="s">
        <v>218</v>
      </c>
      <c r="C252" t="s">
        <v>19</v>
      </c>
      <c r="D252" t="s">
        <v>220</v>
      </c>
      <c r="E252" s="6">
        <v>21938.15</v>
      </c>
      <c r="F252" t="s">
        <v>643</v>
      </c>
      <c r="G252" s="4" t="str">
        <f t="shared" si="20"/>
        <v>21938.15</v>
      </c>
      <c r="H252" t="str">
        <f t="shared" si="21"/>
        <v>21938.15</v>
      </c>
      <c r="I252" s="1">
        <v>45716</v>
      </c>
      <c r="J252" s="2">
        <f t="shared" si="22"/>
        <v>-0.15612990233130111</v>
      </c>
      <c r="K252" s="3" t="str">
        <f t="shared" si="23"/>
        <v>Check!</v>
      </c>
      <c r="L252" t="str">
        <f t="shared" si="24"/>
        <v/>
      </c>
      <c r="M252" t="str">
        <f t="shared" si="25"/>
        <v/>
      </c>
      <c r="N252">
        <v>25997.07</v>
      </c>
      <c r="O252" t="s">
        <v>221</v>
      </c>
      <c r="Q252" t="s">
        <v>19</v>
      </c>
    </row>
    <row r="253" spans="1:17" x14ac:dyDescent="0.3">
      <c r="A253">
        <v>100421069</v>
      </c>
      <c r="B253" t="s">
        <v>218</v>
      </c>
      <c r="C253" t="s">
        <v>19</v>
      </c>
      <c r="D253" t="s">
        <v>222</v>
      </c>
      <c r="E253" s="6">
        <v>10009.51</v>
      </c>
      <c r="F253" t="s">
        <v>643</v>
      </c>
      <c r="G253" s="4" t="str">
        <f t="shared" si="20"/>
        <v>10009.51</v>
      </c>
      <c r="H253" t="str">
        <f t="shared" si="21"/>
        <v>10009.51</v>
      </c>
      <c r="I253" s="1">
        <v>45716</v>
      </c>
      <c r="J253" s="2">
        <f t="shared" si="22"/>
        <v>-0.14175828981180344</v>
      </c>
      <c r="K253" s="3" t="str">
        <f t="shared" si="23"/>
        <v>Check!</v>
      </c>
      <c r="L253" t="str">
        <f t="shared" si="24"/>
        <v/>
      </c>
      <c r="M253" t="str">
        <f t="shared" si="25"/>
        <v/>
      </c>
      <c r="N253">
        <v>11662.81</v>
      </c>
      <c r="O253" t="s">
        <v>223</v>
      </c>
      <c r="Q253" t="s">
        <v>19</v>
      </c>
    </row>
    <row r="254" spans="1:17" x14ac:dyDescent="0.3">
      <c r="A254">
        <v>100421069</v>
      </c>
      <c r="B254" t="s">
        <v>218</v>
      </c>
      <c r="C254" t="s">
        <v>19</v>
      </c>
      <c r="D254" t="s">
        <v>224</v>
      </c>
      <c r="E254" s="6">
        <v>11889.92</v>
      </c>
      <c r="F254" t="s">
        <v>643</v>
      </c>
      <c r="G254" s="4" t="str">
        <f t="shared" si="20"/>
        <v>11889.92</v>
      </c>
      <c r="H254" t="str">
        <f t="shared" si="21"/>
        <v>11889.92</v>
      </c>
      <c r="I254" s="1">
        <v>45716</v>
      </c>
      <c r="J254" s="2">
        <f t="shared" si="22"/>
        <v>-0.15345434247380954</v>
      </c>
      <c r="K254" s="3" t="str">
        <f t="shared" si="23"/>
        <v>Check!</v>
      </c>
      <c r="L254" t="str">
        <f t="shared" si="24"/>
        <v/>
      </c>
      <c r="M254" t="str">
        <f t="shared" si="25"/>
        <v/>
      </c>
      <c r="N254">
        <v>14045.22</v>
      </c>
      <c r="O254" t="s">
        <v>225</v>
      </c>
      <c r="Q254" t="s">
        <v>19</v>
      </c>
    </row>
    <row r="255" spans="1:17" x14ac:dyDescent="0.3">
      <c r="A255">
        <v>100463771</v>
      </c>
      <c r="B255" t="s">
        <v>226</v>
      </c>
      <c r="C255" t="s">
        <v>590</v>
      </c>
      <c r="D255" t="s">
        <v>227</v>
      </c>
      <c r="E255" s="6">
        <v>1443.6</v>
      </c>
      <c r="F255" t="s">
        <v>643</v>
      </c>
      <c r="G255" s="4" t="str">
        <f t="shared" si="20"/>
        <v>1443.6</v>
      </c>
      <c r="H255" t="str">
        <f t="shared" si="21"/>
        <v>1443.6</v>
      </c>
      <c r="I255" s="1">
        <v>45716</v>
      </c>
      <c r="J255" s="2">
        <f t="shared" si="22"/>
        <v>1.3137948458817442E-2</v>
      </c>
      <c r="K255" s="3" t="str">
        <f t="shared" si="23"/>
        <v/>
      </c>
      <c r="L255" t="str">
        <f t="shared" si="24"/>
        <v/>
      </c>
      <c r="M255" t="str">
        <f t="shared" si="25"/>
        <v>Check</v>
      </c>
      <c r="N255">
        <v>1424.88</v>
      </c>
      <c r="O255" t="s">
        <v>228</v>
      </c>
      <c r="Q255" t="s">
        <v>16</v>
      </c>
    </row>
    <row r="256" spans="1:17" x14ac:dyDescent="0.3">
      <c r="A256">
        <v>100489695</v>
      </c>
      <c r="B256" t="s">
        <v>229</v>
      </c>
      <c r="C256" t="s">
        <v>590</v>
      </c>
      <c r="D256" t="s">
        <v>230</v>
      </c>
      <c r="E256" s="6">
        <v>157986.32999999999</v>
      </c>
      <c r="F256" t="s">
        <v>643</v>
      </c>
      <c r="G256" s="4" t="str">
        <f t="shared" si="20"/>
        <v>157986.33</v>
      </c>
      <c r="H256" t="str">
        <f t="shared" si="21"/>
        <v>157986.33</v>
      </c>
      <c r="I256" s="1">
        <v>45716</v>
      </c>
      <c r="J256" s="2">
        <f t="shared" si="22"/>
        <v>-8.6523958184386782E-2</v>
      </c>
      <c r="K256" s="3" t="str">
        <f t="shared" si="23"/>
        <v/>
      </c>
      <c r="L256" t="str">
        <f t="shared" si="24"/>
        <v/>
      </c>
      <c r="M256" t="str">
        <f t="shared" si="25"/>
        <v>Check</v>
      </c>
      <c r="N256">
        <v>172950.71</v>
      </c>
      <c r="O256" t="s">
        <v>231</v>
      </c>
      <c r="Q256" t="s">
        <v>16</v>
      </c>
    </row>
    <row r="257" spans="1:17" x14ac:dyDescent="0.3">
      <c r="A257">
        <v>100492707</v>
      </c>
      <c r="B257" t="s">
        <v>232</v>
      </c>
      <c r="C257" t="s">
        <v>19</v>
      </c>
      <c r="D257" t="s">
        <v>233</v>
      </c>
      <c r="E257" s="6">
        <v>16370.94</v>
      </c>
      <c r="F257" t="s">
        <v>643</v>
      </c>
      <c r="G257" s="4" t="str">
        <f t="shared" si="20"/>
        <v>16370.94</v>
      </c>
      <c r="H257" t="str">
        <f t="shared" si="21"/>
        <v>16370.94</v>
      </c>
      <c r="I257" s="1">
        <v>45716</v>
      </c>
      <c r="J257" s="2">
        <f t="shared" si="22"/>
        <v>-0.12664937492598013</v>
      </c>
      <c r="K257" s="3" t="str">
        <f t="shared" si="23"/>
        <v>Check!</v>
      </c>
      <c r="L257" t="str">
        <f t="shared" si="24"/>
        <v/>
      </c>
      <c r="M257" t="str">
        <f t="shared" si="25"/>
        <v/>
      </c>
      <c r="N257">
        <v>18744.98</v>
      </c>
      <c r="O257" t="s">
        <v>234</v>
      </c>
      <c r="Q257" t="s">
        <v>19</v>
      </c>
    </row>
    <row r="258" spans="1:17" x14ac:dyDescent="0.3">
      <c r="A258">
        <v>100492707</v>
      </c>
      <c r="B258" t="s">
        <v>232</v>
      </c>
      <c r="C258" t="s">
        <v>19</v>
      </c>
      <c r="D258" t="s">
        <v>624</v>
      </c>
      <c r="E258" s="6">
        <v>54798.15</v>
      </c>
      <c r="F258" t="s">
        <v>643</v>
      </c>
      <c r="G258" s="4" t="str">
        <f t="shared" si="20"/>
        <v>54798.15</v>
      </c>
      <c r="H258" t="str">
        <f t="shared" si="21"/>
        <v>54798.15</v>
      </c>
      <c r="I258" s="1">
        <v>45716</v>
      </c>
      <c r="J258" s="2">
        <f t="shared" si="22"/>
        <v>-0.15496714129919859</v>
      </c>
      <c r="K258" s="3" t="str">
        <f t="shared" si="23"/>
        <v>Check!</v>
      </c>
      <c r="L258" t="str">
        <f t="shared" si="24"/>
        <v/>
      </c>
      <c r="M258" t="str">
        <f t="shared" si="25"/>
        <v/>
      </c>
      <c r="N258">
        <v>64847.360000000001</v>
      </c>
      <c r="O258" t="s">
        <v>672</v>
      </c>
      <c r="Q258" t="s">
        <v>19</v>
      </c>
    </row>
    <row r="259" spans="1:17" x14ac:dyDescent="0.3">
      <c r="A259">
        <v>100497270</v>
      </c>
      <c r="B259" t="s">
        <v>235</v>
      </c>
      <c r="C259" t="s">
        <v>606</v>
      </c>
      <c r="D259" t="s">
        <v>625</v>
      </c>
      <c r="E259" s="6">
        <v>4943.51</v>
      </c>
      <c r="F259" t="s">
        <v>643</v>
      </c>
      <c r="G259" s="4" t="str">
        <f t="shared" ref="G259:G322" si="26">SUBSTITUTE(E259,"R","")</f>
        <v>4943.51</v>
      </c>
      <c r="H259" t="str">
        <f t="shared" ref="H259:H322" si="27">SUBSTITUTE(G259,",","")</f>
        <v>4943.51</v>
      </c>
      <c r="I259" s="1">
        <v>45716</v>
      </c>
      <c r="J259" s="2">
        <f t="shared" ref="J259:J322" si="28">(H259-N259)/N259</f>
        <v>3.6962221802697551E-2</v>
      </c>
      <c r="K259" s="3" t="str">
        <f t="shared" ref="K259:K322" si="29">IF(ABS(J259)&gt;0.1,"Check!","")</f>
        <v/>
      </c>
      <c r="L259" t="str">
        <f t="shared" ref="L259:L322" si="30">IF(LEFT(O259,10)&lt;&gt;LEFT(D259,10),"Check","")</f>
        <v/>
      </c>
      <c r="M259" t="str">
        <f t="shared" ref="M259:M322" si="31">IF(Q259&lt;&gt;C259,"Check","")</f>
        <v/>
      </c>
      <c r="N259">
        <v>4767.3</v>
      </c>
      <c r="O259" t="s">
        <v>661</v>
      </c>
      <c r="Q259" t="s">
        <v>606</v>
      </c>
    </row>
    <row r="260" spans="1:17" x14ac:dyDescent="0.3">
      <c r="A260">
        <v>100497270</v>
      </c>
      <c r="B260" t="s">
        <v>235</v>
      </c>
      <c r="C260" t="s">
        <v>611</v>
      </c>
      <c r="D260" t="s">
        <v>236</v>
      </c>
      <c r="E260" s="6">
        <v>42333.42</v>
      </c>
      <c r="F260" t="s">
        <v>643</v>
      </c>
      <c r="G260" s="4" t="str">
        <f t="shared" si="26"/>
        <v>42333.42</v>
      </c>
      <c r="H260" t="str">
        <f t="shared" si="27"/>
        <v>42333.42</v>
      </c>
      <c r="I260" s="1">
        <v>45716</v>
      </c>
      <c r="J260" s="2">
        <f t="shared" si="28"/>
        <v>2.9628680175205025E-2</v>
      </c>
      <c r="K260" s="3" t="str">
        <f t="shared" si="29"/>
        <v/>
      </c>
      <c r="L260" t="str">
        <f t="shared" si="30"/>
        <v/>
      </c>
      <c r="M260" t="str">
        <f t="shared" si="31"/>
        <v>Check</v>
      </c>
      <c r="N260">
        <v>41115.230000000003</v>
      </c>
      <c r="O260" t="s">
        <v>237</v>
      </c>
      <c r="Q260" t="s">
        <v>41</v>
      </c>
    </row>
    <row r="261" spans="1:17" x14ac:dyDescent="0.3">
      <c r="A261">
        <v>100562496</v>
      </c>
      <c r="B261" t="s">
        <v>238</v>
      </c>
      <c r="C261" t="s">
        <v>611</v>
      </c>
      <c r="D261" t="s">
        <v>239</v>
      </c>
      <c r="E261" s="6">
        <v>52336.84</v>
      </c>
      <c r="F261" t="s">
        <v>643</v>
      </c>
      <c r="G261" s="4" t="str">
        <f t="shared" si="26"/>
        <v>52336.84</v>
      </c>
      <c r="H261" t="str">
        <f t="shared" si="27"/>
        <v>52336.84</v>
      </c>
      <c r="I261" s="1">
        <v>45716</v>
      </c>
      <c r="J261" s="2">
        <f t="shared" si="28"/>
        <v>3.0211588001503045E-2</v>
      </c>
      <c r="K261" s="3" t="str">
        <f t="shared" si="29"/>
        <v/>
      </c>
      <c r="L261" t="str">
        <f t="shared" si="30"/>
        <v/>
      </c>
      <c r="M261" t="str">
        <f t="shared" si="31"/>
        <v>Check</v>
      </c>
      <c r="N261">
        <v>50802.03</v>
      </c>
      <c r="O261" t="s">
        <v>240</v>
      </c>
      <c r="Q261" t="s">
        <v>41</v>
      </c>
    </row>
    <row r="262" spans="1:17" x14ac:dyDescent="0.3">
      <c r="A262">
        <v>100562496</v>
      </c>
      <c r="B262" t="s">
        <v>238</v>
      </c>
      <c r="C262" t="s">
        <v>606</v>
      </c>
      <c r="D262" t="s">
        <v>626</v>
      </c>
      <c r="E262" s="6">
        <v>6538.77</v>
      </c>
      <c r="F262" t="s">
        <v>643</v>
      </c>
      <c r="G262" s="4" t="str">
        <f t="shared" si="26"/>
        <v>6538.77</v>
      </c>
      <c r="H262" t="str">
        <f t="shared" si="27"/>
        <v>6538.77</v>
      </c>
      <c r="I262" s="1">
        <v>45716</v>
      </c>
      <c r="J262" s="2">
        <f t="shared" si="28"/>
        <v>2.7003976855080429E-2</v>
      </c>
      <c r="K262" s="3" t="str">
        <f t="shared" si="29"/>
        <v/>
      </c>
      <c r="L262" t="str">
        <f t="shared" si="30"/>
        <v/>
      </c>
      <c r="M262" t="str">
        <f t="shared" si="31"/>
        <v/>
      </c>
      <c r="N262">
        <v>6366.84</v>
      </c>
      <c r="O262" t="s">
        <v>663</v>
      </c>
      <c r="Q262" t="s">
        <v>606</v>
      </c>
    </row>
    <row r="263" spans="1:17" x14ac:dyDescent="0.3">
      <c r="A263">
        <v>100562496</v>
      </c>
      <c r="B263" t="s">
        <v>238</v>
      </c>
      <c r="C263" t="s">
        <v>609</v>
      </c>
      <c r="D263" t="s">
        <v>627</v>
      </c>
      <c r="E263" s="6">
        <v>1199.95</v>
      </c>
      <c r="F263" t="s">
        <v>643</v>
      </c>
      <c r="G263" s="4" t="str">
        <f t="shared" si="26"/>
        <v>1199.95</v>
      </c>
      <c r="H263" t="str">
        <f t="shared" si="27"/>
        <v>1199.95</v>
      </c>
      <c r="I263" s="1">
        <v>45716</v>
      </c>
      <c r="J263" s="2">
        <f t="shared" si="28"/>
        <v>0.20962701612903231</v>
      </c>
      <c r="K263" s="3" t="str">
        <f t="shared" si="29"/>
        <v>Check!</v>
      </c>
      <c r="L263" t="str">
        <f t="shared" si="30"/>
        <v/>
      </c>
      <c r="M263" t="str">
        <f t="shared" si="31"/>
        <v/>
      </c>
      <c r="N263">
        <v>992</v>
      </c>
      <c r="O263" t="s">
        <v>662</v>
      </c>
      <c r="Q263" t="s">
        <v>609</v>
      </c>
    </row>
    <row r="264" spans="1:17" x14ac:dyDescent="0.3">
      <c r="A264">
        <v>100564770</v>
      </c>
      <c r="B264" t="s">
        <v>241</v>
      </c>
      <c r="C264" t="s">
        <v>19</v>
      </c>
      <c r="D264" t="s">
        <v>242</v>
      </c>
      <c r="E264" s="6">
        <v>56979.15</v>
      </c>
      <c r="F264" t="s">
        <v>643</v>
      </c>
      <c r="G264" s="4" t="str">
        <f t="shared" si="26"/>
        <v>56979.15</v>
      </c>
      <c r="H264" t="str">
        <f t="shared" si="27"/>
        <v>56979.15</v>
      </c>
      <c r="I264" s="1">
        <v>45716</v>
      </c>
      <c r="J264" s="2">
        <f t="shared" si="28"/>
        <v>-0.10231140144546089</v>
      </c>
      <c r="K264" s="3" t="str">
        <f t="shared" si="29"/>
        <v>Check!</v>
      </c>
      <c r="L264" t="str">
        <f t="shared" si="30"/>
        <v/>
      </c>
      <c r="M264" t="str">
        <f t="shared" si="31"/>
        <v/>
      </c>
      <c r="N264">
        <v>63473.18</v>
      </c>
      <c r="O264" t="s">
        <v>243</v>
      </c>
      <c r="Q264" t="s">
        <v>19</v>
      </c>
    </row>
    <row r="265" spans="1:17" x14ac:dyDescent="0.3">
      <c r="A265">
        <v>100596195</v>
      </c>
      <c r="B265" t="s">
        <v>244</v>
      </c>
      <c r="C265" t="s">
        <v>590</v>
      </c>
      <c r="D265" t="s">
        <v>245</v>
      </c>
      <c r="E265" s="6">
        <v>160958.65</v>
      </c>
      <c r="F265" t="s">
        <v>643</v>
      </c>
      <c r="G265" s="4" t="str">
        <f t="shared" si="26"/>
        <v>160958.65</v>
      </c>
      <c r="H265" t="str">
        <f t="shared" si="27"/>
        <v>160958.65</v>
      </c>
      <c r="I265" s="1">
        <v>45716</v>
      </c>
      <c r="J265" s="2">
        <f t="shared" si="28"/>
        <v>16.434843549779515</v>
      </c>
      <c r="K265" s="3" t="str">
        <f t="shared" si="29"/>
        <v>Check!</v>
      </c>
      <c r="L265" t="str">
        <f t="shared" si="30"/>
        <v/>
      </c>
      <c r="M265" t="str">
        <f t="shared" si="31"/>
        <v>Check</v>
      </c>
      <c r="N265">
        <v>9232.01</v>
      </c>
      <c r="O265" t="s">
        <v>246</v>
      </c>
      <c r="Q265" t="s">
        <v>16</v>
      </c>
    </row>
    <row r="266" spans="1:17" x14ac:dyDescent="0.3">
      <c r="A266">
        <v>100596197</v>
      </c>
      <c r="B266" t="s">
        <v>247</v>
      </c>
      <c r="C266" t="s">
        <v>590</v>
      </c>
      <c r="D266" t="s">
        <v>248</v>
      </c>
      <c r="E266" s="6">
        <v>8025.61</v>
      </c>
      <c r="F266" t="s">
        <v>643</v>
      </c>
      <c r="G266" s="4" t="str">
        <f t="shared" si="26"/>
        <v>8025.61</v>
      </c>
      <c r="H266" t="str">
        <f t="shared" si="27"/>
        <v>8025.61</v>
      </c>
      <c r="I266" s="1">
        <v>45716</v>
      </c>
      <c r="J266" s="2">
        <f t="shared" si="28"/>
        <v>-0.18573640359243049</v>
      </c>
      <c r="K266" s="3" t="str">
        <f t="shared" si="29"/>
        <v>Check!</v>
      </c>
      <c r="L266" t="str">
        <f t="shared" si="30"/>
        <v/>
      </c>
      <c r="M266" t="str">
        <f t="shared" si="31"/>
        <v>Check</v>
      </c>
      <c r="N266">
        <v>9856.2800000000007</v>
      </c>
      <c r="O266" t="s">
        <v>249</v>
      </c>
      <c r="Q266" t="s">
        <v>16</v>
      </c>
    </row>
    <row r="267" spans="1:17" x14ac:dyDescent="0.3">
      <c r="A267">
        <v>100596689</v>
      </c>
      <c r="B267" t="s">
        <v>250</v>
      </c>
      <c r="C267" t="s">
        <v>590</v>
      </c>
      <c r="D267" t="s">
        <v>251</v>
      </c>
      <c r="E267" s="6">
        <v>2627.22</v>
      </c>
      <c r="F267" t="s">
        <v>643</v>
      </c>
      <c r="G267" s="4" t="str">
        <f t="shared" si="26"/>
        <v>2627.22</v>
      </c>
      <c r="H267" t="str">
        <f t="shared" si="27"/>
        <v>2627.22</v>
      </c>
      <c r="I267" s="1">
        <v>45716</v>
      </c>
      <c r="J267" s="2">
        <f t="shared" si="28"/>
        <v>-0.10061209399134582</v>
      </c>
      <c r="K267" s="3" t="str">
        <f t="shared" si="29"/>
        <v>Check!</v>
      </c>
      <c r="L267" t="str">
        <f t="shared" si="30"/>
        <v/>
      </c>
      <c r="M267" t="str">
        <f t="shared" si="31"/>
        <v>Check</v>
      </c>
      <c r="N267">
        <v>2921.12</v>
      </c>
      <c r="O267" t="s">
        <v>252</v>
      </c>
      <c r="Q267" t="s">
        <v>16</v>
      </c>
    </row>
    <row r="268" spans="1:17" x14ac:dyDescent="0.3">
      <c r="A268">
        <v>100628018</v>
      </c>
      <c r="B268" t="s">
        <v>253</v>
      </c>
      <c r="C268" t="s">
        <v>590</v>
      </c>
      <c r="D268" t="s">
        <v>254</v>
      </c>
      <c r="E268" s="6">
        <v>60149.95</v>
      </c>
      <c r="F268" t="s">
        <v>643</v>
      </c>
      <c r="G268" s="4" t="str">
        <f t="shared" si="26"/>
        <v>60149.95</v>
      </c>
      <c r="H268" t="str">
        <f t="shared" si="27"/>
        <v>60149.95</v>
      </c>
      <c r="I268" s="1">
        <v>45716</v>
      </c>
      <c r="J268" s="2">
        <f t="shared" si="28"/>
        <v>-0.72523576184466687</v>
      </c>
      <c r="K268" s="3" t="str">
        <f t="shared" si="29"/>
        <v>Check!</v>
      </c>
      <c r="L268" t="str">
        <f t="shared" si="30"/>
        <v/>
      </c>
      <c r="M268" t="str">
        <f t="shared" si="31"/>
        <v>Check</v>
      </c>
      <c r="N268">
        <v>218914.77</v>
      </c>
      <c r="O268" t="s">
        <v>255</v>
      </c>
      <c r="Q268" t="s">
        <v>16</v>
      </c>
    </row>
    <row r="269" spans="1:17" x14ac:dyDescent="0.3">
      <c r="A269">
        <v>100628990</v>
      </c>
      <c r="B269" t="s">
        <v>256</v>
      </c>
      <c r="C269" t="s">
        <v>19</v>
      </c>
      <c r="D269" t="s">
        <v>257</v>
      </c>
      <c r="E269" s="6">
        <v>775.67</v>
      </c>
      <c r="F269" t="s">
        <v>643</v>
      </c>
      <c r="G269" s="4" t="str">
        <f t="shared" si="26"/>
        <v>775.67</v>
      </c>
      <c r="H269" t="str">
        <f t="shared" si="27"/>
        <v>775.67</v>
      </c>
      <c r="I269" s="1">
        <v>45716</v>
      </c>
      <c r="J269" s="2">
        <f t="shared" si="28"/>
        <v>-6.3449325058559394E-2</v>
      </c>
      <c r="K269" s="3" t="str">
        <f t="shared" si="29"/>
        <v/>
      </c>
      <c r="L269" t="str">
        <f t="shared" si="30"/>
        <v/>
      </c>
      <c r="M269" t="str">
        <f t="shared" si="31"/>
        <v/>
      </c>
      <c r="N269">
        <v>828.22</v>
      </c>
      <c r="O269" t="s">
        <v>258</v>
      </c>
      <c r="Q269" t="s">
        <v>19</v>
      </c>
    </row>
    <row r="270" spans="1:17" x14ac:dyDescent="0.3">
      <c r="A270">
        <v>100630705</v>
      </c>
      <c r="B270" t="s">
        <v>259</v>
      </c>
      <c r="C270" t="s">
        <v>590</v>
      </c>
      <c r="D270" t="s">
        <v>260</v>
      </c>
      <c r="E270" s="6">
        <v>5229.93</v>
      </c>
      <c r="F270" t="s">
        <v>643</v>
      </c>
      <c r="G270" s="4" t="str">
        <f t="shared" si="26"/>
        <v>5229.93</v>
      </c>
      <c r="H270" t="str">
        <f t="shared" si="27"/>
        <v>5229.93</v>
      </c>
      <c r="I270" s="1">
        <v>45716</v>
      </c>
      <c r="J270" s="2">
        <f t="shared" si="28"/>
        <v>-0.10601626627738824</v>
      </c>
      <c r="K270" s="3" t="str">
        <f t="shared" si="29"/>
        <v>Check!</v>
      </c>
      <c r="L270" t="str">
        <f t="shared" si="30"/>
        <v/>
      </c>
      <c r="M270" t="str">
        <f t="shared" si="31"/>
        <v>Check</v>
      </c>
      <c r="N270">
        <v>5850.14</v>
      </c>
      <c r="O270" t="s">
        <v>261</v>
      </c>
      <c r="Q270" t="s">
        <v>16</v>
      </c>
    </row>
    <row r="271" spans="1:17" x14ac:dyDescent="0.3">
      <c r="A271">
        <v>100630706</v>
      </c>
      <c r="B271" t="s">
        <v>262</v>
      </c>
      <c r="C271" t="s">
        <v>590</v>
      </c>
      <c r="D271" t="s">
        <v>263</v>
      </c>
      <c r="E271" s="6">
        <v>878.38</v>
      </c>
      <c r="F271" t="s">
        <v>643</v>
      </c>
      <c r="G271" s="4" t="str">
        <f t="shared" si="26"/>
        <v>878.38</v>
      </c>
      <c r="H271" t="str">
        <f t="shared" si="27"/>
        <v>878.38</v>
      </c>
      <c r="I271" s="1">
        <v>45716</v>
      </c>
      <c r="J271" s="2">
        <f t="shared" si="28"/>
        <v>-9.8820149789678915E-2</v>
      </c>
      <c r="K271" s="3" t="str">
        <f t="shared" si="29"/>
        <v/>
      </c>
      <c r="L271" t="str">
        <f t="shared" si="30"/>
        <v/>
      </c>
      <c r="M271" t="str">
        <f t="shared" si="31"/>
        <v>Check</v>
      </c>
      <c r="N271">
        <v>974.7</v>
      </c>
      <c r="O271" t="s">
        <v>264</v>
      </c>
      <c r="Q271" t="s">
        <v>16</v>
      </c>
    </row>
    <row r="272" spans="1:17" x14ac:dyDescent="0.3">
      <c r="A272">
        <v>100633203</v>
      </c>
      <c r="B272" t="s">
        <v>265</v>
      </c>
      <c r="C272" t="s">
        <v>590</v>
      </c>
      <c r="D272" t="s">
        <v>266</v>
      </c>
      <c r="E272" s="6">
        <v>60963.69</v>
      </c>
      <c r="F272" t="s">
        <v>643</v>
      </c>
      <c r="G272" s="4" t="str">
        <f t="shared" si="26"/>
        <v>60963.69</v>
      </c>
      <c r="H272" t="str">
        <f t="shared" si="27"/>
        <v>60963.69</v>
      </c>
      <c r="I272" s="1">
        <v>45716</v>
      </c>
      <c r="J272" s="2">
        <f t="shared" si="28"/>
        <v>0.90430241340727679</v>
      </c>
      <c r="K272" s="3" t="str">
        <f t="shared" si="29"/>
        <v>Check!</v>
      </c>
      <c r="L272" t="str">
        <f t="shared" si="30"/>
        <v/>
      </c>
      <c r="M272" t="str">
        <f t="shared" si="31"/>
        <v>Check</v>
      </c>
      <c r="N272">
        <v>32013.66</v>
      </c>
      <c r="O272" t="s">
        <v>267</v>
      </c>
      <c r="Q272" t="s">
        <v>16</v>
      </c>
    </row>
    <row r="273" spans="1:17" x14ac:dyDescent="0.3">
      <c r="A273">
        <v>100637079</v>
      </c>
      <c r="B273" t="s">
        <v>268</v>
      </c>
      <c r="C273" t="s">
        <v>611</v>
      </c>
      <c r="D273" t="s">
        <v>269</v>
      </c>
      <c r="E273" s="6">
        <v>58563.87</v>
      </c>
      <c r="F273" t="s">
        <v>643</v>
      </c>
      <c r="G273" s="4" t="str">
        <f t="shared" si="26"/>
        <v>58563.87</v>
      </c>
      <c r="H273" t="str">
        <f t="shared" si="27"/>
        <v>58563.87</v>
      </c>
      <c r="I273" s="1">
        <v>45716</v>
      </c>
      <c r="J273" s="2">
        <f t="shared" si="28"/>
        <v>2.9826959707165868E-2</v>
      </c>
      <c r="K273" s="3" t="str">
        <f t="shared" si="29"/>
        <v/>
      </c>
      <c r="L273" t="str">
        <f t="shared" si="30"/>
        <v/>
      </c>
      <c r="M273" t="str">
        <f t="shared" si="31"/>
        <v>Check</v>
      </c>
      <c r="N273">
        <v>56867.68</v>
      </c>
      <c r="O273" t="s">
        <v>270</v>
      </c>
      <c r="Q273" t="s">
        <v>41</v>
      </c>
    </row>
    <row r="274" spans="1:17" x14ac:dyDescent="0.3">
      <c r="A274">
        <v>100637079</v>
      </c>
      <c r="B274" t="s">
        <v>268</v>
      </c>
      <c r="C274" t="s">
        <v>611</v>
      </c>
      <c r="D274" t="s">
        <v>271</v>
      </c>
      <c r="E274" s="6">
        <v>81511.28</v>
      </c>
      <c r="F274" t="s">
        <v>643</v>
      </c>
      <c r="G274" s="4" t="str">
        <f t="shared" si="26"/>
        <v>81511.28</v>
      </c>
      <c r="H274" t="str">
        <f t="shared" si="27"/>
        <v>81511.28</v>
      </c>
      <c r="I274" s="1">
        <v>45716</v>
      </c>
      <c r="J274" s="2">
        <f t="shared" si="28"/>
        <v>2.729439657578956E-2</v>
      </c>
      <c r="K274" s="3" t="str">
        <f t="shared" si="29"/>
        <v/>
      </c>
      <c r="L274" t="str">
        <f t="shared" si="30"/>
        <v/>
      </c>
      <c r="M274" t="str">
        <f t="shared" si="31"/>
        <v>Check</v>
      </c>
      <c r="N274">
        <v>79345.59</v>
      </c>
      <c r="O274" t="s">
        <v>272</v>
      </c>
      <c r="Q274" t="s">
        <v>41</v>
      </c>
    </row>
    <row r="275" spans="1:17" x14ac:dyDescent="0.3">
      <c r="A275">
        <v>100637079</v>
      </c>
      <c r="B275" t="s">
        <v>268</v>
      </c>
      <c r="C275" t="s">
        <v>606</v>
      </c>
      <c r="D275" t="s">
        <v>628</v>
      </c>
      <c r="E275" s="6">
        <v>6799.48</v>
      </c>
      <c r="F275" t="s">
        <v>643</v>
      </c>
      <c r="G275" s="4" t="str">
        <f t="shared" si="26"/>
        <v>6799.48</v>
      </c>
      <c r="H275" t="str">
        <f t="shared" si="27"/>
        <v>6799.48</v>
      </c>
      <c r="I275" s="1">
        <v>45716</v>
      </c>
      <c r="J275" s="2">
        <f t="shared" si="28"/>
        <v>3.9741023519823018E-2</v>
      </c>
      <c r="K275" s="3" t="str">
        <f t="shared" si="29"/>
        <v/>
      </c>
      <c r="L275" t="str">
        <f t="shared" si="30"/>
        <v/>
      </c>
      <c r="M275" t="str">
        <f t="shared" si="31"/>
        <v/>
      </c>
      <c r="N275">
        <v>6539.59</v>
      </c>
      <c r="O275" t="s">
        <v>664</v>
      </c>
      <c r="Q275" t="s">
        <v>606</v>
      </c>
    </row>
    <row r="276" spans="1:17" x14ac:dyDescent="0.3">
      <c r="A276">
        <v>100637079</v>
      </c>
      <c r="B276" t="s">
        <v>268</v>
      </c>
      <c r="C276" t="s">
        <v>606</v>
      </c>
      <c r="D276" t="s">
        <v>629</v>
      </c>
      <c r="E276" s="6">
        <v>9338.18</v>
      </c>
      <c r="F276" t="s">
        <v>643</v>
      </c>
      <c r="G276" s="4" t="str">
        <f t="shared" si="26"/>
        <v>9338.18</v>
      </c>
      <c r="H276" t="str">
        <f t="shared" si="27"/>
        <v>9338.18</v>
      </c>
      <c r="I276" s="1">
        <v>45716</v>
      </c>
      <c r="J276" s="2">
        <f t="shared" si="28"/>
        <v>2.7405383817301857E-2</v>
      </c>
      <c r="K276" s="3" t="str">
        <f t="shared" si="29"/>
        <v/>
      </c>
      <c r="L276" t="str">
        <f t="shared" si="30"/>
        <v/>
      </c>
      <c r="M276" t="str">
        <f t="shared" si="31"/>
        <v/>
      </c>
      <c r="N276">
        <v>9089.09</v>
      </c>
      <c r="O276" t="s">
        <v>665</v>
      </c>
      <c r="Q276" t="s">
        <v>606</v>
      </c>
    </row>
    <row r="277" spans="1:17" x14ac:dyDescent="0.3">
      <c r="A277">
        <v>100641153</v>
      </c>
      <c r="B277" t="s">
        <v>273</v>
      </c>
      <c r="C277" t="s">
        <v>19</v>
      </c>
      <c r="D277" t="s">
        <v>274</v>
      </c>
      <c r="E277" s="6">
        <v>12163.99</v>
      </c>
      <c r="F277" t="s">
        <v>643</v>
      </c>
      <c r="G277" s="4" t="str">
        <f t="shared" si="26"/>
        <v>12163.99</v>
      </c>
      <c r="H277" t="str">
        <f t="shared" si="27"/>
        <v>12163.99</v>
      </c>
      <c r="I277" s="1">
        <v>45716</v>
      </c>
      <c r="J277" s="2">
        <f t="shared" si="28"/>
        <v>-0.36002544327113345</v>
      </c>
      <c r="K277" s="3" t="str">
        <f t="shared" si="29"/>
        <v>Check!</v>
      </c>
      <c r="L277" t="str">
        <f t="shared" si="30"/>
        <v/>
      </c>
      <c r="M277" t="str">
        <f t="shared" si="31"/>
        <v/>
      </c>
      <c r="N277">
        <v>19006.990000000002</v>
      </c>
      <c r="O277" t="s">
        <v>275</v>
      </c>
      <c r="Q277" t="s">
        <v>19</v>
      </c>
    </row>
    <row r="278" spans="1:17" x14ac:dyDescent="0.3">
      <c r="A278">
        <v>100651305</v>
      </c>
      <c r="B278" t="s">
        <v>276</v>
      </c>
      <c r="C278" t="s">
        <v>590</v>
      </c>
      <c r="D278" t="s">
        <v>277</v>
      </c>
      <c r="E278" s="6">
        <v>7930.56</v>
      </c>
      <c r="F278" t="s">
        <v>643</v>
      </c>
      <c r="G278" s="4" t="str">
        <f t="shared" si="26"/>
        <v>7930.56</v>
      </c>
      <c r="H278" t="str">
        <f t="shared" si="27"/>
        <v>7930.56</v>
      </c>
      <c r="I278" s="1">
        <v>45716</v>
      </c>
      <c r="J278" s="2">
        <f t="shared" si="28"/>
        <v>-0.46146486153561989</v>
      </c>
      <c r="K278" s="3" t="str">
        <f t="shared" si="29"/>
        <v>Check!</v>
      </c>
      <c r="L278" t="str">
        <f t="shared" si="30"/>
        <v/>
      </c>
      <c r="M278" t="str">
        <f t="shared" si="31"/>
        <v>Check</v>
      </c>
      <c r="N278">
        <v>14726.17</v>
      </c>
      <c r="O278" t="s">
        <v>278</v>
      </c>
      <c r="Q278" t="s">
        <v>16</v>
      </c>
    </row>
    <row r="279" spans="1:17" x14ac:dyDescent="0.3">
      <c r="A279">
        <v>100651921</v>
      </c>
      <c r="B279" t="s">
        <v>279</v>
      </c>
      <c r="C279" t="s">
        <v>590</v>
      </c>
      <c r="D279" t="s">
        <v>280</v>
      </c>
      <c r="E279" s="6">
        <v>31853.61</v>
      </c>
      <c r="F279" t="s">
        <v>643</v>
      </c>
      <c r="G279" s="4" t="str">
        <f t="shared" si="26"/>
        <v>31853.61</v>
      </c>
      <c r="H279" t="str">
        <f t="shared" si="27"/>
        <v>31853.61</v>
      </c>
      <c r="I279" s="1">
        <v>45716</v>
      </c>
      <c r="J279" s="2">
        <f t="shared" si="28"/>
        <v>-9.8594646174116507E-2</v>
      </c>
      <c r="K279" s="3" t="str">
        <f t="shared" si="29"/>
        <v/>
      </c>
      <c r="L279" t="str">
        <f t="shared" si="30"/>
        <v/>
      </c>
      <c r="M279" t="str">
        <f t="shared" si="31"/>
        <v>Check</v>
      </c>
      <c r="N279">
        <v>35337.72</v>
      </c>
      <c r="O279" t="s">
        <v>281</v>
      </c>
      <c r="Q279" t="s">
        <v>16</v>
      </c>
    </row>
    <row r="280" spans="1:17" x14ac:dyDescent="0.3">
      <c r="A280">
        <v>100651921</v>
      </c>
      <c r="B280" t="s">
        <v>279</v>
      </c>
      <c r="C280" t="s">
        <v>590</v>
      </c>
      <c r="D280" t="s">
        <v>282</v>
      </c>
      <c r="E280" s="6">
        <v>4163.87</v>
      </c>
      <c r="F280" t="s">
        <v>643</v>
      </c>
      <c r="G280" s="4" t="str">
        <f t="shared" si="26"/>
        <v>4163.87</v>
      </c>
      <c r="H280" t="str">
        <f t="shared" si="27"/>
        <v>4163.87</v>
      </c>
      <c r="I280" s="1">
        <v>45716</v>
      </c>
      <c r="J280" s="2">
        <f t="shared" si="28"/>
        <v>-9.9600602879897665E-2</v>
      </c>
      <c r="K280" s="3" t="str">
        <f t="shared" si="29"/>
        <v/>
      </c>
      <c r="L280" t="str">
        <f t="shared" si="30"/>
        <v/>
      </c>
      <c r="M280" t="str">
        <f t="shared" si="31"/>
        <v>Check</v>
      </c>
      <c r="N280">
        <v>4624.47</v>
      </c>
      <c r="O280" t="s">
        <v>283</v>
      </c>
      <c r="Q280" t="s">
        <v>16</v>
      </c>
    </row>
    <row r="281" spans="1:17" x14ac:dyDescent="0.3">
      <c r="A281">
        <v>100655835</v>
      </c>
      <c r="B281" t="s">
        <v>284</v>
      </c>
      <c r="C281" t="s">
        <v>19</v>
      </c>
      <c r="D281" t="s">
        <v>285</v>
      </c>
      <c r="E281" s="6">
        <v>1173209.8999999999</v>
      </c>
      <c r="F281" t="s">
        <v>643</v>
      </c>
      <c r="G281" s="4" t="str">
        <f t="shared" si="26"/>
        <v>1173209.9</v>
      </c>
      <c r="H281" t="str">
        <f t="shared" si="27"/>
        <v>1173209.9</v>
      </c>
      <c r="I281" s="1">
        <v>45716</v>
      </c>
      <c r="J281" s="2">
        <f t="shared" si="28"/>
        <v>-0.10632868961050138</v>
      </c>
      <c r="K281" s="3" t="str">
        <f t="shared" si="29"/>
        <v>Check!</v>
      </c>
      <c r="L281" t="str">
        <f t="shared" si="30"/>
        <v/>
      </c>
      <c r="M281" t="str">
        <f t="shared" si="31"/>
        <v/>
      </c>
      <c r="N281">
        <v>1312797.99</v>
      </c>
      <c r="O281" t="s">
        <v>286</v>
      </c>
      <c r="Q281" t="s">
        <v>19</v>
      </c>
    </row>
    <row r="282" spans="1:17" x14ac:dyDescent="0.3">
      <c r="A282">
        <v>100663638</v>
      </c>
      <c r="B282" t="s">
        <v>287</v>
      </c>
      <c r="C282" t="s">
        <v>19</v>
      </c>
      <c r="D282" t="s">
        <v>288</v>
      </c>
      <c r="E282" s="6">
        <v>130413.22</v>
      </c>
      <c r="F282" t="s">
        <v>643</v>
      </c>
      <c r="G282" s="4" t="str">
        <f t="shared" si="26"/>
        <v>130413.22</v>
      </c>
      <c r="H282" t="str">
        <f t="shared" si="27"/>
        <v>130413.22</v>
      </c>
      <c r="I282" s="1">
        <v>45716</v>
      </c>
      <c r="J282" s="2">
        <f t="shared" si="28"/>
        <v>-0.15304921058095389</v>
      </c>
      <c r="K282" s="3" t="str">
        <f t="shared" si="29"/>
        <v>Check!</v>
      </c>
      <c r="L282" t="str">
        <f t="shared" si="30"/>
        <v/>
      </c>
      <c r="M282" t="str">
        <f t="shared" si="31"/>
        <v/>
      </c>
      <c r="N282">
        <v>153979.69</v>
      </c>
      <c r="O282" t="s">
        <v>289</v>
      </c>
      <c r="Q282" t="s">
        <v>19</v>
      </c>
    </row>
    <row r="283" spans="1:17" x14ac:dyDescent="0.3">
      <c r="A283">
        <v>100663638</v>
      </c>
      <c r="B283" t="s">
        <v>287</v>
      </c>
      <c r="C283" t="s">
        <v>19</v>
      </c>
      <c r="D283" t="s">
        <v>290</v>
      </c>
      <c r="E283" s="6">
        <v>5302.96</v>
      </c>
      <c r="F283" t="s">
        <v>643</v>
      </c>
      <c r="G283" s="4" t="str">
        <f t="shared" si="26"/>
        <v>5302.96</v>
      </c>
      <c r="H283" t="str">
        <f t="shared" si="27"/>
        <v>5302.96</v>
      </c>
      <c r="I283" s="1">
        <v>45716</v>
      </c>
      <c r="J283" s="2">
        <f t="shared" si="28"/>
        <v>-0.13527792634723515</v>
      </c>
      <c r="K283" s="3" t="str">
        <f t="shared" si="29"/>
        <v>Check!</v>
      </c>
      <c r="L283" t="str">
        <f t="shared" si="30"/>
        <v/>
      </c>
      <c r="M283" t="str">
        <f t="shared" si="31"/>
        <v/>
      </c>
      <c r="N283">
        <v>6132.56</v>
      </c>
      <c r="O283" t="s">
        <v>291</v>
      </c>
      <c r="Q283" t="s">
        <v>19</v>
      </c>
    </row>
    <row r="284" spans="1:17" x14ac:dyDescent="0.3">
      <c r="A284">
        <v>100663638</v>
      </c>
      <c r="B284" t="s">
        <v>287</v>
      </c>
      <c r="C284" t="s">
        <v>590</v>
      </c>
      <c r="D284" t="s">
        <v>600</v>
      </c>
      <c r="E284" s="6">
        <v>160566.04</v>
      </c>
      <c r="F284" t="s">
        <v>643</v>
      </c>
      <c r="G284" s="4" t="str">
        <f t="shared" si="26"/>
        <v>160566.04</v>
      </c>
      <c r="H284" t="str">
        <f t="shared" si="27"/>
        <v>160566.04</v>
      </c>
      <c r="I284" s="1">
        <v>45716</v>
      </c>
      <c r="J284" s="2">
        <f t="shared" si="28"/>
        <v>1.0969499902247883</v>
      </c>
      <c r="K284" s="3" t="str">
        <f t="shared" si="29"/>
        <v>Check!</v>
      </c>
      <c r="L284" t="str">
        <f t="shared" si="30"/>
        <v/>
      </c>
      <c r="M284" t="str">
        <f t="shared" si="31"/>
        <v/>
      </c>
      <c r="N284">
        <v>76571.23</v>
      </c>
      <c r="O284" t="s">
        <v>666</v>
      </c>
      <c r="Q284" t="s">
        <v>590</v>
      </c>
    </row>
    <row r="285" spans="1:17" x14ac:dyDescent="0.3">
      <c r="A285">
        <v>100664029</v>
      </c>
      <c r="B285" t="s">
        <v>292</v>
      </c>
      <c r="C285" t="s">
        <v>19</v>
      </c>
      <c r="D285" t="s">
        <v>293</v>
      </c>
      <c r="E285" s="6">
        <v>21278.11</v>
      </c>
      <c r="F285" t="s">
        <v>643</v>
      </c>
      <c r="G285" s="4" t="str">
        <f t="shared" si="26"/>
        <v>21278.11</v>
      </c>
      <c r="H285" t="str">
        <f t="shared" si="27"/>
        <v>21278.11</v>
      </c>
      <c r="I285" s="1">
        <v>45716</v>
      </c>
      <c r="J285" s="2">
        <f t="shared" si="28"/>
        <v>-0.14217634034757837</v>
      </c>
      <c r="K285" s="3" t="str">
        <f t="shared" si="29"/>
        <v>Check!</v>
      </c>
      <c r="L285" t="str">
        <f t="shared" si="30"/>
        <v/>
      </c>
      <c r="M285" t="str">
        <f t="shared" si="31"/>
        <v/>
      </c>
      <c r="N285">
        <v>24804.76</v>
      </c>
      <c r="O285" t="s">
        <v>294</v>
      </c>
      <c r="Q285" t="s">
        <v>19</v>
      </c>
    </row>
    <row r="286" spans="1:17" x14ac:dyDescent="0.3">
      <c r="A286">
        <v>100664029</v>
      </c>
      <c r="B286" t="s">
        <v>292</v>
      </c>
      <c r="C286" t="s">
        <v>19</v>
      </c>
      <c r="D286" t="s">
        <v>295</v>
      </c>
      <c r="E286" s="6">
        <v>15520.16</v>
      </c>
      <c r="F286" t="s">
        <v>643</v>
      </c>
      <c r="G286" s="4" t="str">
        <f t="shared" si="26"/>
        <v>15520.16</v>
      </c>
      <c r="H286" t="str">
        <f t="shared" si="27"/>
        <v>15520.16</v>
      </c>
      <c r="I286" s="1">
        <v>45716</v>
      </c>
      <c r="J286" s="2">
        <f t="shared" si="28"/>
        <v>-0.11932211199360841</v>
      </c>
      <c r="K286" s="3" t="str">
        <f t="shared" si="29"/>
        <v>Check!</v>
      </c>
      <c r="L286" t="str">
        <f t="shared" si="30"/>
        <v/>
      </c>
      <c r="M286" t="str">
        <f t="shared" si="31"/>
        <v/>
      </c>
      <c r="N286">
        <v>17622.97</v>
      </c>
      <c r="O286" t="s">
        <v>296</v>
      </c>
      <c r="Q286" t="s">
        <v>19</v>
      </c>
    </row>
    <row r="287" spans="1:17" x14ac:dyDescent="0.3">
      <c r="A287">
        <v>100664292</v>
      </c>
      <c r="B287" t="s">
        <v>297</v>
      </c>
      <c r="C287" t="s">
        <v>590</v>
      </c>
      <c r="D287" t="s">
        <v>298</v>
      </c>
      <c r="E287" s="6">
        <v>26260.21</v>
      </c>
      <c r="F287" t="s">
        <v>643</v>
      </c>
      <c r="G287" s="4" t="str">
        <f t="shared" si="26"/>
        <v>26260.21</v>
      </c>
      <c r="H287" t="str">
        <f t="shared" si="27"/>
        <v>26260.21</v>
      </c>
      <c r="I287" s="1">
        <v>45716</v>
      </c>
      <c r="J287" s="2">
        <f t="shared" si="28"/>
        <v>-0.10288029150349705</v>
      </c>
      <c r="K287" s="3" t="str">
        <f t="shared" si="29"/>
        <v>Check!</v>
      </c>
      <c r="L287" t="str">
        <f t="shared" si="30"/>
        <v/>
      </c>
      <c r="M287" t="str">
        <f t="shared" si="31"/>
        <v>Check</v>
      </c>
      <c r="N287">
        <v>29271.69</v>
      </c>
      <c r="O287" t="s">
        <v>299</v>
      </c>
      <c r="Q287" t="s">
        <v>16</v>
      </c>
    </row>
    <row r="288" spans="1:17" x14ac:dyDescent="0.3">
      <c r="A288">
        <v>100664292</v>
      </c>
      <c r="B288" t="s">
        <v>297</v>
      </c>
      <c r="C288" t="s">
        <v>19</v>
      </c>
      <c r="D288" t="s">
        <v>300</v>
      </c>
      <c r="E288" s="6">
        <v>50064.29</v>
      </c>
      <c r="F288" t="s">
        <v>643</v>
      </c>
      <c r="G288" s="4" t="str">
        <f t="shared" si="26"/>
        <v>50064.29</v>
      </c>
      <c r="H288" t="str">
        <f t="shared" si="27"/>
        <v>50064.29</v>
      </c>
      <c r="I288" s="1">
        <v>45716</v>
      </c>
      <c r="J288" s="2">
        <f t="shared" si="28"/>
        <v>-0.20688261078334938</v>
      </c>
      <c r="K288" s="3" t="str">
        <f t="shared" si="29"/>
        <v>Check!</v>
      </c>
      <c r="L288" t="str">
        <f t="shared" si="30"/>
        <v/>
      </c>
      <c r="M288" t="str">
        <f t="shared" si="31"/>
        <v/>
      </c>
      <c r="N288">
        <v>63123.43</v>
      </c>
      <c r="O288" t="s">
        <v>301</v>
      </c>
      <c r="Q288" t="s">
        <v>19</v>
      </c>
    </row>
    <row r="289" spans="1:17" x14ac:dyDescent="0.3">
      <c r="A289">
        <v>100664348</v>
      </c>
      <c r="B289" t="s">
        <v>302</v>
      </c>
      <c r="C289" t="s">
        <v>19</v>
      </c>
      <c r="D289" t="s">
        <v>303</v>
      </c>
      <c r="E289" s="6">
        <v>57070.67</v>
      </c>
      <c r="F289" t="s">
        <v>643</v>
      </c>
      <c r="G289" s="4" t="str">
        <f t="shared" si="26"/>
        <v>57070.67</v>
      </c>
      <c r="H289" t="str">
        <f t="shared" si="27"/>
        <v>57070.67</v>
      </c>
      <c r="I289" s="1">
        <v>45716</v>
      </c>
      <c r="J289" s="2">
        <f t="shared" si="28"/>
        <v>-0.13257718824860312</v>
      </c>
      <c r="K289" s="3" t="str">
        <f t="shared" si="29"/>
        <v>Check!</v>
      </c>
      <c r="L289" t="str">
        <f t="shared" si="30"/>
        <v/>
      </c>
      <c r="M289" t="str">
        <f t="shared" si="31"/>
        <v/>
      </c>
      <c r="N289">
        <v>65793.37</v>
      </c>
      <c r="O289" t="s">
        <v>304</v>
      </c>
      <c r="Q289" t="s">
        <v>19</v>
      </c>
    </row>
    <row r="290" spans="1:17" x14ac:dyDescent="0.3">
      <c r="A290">
        <v>100664351</v>
      </c>
      <c r="B290" t="s">
        <v>305</v>
      </c>
      <c r="C290" t="s">
        <v>19</v>
      </c>
      <c r="D290" t="s">
        <v>306</v>
      </c>
      <c r="E290" s="6">
        <v>499.67</v>
      </c>
      <c r="F290" t="s">
        <v>643</v>
      </c>
      <c r="G290" s="4" t="str">
        <f t="shared" si="26"/>
        <v>499.67</v>
      </c>
      <c r="H290" t="str">
        <f t="shared" si="27"/>
        <v>499.67</v>
      </c>
      <c r="I290" s="1">
        <v>45716</v>
      </c>
      <c r="J290" s="2">
        <f t="shared" si="28"/>
        <v>-0.13156751307854075</v>
      </c>
      <c r="K290" s="3" t="str">
        <f t="shared" si="29"/>
        <v>Check!</v>
      </c>
      <c r="L290" t="str">
        <f t="shared" si="30"/>
        <v/>
      </c>
      <c r="M290" t="str">
        <f t="shared" si="31"/>
        <v/>
      </c>
      <c r="N290">
        <v>575.37</v>
      </c>
      <c r="O290" t="s">
        <v>307</v>
      </c>
      <c r="Q290" t="s">
        <v>19</v>
      </c>
    </row>
    <row r="291" spans="1:17" x14ac:dyDescent="0.3">
      <c r="A291">
        <v>100664601</v>
      </c>
      <c r="B291" t="s">
        <v>308</v>
      </c>
      <c r="C291" t="s">
        <v>623</v>
      </c>
      <c r="D291" t="s">
        <v>309</v>
      </c>
      <c r="E291" s="6">
        <v>859873.57</v>
      </c>
      <c r="F291" t="s">
        <v>643</v>
      </c>
      <c r="G291" s="4" t="str">
        <f t="shared" si="26"/>
        <v>859873.57</v>
      </c>
      <c r="H291" t="str">
        <f t="shared" si="27"/>
        <v>859873.57</v>
      </c>
      <c r="I291" s="1">
        <v>45716</v>
      </c>
      <c r="J291" s="2">
        <f t="shared" si="28"/>
        <v>2.6484263198606958E-2</v>
      </c>
      <c r="K291" s="3" t="str">
        <f t="shared" si="29"/>
        <v/>
      </c>
      <c r="L291" t="str">
        <f t="shared" si="30"/>
        <v/>
      </c>
      <c r="M291" t="str">
        <f t="shared" si="31"/>
        <v>Check</v>
      </c>
      <c r="N291">
        <v>837688.02</v>
      </c>
      <c r="O291" t="s">
        <v>310</v>
      </c>
      <c r="Q291" t="s">
        <v>164</v>
      </c>
    </row>
    <row r="292" spans="1:17" x14ac:dyDescent="0.3">
      <c r="A292">
        <v>100664601</v>
      </c>
      <c r="B292" t="s">
        <v>308</v>
      </c>
      <c r="C292" t="s">
        <v>611</v>
      </c>
      <c r="D292" t="s">
        <v>311</v>
      </c>
      <c r="E292" s="6">
        <v>266050.02</v>
      </c>
      <c r="F292" t="s">
        <v>643</v>
      </c>
      <c r="G292" s="4" t="str">
        <f t="shared" si="26"/>
        <v>266050.02</v>
      </c>
      <c r="H292" t="str">
        <f t="shared" si="27"/>
        <v>266050.02</v>
      </c>
      <c r="I292" s="1">
        <v>45716</v>
      </c>
      <c r="J292" s="2">
        <f t="shared" si="28"/>
        <v>2.6419586792556158E-2</v>
      </c>
      <c r="K292" s="3" t="str">
        <f t="shared" si="29"/>
        <v/>
      </c>
      <c r="L292" t="str">
        <f t="shared" si="30"/>
        <v/>
      </c>
      <c r="M292" t="str">
        <f t="shared" si="31"/>
        <v>Check</v>
      </c>
      <c r="N292">
        <v>259202.01</v>
      </c>
      <c r="O292" t="s">
        <v>312</v>
      </c>
      <c r="Q292" t="s">
        <v>41</v>
      </c>
    </row>
    <row r="293" spans="1:17" x14ac:dyDescent="0.3">
      <c r="A293">
        <v>100664601</v>
      </c>
      <c r="B293" t="s">
        <v>308</v>
      </c>
      <c r="C293" t="s">
        <v>622</v>
      </c>
      <c r="D293" t="s">
        <v>630</v>
      </c>
      <c r="E293" s="6">
        <v>12904.9</v>
      </c>
      <c r="F293" t="s">
        <v>643</v>
      </c>
      <c r="G293" s="4" t="str">
        <f t="shared" si="26"/>
        <v>12904.9</v>
      </c>
      <c r="H293" t="str">
        <f t="shared" si="27"/>
        <v>12904.9</v>
      </c>
      <c r="I293" s="1">
        <v>45716</v>
      </c>
      <c r="J293" s="2">
        <f t="shared" si="28"/>
        <v>1.9550556826656823E-2</v>
      </c>
      <c r="K293" s="3" t="str">
        <f t="shared" si="29"/>
        <v/>
      </c>
      <c r="L293" t="str">
        <f t="shared" si="30"/>
        <v/>
      </c>
      <c r="M293" t="str">
        <f t="shared" si="31"/>
        <v/>
      </c>
      <c r="N293">
        <v>12657.44</v>
      </c>
      <c r="O293" t="s">
        <v>667</v>
      </c>
      <c r="Q293" t="s">
        <v>622</v>
      </c>
    </row>
    <row r="294" spans="1:17" x14ac:dyDescent="0.3">
      <c r="A294">
        <v>100664601</v>
      </c>
      <c r="B294" t="s">
        <v>308</v>
      </c>
      <c r="C294" t="s">
        <v>606</v>
      </c>
      <c r="D294" t="s">
        <v>631</v>
      </c>
      <c r="E294" s="6">
        <v>12982.28</v>
      </c>
      <c r="F294" t="s">
        <v>643</v>
      </c>
      <c r="G294" s="4" t="str">
        <f t="shared" si="26"/>
        <v>12982.28</v>
      </c>
      <c r="H294" t="str">
        <f t="shared" si="27"/>
        <v>12982.28</v>
      </c>
      <c r="I294" s="1">
        <v>45716</v>
      </c>
      <c r="J294" s="2">
        <f t="shared" si="28"/>
        <v>2.6190939171318504E-2</v>
      </c>
      <c r="K294" s="3" t="str">
        <f t="shared" si="29"/>
        <v/>
      </c>
      <c r="L294" t="str">
        <f t="shared" si="30"/>
        <v/>
      </c>
      <c r="M294" t="str">
        <f t="shared" si="31"/>
        <v/>
      </c>
      <c r="N294">
        <v>12650.94</v>
      </c>
      <c r="O294" t="s">
        <v>668</v>
      </c>
      <c r="Q294" t="s">
        <v>606</v>
      </c>
    </row>
    <row r="295" spans="1:17" x14ac:dyDescent="0.3">
      <c r="A295">
        <v>100664737</v>
      </c>
      <c r="B295" t="s">
        <v>313</v>
      </c>
      <c r="C295" t="s">
        <v>19</v>
      </c>
      <c r="D295" t="s">
        <v>314</v>
      </c>
      <c r="E295" s="6">
        <v>27495.53</v>
      </c>
      <c r="F295" t="s">
        <v>643</v>
      </c>
      <c r="G295" s="4" t="str">
        <f t="shared" si="26"/>
        <v>27495.53</v>
      </c>
      <c r="H295" t="str">
        <f t="shared" si="27"/>
        <v>27495.53</v>
      </c>
      <c r="I295" s="1">
        <v>45716</v>
      </c>
      <c r="J295" s="2">
        <f t="shared" si="28"/>
        <v>-0.11102916880323781</v>
      </c>
      <c r="K295" s="3" t="str">
        <f t="shared" si="29"/>
        <v>Check!</v>
      </c>
      <c r="L295" t="str">
        <f t="shared" si="30"/>
        <v/>
      </c>
      <c r="M295" t="str">
        <f t="shared" si="31"/>
        <v/>
      </c>
      <c r="N295">
        <v>30929.62</v>
      </c>
      <c r="O295" t="s">
        <v>315</v>
      </c>
      <c r="Q295" t="s">
        <v>19</v>
      </c>
    </row>
    <row r="296" spans="1:17" x14ac:dyDescent="0.3">
      <c r="A296">
        <v>100664737</v>
      </c>
      <c r="B296" t="s">
        <v>313</v>
      </c>
      <c r="C296" t="s">
        <v>19</v>
      </c>
      <c r="D296" t="s">
        <v>316</v>
      </c>
      <c r="E296" s="6">
        <v>8369.93</v>
      </c>
      <c r="F296" t="s">
        <v>643</v>
      </c>
      <c r="G296" s="4" t="str">
        <f t="shared" si="26"/>
        <v>8369.93</v>
      </c>
      <c r="H296" t="str">
        <f t="shared" si="27"/>
        <v>8369.93</v>
      </c>
      <c r="I296" s="1">
        <v>45716</v>
      </c>
      <c r="J296" s="2">
        <f t="shared" si="28"/>
        <v>-0.10019039141507792</v>
      </c>
      <c r="K296" s="3" t="str">
        <f t="shared" si="29"/>
        <v>Check!</v>
      </c>
      <c r="L296" t="str">
        <f t="shared" si="30"/>
        <v/>
      </c>
      <c r="M296" t="str">
        <f t="shared" si="31"/>
        <v/>
      </c>
      <c r="N296">
        <v>9301.89</v>
      </c>
      <c r="O296" t="s">
        <v>317</v>
      </c>
      <c r="Q296" t="s">
        <v>19</v>
      </c>
    </row>
    <row r="297" spans="1:17" x14ac:dyDescent="0.3">
      <c r="A297">
        <v>100665510</v>
      </c>
      <c r="B297" t="s">
        <v>318</v>
      </c>
      <c r="C297" t="s">
        <v>19</v>
      </c>
      <c r="D297" t="s">
        <v>319</v>
      </c>
      <c r="E297" s="6">
        <v>4984.9399999999996</v>
      </c>
      <c r="F297" t="s">
        <v>643</v>
      </c>
      <c r="G297" s="4" t="str">
        <f t="shared" si="26"/>
        <v>4984.94</v>
      </c>
      <c r="H297" t="str">
        <f t="shared" si="27"/>
        <v>4984.94</v>
      </c>
      <c r="I297" s="1">
        <v>45716</v>
      </c>
      <c r="J297" s="2">
        <f t="shared" si="28"/>
        <v>-0.10507786903639879</v>
      </c>
      <c r="K297" s="3" t="str">
        <f t="shared" si="29"/>
        <v>Check!</v>
      </c>
      <c r="L297" t="str">
        <f t="shared" si="30"/>
        <v/>
      </c>
      <c r="M297" t="str">
        <f t="shared" si="31"/>
        <v/>
      </c>
      <c r="N297">
        <v>5570.25</v>
      </c>
      <c r="O297" t="s">
        <v>320</v>
      </c>
      <c r="Q297" t="s">
        <v>19</v>
      </c>
    </row>
    <row r="298" spans="1:17" x14ac:dyDescent="0.3">
      <c r="A298">
        <v>100665581</v>
      </c>
      <c r="B298" t="s">
        <v>321</v>
      </c>
      <c r="C298" t="s">
        <v>623</v>
      </c>
      <c r="D298" t="s">
        <v>322</v>
      </c>
      <c r="E298" s="6">
        <v>513195.81</v>
      </c>
      <c r="F298" t="s">
        <v>643</v>
      </c>
      <c r="G298" s="4" t="str">
        <f t="shared" si="26"/>
        <v>513195.81</v>
      </c>
      <c r="H298" t="str">
        <f t="shared" si="27"/>
        <v>513195.81</v>
      </c>
      <c r="I298" s="1">
        <v>45716</v>
      </c>
      <c r="J298" s="2">
        <f t="shared" si="28"/>
        <v>2.6505623714569791E-2</v>
      </c>
      <c r="K298" s="3" t="str">
        <f t="shared" si="29"/>
        <v/>
      </c>
      <c r="L298" t="str">
        <f t="shared" si="30"/>
        <v/>
      </c>
      <c r="M298" t="str">
        <f t="shared" si="31"/>
        <v>Check</v>
      </c>
      <c r="N298">
        <v>499944.47</v>
      </c>
      <c r="O298" t="s">
        <v>323</v>
      </c>
      <c r="Q298" t="s">
        <v>164</v>
      </c>
    </row>
    <row r="299" spans="1:17" x14ac:dyDescent="0.3">
      <c r="A299">
        <v>100665581</v>
      </c>
      <c r="B299" t="s">
        <v>321</v>
      </c>
      <c r="C299" t="s">
        <v>622</v>
      </c>
      <c r="D299" t="s">
        <v>632</v>
      </c>
      <c r="E299" s="6">
        <v>12907.02</v>
      </c>
      <c r="F299" t="s">
        <v>643</v>
      </c>
      <c r="G299" s="4" t="str">
        <f t="shared" si="26"/>
        <v>12907.02</v>
      </c>
      <c r="H299" t="str">
        <f t="shared" si="27"/>
        <v>12907.02</v>
      </c>
      <c r="I299" s="1">
        <v>45716</v>
      </c>
      <c r="J299" s="2">
        <f t="shared" si="28"/>
        <v>1.9549698922471825E-2</v>
      </c>
      <c r="K299" s="3" t="str">
        <f t="shared" si="29"/>
        <v/>
      </c>
      <c r="L299" t="str">
        <f t="shared" si="30"/>
        <v/>
      </c>
      <c r="M299" t="str">
        <f t="shared" si="31"/>
        <v/>
      </c>
      <c r="N299">
        <v>12659.53</v>
      </c>
      <c r="O299" t="s">
        <v>669</v>
      </c>
      <c r="Q299" t="s">
        <v>622</v>
      </c>
    </row>
    <row r="300" spans="1:17" x14ac:dyDescent="0.3">
      <c r="A300">
        <v>100665581</v>
      </c>
      <c r="B300" t="s">
        <v>321</v>
      </c>
      <c r="C300" t="s">
        <v>590</v>
      </c>
      <c r="D300" t="s">
        <v>639</v>
      </c>
      <c r="E300" s="6">
        <v>116332.24</v>
      </c>
      <c r="F300" t="s">
        <v>643</v>
      </c>
      <c r="G300" s="4" t="str">
        <f t="shared" si="26"/>
        <v>116332.24</v>
      </c>
      <c r="H300" t="str">
        <f t="shared" si="27"/>
        <v>116332.24</v>
      </c>
      <c r="I300" s="1">
        <v>45716</v>
      </c>
      <c r="J300" s="2">
        <f t="shared" si="28"/>
        <v>8.1893016565385928</v>
      </c>
      <c r="K300" s="3" t="str">
        <f t="shared" si="29"/>
        <v>Check!</v>
      </c>
      <c r="L300" t="str">
        <f t="shared" si="30"/>
        <v/>
      </c>
      <c r="M300" t="str">
        <f t="shared" si="31"/>
        <v/>
      </c>
      <c r="N300">
        <v>12659.53</v>
      </c>
      <c r="O300" t="s">
        <v>673</v>
      </c>
      <c r="Q300" t="s">
        <v>590</v>
      </c>
    </row>
    <row r="301" spans="1:17" x14ac:dyDescent="0.3">
      <c r="A301">
        <v>100666150</v>
      </c>
      <c r="B301" t="s">
        <v>324</v>
      </c>
      <c r="C301" t="s">
        <v>19</v>
      </c>
      <c r="D301" t="s">
        <v>325</v>
      </c>
      <c r="E301" s="6">
        <v>83972.44</v>
      </c>
      <c r="F301" t="s">
        <v>643</v>
      </c>
      <c r="G301" s="4" t="str">
        <f t="shared" si="26"/>
        <v>83972.44</v>
      </c>
      <c r="H301" t="str">
        <f t="shared" si="27"/>
        <v>83972.44</v>
      </c>
      <c r="I301" s="1">
        <v>45716</v>
      </c>
      <c r="J301" s="2">
        <f t="shared" si="28"/>
        <v>-0.15541543813876954</v>
      </c>
      <c r="K301" s="3" t="str">
        <f t="shared" si="29"/>
        <v>Check!</v>
      </c>
      <c r="L301" t="str">
        <f t="shared" si="30"/>
        <v/>
      </c>
      <c r="M301" t="str">
        <f t="shared" si="31"/>
        <v/>
      </c>
      <c r="N301">
        <v>99424.55</v>
      </c>
      <c r="O301" t="s">
        <v>326</v>
      </c>
      <c r="Q301" t="s">
        <v>19</v>
      </c>
    </row>
    <row r="302" spans="1:17" x14ac:dyDescent="0.3">
      <c r="A302">
        <v>100668409</v>
      </c>
      <c r="B302" t="s">
        <v>327</v>
      </c>
      <c r="C302" t="s">
        <v>590</v>
      </c>
      <c r="D302" t="s">
        <v>328</v>
      </c>
      <c r="E302" s="6">
        <v>4377.29</v>
      </c>
      <c r="F302" t="s">
        <v>643</v>
      </c>
      <c r="G302" s="4" t="str">
        <f t="shared" si="26"/>
        <v>4377.29</v>
      </c>
      <c r="H302" t="str">
        <f t="shared" si="27"/>
        <v>4377.29</v>
      </c>
      <c r="I302" s="1">
        <v>45716</v>
      </c>
      <c r="J302" s="2">
        <f t="shared" si="28"/>
        <v>-0.1044787417297124</v>
      </c>
      <c r="K302" s="3" t="str">
        <f t="shared" si="29"/>
        <v>Check!</v>
      </c>
      <c r="L302" t="str">
        <f t="shared" si="30"/>
        <v/>
      </c>
      <c r="M302" t="str">
        <f t="shared" si="31"/>
        <v>Check</v>
      </c>
      <c r="N302">
        <v>4887.9799999999996</v>
      </c>
      <c r="O302" t="s">
        <v>329</v>
      </c>
      <c r="Q302" t="s">
        <v>16</v>
      </c>
    </row>
    <row r="303" spans="1:17" x14ac:dyDescent="0.3">
      <c r="A303">
        <v>100668534</v>
      </c>
      <c r="B303" t="s">
        <v>330</v>
      </c>
      <c r="C303" t="s">
        <v>590</v>
      </c>
      <c r="D303" t="s">
        <v>331</v>
      </c>
      <c r="E303" s="6">
        <v>4086.47</v>
      </c>
      <c r="F303" t="s">
        <v>643</v>
      </c>
      <c r="G303" s="4" t="str">
        <f t="shared" si="26"/>
        <v>4086.47</v>
      </c>
      <c r="H303" t="str">
        <f t="shared" si="27"/>
        <v>4086.47</v>
      </c>
      <c r="I303" s="1">
        <v>45716</v>
      </c>
      <c r="J303" s="2">
        <f t="shared" si="28"/>
        <v>-0.10525900932954697</v>
      </c>
      <c r="K303" s="3" t="str">
        <f t="shared" si="29"/>
        <v>Check!</v>
      </c>
      <c r="L303" t="str">
        <f t="shared" si="30"/>
        <v/>
      </c>
      <c r="M303" t="str">
        <f t="shared" si="31"/>
        <v>Check</v>
      </c>
      <c r="N303">
        <v>4567.21</v>
      </c>
      <c r="O303" t="s">
        <v>332</v>
      </c>
      <c r="Q303" t="s">
        <v>16</v>
      </c>
    </row>
    <row r="304" spans="1:17" x14ac:dyDescent="0.3">
      <c r="A304">
        <v>100669580</v>
      </c>
      <c r="B304" t="s">
        <v>333</v>
      </c>
      <c r="C304" t="s">
        <v>19</v>
      </c>
      <c r="D304" t="s">
        <v>334</v>
      </c>
      <c r="E304" s="6">
        <v>13995.19</v>
      </c>
      <c r="F304" t="s">
        <v>643</v>
      </c>
      <c r="G304" s="4" t="str">
        <f t="shared" si="26"/>
        <v>13995.19</v>
      </c>
      <c r="H304" t="str">
        <f t="shared" si="27"/>
        <v>13995.19</v>
      </c>
      <c r="I304" s="1">
        <v>45716</v>
      </c>
      <c r="J304" s="2">
        <f t="shared" si="28"/>
        <v>-0.10621895837444538</v>
      </c>
      <c r="K304" s="3" t="str">
        <f t="shared" si="29"/>
        <v>Check!</v>
      </c>
      <c r="L304" t="str">
        <f t="shared" si="30"/>
        <v/>
      </c>
      <c r="M304" t="str">
        <f t="shared" si="31"/>
        <v/>
      </c>
      <c r="N304">
        <v>15658.41</v>
      </c>
      <c r="O304" t="s">
        <v>335</v>
      </c>
      <c r="Q304" t="s">
        <v>19</v>
      </c>
    </row>
    <row r="305" spans="1:17" x14ac:dyDescent="0.3">
      <c r="A305">
        <v>100670671</v>
      </c>
      <c r="B305" t="s">
        <v>336</v>
      </c>
      <c r="C305" t="s">
        <v>590</v>
      </c>
      <c r="D305" t="s">
        <v>337</v>
      </c>
      <c r="E305" s="6">
        <v>62863.48</v>
      </c>
      <c r="F305" t="s">
        <v>643</v>
      </c>
      <c r="G305" s="4" t="str">
        <f t="shared" si="26"/>
        <v>62863.48</v>
      </c>
      <c r="H305" t="str">
        <f t="shared" si="27"/>
        <v>62863.48</v>
      </c>
      <c r="I305" s="1">
        <v>45716</v>
      </c>
      <c r="J305" s="2">
        <f t="shared" si="28"/>
        <v>1.5059018574776464</v>
      </c>
      <c r="K305" s="3" t="str">
        <f t="shared" si="29"/>
        <v>Check!</v>
      </c>
      <c r="L305" t="str">
        <f t="shared" si="30"/>
        <v/>
      </c>
      <c r="M305" t="str">
        <f t="shared" si="31"/>
        <v>Check</v>
      </c>
      <c r="N305">
        <v>25086.17</v>
      </c>
      <c r="O305" t="s">
        <v>338</v>
      </c>
      <c r="Q305" t="s">
        <v>16</v>
      </c>
    </row>
    <row r="306" spans="1:17" x14ac:dyDescent="0.3">
      <c r="A306">
        <v>100670671</v>
      </c>
      <c r="B306" t="s">
        <v>336</v>
      </c>
      <c r="C306" t="s">
        <v>611</v>
      </c>
      <c r="D306" t="s">
        <v>339</v>
      </c>
      <c r="E306" s="6">
        <v>53971.08</v>
      </c>
      <c r="F306" t="s">
        <v>643</v>
      </c>
      <c r="G306" s="4" t="str">
        <f t="shared" si="26"/>
        <v>53971.08</v>
      </c>
      <c r="H306" t="str">
        <f t="shared" si="27"/>
        <v>53971.08</v>
      </c>
      <c r="I306" s="1">
        <v>45716</v>
      </c>
      <c r="J306" s="2">
        <f t="shared" si="28"/>
        <v>2.9982835871311373E-2</v>
      </c>
      <c r="K306" s="3" t="str">
        <f t="shared" si="29"/>
        <v/>
      </c>
      <c r="L306" t="str">
        <f t="shared" si="30"/>
        <v/>
      </c>
      <c r="M306" t="str">
        <f t="shared" si="31"/>
        <v>Check</v>
      </c>
      <c r="N306">
        <v>52399.98</v>
      </c>
      <c r="O306" t="s">
        <v>340</v>
      </c>
      <c r="Q306" t="s">
        <v>41</v>
      </c>
    </row>
    <row r="307" spans="1:17" x14ac:dyDescent="0.3">
      <c r="A307">
        <v>100670671</v>
      </c>
      <c r="B307" t="s">
        <v>336</v>
      </c>
      <c r="C307" t="s">
        <v>606</v>
      </c>
      <c r="D307" t="s">
        <v>633</v>
      </c>
      <c r="E307" s="6">
        <v>6724.68</v>
      </c>
      <c r="F307" t="s">
        <v>643</v>
      </c>
      <c r="G307" s="4" t="str">
        <f t="shared" si="26"/>
        <v>6724.68</v>
      </c>
      <c r="H307" t="str">
        <f t="shared" si="27"/>
        <v>6724.68</v>
      </c>
      <c r="I307" s="1">
        <v>45716</v>
      </c>
      <c r="J307" s="2">
        <f t="shared" si="28"/>
        <v>5.3074340407406488E-2</v>
      </c>
      <c r="K307" s="3" t="str">
        <f t="shared" si="29"/>
        <v/>
      </c>
      <c r="L307" t="str">
        <f t="shared" si="30"/>
        <v/>
      </c>
      <c r="M307" t="str">
        <f t="shared" si="31"/>
        <v/>
      </c>
      <c r="N307">
        <v>6385.76</v>
      </c>
      <c r="O307" t="s">
        <v>671</v>
      </c>
      <c r="Q307" t="s">
        <v>606</v>
      </c>
    </row>
    <row r="308" spans="1:17" x14ac:dyDescent="0.3">
      <c r="A308">
        <v>100670671</v>
      </c>
      <c r="B308" t="s">
        <v>336</v>
      </c>
      <c r="C308" t="s">
        <v>609</v>
      </c>
      <c r="D308" t="s">
        <v>634</v>
      </c>
      <c r="E308" s="6">
        <v>819.45</v>
      </c>
      <c r="F308" t="s">
        <v>643</v>
      </c>
      <c r="G308" s="4" t="str">
        <f t="shared" si="26"/>
        <v>819.45</v>
      </c>
      <c r="H308" t="str">
        <f t="shared" si="27"/>
        <v>819.45</v>
      </c>
      <c r="I308" s="1">
        <v>45716</v>
      </c>
      <c r="J308" s="2">
        <f t="shared" si="28"/>
        <v>0.20966313365415856</v>
      </c>
      <c r="K308" s="3" t="str">
        <f t="shared" si="29"/>
        <v>Check!</v>
      </c>
      <c r="L308" t="str">
        <f t="shared" si="30"/>
        <v/>
      </c>
      <c r="M308" t="str">
        <f t="shared" si="31"/>
        <v/>
      </c>
      <c r="N308">
        <v>677.42</v>
      </c>
      <c r="O308" t="s">
        <v>670</v>
      </c>
      <c r="Q308" t="s">
        <v>609</v>
      </c>
    </row>
    <row r="309" spans="1:17" x14ac:dyDescent="0.3">
      <c r="A309">
        <v>100672294</v>
      </c>
      <c r="B309" t="s">
        <v>341</v>
      </c>
      <c r="C309" t="s">
        <v>590</v>
      </c>
      <c r="D309" t="s">
        <v>342</v>
      </c>
      <c r="E309" s="6">
        <v>19150.59</v>
      </c>
      <c r="F309" t="s">
        <v>643</v>
      </c>
      <c r="G309" s="4" t="str">
        <f t="shared" si="26"/>
        <v>19150.59</v>
      </c>
      <c r="H309" t="str">
        <f t="shared" si="27"/>
        <v>19150.59</v>
      </c>
      <c r="I309" s="1">
        <v>45716</v>
      </c>
      <c r="J309" s="2">
        <f t="shared" si="28"/>
        <v>-0.33118585999339939</v>
      </c>
      <c r="K309" s="3" t="str">
        <f t="shared" si="29"/>
        <v>Check!</v>
      </c>
      <c r="L309" t="str">
        <f t="shared" si="30"/>
        <v/>
      </c>
      <c r="M309" t="str">
        <f t="shared" si="31"/>
        <v>Check</v>
      </c>
      <c r="N309">
        <v>28633.65</v>
      </c>
      <c r="O309" t="s">
        <v>343</v>
      </c>
      <c r="Q309" t="s">
        <v>16</v>
      </c>
    </row>
    <row r="310" spans="1:17" x14ac:dyDescent="0.3">
      <c r="A310">
        <v>100672395</v>
      </c>
      <c r="B310" t="s">
        <v>344</v>
      </c>
      <c r="C310" t="s">
        <v>590</v>
      </c>
      <c r="D310" t="s">
        <v>345</v>
      </c>
      <c r="E310" s="6">
        <v>2993.2</v>
      </c>
      <c r="F310" t="s">
        <v>643</v>
      </c>
      <c r="G310" s="4" t="str">
        <f t="shared" si="26"/>
        <v>2993.2</v>
      </c>
      <c r="H310" t="str">
        <f t="shared" si="27"/>
        <v>2993.2</v>
      </c>
      <c r="I310" s="1">
        <v>45716</v>
      </c>
      <c r="J310" s="2">
        <f t="shared" si="28"/>
        <v>-0.6187283216377919</v>
      </c>
      <c r="K310" s="3" t="str">
        <f t="shared" si="29"/>
        <v>Check!</v>
      </c>
      <c r="L310" t="str">
        <f t="shared" si="30"/>
        <v/>
      </c>
      <c r="M310" t="str">
        <f t="shared" si="31"/>
        <v>Check</v>
      </c>
      <c r="N310">
        <v>7850.57</v>
      </c>
      <c r="O310" t="s">
        <v>346</v>
      </c>
      <c r="Q310" t="s">
        <v>16</v>
      </c>
    </row>
    <row r="311" spans="1:17" x14ac:dyDescent="0.3">
      <c r="A311">
        <v>100675336</v>
      </c>
      <c r="B311" t="s">
        <v>347</v>
      </c>
      <c r="C311" t="s">
        <v>19</v>
      </c>
      <c r="D311" t="s">
        <v>348</v>
      </c>
      <c r="E311" s="6">
        <v>3399.34</v>
      </c>
      <c r="F311" t="s">
        <v>643</v>
      </c>
      <c r="G311" s="4" t="str">
        <f t="shared" si="26"/>
        <v>3399.34</v>
      </c>
      <c r="H311" t="str">
        <f t="shared" si="27"/>
        <v>3399.34</v>
      </c>
      <c r="I311" s="1">
        <v>45716</v>
      </c>
      <c r="J311" s="2">
        <f t="shared" si="28"/>
        <v>-0.65429303946604345</v>
      </c>
      <c r="K311" s="3" t="str">
        <f t="shared" si="29"/>
        <v>Check!</v>
      </c>
      <c r="L311" t="str">
        <f t="shared" si="30"/>
        <v/>
      </c>
      <c r="M311" t="str">
        <f t="shared" si="31"/>
        <v/>
      </c>
      <c r="N311">
        <v>9833.01</v>
      </c>
      <c r="O311" t="s">
        <v>349</v>
      </c>
      <c r="Q311" t="s">
        <v>19</v>
      </c>
    </row>
    <row r="312" spans="1:17" x14ac:dyDescent="0.3">
      <c r="A312">
        <v>100677278</v>
      </c>
      <c r="B312" t="s">
        <v>350</v>
      </c>
      <c r="C312" t="s">
        <v>19</v>
      </c>
      <c r="D312" t="s">
        <v>351</v>
      </c>
      <c r="E312" s="6">
        <v>46167.67</v>
      </c>
      <c r="F312" t="s">
        <v>643</v>
      </c>
      <c r="G312" s="4" t="str">
        <f t="shared" si="26"/>
        <v>46167.67</v>
      </c>
      <c r="H312" t="str">
        <f t="shared" si="27"/>
        <v>46167.67</v>
      </c>
      <c r="I312" s="1">
        <v>45716</v>
      </c>
      <c r="J312" s="2">
        <f t="shared" si="28"/>
        <v>-0.19819035786099665</v>
      </c>
      <c r="K312" s="3" t="str">
        <f t="shared" si="29"/>
        <v>Check!</v>
      </c>
      <c r="L312" t="str">
        <f t="shared" si="30"/>
        <v/>
      </c>
      <c r="M312" t="str">
        <f t="shared" si="31"/>
        <v/>
      </c>
      <c r="N312">
        <v>57579.34</v>
      </c>
      <c r="O312" t="s">
        <v>352</v>
      </c>
      <c r="Q312" t="s">
        <v>19</v>
      </c>
    </row>
    <row r="313" spans="1:17" x14ac:dyDescent="0.3">
      <c r="A313">
        <v>100677585</v>
      </c>
      <c r="B313" t="s">
        <v>353</v>
      </c>
      <c r="C313" t="s">
        <v>19</v>
      </c>
      <c r="D313" t="s">
        <v>354</v>
      </c>
      <c r="E313" s="6">
        <v>4753.1099999999997</v>
      </c>
      <c r="F313" t="s">
        <v>643</v>
      </c>
      <c r="G313" s="4" t="str">
        <f t="shared" si="26"/>
        <v>4753.11</v>
      </c>
      <c r="H313" t="str">
        <f t="shared" si="27"/>
        <v>4753.11</v>
      </c>
      <c r="I313" s="1">
        <v>45716</v>
      </c>
      <c r="J313" s="2">
        <f t="shared" si="28"/>
        <v>-0.26817022154544468</v>
      </c>
      <c r="K313" s="3" t="str">
        <f t="shared" si="29"/>
        <v>Check!</v>
      </c>
      <c r="L313" t="str">
        <f t="shared" si="30"/>
        <v/>
      </c>
      <c r="M313" t="str">
        <f t="shared" si="31"/>
        <v/>
      </c>
      <c r="N313">
        <v>6494.83</v>
      </c>
      <c r="O313" t="s">
        <v>355</v>
      </c>
      <c r="Q313" t="s">
        <v>19</v>
      </c>
    </row>
    <row r="314" spans="1:17" x14ac:dyDescent="0.3">
      <c r="A314">
        <v>100706842</v>
      </c>
      <c r="B314" t="s">
        <v>356</v>
      </c>
      <c r="C314" t="s">
        <v>19</v>
      </c>
      <c r="D314" t="s">
        <v>357</v>
      </c>
      <c r="E314" s="6">
        <v>53282.03</v>
      </c>
      <c r="F314" t="s">
        <v>643</v>
      </c>
      <c r="G314" s="4" t="str">
        <f t="shared" si="26"/>
        <v>53282.03</v>
      </c>
      <c r="H314" t="str">
        <f t="shared" si="27"/>
        <v>53282.03</v>
      </c>
      <c r="I314" s="1">
        <v>45716</v>
      </c>
      <c r="J314" s="2">
        <f t="shared" si="28"/>
        <v>-0.10459459241448435</v>
      </c>
      <c r="K314" s="3" t="str">
        <f t="shared" si="29"/>
        <v>Check!</v>
      </c>
      <c r="L314" t="str">
        <f t="shared" si="30"/>
        <v/>
      </c>
      <c r="M314" t="str">
        <f t="shared" si="31"/>
        <v/>
      </c>
      <c r="N314">
        <v>59506.04</v>
      </c>
      <c r="O314" t="s">
        <v>358</v>
      </c>
      <c r="Q314" t="s">
        <v>19</v>
      </c>
    </row>
    <row r="315" spans="1:17" x14ac:dyDescent="0.3">
      <c r="A315">
        <v>100711105</v>
      </c>
      <c r="B315" t="s">
        <v>359</v>
      </c>
      <c r="C315" t="s">
        <v>590</v>
      </c>
      <c r="D315" t="s">
        <v>360</v>
      </c>
      <c r="E315" s="6">
        <v>175.89</v>
      </c>
      <c r="F315" t="s">
        <v>643</v>
      </c>
      <c r="G315" s="4" t="str">
        <f t="shared" si="26"/>
        <v>175.89</v>
      </c>
      <c r="H315" t="str">
        <f t="shared" si="27"/>
        <v>175.89</v>
      </c>
      <c r="I315" s="1">
        <v>45716</v>
      </c>
      <c r="J315" s="2">
        <f t="shared" si="28"/>
        <v>-5.2418920374959689E-2</v>
      </c>
      <c r="K315" s="3" t="str">
        <f t="shared" si="29"/>
        <v/>
      </c>
      <c r="L315" t="str">
        <f t="shared" si="30"/>
        <v/>
      </c>
      <c r="M315" t="str">
        <f t="shared" si="31"/>
        <v>Check</v>
      </c>
      <c r="N315">
        <v>185.62</v>
      </c>
      <c r="O315" t="s">
        <v>361</v>
      </c>
      <c r="Q315" t="s">
        <v>16</v>
      </c>
    </row>
    <row r="316" spans="1:17" x14ac:dyDescent="0.3">
      <c r="A316">
        <v>100786852</v>
      </c>
      <c r="B316" t="s">
        <v>636</v>
      </c>
      <c r="C316" t="s">
        <v>19</v>
      </c>
      <c r="D316" t="s">
        <v>637</v>
      </c>
      <c r="E316" s="6">
        <v>75325.94</v>
      </c>
      <c r="F316" t="s">
        <v>643</v>
      </c>
      <c r="G316" s="4" t="str">
        <f t="shared" si="26"/>
        <v>75325.94</v>
      </c>
      <c r="H316" t="str">
        <f t="shared" si="27"/>
        <v>75325.94</v>
      </c>
      <c r="I316" s="1">
        <v>45716</v>
      </c>
      <c r="J316" s="2">
        <f t="shared" si="28"/>
        <v>-0.15288214406930425</v>
      </c>
      <c r="K316" s="3" t="str">
        <f t="shared" si="29"/>
        <v>Check!</v>
      </c>
      <c r="L316" t="str">
        <f t="shared" si="30"/>
        <v/>
      </c>
      <c r="M316" t="str">
        <f t="shared" si="31"/>
        <v/>
      </c>
      <c r="N316">
        <v>88920.26</v>
      </c>
      <c r="O316" t="s">
        <v>674</v>
      </c>
      <c r="Q316" t="s">
        <v>19</v>
      </c>
    </row>
    <row r="317" spans="1:17" x14ac:dyDescent="0.3">
      <c r="A317">
        <v>100799345</v>
      </c>
      <c r="B317" t="s">
        <v>640</v>
      </c>
      <c r="C317" t="s">
        <v>590</v>
      </c>
      <c r="D317" t="s">
        <v>641</v>
      </c>
      <c r="E317" s="6">
        <v>113376.83</v>
      </c>
      <c r="F317" t="s">
        <v>643</v>
      </c>
      <c r="G317" s="4" t="str">
        <f t="shared" si="26"/>
        <v>113376.83</v>
      </c>
      <c r="H317" t="str">
        <f t="shared" si="27"/>
        <v>113376.83</v>
      </c>
      <c r="I317" s="1">
        <v>45716</v>
      </c>
      <c r="J317" s="2">
        <f t="shared" si="28"/>
        <v>0.27503934423943438</v>
      </c>
      <c r="K317" s="3" t="str">
        <f t="shared" si="29"/>
        <v>Check!</v>
      </c>
      <c r="L317" t="str">
        <f t="shared" si="30"/>
        <v/>
      </c>
      <c r="M317" t="str">
        <f t="shared" si="31"/>
        <v/>
      </c>
      <c r="N317">
        <v>88920.26</v>
      </c>
      <c r="O317" t="s">
        <v>675</v>
      </c>
      <c r="Q317" t="s">
        <v>590</v>
      </c>
    </row>
    <row r="318" spans="1:17" s="7" customFormat="1" x14ac:dyDescent="0.3">
      <c r="A318" s="7">
        <v>100655835</v>
      </c>
      <c r="B318" s="7" t="s">
        <v>284</v>
      </c>
      <c r="C318" s="7" t="s">
        <v>19</v>
      </c>
      <c r="D318" s="7" t="s">
        <v>285</v>
      </c>
      <c r="E318" s="8">
        <v>34067.910000000003</v>
      </c>
      <c r="F318" s="7" t="s">
        <v>365</v>
      </c>
      <c r="G318" s="4" t="str">
        <f t="shared" si="26"/>
        <v>34067.91</v>
      </c>
      <c r="H318" t="str">
        <f t="shared" si="27"/>
        <v>34067.91</v>
      </c>
      <c r="I318" s="1">
        <v>45716</v>
      </c>
      <c r="J318" s="2">
        <f t="shared" si="28"/>
        <v>1.2041267199741546E-2</v>
      </c>
      <c r="K318" s="3" t="str">
        <f t="shared" si="29"/>
        <v/>
      </c>
      <c r="L318" t="str">
        <f t="shared" si="30"/>
        <v/>
      </c>
      <c r="M318" t="str">
        <f t="shared" si="31"/>
        <v/>
      </c>
      <c r="N318" s="7">
        <v>33662.57</v>
      </c>
      <c r="O318" s="7" t="s">
        <v>286</v>
      </c>
      <c r="Q318" s="7" t="s">
        <v>19</v>
      </c>
    </row>
    <row r="319" spans="1:17" s="7" customFormat="1" x14ac:dyDescent="0.3">
      <c r="A319" s="7">
        <v>32490</v>
      </c>
      <c r="B319" s="7" t="s">
        <v>15</v>
      </c>
      <c r="C319" s="7" t="s">
        <v>590</v>
      </c>
      <c r="D319" s="7" t="s">
        <v>17</v>
      </c>
      <c r="E319" s="8">
        <v>17222.91</v>
      </c>
      <c r="F319" s="7" t="s">
        <v>366</v>
      </c>
      <c r="G319" s="4" t="str">
        <f t="shared" si="26"/>
        <v>17222.91</v>
      </c>
      <c r="H319" t="str">
        <f t="shared" si="27"/>
        <v>17222.91</v>
      </c>
      <c r="I319" s="1">
        <v>45716</v>
      </c>
      <c r="J319" s="2">
        <f t="shared" si="28"/>
        <v>-4.8673525103787507E-3</v>
      </c>
      <c r="K319" s="3" t="str">
        <f t="shared" si="29"/>
        <v/>
      </c>
      <c r="L319" t="str">
        <f t="shared" si="30"/>
        <v/>
      </c>
      <c r="M319" t="str">
        <f t="shared" si="31"/>
        <v>Check</v>
      </c>
      <c r="N319" s="7">
        <v>17307.150000000001</v>
      </c>
      <c r="O319" s="7" t="s">
        <v>367</v>
      </c>
      <c r="Q319" s="7" t="s">
        <v>16</v>
      </c>
    </row>
    <row r="320" spans="1:17" x14ac:dyDescent="0.3">
      <c r="A320">
        <v>32490</v>
      </c>
      <c r="B320" t="s">
        <v>15</v>
      </c>
      <c r="C320" t="s">
        <v>19</v>
      </c>
      <c r="D320" t="s">
        <v>20</v>
      </c>
      <c r="E320" s="6">
        <v>11796.33</v>
      </c>
      <c r="F320" t="s">
        <v>366</v>
      </c>
      <c r="G320" s="4" t="str">
        <f t="shared" si="26"/>
        <v>11796.33</v>
      </c>
      <c r="H320" t="str">
        <f t="shared" si="27"/>
        <v>11796.33</v>
      </c>
      <c r="I320" s="1">
        <v>45716</v>
      </c>
      <c r="J320" s="2">
        <f t="shared" si="28"/>
        <v>6.0741434408717139E-3</v>
      </c>
      <c r="K320" s="3" t="str">
        <f t="shared" si="29"/>
        <v/>
      </c>
      <c r="L320" t="str">
        <f t="shared" si="30"/>
        <v/>
      </c>
      <c r="M320" t="str">
        <f t="shared" si="31"/>
        <v/>
      </c>
      <c r="N320">
        <v>11725.11</v>
      </c>
      <c r="O320" t="s">
        <v>368</v>
      </c>
      <c r="Q320" t="s">
        <v>19</v>
      </c>
    </row>
    <row r="321" spans="1:17" x14ac:dyDescent="0.3">
      <c r="A321">
        <v>32490</v>
      </c>
      <c r="B321" t="s">
        <v>15</v>
      </c>
      <c r="C321" t="s">
        <v>19</v>
      </c>
      <c r="D321" t="s">
        <v>22</v>
      </c>
      <c r="E321" s="6">
        <v>43721.64</v>
      </c>
      <c r="F321" t="s">
        <v>366</v>
      </c>
      <c r="G321" s="4" t="str">
        <f t="shared" si="26"/>
        <v>43721.64</v>
      </c>
      <c r="H321" t="str">
        <f t="shared" si="27"/>
        <v>43721.64</v>
      </c>
      <c r="I321" s="1">
        <v>45716</v>
      </c>
      <c r="J321" s="2">
        <f t="shared" si="28"/>
        <v>1.7695278730998063E-3</v>
      </c>
      <c r="K321" s="3" t="str">
        <f t="shared" si="29"/>
        <v/>
      </c>
      <c r="L321" t="str">
        <f t="shared" si="30"/>
        <v/>
      </c>
      <c r="M321" t="str">
        <f t="shared" si="31"/>
        <v/>
      </c>
      <c r="N321">
        <v>43644.41</v>
      </c>
      <c r="O321" t="s">
        <v>369</v>
      </c>
      <c r="Q321" t="s">
        <v>19</v>
      </c>
    </row>
    <row r="322" spans="1:17" x14ac:dyDescent="0.3">
      <c r="A322">
        <v>33672</v>
      </c>
      <c r="B322" t="s">
        <v>24</v>
      </c>
      <c r="C322" t="s">
        <v>19</v>
      </c>
      <c r="D322" t="s">
        <v>25</v>
      </c>
      <c r="E322" s="6">
        <v>232070.51</v>
      </c>
      <c r="F322" t="s">
        <v>366</v>
      </c>
      <c r="G322" s="4" t="str">
        <f t="shared" si="26"/>
        <v>232070.51</v>
      </c>
      <c r="H322" t="str">
        <f t="shared" si="27"/>
        <v>232070.51</v>
      </c>
      <c r="I322" s="1">
        <v>45716</v>
      </c>
      <c r="J322" s="2">
        <f t="shared" si="28"/>
        <v>-7.4466358857613064E-3</v>
      </c>
      <c r="K322" s="3" t="str">
        <f t="shared" si="29"/>
        <v/>
      </c>
      <c r="L322" t="str">
        <f t="shared" si="30"/>
        <v/>
      </c>
      <c r="M322" t="str">
        <f t="shared" si="31"/>
        <v/>
      </c>
      <c r="N322">
        <v>233811.62</v>
      </c>
      <c r="O322" t="s">
        <v>370</v>
      </c>
      <c r="Q322" t="s">
        <v>19</v>
      </c>
    </row>
    <row r="323" spans="1:17" x14ac:dyDescent="0.3">
      <c r="A323">
        <v>34171</v>
      </c>
      <c r="B323" t="s">
        <v>27</v>
      </c>
      <c r="C323" t="s">
        <v>19</v>
      </c>
      <c r="D323" t="s">
        <v>28</v>
      </c>
      <c r="E323" s="6">
        <v>35278.83</v>
      </c>
      <c r="F323" t="s">
        <v>366</v>
      </c>
      <c r="G323" s="4" t="str">
        <f t="shared" ref="G323:G386" si="32">SUBSTITUTE(E323,"R","")</f>
        <v>35278.83</v>
      </c>
      <c r="H323" t="str">
        <f t="shared" ref="H323:H386" si="33">SUBSTITUTE(G323,",","")</f>
        <v>35278.83</v>
      </c>
      <c r="I323" s="1">
        <v>45716</v>
      </c>
      <c r="J323" s="2">
        <f t="shared" ref="J323:J386" si="34">(H323-N323)/N323</f>
        <v>-7.5817864964195757E-3</v>
      </c>
      <c r="K323" s="3" t="str">
        <f t="shared" ref="K323:K386" si="35">IF(ABS(J323)&gt;0.1,"Check!","")</f>
        <v/>
      </c>
      <c r="L323" t="str">
        <f t="shared" ref="L323:L386" si="36">IF(LEFT(O323,10)&lt;&gt;LEFT(D323,10),"Check","")</f>
        <v/>
      </c>
      <c r="M323" t="str">
        <f t="shared" ref="M323:M386" si="37">IF(Q323&lt;&gt;C323,"Check","")</f>
        <v/>
      </c>
      <c r="N323">
        <v>35548.35</v>
      </c>
      <c r="O323" t="s">
        <v>371</v>
      </c>
      <c r="Q323" t="s">
        <v>19</v>
      </c>
    </row>
    <row r="324" spans="1:17" x14ac:dyDescent="0.3">
      <c r="A324">
        <v>34173</v>
      </c>
      <c r="B324" t="s">
        <v>30</v>
      </c>
      <c r="C324" t="s">
        <v>19</v>
      </c>
      <c r="D324" t="s">
        <v>31</v>
      </c>
      <c r="E324" s="6">
        <v>137681.74</v>
      </c>
      <c r="F324" t="s">
        <v>366</v>
      </c>
      <c r="G324" s="4" t="str">
        <f t="shared" si="32"/>
        <v>137681.74</v>
      </c>
      <c r="H324" t="str">
        <f t="shared" si="33"/>
        <v>137681.74</v>
      </c>
      <c r="I324" s="1">
        <v>45716</v>
      </c>
      <c r="J324" s="2">
        <f t="shared" si="34"/>
        <v>-3.3982329941228974E-3</v>
      </c>
      <c r="K324" s="3" t="str">
        <f t="shared" si="35"/>
        <v/>
      </c>
      <c r="L324" t="str">
        <f t="shared" si="36"/>
        <v/>
      </c>
      <c r="M324" t="str">
        <f t="shared" si="37"/>
        <v/>
      </c>
      <c r="N324">
        <v>138151.21</v>
      </c>
      <c r="O324" t="s">
        <v>372</v>
      </c>
      <c r="Q324" t="s">
        <v>19</v>
      </c>
    </row>
    <row r="325" spans="1:17" x14ac:dyDescent="0.3">
      <c r="A325">
        <v>34199</v>
      </c>
      <c r="B325" t="s">
        <v>36</v>
      </c>
      <c r="C325" t="s">
        <v>19</v>
      </c>
      <c r="D325" t="s">
        <v>39</v>
      </c>
      <c r="E325" s="6">
        <v>30856.45</v>
      </c>
      <c r="F325" t="s">
        <v>366</v>
      </c>
      <c r="G325" s="4" t="str">
        <f t="shared" si="32"/>
        <v>30856.45</v>
      </c>
      <c r="H325" t="str">
        <f t="shared" si="33"/>
        <v>30856.45</v>
      </c>
      <c r="I325" s="1">
        <v>45716</v>
      </c>
      <c r="J325" s="2">
        <f t="shared" si="34"/>
        <v>-5.5202233614898297E-3</v>
      </c>
      <c r="K325" s="3" t="str">
        <f t="shared" si="35"/>
        <v/>
      </c>
      <c r="L325" t="str">
        <f t="shared" si="36"/>
        <v/>
      </c>
      <c r="M325" t="str">
        <f t="shared" si="37"/>
        <v/>
      </c>
      <c r="N325">
        <v>31027.73</v>
      </c>
      <c r="O325" t="s">
        <v>373</v>
      </c>
      <c r="Q325" t="s">
        <v>19</v>
      </c>
    </row>
    <row r="326" spans="1:17" x14ac:dyDescent="0.3">
      <c r="A326">
        <v>34200</v>
      </c>
      <c r="B326" t="s">
        <v>592</v>
      </c>
      <c r="C326" t="s">
        <v>590</v>
      </c>
      <c r="D326" t="s">
        <v>595</v>
      </c>
      <c r="E326" s="6">
        <v>34810.69</v>
      </c>
      <c r="F326" t="s">
        <v>366</v>
      </c>
      <c r="G326" s="4" t="str">
        <f t="shared" si="32"/>
        <v>34810.69</v>
      </c>
      <c r="H326" t="str">
        <f t="shared" si="33"/>
        <v>34810.69</v>
      </c>
      <c r="I326" s="1">
        <v>45716</v>
      </c>
      <c r="J326" s="2">
        <f t="shared" si="34"/>
        <v>6.6759233750477792E-2</v>
      </c>
      <c r="K326" s="3" t="str">
        <f t="shared" si="35"/>
        <v/>
      </c>
      <c r="L326" t="str">
        <f t="shared" si="36"/>
        <v/>
      </c>
      <c r="M326" t="str">
        <f t="shared" si="37"/>
        <v/>
      </c>
      <c r="N326">
        <v>32632.19</v>
      </c>
      <c r="O326" t="s">
        <v>676</v>
      </c>
      <c r="Q326" t="s">
        <v>590</v>
      </c>
    </row>
    <row r="327" spans="1:17" x14ac:dyDescent="0.3">
      <c r="A327">
        <v>34200</v>
      </c>
      <c r="B327" t="s">
        <v>592</v>
      </c>
      <c r="C327" t="s">
        <v>611</v>
      </c>
      <c r="D327" t="s">
        <v>42</v>
      </c>
      <c r="E327" s="6">
        <v>76990.95</v>
      </c>
      <c r="F327" t="s">
        <v>366</v>
      </c>
      <c r="G327" s="4" t="str">
        <f t="shared" si="32"/>
        <v>76990.95</v>
      </c>
      <c r="H327" t="str">
        <f t="shared" si="33"/>
        <v>76990.95</v>
      </c>
      <c r="I327" s="1">
        <v>45716</v>
      </c>
      <c r="J327" s="2">
        <f t="shared" si="34"/>
        <v>6.7902252454469722E-3</v>
      </c>
      <c r="K327" s="3" t="str">
        <f t="shared" si="35"/>
        <v/>
      </c>
      <c r="L327" t="str">
        <f t="shared" si="36"/>
        <v/>
      </c>
      <c r="M327" t="str">
        <f t="shared" si="37"/>
        <v>Check</v>
      </c>
      <c r="N327">
        <v>76471.69</v>
      </c>
      <c r="O327" t="s">
        <v>43</v>
      </c>
      <c r="Q327" t="s">
        <v>41</v>
      </c>
    </row>
    <row r="328" spans="1:17" x14ac:dyDescent="0.3">
      <c r="A328">
        <v>34200</v>
      </c>
      <c r="B328" t="s">
        <v>592</v>
      </c>
      <c r="C328" t="s">
        <v>611</v>
      </c>
      <c r="D328" t="s">
        <v>44</v>
      </c>
      <c r="E328" s="6">
        <v>42485.02</v>
      </c>
      <c r="F328" t="s">
        <v>366</v>
      </c>
      <c r="G328" s="4" t="str">
        <f t="shared" si="32"/>
        <v>42485.02</v>
      </c>
      <c r="H328" t="str">
        <f t="shared" si="33"/>
        <v>42485.02</v>
      </c>
      <c r="I328" s="1">
        <v>45716</v>
      </c>
      <c r="J328" s="2">
        <f t="shared" si="34"/>
        <v>8.007349422374169E-3</v>
      </c>
      <c r="K328" s="3" t="str">
        <f t="shared" si="35"/>
        <v/>
      </c>
      <c r="L328" t="str">
        <f t="shared" si="36"/>
        <v/>
      </c>
      <c r="M328" t="str">
        <f t="shared" si="37"/>
        <v>Check</v>
      </c>
      <c r="N328">
        <v>42147.53</v>
      </c>
      <c r="O328" t="s">
        <v>45</v>
      </c>
      <c r="Q328" t="s">
        <v>41</v>
      </c>
    </row>
    <row r="329" spans="1:17" x14ac:dyDescent="0.3">
      <c r="A329">
        <v>34200</v>
      </c>
      <c r="B329" t="s">
        <v>592</v>
      </c>
      <c r="C329" t="s">
        <v>609</v>
      </c>
      <c r="D329" t="s">
        <v>610</v>
      </c>
      <c r="E329" s="6">
        <v>3222.94</v>
      </c>
      <c r="F329" t="s">
        <v>366</v>
      </c>
      <c r="G329" s="4" t="str">
        <f t="shared" si="32"/>
        <v>3222.94</v>
      </c>
      <c r="H329" t="str">
        <f t="shared" si="33"/>
        <v>3222.94</v>
      </c>
      <c r="I329" s="1">
        <v>45716</v>
      </c>
      <c r="J329" s="2">
        <f t="shared" si="34"/>
        <v>0.18693791569379889</v>
      </c>
      <c r="K329" s="3" t="str">
        <f t="shared" si="35"/>
        <v>Check!</v>
      </c>
      <c r="L329" t="str">
        <f t="shared" si="36"/>
        <v/>
      </c>
      <c r="M329" t="str">
        <f t="shared" si="37"/>
        <v/>
      </c>
      <c r="N329">
        <v>2715.34</v>
      </c>
      <c r="O329" t="s">
        <v>644</v>
      </c>
      <c r="Q329" t="s">
        <v>609</v>
      </c>
    </row>
    <row r="330" spans="1:17" x14ac:dyDescent="0.3">
      <c r="A330">
        <v>34200</v>
      </c>
      <c r="B330" t="s">
        <v>592</v>
      </c>
      <c r="C330" t="s">
        <v>606</v>
      </c>
      <c r="D330" t="s">
        <v>607</v>
      </c>
      <c r="E330" s="6">
        <v>5275.93</v>
      </c>
      <c r="F330" t="s">
        <v>366</v>
      </c>
      <c r="G330" s="4" t="str">
        <f t="shared" si="32"/>
        <v>5275.93</v>
      </c>
      <c r="H330" t="str">
        <f t="shared" si="33"/>
        <v>5275.93</v>
      </c>
      <c r="I330" s="1">
        <v>45716</v>
      </c>
      <c r="J330" s="2">
        <f t="shared" si="34"/>
        <v>4.2216655933562754E-2</v>
      </c>
      <c r="K330" s="3" t="str">
        <f t="shared" si="35"/>
        <v/>
      </c>
      <c r="L330" t="str">
        <f t="shared" si="36"/>
        <v/>
      </c>
      <c r="M330" t="str">
        <f t="shared" si="37"/>
        <v/>
      </c>
      <c r="N330">
        <v>5062.22</v>
      </c>
      <c r="O330" t="s">
        <v>645</v>
      </c>
      <c r="Q330" t="s">
        <v>606</v>
      </c>
    </row>
    <row r="331" spans="1:17" x14ac:dyDescent="0.3">
      <c r="A331">
        <v>34200</v>
      </c>
      <c r="B331" t="s">
        <v>592</v>
      </c>
      <c r="C331" t="s">
        <v>606</v>
      </c>
      <c r="D331" t="s">
        <v>608</v>
      </c>
      <c r="E331" s="6">
        <v>3710</v>
      </c>
      <c r="F331" t="s">
        <v>366</v>
      </c>
      <c r="G331" s="4" t="str">
        <f t="shared" si="32"/>
        <v>3710</v>
      </c>
      <c r="H331" t="str">
        <f t="shared" si="33"/>
        <v>3710</v>
      </c>
      <c r="I331" s="1">
        <v>45716</v>
      </c>
      <c r="J331" s="2">
        <f t="shared" si="34"/>
        <v>3.3399591632523114E-3</v>
      </c>
      <c r="K331" s="3" t="str">
        <f t="shared" si="35"/>
        <v/>
      </c>
      <c r="L331" t="str">
        <f t="shared" si="36"/>
        <v/>
      </c>
      <c r="M331" t="str">
        <f t="shared" si="37"/>
        <v/>
      </c>
      <c r="N331">
        <v>3697.65</v>
      </c>
      <c r="O331" t="s">
        <v>646</v>
      </c>
      <c r="Q331" t="s">
        <v>606</v>
      </c>
    </row>
    <row r="332" spans="1:17" x14ac:dyDescent="0.3">
      <c r="A332">
        <v>34202</v>
      </c>
      <c r="B332" t="s">
        <v>46</v>
      </c>
      <c r="C332" t="s">
        <v>19</v>
      </c>
      <c r="D332" t="s">
        <v>49</v>
      </c>
      <c r="E332" s="6">
        <v>694669.81</v>
      </c>
      <c r="F332" t="s">
        <v>366</v>
      </c>
      <c r="G332" s="4" t="str">
        <f t="shared" si="32"/>
        <v>694669.81</v>
      </c>
      <c r="H332" t="str">
        <f t="shared" si="33"/>
        <v>694669.81</v>
      </c>
      <c r="I332" s="1">
        <v>45716</v>
      </c>
      <c r="J332" s="2">
        <f t="shared" si="34"/>
        <v>-7.4688393894628297E-3</v>
      </c>
      <c r="K332" s="3" t="str">
        <f t="shared" si="35"/>
        <v/>
      </c>
      <c r="L332" t="str">
        <f t="shared" si="36"/>
        <v/>
      </c>
      <c r="M332" t="str">
        <f t="shared" si="37"/>
        <v/>
      </c>
      <c r="N332">
        <v>699897.23</v>
      </c>
      <c r="O332" t="s">
        <v>375</v>
      </c>
      <c r="Q332" t="s">
        <v>19</v>
      </c>
    </row>
    <row r="333" spans="1:17" x14ac:dyDescent="0.3">
      <c r="A333">
        <v>34202</v>
      </c>
      <c r="B333" t="s">
        <v>46</v>
      </c>
      <c r="C333" t="s">
        <v>19</v>
      </c>
      <c r="D333" t="s">
        <v>47</v>
      </c>
      <c r="E333" s="6">
        <v>1247.8800000000001</v>
      </c>
      <c r="F333" t="s">
        <v>366</v>
      </c>
      <c r="G333" s="4" t="str">
        <f t="shared" si="32"/>
        <v>1247.88</v>
      </c>
      <c r="H333" t="str">
        <f t="shared" si="33"/>
        <v>1247.88</v>
      </c>
      <c r="I333" s="1">
        <v>45716</v>
      </c>
      <c r="J333" s="2">
        <f t="shared" si="34"/>
        <v>-6.7338459334255136E-3</v>
      </c>
      <c r="K333" s="3" t="str">
        <f t="shared" si="35"/>
        <v/>
      </c>
      <c r="L333" t="str">
        <f t="shared" si="36"/>
        <v/>
      </c>
      <c r="M333" t="str">
        <f t="shared" si="37"/>
        <v/>
      </c>
      <c r="N333">
        <v>1256.3399999999999</v>
      </c>
      <c r="O333" t="s">
        <v>374</v>
      </c>
      <c r="Q333" t="s">
        <v>19</v>
      </c>
    </row>
    <row r="334" spans="1:17" x14ac:dyDescent="0.3">
      <c r="A334">
        <v>34202</v>
      </c>
      <c r="B334" t="s">
        <v>46</v>
      </c>
      <c r="C334" t="s">
        <v>19</v>
      </c>
      <c r="D334" t="s">
        <v>47</v>
      </c>
      <c r="E334" s="6">
        <v>132832.79</v>
      </c>
      <c r="F334" t="s">
        <v>366</v>
      </c>
      <c r="G334" s="4" t="str">
        <f t="shared" si="32"/>
        <v>132832.79</v>
      </c>
      <c r="H334" t="str">
        <f t="shared" si="33"/>
        <v>132832.79</v>
      </c>
      <c r="I334" s="1">
        <v>45716</v>
      </c>
      <c r="J334" s="2">
        <f t="shared" si="34"/>
        <v>-7.3216616800877935E-3</v>
      </c>
      <c r="K334" s="3" t="str">
        <f t="shared" si="35"/>
        <v/>
      </c>
      <c r="L334" t="str">
        <f t="shared" si="36"/>
        <v/>
      </c>
      <c r="M334" t="str">
        <f t="shared" si="37"/>
        <v/>
      </c>
      <c r="N334">
        <v>133812.51999999999</v>
      </c>
      <c r="O334" t="s">
        <v>374</v>
      </c>
      <c r="Q334" t="s">
        <v>19</v>
      </c>
    </row>
    <row r="335" spans="1:17" x14ac:dyDescent="0.3">
      <c r="A335">
        <v>34209</v>
      </c>
      <c r="B335" t="s">
        <v>51</v>
      </c>
      <c r="C335" t="s">
        <v>590</v>
      </c>
      <c r="D335" t="s">
        <v>376</v>
      </c>
      <c r="E335" s="6">
        <v>67526.11</v>
      </c>
      <c r="F335" t="s">
        <v>366</v>
      </c>
      <c r="G335" s="4" t="str">
        <f t="shared" si="32"/>
        <v>67526.11</v>
      </c>
      <c r="H335" t="str">
        <f t="shared" si="33"/>
        <v>67526.11</v>
      </c>
      <c r="I335" s="1">
        <v>45716</v>
      </c>
      <c r="J335" s="2">
        <f t="shared" si="34"/>
        <v>0.10132136820274482</v>
      </c>
      <c r="K335" s="3" t="str">
        <f t="shared" si="35"/>
        <v>Check!</v>
      </c>
      <c r="L335" t="str">
        <f t="shared" si="36"/>
        <v/>
      </c>
      <c r="M335" t="str">
        <f t="shared" si="37"/>
        <v>Check</v>
      </c>
      <c r="N335">
        <v>61313.72</v>
      </c>
      <c r="O335" t="s">
        <v>377</v>
      </c>
      <c r="Q335" t="s">
        <v>16</v>
      </c>
    </row>
    <row r="336" spans="1:17" x14ac:dyDescent="0.3">
      <c r="A336">
        <v>34209</v>
      </c>
      <c r="B336" t="s">
        <v>51</v>
      </c>
      <c r="C336" t="s">
        <v>19</v>
      </c>
      <c r="D336" t="s">
        <v>54</v>
      </c>
      <c r="E336" s="6">
        <v>200768.25</v>
      </c>
      <c r="F336" t="s">
        <v>366</v>
      </c>
      <c r="G336" s="4" t="str">
        <f t="shared" si="32"/>
        <v>200768.25</v>
      </c>
      <c r="H336" t="str">
        <f t="shared" si="33"/>
        <v>200768.25</v>
      </c>
      <c r="I336" s="1">
        <v>45716</v>
      </c>
      <c r="J336" s="2">
        <f t="shared" si="34"/>
        <v>8.1782937833949369E-4</v>
      </c>
      <c r="K336" s="3" t="str">
        <f t="shared" si="35"/>
        <v/>
      </c>
      <c r="L336" t="str">
        <f t="shared" si="36"/>
        <v/>
      </c>
      <c r="M336" t="str">
        <f t="shared" si="37"/>
        <v/>
      </c>
      <c r="N336">
        <v>200604.19</v>
      </c>
      <c r="O336" t="s">
        <v>379</v>
      </c>
      <c r="Q336" t="s">
        <v>19</v>
      </c>
    </row>
    <row r="337" spans="1:17" x14ac:dyDescent="0.3">
      <c r="A337">
        <v>34209</v>
      </c>
      <c r="B337" t="s">
        <v>51</v>
      </c>
      <c r="C337" t="s">
        <v>19</v>
      </c>
      <c r="D337" t="s">
        <v>52</v>
      </c>
      <c r="E337" s="6">
        <v>155722.64000000001</v>
      </c>
      <c r="F337" t="s">
        <v>366</v>
      </c>
      <c r="G337" s="4" t="str">
        <f t="shared" si="32"/>
        <v>155722.64</v>
      </c>
      <c r="H337" t="str">
        <f t="shared" si="33"/>
        <v>155722.64</v>
      </c>
      <c r="I337" s="1">
        <v>45716</v>
      </c>
      <c r="J337" s="2">
        <f t="shared" si="34"/>
        <v>9.1747070154962046E-4</v>
      </c>
      <c r="K337" s="3" t="str">
        <f t="shared" si="35"/>
        <v/>
      </c>
      <c r="L337" t="str">
        <f t="shared" si="36"/>
        <v/>
      </c>
      <c r="M337" t="str">
        <f t="shared" si="37"/>
        <v/>
      </c>
      <c r="N337">
        <v>155579.9</v>
      </c>
      <c r="O337" t="s">
        <v>378</v>
      </c>
      <c r="Q337" t="s">
        <v>19</v>
      </c>
    </row>
    <row r="338" spans="1:17" x14ac:dyDescent="0.3">
      <c r="A338">
        <v>34209</v>
      </c>
      <c r="B338" t="s">
        <v>51</v>
      </c>
      <c r="C338" t="s">
        <v>612</v>
      </c>
      <c r="D338" t="s">
        <v>57</v>
      </c>
      <c r="E338" s="6">
        <v>14953.19</v>
      </c>
      <c r="F338" t="s">
        <v>366</v>
      </c>
      <c r="G338" s="4" t="str">
        <f t="shared" si="32"/>
        <v>14953.19</v>
      </c>
      <c r="H338" t="str">
        <f t="shared" si="33"/>
        <v>14953.19</v>
      </c>
      <c r="I338" s="1">
        <v>45716</v>
      </c>
      <c r="J338" s="2">
        <f t="shared" si="34"/>
        <v>8.3591663221894152E-3</v>
      </c>
      <c r="K338" s="3" t="str">
        <f t="shared" si="35"/>
        <v/>
      </c>
      <c r="L338" t="str">
        <f t="shared" si="36"/>
        <v/>
      </c>
      <c r="M338" t="str">
        <f t="shared" si="37"/>
        <v>Check</v>
      </c>
      <c r="N338">
        <v>14829.23</v>
      </c>
      <c r="O338" t="s">
        <v>58</v>
      </c>
      <c r="Q338" t="s">
        <v>56</v>
      </c>
    </row>
    <row r="339" spans="1:17" x14ac:dyDescent="0.3">
      <c r="A339">
        <v>34216</v>
      </c>
      <c r="B339" t="s">
        <v>59</v>
      </c>
      <c r="C339" t="s">
        <v>19</v>
      </c>
      <c r="D339" t="s">
        <v>60</v>
      </c>
      <c r="E339" s="6">
        <v>88395.82</v>
      </c>
      <c r="F339" t="s">
        <v>366</v>
      </c>
      <c r="G339" s="4" t="str">
        <f t="shared" si="32"/>
        <v>88395.82</v>
      </c>
      <c r="H339" t="str">
        <f t="shared" si="33"/>
        <v>88395.82</v>
      </c>
      <c r="I339" s="1">
        <v>45716</v>
      </c>
      <c r="J339" s="2">
        <f t="shared" si="34"/>
        <v>-1.2513195348096756E-3</v>
      </c>
      <c r="K339" s="3" t="str">
        <f t="shared" si="35"/>
        <v/>
      </c>
      <c r="L339" t="str">
        <f t="shared" si="36"/>
        <v/>
      </c>
      <c r="M339" t="str">
        <f t="shared" si="37"/>
        <v/>
      </c>
      <c r="N339">
        <v>88506.57</v>
      </c>
      <c r="O339" t="s">
        <v>380</v>
      </c>
      <c r="Q339" t="s">
        <v>19</v>
      </c>
    </row>
    <row r="340" spans="1:17" x14ac:dyDescent="0.3">
      <c r="A340">
        <v>34337</v>
      </c>
      <c r="B340" t="s">
        <v>64</v>
      </c>
      <c r="C340" t="s">
        <v>590</v>
      </c>
      <c r="D340" t="s">
        <v>65</v>
      </c>
      <c r="E340" s="6">
        <v>3895.24</v>
      </c>
      <c r="F340" t="s">
        <v>366</v>
      </c>
      <c r="G340" s="4" t="str">
        <f t="shared" si="32"/>
        <v>3895.24</v>
      </c>
      <c r="H340" t="str">
        <f t="shared" si="33"/>
        <v>3895.24</v>
      </c>
      <c r="I340" s="1">
        <v>45716</v>
      </c>
      <c r="J340" s="2">
        <f t="shared" si="34"/>
        <v>3.6251954951727725E-3</v>
      </c>
      <c r="K340" s="3" t="str">
        <f t="shared" si="35"/>
        <v/>
      </c>
      <c r="L340" t="str">
        <f t="shared" si="36"/>
        <v/>
      </c>
      <c r="M340" t="str">
        <f t="shared" si="37"/>
        <v>Check</v>
      </c>
      <c r="N340">
        <v>3881.17</v>
      </c>
      <c r="O340" t="s">
        <v>381</v>
      </c>
      <c r="Q340" t="s">
        <v>16</v>
      </c>
    </row>
    <row r="341" spans="1:17" x14ac:dyDescent="0.3">
      <c r="A341">
        <v>34337</v>
      </c>
      <c r="B341" t="s">
        <v>64</v>
      </c>
      <c r="C341" t="s">
        <v>19</v>
      </c>
      <c r="D341" t="s">
        <v>67</v>
      </c>
      <c r="E341" s="6">
        <v>50678.32</v>
      </c>
      <c r="F341" t="s">
        <v>366</v>
      </c>
      <c r="G341" s="4" t="str">
        <f t="shared" si="32"/>
        <v>50678.32</v>
      </c>
      <c r="H341" t="str">
        <f t="shared" si="33"/>
        <v>50678.32</v>
      </c>
      <c r="I341" s="1">
        <v>45716</v>
      </c>
      <c r="J341" s="2">
        <f t="shared" si="34"/>
        <v>-7.7567098565252098E-3</v>
      </c>
      <c r="K341" s="3" t="str">
        <f t="shared" si="35"/>
        <v/>
      </c>
      <c r="L341" t="str">
        <f t="shared" si="36"/>
        <v/>
      </c>
      <c r="M341" t="str">
        <f t="shared" si="37"/>
        <v/>
      </c>
      <c r="N341">
        <v>51074.49</v>
      </c>
      <c r="O341" t="s">
        <v>382</v>
      </c>
      <c r="Q341" t="s">
        <v>19</v>
      </c>
    </row>
    <row r="342" spans="1:17" x14ac:dyDescent="0.3">
      <c r="A342">
        <v>34395</v>
      </c>
      <c r="B342" t="s">
        <v>69</v>
      </c>
      <c r="C342" t="s">
        <v>590</v>
      </c>
      <c r="D342" t="s">
        <v>383</v>
      </c>
      <c r="E342" s="6">
        <v>21496.86</v>
      </c>
      <c r="F342" t="s">
        <v>366</v>
      </c>
      <c r="G342" s="4" t="str">
        <f t="shared" si="32"/>
        <v>21496.86</v>
      </c>
      <c r="H342" t="str">
        <f t="shared" si="33"/>
        <v>21496.86</v>
      </c>
      <c r="I342" s="1">
        <v>45716</v>
      </c>
      <c r="J342" s="2">
        <f t="shared" si="34"/>
        <v>8.432193669779816E-3</v>
      </c>
      <c r="K342" s="3" t="str">
        <f t="shared" si="35"/>
        <v/>
      </c>
      <c r="L342" t="str">
        <f t="shared" si="36"/>
        <v/>
      </c>
      <c r="M342" t="str">
        <f t="shared" si="37"/>
        <v>Check</v>
      </c>
      <c r="N342">
        <v>21317.11</v>
      </c>
      <c r="O342" t="s">
        <v>384</v>
      </c>
      <c r="Q342" t="s">
        <v>16</v>
      </c>
    </row>
    <row r="343" spans="1:17" x14ac:dyDescent="0.3">
      <c r="A343">
        <v>34395</v>
      </c>
      <c r="B343" t="s">
        <v>69</v>
      </c>
      <c r="C343" t="s">
        <v>19</v>
      </c>
      <c r="D343" t="s">
        <v>74</v>
      </c>
      <c r="E343" s="6">
        <v>19470.27</v>
      </c>
      <c r="F343" t="s">
        <v>366</v>
      </c>
      <c r="G343" s="4" t="str">
        <f t="shared" si="32"/>
        <v>19470.27</v>
      </c>
      <c r="H343" t="str">
        <f t="shared" si="33"/>
        <v>19470.27</v>
      </c>
      <c r="I343" s="1">
        <v>45716</v>
      </c>
      <c r="J343" s="2">
        <f t="shared" si="34"/>
        <v>-5.7478924139157265E-3</v>
      </c>
      <c r="K343" s="3" t="str">
        <f t="shared" si="35"/>
        <v/>
      </c>
      <c r="L343" t="str">
        <f t="shared" si="36"/>
        <v/>
      </c>
      <c r="M343" t="str">
        <f t="shared" si="37"/>
        <v/>
      </c>
      <c r="N343">
        <v>19582.830000000002</v>
      </c>
      <c r="O343" t="s">
        <v>386</v>
      </c>
      <c r="Q343" t="s">
        <v>19</v>
      </c>
    </row>
    <row r="344" spans="1:17" x14ac:dyDescent="0.3">
      <c r="A344">
        <v>34395</v>
      </c>
      <c r="B344" t="s">
        <v>69</v>
      </c>
      <c r="C344" t="s">
        <v>19</v>
      </c>
      <c r="D344" t="s">
        <v>72</v>
      </c>
      <c r="E344" s="6">
        <v>11725.65</v>
      </c>
      <c r="F344" t="s">
        <v>366</v>
      </c>
      <c r="G344" s="4" t="str">
        <f t="shared" si="32"/>
        <v>11725.65</v>
      </c>
      <c r="H344" t="str">
        <f t="shared" si="33"/>
        <v>11725.65</v>
      </c>
      <c r="I344" s="1">
        <v>45716</v>
      </c>
      <c r="J344" s="2">
        <f t="shared" si="34"/>
        <v>-4.3525848461099066E-3</v>
      </c>
      <c r="K344" s="3" t="str">
        <f t="shared" si="35"/>
        <v/>
      </c>
      <c r="L344" t="str">
        <f t="shared" si="36"/>
        <v/>
      </c>
      <c r="M344" t="str">
        <f t="shared" si="37"/>
        <v/>
      </c>
      <c r="N344">
        <v>11776.91</v>
      </c>
      <c r="O344" t="s">
        <v>387</v>
      </c>
      <c r="Q344" t="s">
        <v>19</v>
      </c>
    </row>
    <row r="345" spans="1:17" x14ac:dyDescent="0.3">
      <c r="A345">
        <v>34395</v>
      </c>
      <c r="B345" t="s">
        <v>69</v>
      </c>
      <c r="C345" t="s">
        <v>19</v>
      </c>
      <c r="D345" t="s">
        <v>70</v>
      </c>
      <c r="E345" s="6">
        <v>192209.58</v>
      </c>
      <c r="F345" t="s">
        <v>366</v>
      </c>
      <c r="G345" s="4" t="str">
        <f t="shared" si="32"/>
        <v>192209.58</v>
      </c>
      <c r="H345" t="str">
        <f t="shared" si="33"/>
        <v>192209.58</v>
      </c>
      <c r="I345" s="1">
        <v>45716</v>
      </c>
      <c r="J345" s="2">
        <f t="shared" si="34"/>
        <v>3.7864153419382004E-3</v>
      </c>
      <c r="K345" s="3" t="str">
        <f t="shared" si="35"/>
        <v/>
      </c>
      <c r="L345" t="str">
        <f t="shared" si="36"/>
        <v/>
      </c>
      <c r="M345" t="str">
        <f t="shared" si="37"/>
        <v/>
      </c>
      <c r="N345">
        <v>191484.54</v>
      </c>
      <c r="O345" t="s">
        <v>385</v>
      </c>
      <c r="Q345" t="s">
        <v>19</v>
      </c>
    </row>
    <row r="346" spans="1:17" x14ac:dyDescent="0.3">
      <c r="A346">
        <v>36048</v>
      </c>
      <c r="B346" t="s">
        <v>76</v>
      </c>
      <c r="C346" t="s">
        <v>19</v>
      </c>
      <c r="D346" t="s">
        <v>77</v>
      </c>
      <c r="E346" s="6">
        <v>10525.03</v>
      </c>
      <c r="F346" t="s">
        <v>366</v>
      </c>
      <c r="G346" s="4" t="str">
        <f t="shared" si="32"/>
        <v>10525.03</v>
      </c>
      <c r="H346" t="str">
        <f t="shared" si="33"/>
        <v>10525.03</v>
      </c>
      <c r="I346" s="1">
        <v>45716</v>
      </c>
      <c r="J346" s="2">
        <f t="shared" si="34"/>
        <v>6.7454141801003044E-3</v>
      </c>
      <c r="K346" s="3" t="str">
        <f t="shared" si="35"/>
        <v/>
      </c>
      <c r="L346" t="str">
        <f t="shared" si="36"/>
        <v/>
      </c>
      <c r="M346" t="str">
        <f t="shared" si="37"/>
        <v/>
      </c>
      <c r="N346">
        <v>10454.51</v>
      </c>
      <c r="O346" t="s">
        <v>388</v>
      </c>
      <c r="Q346" t="s">
        <v>19</v>
      </c>
    </row>
    <row r="347" spans="1:17" x14ac:dyDescent="0.3">
      <c r="A347">
        <v>36048</v>
      </c>
      <c r="B347" t="s">
        <v>76</v>
      </c>
      <c r="C347" t="s">
        <v>19</v>
      </c>
      <c r="D347" t="s">
        <v>79</v>
      </c>
      <c r="E347" s="6">
        <v>31765.66</v>
      </c>
      <c r="F347" t="s">
        <v>366</v>
      </c>
      <c r="G347" s="4" t="str">
        <f t="shared" si="32"/>
        <v>31765.66</v>
      </c>
      <c r="H347" t="str">
        <f t="shared" si="33"/>
        <v>31765.66</v>
      </c>
      <c r="I347" s="1">
        <v>45716</v>
      </c>
      <c r="J347" s="2">
        <f t="shared" si="34"/>
        <v>1.9771012062588531E-3</v>
      </c>
      <c r="K347" s="3" t="str">
        <f t="shared" si="35"/>
        <v/>
      </c>
      <c r="L347" t="str">
        <f t="shared" si="36"/>
        <v/>
      </c>
      <c r="M347" t="str">
        <f t="shared" si="37"/>
        <v/>
      </c>
      <c r="N347">
        <v>31702.98</v>
      </c>
      <c r="O347" t="s">
        <v>389</v>
      </c>
      <c r="Q347" t="s">
        <v>19</v>
      </c>
    </row>
    <row r="348" spans="1:17" x14ac:dyDescent="0.3">
      <c r="A348">
        <v>36059</v>
      </c>
      <c r="B348" t="s">
        <v>81</v>
      </c>
      <c r="C348" t="s">
        <v>19</v>
      </c>
      <c r="D348" t="s">
        <v>82</v>
      </c>
      <c r="E348" s="6">
        <v>47117.99</v>
      </c>
      <c r="F348" t="s">
        <v>366</v>
      </c>
      <c r="G348" s="4" t="str">
        <f t="shared" si="32"/>
        <v>47117.99</v>
      </c>
      <c r="H348" t="str">
        <f t="shared" si="33"/>
        <v>47117.99</v>
      </c>
      <c r="I348" s="1">
        <v>45716</v>
      </c>
      <c r="J348" s="2">
        <f t="shared" si="34"/>
        <v>-7.1962379729082569E-3</v>
      </c>
      <c r="K348" s="3" t="str">
        <f t="shared" si="35"/>
        <v/>
      </c>
      <c r="L348" t="str">
        <f t="shared" si="36"/>
        <v/>
      </c>
      <c r="M348" t="str">
        <f t="shared" si="37"/>
        <v/>
      </c>
      <c r="N348">
        <v>47459.519999999997</v>
      </c>
      <c r="O348" t="s">
        <v>390</v>
      </c>
      <c r="Q348" t="s">
        <v>19</v>
      </c>
    </row>
    <row r="349" spans="1:17" x14ac:dyDescent="0.3">
      <c r="A349">
        <v>36059</v>
      </c>
      <c r="B349" t="s">
        <v>81</v>
      </c>
      <c r="C349" t="s">
        <v>19</v>
      </c>
      <c r="D349" t="s">
        <v>84</v>
      </c>
      <c r="E349" s="6">
        <v>30431.79</v>
      </c>
      <c r="F349" t="s">
        <v>366</v>
      </c>
      <c r="G349" s="4" t="str">
        <f t="shared" si="32"/>
        <v>30431.79</v>
      </c>
      <c r="H349" t="str">
        <f t="shared" si="33"/>
        <v>30431.79</v>
      </c>
      <c r="I349" s="1">
        <v>45716</v>
      </c>
      <c r="J349" s="2">
        <f t="shared" si="34"/>
        <v>-6.5272186716192225E-3</v>
      </c>
      <c r="K349" s="3" t="str">
        <f t="shared" si="35"/>
        <v/>
      </c>
      <c r="L349" t="str">
        <f t="shared" si="36"/>
        <v/>
      </c>
      <c r="M349" t="str">
        <f t="shared" si="37"/>
        <v/>
      </c>
      <c r="N349">
        <v>30631.73</v>
      </c>
      <c r="O349" t="s">
        <v>391</v>
      </c>
      <c r="Q349" t="s">
        <v>19</v>
      </c>
    </row>
    <row r="350" spans="1:17" x14ac:dyDescent="0.3">
      <c r="A350">
        <v>36060</v>
      </c>
      <c r="B350" t="s">
        <v>86</v>
      </c>
      <c r="C350" t="s">
        <v>19</v>
      </c>
      <c r="D350" t="s">
        <v>87</v>
      </c>
      <c r="E350" s="6">
        <v>74450.98</v>
      </c>
      <c r="F350" t="s">
        <v>366</v>
      </c>
      <c r="G350" s="4" t="str">
        <f t="shared" si="32"/>
        <v>74450.98</v>
      </c>
      <c r="H350" t="str">
        <f t="shared" si="33"/>
        <v>74450.98</v>
      </c>
      <c r="I350" s="1">
        <v>45716</v>
      </c>
      <c r="J350" s="2">
        <f t="shared" si="34"/>
        <v>-7.1292383321219137E-3</v>
      </c>
      <c r="K350" s="3" t="str">
        <f t="shared" si="35"/>
        <v/>
      </c>
      <c r="L350" t="str">
        <f t="shared" si="36"/>
        <v/>
      </c>
      <c r="M350" t="str">
        <f t="shared" si="37"/>
        <v/>
      </c>
      <c r="N350">
        <v>74985.570000000007</v>
      </c>
      <c r="O350" t="s">
        <v>392</v>
      </c>
      <c r="Q350" t="s">
        <v>19</v>
      </c>
    </row>
    <row r="351" spans="1:17" x14ac:dyDescent="0.3">
      <c r="A351">
        <v>36060</v>
      </c>
      <c r="B351" t="s">
        <v>86</v>
      </c>
      <c r="C351" t="s">
        <v>19</v>
      </c>
      <c r="D351" t="s">
        <v>89</v>
      </c>
      <c r="E351" s="6">
        <v>12691.94</v>
      </c>
      <c r="F351" t="s">
        <v>366</v>
      </c>
      <c r="G351" s="4" t="str">
        <f t="shared" si="32"/>
        <v>12691.94</v>
      </c>
      <c r="H351" t="str">
        <f t="shared" si="33"/>
        <v>12691.94</v>
      </c>
      <c r="I351" s="1">
        <v>45716</v>
      </c>
      <c r="J351" s="2">
        <f t="shared" si="34"/>
        <v>-3.7317064746755012E-3</v>
      </c>
      <c r="K351" s="3" t="str">
        <f t="shared" si="35"/>
        <v/>
      </c>
      <c r="L351" t="str">
        <f t="shared" si="36"/>
        <v/>
      </c>
      <c r="M351" t="str">
        <f t="shared" si="37"/>
        <v/>
      </c>
      <c r="N351">
        <v>12739.48</v>
      </c>
      <c r="O351" t="s">
        <v>393</v>
      </c>
      <c r="Q351" t="s">
        <v>19</v>
      </c>
    </row>
    <row r="352" spans="1:17" x14ac:dyDescent="0.3">
      <c r="A352">
        <v>36062</v>
      </c>
      <c r="B352" t="s">
        <v>91</v>
      </c>
      <c r="C352" t="s">
        <v>611</v>
      </c>
      <c r="D352" t="s">
        <v>92</v>
      </c>
      <c r="E352" s="6">
        <v>21904.79</v>
      </c>
      <c r="F352" t="s">
        <v>366</v>
      </c>
      <c r="G352" s="4" t="str">
        <f t="shared" si="32"/>
        <v>21904.79</v>
      </c>
      <c r="H352" t="str">
        <f t="shared" si="33"/>
        <v>21904.79</v>
      </c>
      <c r="I352" s="1">
        <v>45716</v>
      </c>
      <c r="J352" s="2">
        <f t="shared" si="34"/>
        <v>7.6356560619722158E-3</v>
      </c>
      <c r="K352" s="3" t="str">
        <f t="shared" si="35"/>
        <v/>
      </c>
      <c r="L352" t="str">
        <f t="shared" si="36"/>
        <v/>
      </c>
      <c r="M352" t="str">
        <f t="shared" si="37"/>
        <v>Check</v>
      </c>
      <c r="N352">
        <v>21738.799999999999</v>
      </c>
      <c r="O352" t="s">
        <v>93</v>
      </c>
      <c r="Q352" t="s">
        <v>41</v>
      </c>
    </row>
    <row r="353" spans="1:17" x14ac:dyDescent="0.3">
      <c r="A353">
        <v>36062</v>
      </c>
      <c r="B353" t="s">
        <v>91</v>
      </c>
      <c r="C353" t="s">
        <v>606</v>
      </c>
      <c r="D353" t="s">
        <v>613</v>
      </c>
      <c r="E353" s="6">
        <v>2389.77</v>
      </c>
      <c r="F353" t="s">
        <v>366</v>
      </c>
      <c r="G353" s="4" t="str">
        <f t="shared" si="32"/>
        <v>2389.77</v>
      </c>
      <c r="H353" t="str">
        <f t="shared" si="33"/>
        <v>2389.77</v>
      </c>
      <c r="I353" s="1">
        <v>45716</v>
      </c>
      <c r="J353" s="2">
        <f t="shared" si="34"/>
        <v>-7.3768551170702822E-3</v>
      </c>
      <c r="K353" s="3" t="str">
        <f t="shared" si="35"/>
        <v/>
      </c>
      <c r="L353" t="str">
        <f t="shared" si="36"/>
        <v/>
      </c>
      <c r="M353" t="str">
        <f t="shared" si="37"/>
        <v/>
      </c>
      <c r="N353">
        <v>2407.5300000000002</v>
      </c>
      <c r="O353" t="s">
        <v>647</v>
      </c>
      <c r="Q353" t="s">
        <v>606</v>
      </c>
    </row>
    <row r="354" spans="1:17" x14ac:dyDescent="0.3">
      <c r="A354">
        <v>36062</v>
      </c>
      <c r="B354" t="s">
        <v>91</v>
      </c>
      <c r="C354" t="s">
        <v>590</v>
      </c>
      <c r="D354" t="s">
        <v>582</v>
      </c>
      <c r="E354" s="6">
        <v>4283.45</v>
      </c>
      <c r="F354" t="s">
        <v>366</v>
      </c>
      <c r="G354" s="4" t="str">
        <f t="shared" si="32"/>
        <v>4283.45</v>
      </c>
      <c r="H354" t="str">
        <f t="shared" si="33"/>
        <v>4283.45</v>
      </c>
      <c r="I354" s="1">
        <v>45716</v>
      </c>
      <c r="J354" s="2">
        <f t="shared" si="34"/>
        <v>2.8256684286585346E-2</v>
      </c>
      <c r="K354" s="3" t="str">
        <f t="shared" si="35"/>
        <v/>
      </c>
      <c r="L354" t="str">
        <f t="shared" si="36"/>
        <v/>
      </c>
      <c r="M354" t="str">
        <f t="shared" si="37"/>
        <v>Check</v>
      </c>
      <c r="N354">
        <v>4165.74</v>
      </c>
      <c r="O354" t="s">
        <v>583</v>
      </c>
      <c r="Q354" t="s">
        <v>16</v>
      </c>
    </row>
    <row r="355" spans="1:17" x14ac:dyDescent="0.3">
      <c r="A355">
        <v>36355</v>
      </c>
      <c r="B355" t="s">
        <v>94</v>
      </c>
      <c r="C355" t="s">
        <v>19</v>
      </c>
      <c r="D355" t="s">
        <v>95</v>
      </c>
      <c r="E355" s="6">
        <v>945.39</v>
      </c>
      <c r="F355" t="s">
        <v>366</v>
      </c>
      <c r="G355" s="4" t="str">
        <f t="shared" si="32"/>
        <v>945.39</v>
      </c>
      <c r="H355" t="str">
        <f t="shared" si="33"/>
        <v>945.39</v>
      </c>
      <c r="I355" s="1">
        <v>45716</v>
      </c>
      <c r="J355" s="2">
        <f t="shared" si="34"/>
        <v>-2.4546523865535779E-2</v>
      </c>
      <c r="K355" s="3" t="str">
        <f t="shared" si="35"/>
        <v/>
      </c>
      <c r="L355" t="str">
        <f t="shared" si="36"/>
        <v/>
      </c>
      <c r="M355" t="str">
        <f t="shared" si="37"/>
        <v/>
      </c>
      <c r="N355">
        <v>969.18</v>
      </c>
      <c r="O355" t="s">
        <v>394</v>
      </c>
      <c r="Q355" t="s">
        <v>19</v>
      </c>
    </row>
    <row r="356" spans="1:17" x14ac:dyDescent="0.3">
      <c r="A356">
        <v>37040</v>
      </c>
      <c r="B356" t="s">
        <v>596</v>
      </c>
      <c r="C356" t="s">
        <v>19</v>
      </c>
      <c r="D356" t="s">
        <v>97</v>
      </c>
      <c r="E356" s="6">
        <v>38851.96</v>
      </c>
      <c r="F356" t="s">
        <v>366</v>
      </c>
      <c r="G356" s="4" t="str">
        <f t="shared" si="32"/>
        <v>38851.96</v>
      </c>
      <c r="H356" t="str">
        <f t="shared" si="33"/>
        <v>38851.96</v>
      </c>
      <c r="I356" s="1">
        <v>45716</v>
      </c>
      <c r="J356" s="2">
        <f t="shared" si="34"/>
        <v>-6.673487931627916E-3</v>
      </c>
      <c r="K356" s="3" t="str">
        <f t="shared" si="35"/>
        <v/>
      </c>
      <c r="L356" t="str">
        <f t="shared" si="36"/>
        <v/>
      </c>
      <c r="M356" t="str">
        <f t="shared" si="37"/>
        <v/>
      </c>
      <c r="N356">
        <v>39112.980000000003</v>
      </c>
      <c r="O356" t="s">
        <v>395</v>
      </c>
      <c r="Q356" t="s">
        <v>19</v>
      </c>
    </row>
    <row r="357" spans="1:17" x14ac:dyDescent="0.3">
      <c r="A357">
        <v>37041</v>
      </c>
      <c r="B357" t="s">
        <v>99</v>
      </c>
      <c r="C357" t="s">
        <v>19</v>
      </c>
      <c r="D357" t="s">
        <v>100</v>
      </c>
      <c r="E357" s="6">
        <v>8267.7000000000007</v>
      </c>
      <c r="F357" t="s">
        <v>366</v>
      </c>
      <c r="G357" s="4" t="str">
        <f t="shared" si="32"/>
        <v>8267.7</v>
      </c>
      <c r="H357" t="str">
        <f t="shared" si="33"/>
        <v>8267.7</v>
      </c>
      <c r="I357" s="1">
        <v>45716</v>
      </c>
      <c r="J357" s="2">
        <f t="shared" si="34"/>
        <v>-2.0387249097419931E-3</v>
      </c>
      <c r="K357" s="3" t="str">
        <f t="shared" si="35"/>
        <v/>
      </c>
      <c r="L357" t="str">
        <f t="shared" si="36"/>
        <v/>
      </c>
      <c r="M357" t="str">
        <f t="shared" si="37"/>
        <v/>
      </c>
      <c r="N357">
        <v>8284.59</v>
      </c>
      <c r="O357" t="s">
        <v>396</v>
      </c>
      <c r="Q357" t="s">
        <v>19</v>
      </c>
    </row>
    <row r="358" spans="1:17" x14ac:dyDescent="0.3">
      <c r="A358">
        <v>38586</v>
      </c>
      <c r="B358" t="s">
        <v>102</v>
      </c>
      <c r="C358" t="s">
        <v>19</v>
      </c>
      <c r="D358" t="s">
        <v>103</v>
      </c>
      <c r="E358" s="6">
        <v>5791.49</v>
      </c>
      <c r="F358" t="s">
        <v>366</v>
      </c>
      <c r="G358" s="4" t="str">
        <f t="shared" si="32"/>
        <v>5791.49</v>
      </c>
      <c r="H358" t="str">
        <f t="shared" si="33"/>
        <v>5791.49</v>
      </c>
      <c r="I358" s="1">
        <v>45716</v>
      </c>
      <c r="J358" s="2">
        <f t="shared" si="34"/>
        <v>3.1608073703808637E-4</v>
      </c>
      <c r="K358" s="3" t="str">
        <f t="shared" si="35"/>
        <v/>
      </c>
      <c r="L358" t="str">
        <f t="shared" si="36"/>
        <v/>
      </c>
      <c r="M358" t="str">
        <f t="shared" si="37"/>
        <v/>
      </c>
      <c r="N358">
        <v>5789.66</v>
      </c>
      <c r="O358" t="s">
        <v>397</v>
      </c>
      <c r="Q358" t="s">
        <v>19</v>
      </c>
    </row>
    <row r="359" spans="1:17" x14ac:dyDescent="0.3">
      <c r="A359">
        <v>38842</v>
      </c>
      <c r="B359" t="s">
        <v>105</v>
      </c>
      <c r="C359" t="s">
        <v>19</v>
      </c>
      <c r="D359" t="s">
        <v>106</v>
      </c>
      <c r="E359" s="6">
        <v>10274.15</v>
      </c>
      <c r="F359" t="s">
        <v>366</v>
      </c>
      <c r="G359" s="4" t="str">
        <f t="shared" si="32"/>
        <v>10274.15</v>
      </c>
      <c r="H359" t="str">
        <f t="shared" si="33"/>
        <v>10274.15</v>
      </c>
      <c r="I359" s="1">
        <v>45716</v>
      </c>
      <c r="J359" s="2">
        <f t="shared" si="34"/>
        <v>-1.1617619894810206E-3</v>
      </c>
      <c r="K359" s="3" t="str">
        <f t="shared" si="35"/>
        <v/>
      </c>
      <c r="L359" t="str">
        <f t="shared" si="36"/>
        <v/>
      </c>
      <c r="M359" t="str">
        <f t="shared" si="37"/>
        <v/>
      </c>
      <c r="N359">
        <v>10286.1</v>
      </c>
      <c r="O359" t="s">
        <v>398</v>
      </c>
      <c r="Q359" t="s">
        <v>19</v>
      </c>
    </row>
    <row r="360" spans="1:17" x14ac:dyDescent="0.3">
      <c r="A360">
        <v>38851</v>
      </c>
      <c r="B360" t="s">
        <v>108</v>
      </c>
      <c r="C360" t="s">
        <v>19</v>
      </c>
      <c r="D360" t="s">
        <v>109</v>
      </c>
      <c r="E360" s="6">
        <v>353.79</v>
      </c>
      <c r="F360" t="s">
        <v>366</v>
      </c>
      <c r="G360" s="4" t="str">
        <f t="shared" si="32"/>
        <v>353.79</v>
      </c>
      <c r="H360" t="str">
        <f t="shared" si="33"/>
        <v>353.79</v>
      </c>
      <c r="I360" s="1">
        <v>45716</v>
      </c>
      <c r="J360" s="2">
        <f t="shared" si="34"/>
        <v>-3.8823081938708877E-2</v>
      </c>
      <c r="K360" s="3" t="str">
        <f t="shared" si="35"/>
        <v/>
      </c>
      <c r="L360" t="str">
        <f t="shared" si="36"/>
        <v/>
      </c>
      <c r="M360" t="str">
        <f t="shared" si="37"/>
        <v/>
      </c>
      <c r="N360">
        <v>368.08</v>
      </c>
      <c r="O360" t="s">
        <v>399</v>
      </c>
      <c r="Q360" t="s">
        <v>19</v>
      </c>
    </row>
    <row r="361" spans="1:17" x14ac:dyDescent="0.3">
      <c r="A361">
        <v>38887</v>
      </c>
      <c r="B361" t="s">
        <v>111</v>
      </c>
      <c r="C361" t="s">
        <v>19</v>
      </c>
      <c r="D361" t="s">
        <v>112</v>
      </c>
      <c r="E361" s="6">
        <v>2112.5500000000002</v>
      </c>
      <c r="F361" t="s">
        <v>366</v>
      </c>
      <c r="G361" s="4" t="str">
        <f t="shared" si="32"/>
        <v>2112.55</v>
      </c>
      <c r="H361" t="str">
        <f t="shared" si="33"/>
        <v>2112.55</v>
      </c>
      <c r="I361" s="1">
        <v>45716</v>
      </c>
      <c r="J361" s="2">
        <f t="shared" si="34"/>
        <v>-5.3533089758559128E-3</v>
      </c>
      <c r="K361" s="3" t="str">
        <f t="shared" si="35"/>
        <v/>
      </c>
      <c r="L361" t="str">
        <f t="shared" si="36"/>
        <v/>
      </c>
      <c r="M361" t="str">
        <f t="shared" si="37"/>
        <v/>
      </c>
      <c r="N361">
        <v>2123.92</v>
      </c>
      <c r="O361" t="s">
        <v>400</v>
      </c>
      <c r="Q361" t="s">
        <v>19</v>
      </c>
    </row>
    <row r="362" spans="1:17" x14ac:dyDescent="0.3">
      <c r="A362">
        <v>41695</v>
      </c>
      <c r="B362" t="s">
        <v>114</v>
      </c>
      <c r="C362" t="s">
        <v>611</v>
      </c>
      <c r="D362" t="s">
        <v>115</v>
      </c>
      <c r="E362" s="6">
        <v>5675.66</v>
      </c>
      <c r="F362" t="s">
        <v>366</v>
      </c>
      <c r="G362" s="4" t="str">
        <f t="shared" si="32"/>
        <v>5675.66</v>
      </c>
      <c r="H362" t="str">
        <f t="shared" si="33"/>
        <v>5675.66</v>
      </c>
      <c r="I362" s="1">
        <v>45716</v>
      </c>
      <c r="J362" s="2">
        <f t="shared" si="34"/>
        <v>1.0065668879357814E-2</v>
      </c>
      <c r="K362" s="3" t="str">
        <f t="shared" si="35"/>
        <v/>
      </c>
      <c r="L362" t="str">
        <f t="shared" si="36"/>
        <v/>
      </c>
      <c r="M362" t="str">
        <f t="shared" si="37"/>
        <v>Check</v>
      </c>
      <c r="N362">
        <v>5619.1</v>
      </c>
      <c r="O362" t="s">
        <v>116</v>
      </c>
      <c r="Q362" t="s">
        <v>41</v>
      </c>
    </row>
    <row r="363" spans="1:17" x14ac:dyDescent="0.3">
      <c r="A363">
        <v>41695</v>
      </c>
      <c r="B363" t="s">
        <v>114</v>
      </c>
      <c r="C363" t="s">
        <v>606</v>
      </c>
      <c r="D363" t="s">
        <v>614</v>
      </c>
      <c r="E363" s="6">
        <v>616.82000000000005</v>
      </c>
      <c r="F363" t="s">
        <v>366</v>
      </c>
      <c r="G363" s="4" t="str">
        <f t="shared" si="32"/>
        <v>616.82</v>
      </c>
      <c r="H363" t="str">
        <f t="shared" si="33"/>
        <v>616.82</v>
      </c>
      <c r="I363" s="1">
        <v>45716</v>
      </c>
      <c r="J363" s="2">
        <f t="shared" si="34"/>
        <v>-6.8750100629538097E-3</v>
      </c>
      <c r="K363" s="3" t="str">
        <f t="shared" si="35"/>
        <v/>
      </c>
      <c r="L363" t="str">
        <f t="shared" si="36"/>
        <v/>
      </c>
      <c r="M363" t="str">
        <f t="shared" si="37"/>
        <v/>
      </c>
      <c r="N363">
        <v>621.09</v>
      </c>
      <c r="O363" t="s">
        <v>648</v>
      </c>
      <c r="Q363" t="s">
        <v>606</v>
      </c>
    </row>
    <row r="364" spans="1:17" x14ac:dyDescent="0.3">
      <c r="A364">
        <v>41695</v>
      </c>
      <c r="B364" t="s">
        <v>114</v>
      </c>
      <c r="C364" t="s">
        <v>590</v>
      </c>
      <c r="D364" t="s">
        <v>117</v>
      </c>
      <c r="E364" s="6">
        <v>80859.7</v>
      </c>
      <c r="F364" t="s">
        <v>366</v>
      </c>
      <c r="G364" s="4" t="str">
        <f t="shared" si="32"/>
        <v>80859.7</v>
      </c>
      <c r="H364" t="str">
        <f t="shared" si="33"/>
        <v>80859.7</v>
      </c>
      <c r="I364" s="1">
        <v>45716</v>
      </c>
      <c r="J364" s="2">
        <f t="shared" si="34"/>
        <v>3.1129751825301463E-2</v>
      </c>
      <c r="K364" s="3" t="str">
        <f t="shared" si="35"/>
        <v/>
      </c>
      <c r="L364" t="str">
        <f t="shared" si="36"/>
        <v/>
      </c>
      <c r="M364" t="str">
        <f t="shared" si="37"/>
        <v>Check</v>
      </c>
      <c r="N364">
        <v>78418.55</v>
      </c>
      <c r="O364" t="s">
        <v>401</v>
      </c>
      <c r="Q364" t="s">
        <v>16</v>
      </c>
    </row>
    <row r="365" spans="1:17" x14ac:dyDescent="0.3">
      <c r="A365">
        <v>46589</v>
      </c>
      <c r="B365" t="s">
        <v>638</v>
      </c>
      <c r="C365" t="s">
        <v>19</v>
      </c>
      <c r="D365" t="s">
        <v>118</v>
      </c>
      <c r="E365" s="6">
        <v>110218.3</v>
      </c>
      <c r="F365" t="s">
        <v>366</v>
      </c>
      <c r="G365" s="4" t="str">
        <f t="shared" si="32"/>
        <v>110218.3</v>
      </c>
      <c r="H365" t="str">
        <f t="shared" si="33"/>
        <v>110218.3</v>
      </c>
      <c r="I365" s="1">
        <v>45716</v>
      </c>
      <c r="J365" s="2">
        <f t="shared" si="34"/>
        <v>3.8049000132239705E-3</v>
      </c>
      <c r="K365" s="3" t="str">
        <f t="shared" si="35"/>
        <v/>
      </c>
      <c r="L365" t="str">
        <f t="shared" si="36"/>
        <v/>
      </c>
      <c r="M365" t="str">
        <f t="shared" si="37"/>
        <v/>
      </c>
      <c r="N365">
        <v>109800.52</v>
      </c>
      <c r="O365" t="s">
        <v>402</v>
      </c>
      <c r="Q365" t="s">
        <v>19</v>
      </c>
    </row>
    <row r="366" spans="1:17" x14ac:dyDescent="0.3">
      <c r="A366">
        <v>46589</v>
      </c>
      <c r="B366" t="s">
        <v>638</v>
      </c>
      <c r="C366" t="s">
        <v>19</v>
      </c>
      <c r="D366" t="s">
        <v>120</v>
      </c>
      <c r="E366" s="6">
        <v>4922.26</v>
      </c>
      <c r="F366" t="s">
        <v>366</v>
      </c>
      <c r="G366" s="4" t="str">
        <f t="shared" si="32"/>
        <v>4922.26</v>
      </c>
      <c r="H366" t="str">
        <f t="shared" si="33"/>
        <v>4922.26</v>
      </c>
      <c r="I366" s="1">
        <v>45716</v>
      </c>
      <c r="J366" s="2">
        <f t="shared" si="34"/>
        <v>1.4485853912604505E-3</v>
      </c>
      <c r="K366" s="3" t="str">
        <f t="shared" si="35"/>
        <v/>
      </c>
      <c r="L366" t="str">
        <f t="shared" si="36"/>
        <v/>
      </c>
      <c r="M366" t="str">
        <f t="shared" si="37"/>
        <v/>
      </c>
      <c r="N366">
        <v>4915.1400000000003</v>
      </c>
      <c r="O366" t="s">
        <v>403</v>
      </c>
      <c r="Q366" t="s">
        <v>19</v>
      </c>
    </row>
    <row r="367" spans="1:17" x14ac:dyDescent="0.3">
      <c r="A367">
        <v>54985</v>
      </c>
      <c r="B367" t="s">
        <v>122</v>
      </c>
      <c r="C367" t="s">
        <v>19</v>
      </c>
      <c r="D367" t="s">
        <v>123</v>
      </c>
      <c r="E367" s="6">
        <v>2095.77</v>
      </c>
      <c r="F367" t="s">
        <v>366</v>
      </c>
      <c r="G367" s="4" t="str">
        <f t="shared" si="32"/>
        <v>2095.77</v>
      </c>
      <c r="H367" t="str">
        <f t="shared" si="33"/>
        <v>2095.77</v>
      </c>
      <c r="I367" s="1">
        <v>45716</v>
      </c>
      <c r="J367" s="2">
        <f t="shared" si="34"/>
        <v>-6.2919622197777107E-3</v>
      </c>
      <c r="K367" s="3" t="str">
        <f t="shared" si="35"/>
        <v/>
      </c>
      <c r="L367" t="str">
        <f t="shared" si="36"/>
        <v/>
      </c>
      <c r="M367" t="str">
        <f t="shared" si="37"/>
        <v/>
      </c>
      <c r="N367">
        <v>2109.04</v>
      </c>
      <c r="O367" t="s">
        <v>404</v>
      </c>
      <c r="Q367" t="s">
        <v>19</v>
      </c>
    </row>
    <row r="368" spans="1:17" x14ac:dyDescent="0.3">
      <c r="A368">
        <v>61172</v>
      </c>
      <c r="B368" t="s">
        <v>125</v>
      </c>
      <c r="C368" t="s">
        <v>611</v>
      </c>
      <c r="D368" t="s">
        <v>126</v>
      </c>
      <c r="E368" s="6">
        <v>44663.69</v>
      </c>
      <c r="F368" t="s">
        <v>366</v>
      </c>
      <c r="G368" s="4" t="str">
        <f t="shared" si="32"/>
        <v>44663.69</v>
      </c>
      <c r="H368" t="str">
        <f t="shared" si="33"/>
        <v>44663.69</v>
      </c>
      <c r="I368" s="1">
        <v>45716</v>
      </c>
      <c r="J368" s="2">
        <f t="shared" si="34"/>
        <v>7.9803511977410233E-3</v>
      </c>
      <c r="K368" s="3" t="str">
        <f t="shared" si="35"/>
        <v/>
      </c>
      <c r="L368" t="str">
        <f t="shared" si="36"/>
        <v/>
      </c>
      <c r="M368" t="str">
        <f t="shared" si="37"/>
        <v>Check</v>
      </c>
      <c r="N368">
        <v>44310.080000000002</v>
      </c>
      <c r="O368" t="s">
        <v>127</v>
      </c>
      <c r="Q368" t="s">
        <v>41</v>
      </c>
    </row>
    <row r="369" spans="1:17" x14ac:dyDescent="0.3">
      <c r="A369">
        <v>61172</v>
      </c>
      <c r="B369" t="s">
        <v>125</v>
      </c>
      <c r="C369" t="s">
        <v>606</v>
      </c>
      <c r="D369" t="s">
        <v>615</v>
      </c>
      <c r="E369" s="6">
        <v>3686.17</v>
      </c>
      <c r="F369" t="s">
        <v>366</v>
      </c>
      <c r="G369" s="4" t="str">
        <f t="shared" si="32"/>
        <v>3686.17</v>
      </c>
      <c r="H369" t="str">
        <f t="shared" si="33"/>
        <v>3686.17</v>
      </c>
      <c r="I369" s="1">
        <v>45716</v>
      </c>
      <c r="J369" s="2">
        <f t="shared" si="34"/>
        <v>-6.2919361317263318E-3</v>
      </c>
      <c r="K369" s="3" t="str">
        <f t="shared" si="35"/>
        <v/>
      </c>
      <c r="L369" t="str">
        <f t="shared" si="36"/>
        <v/>
      </c>
      <c r="M369" t="str">
        <f t="shared" si="37"/>
        <v/>
      </c>
      <c r="N369">
        <v>3709.51</v>
      </c>
      <c r="O369" t="s">
        <v>649</v>
      </c>
      <c r="Q369" t="s">
        <v>606</v>
      </c>
    </row>
    <row r="370" spans="1:17" x14ac:dyDescent="0.3">
      <c r="A370">
        <v>62166</v>
      </c>
      <c r="B370" t="s">
        <v>128</v>
      </c>
      <c r="C370" t="s">
        <v>611</v>
      </c>
      <c r="D370" t="s">
        <v>129</v>
      </c>
      <c r="E370" s="6">
        <v>39292.089999999997</v>
      </c>
      <c r="F370" t="s">
        <v>366</v>
      </c>
      <c r="G370" s="4" t="str">
        <f t="shared" si="32"/>
        <v>39292.09</v>
      </c>
      <c r="H370" t="str">
        <f t="shared" si="33"/>
        <v>39292.09</v>
      </c>
      <c r="I370" s="1">
        <v>45716</v>
      </c>
      <c r="J370" s="2">
        <f t="shared" si="34"/>
        <v>7.0316750871973659E-3</v>
      </c>
      <c r="K370" s="3" t="str">
        <f t="shared" si="35"/>
        <v/>
      </c>
      <c r="L370" t="str">
        <f t="shared" si="36"/>
        <v/>
      </c>
      <c r="M370" t="str">
        <f t="shared" si="37"/>
        <v>Check</v>
      </c>
      <c r="N370">
        <v>39017.730000000003</v>
      </c>
      <c r="O370" t="s">
        <v>130</v>
      </c>
      <c r="Q370" t="s">
        <v>41</v>
      </c>
    </row>
    <row r="371" spans="1:17" x14ac:dyDescent="0.3">
      <c r="A371">
        <v>62166</v>
      </c>
      <c r="B371" t="s">
        <v>128</v>
      </c>
      <c r="C371" t="s">
        <v>606</v>
      </c>
      <c r="D371" t="s">
        <v>616</v>
      </c>
      <c r="E371" s="6">
        <v>3670</v>
      </c>
      <c r="F371" t="s">
        <v>366</v>
      </c>
      <c r="G371" s="4" t="str">
        <f t="shared" si="32"/>
        <v>3670</v>
      </c>
      <c r="H371" t="str">
        <f t="shared" si="33"/>
        <v>3670</v>
      </c>
      <c r="I371" s="1">
        <v>45716</v>
      </c>
      <c r="J371" s="2">
        <f t="shared" si="34"/>
        <v>-7.2736813916561959E-3</v>
      </c>
      <c r="K371" s="3" t="str">
        <f t="shared" si="35"/>
        <v/>
      </c>
      <c r="L371" t="str">
        <f t="shared" si="36"/>
        <v/>
      </c>
      <c r="M371" t="str">
        <f t="shared" si="37"/>
        <v/>
      </c>
      <c r="N371">
        <v>3696.89</v>
      </c>
      <c r="O371" t="s">
        <v>650</v>
      </c>
      <c r="Q371" t="s">
        <v>606</v>
      </c>
    </row>
    <row r="372" spans="1:17" x14ac:dyDescent="0.3">
      <c r="A372">
        <v>69046</v>
      </c>
      <c r="B372" t="s">
        <v>131</v>
      </c>
      <c r="C372" t="s">
        <v>19</v>
      </c>
      <c r="D372" t="s">
        <v>132</v>
      </c>
      <c r="E372" s="6">
        <v>147897.29</v>
      </c>
      <c r="F372" t="s">
        <v>366</v>
      </c>
      <c r="G372" s="4" t="str">
        <f t="shared" si="32"/>
        <v>147897.29</v>
      </c>
      <c r="H372" t="str">
        <f t="shared" si="33"/>
        <v>147897.29</v>
      </c>
      <c r="I372" s="1">
        <v>45716</v>
      </c>
      <c r="J372" s="2">
        <f t="shared" si="34"/>
        <v>-6.6466563980213823E-3</v>
      </c>
      <c r="K372" s="3" t="str">
        <f t="shared" si="35"/>
        <v/>
      </c>
      <c r="L372" t="str">
        <f t="shared" si="36"/>
        <v/>
      </c>
      <c r="M372" t="str">
        <f t="shared" si="37"/>
        <v/>
      </c>
      <c r="N372">
        <v>148886.89000000001</v>
      </c>
      <c r="O372" t="s">
        <v>405</v>
      </c>
      <c r="Q372" t="s">
        <v>19</v>
      </c>
    </row>
    <row r="373" spans="1:17" x14ac:dyDescent="0.3">
      <c r="A373">
        <v>72002</v>
      </c>
      <c r="B373" t="s">
        <v>134</v>
      </c>
      <c r="C373" t="s">
        <v>590</v>
      </c>
      <c r="D373" t="s">
        <v>135</v>
      </c>
      <c r="E373" s="6">
        <v>24643.49</v>
      </c>
      <c r="F373" t="s">
        <v>366</v>
      </c>
      <c r="G373" s="4" t="str">
        <f t="shared" si="32"/>
        <v>24643.49</v>
      </c>
      <c r="H373" t="str">
        <f t="shared" si="33"/>
        <v>24643.49</v>
      </c>
      <c r="I373" s="1">
        <v>45716</v>
      </c>
      <c r="J373" s="2">
        <f t="shared" si="34"/>
        <v>-0.19992591272310992</v>
      </c>
      <c r="K373" s="3" t="str">
        <f t="shared" si="35"/>
        <v>Check!</v>
      </c>
      <c r="L373" t="str">
        <f t="shared" si="36"/>
        <v/>
      </c>
      <c r="M373" t="str">
        <f t="shared" si="37"/>
        <v>Check</v>
      </c>
      <c r="N373">
        <v>30801.51</v>
      </c>
      <c r="O373" t="s">
        <v>406</v>
      </c>
      <c r="Q373" t="s">
        <v>16</v>
      </c>
    </row>
    <row r="374" spans="1:17" x14ac:dyDescent="0.3">
      <c r="A374">
        <v>72002</v>
      </c>
      <c r="B374" t="s">
        <v>134</v>
      </c>
      <c r="C374" t="s">
        <v>19</v>
      </c>
      <c r="D374" t="s">
        <v>137</v>
      </c>
      <c r="E374" s="6">
        <v>67290.36</v>
      </c>
      <c r="F374" t="s">
        <v>366</v>
      </c>
      <c r="G374" s="4" t="str">
        <f t="shared" si="32"/>
        <v>67290.36</v>
      </c>
      <c r="H374" t="str">
        <f t="shared" si="33"/>
        <v>67290.36</v>
      </c>
      <c r="I374" s="1">
        <v>45716</v>
      </c>
      <c r="J374" s="2">
        <f t="shared" si="34"/>
        <v>-7.1359233829969967E-3</v>
      </c>
      <c r="K374" s="3" t="str">
        <f t="shared" si="35"/>
        <v/>
      </c>
      <c r="L374" t="str">
        <f t="shared" si="36"/>
        <v/>
      </c>
      <c r="M374" t="str">
        <f t="shared" si="37"/>
        <v/>
      </c>
      <c r="N374">
        <v>67773.990000000005</v>
      </c>
      <c r="O374" t="s">
        <v>407</v>
      </c>
      <c r="Q374" t="s">
        <v>19</v>
      </c>
    </row>
    <row r="375" spans="1:17" x14ac:dyDescent="0.3">
      <c r="A375">
        <v>72002</v>
      </c>
      <c r="B375" t="s">
        <v>134</v>
      </c>
      <c r="C375" t="s">
        <v>19</v>
      </c>
      <c r="D375" t="s">
        <v>139</v>
      </c>
      <c r="E375" s="6">
        <v>9825.7000000000007</v>
      </c>
      <c r="F375" t="s">
        <v>366</v>
      </c>
      <c r="G375" s="4" t="str">
        <f t="shared" si="32"/>
        <v>9825.7</v>
      </c>
      <c r="H375" t="str">
        <f t="shared" si="33"/>
        <v>9825.7</v>
      </c>
      <c r="I375" s="1">
        <v>45716</v>
      </c>
      <c r="J375" s="2">
        <f t="shared" si="34"/>
        <v>-2.7899593938612551E-3</v>
      </c>
      <c r="K375" s="3" t="str">
        <f t="shared" si="35"/>
        <v/>
      </c>
      <c r="L375" t="str">
        <f t="shared" si="36"/>
        <v/>
      </c>
      <c r="M375" t="str">
        <f t="shared" si="37"/>
        <v/>
      </c>
      <c r="N375">
        <v>9853.19</v>
      </c>
      <c r="O375" t="s">
        <v>408</v>
      </c>
      <c r="Q375" t="s">
        <v>19</v>
      </c>
    </row>
    <row r="376" spans="1:17" x14ac:dyDescent="0.3">
      <c r="A376">
        <v>80212</v>
      </c>
      <c r="B376" t="s">
        <v>141</v>
      </c>
      <c r="C376" t="s">
        <v>590</v>
      </c>
      <c r="D376" t="s">
        <v>142</v>
      </c>
      <c r="E376" s="6">
        <v>11560.7</v>
      </c>
      <c r="F376" t="s">
        <v>366</v>
      </c>
      <c r="G376" s="4" t="str">
        <f t="shared" si="32"/>
        <v>11560.7</v>
      </c>
      <c r="H376" t="str">
        <f t="shared" si="33"/>
        <v>11560.7</v>
      </c>
      <c r="I376" s="1">
        <v>45716</v>
      </c>
      <c r="J376" s="2">
        <f t="shared" si="34"/>
        <v>-1.8252712867730359E-3</v>
      </c>
      <c r="K376" s="3" t="str">
        <f t="shared" si="35"/>
        <v/>
      </c>
      <c r="L376" t="str">
        <f t="shared" si="36"/>
        <v/>
      </c>
      <c r="M376" t="str">
        <f t="shared" si="37"/>
        <v>Check</v>
      </c>
      <c r="N376">
        <v>11581.84</v>
      </c>
      <c r="O376" t="s">
        <v>409</v>
      </c>
      <c r="Q376" t="s">
        <v>16</v>
      </c>
    </row>
    <row r="377" spans="1:17" x14ac:dyDescent="0.3">
      <c r="A377">
        <v>80212</v>
      </c>
      <c r="B377" t="s">
        <v>141</v>
      </c>
      <c r="C377" t="s">
        <v>611</v>
      </c>
      <c r="D377" t="s">
        <v>144</v>
      </c>
      <c r="E377" s="6">
        <v>16202.01</v>
      </c>
      <c r="F377" t="s">
        <v>366</v>
      </c>
      <c r="G377" s="4" t="str">
        <f t="shared" si="32"/>
        <v>16202.01</v>
      </c>
      <c r="H377" t="str">
        <f t="shared" si="33"/>
        <v>16202.01</v>
      </c>
      <c r="I377" s="1">
        <v>45716</v>
      </c>
      <c r="J377" s="2">
        <f t="shared" si="34"/>
        <v>8.6446307231147438E-3</v>
      </c>
      <c r="K377" s="3" t="str">
        <f t="shared" si="35"/>
        <v/>
      </c>
      <c r="L377" t="str">
        <f t="shared" si="36"/>
        <v/>
      </c>
      <c r="M377" t="str">
        <f t="shared" si="37"/>
        <v>Check</v>
      </c>
      <c r="N377">
        <v>16063.15</v>
      </c>
      <c r="O377" t="s">
        <v>145</v>
      </c>
      <c r="Q377" t="s">
        <v>41</v>
      </c>
    </row>
    <row r="378" spans="1:17" x14ac:dyDescent="0.3">
      <c r="A378">
        <v>80212</v>
      </c>
      <c r="B378" t="s">
        <v>141</v>
      </c>
      <c r="C378" t="s">
        <v>606</v>
      </c>
      <c r="D378" t="s">
        <v>617</v>
      </c>
      <c r="E378" s="6">
        <v>1765.52</v>
      </c>
      <c r="F378" t="s">
        <v>366</v>
      </c>
      <c r="G378" s="4" t="str">
        <f t="shared" si="32"/>
        <v>1765.52</v>
      </c>
      <c r="H378" t="str">
        <f t="shared" si="33"/>
        <v>1765.52</v>
      </c>
      <c r="I378" s="1">
        <v>45716</v>
      </c>
      <c r="J378" s="2">
        <f t="shared" si="34"/>
        <v>-6.7286270450300631E-3</v>
      </c>
      <c r="K378" s="3" t="str">
        <f t="shared" si="35"/>
        <v/>
      </c>
      <c r="L378" t="str">
        <f t="shared" si="36"/>
        <v/>
      </c>
      <c r="M378" t="str">
        <f t="shared" si="37"/>
        <v/>
      </c>
      <c r="N378">
        <v>1777.48</v>
      </c>
      <c r="O378" t="s">
        <v>651</v>
      </c>
      <c r="Q378" t="s">
        <v>606</v>
      </c>
    </row>
    <row r="379" spans="1:17" x14ac:dyDescent="0.3">
      <c r="A379">
        <v>81381</v>
      </c>
      <c r="B379" t="s">
        <v>593</v>
      </c>
      <c r="C379" t="s">
        <v>19</v>
      </c>
      <c r="D379" t="s">
        <v>146</v>
      </c>
      <c r="E379" s="6">
        <v>24354.36</v>
      </c>
      <c r="F379" t="s">
        <v>366</v>
      </c>
      <c r="G379" s="4" t="str">
        <f t="shared" si="32"/>
        <v>24354.36</v>
      </c>
      <c r="H379" t="str">
        <f t="shared" si="33"/>
        <v>24354.36</v>
      </c>
      <c r="I379" s="1">
        <v>45716</v>
      </c>
      <c r="J379" s="2">
        <f t="shared" si="34"/>
        <v>-5.0051334177939584E-3</v>
      </c>
      <c r="K379" s="3" t="str">
        <f t="shared" si="35"/>
        <v/>
      </c>
      <c r="L379" t="str">
        <f t="shared" si="36"/>
        <v/>
      </c>
      <c r="M379" t="str">
        <f t="shared" si="37"/>
        <v/>
      </c>
      <c r="N379">
        <v>24476.87</v>
      </c>
      <c r="O379" t="s">
        <v>410</v>
      </c>
      <c r="Q379" t="s">
        <v>19</v>
      </c>
    </row>
    <row r="380" spans="1:17" x14ac:dyDescent="0.3">
      <c r="A380">
        <v>81381</v>
      </c>
      <c r="B380" t="s">
        <v>593</v>
      </c>
      <c r="C380" t="s">
        <v>19</v>
      </c>
      <c r="D380" t="s">
        <v>148</v>
      </c>
      <c r="E380" s="6">
        <v>822966.21</v>
      </c>
      <c r="F380" t="s">
        <v>366</v>
      </c>
      <c r="G380" s="4" t="str">
        <f t="shared" si="32"/>
        <v>822966.21</v>
      </c>
      <c r="H380" t="str">
        <f t="shared" si="33"/>
        <v>822966.21</v>
      </c>
      <c r="I380" s="1">
        <v>45716</v>
      </c>
      <c r="J380" s="2">
        <f t="shared" si="34"/>
        <v>-7.3345429231391861E-3</v>
      </c>
      <c r="K380" s="3" t="str">
        <f t="shared" si="35"/>
        <v/>
      </c>
      <c r="L380" t="str">
        <f t="shared" si="36"/>
        <v/>
      </c>
      <c r="M380" t="str">
        <f t="shared" si="37"/>
        <v/>
      </c>
      <c r="N380">
        <v>829046.89</v>
      </c>
      <c r="O380" t="s">
        <v>411</v>
      </c>
      <c r="Q380" t="s">
        <v>19</v>
      </c>
    </row>
    <row r="381" spans="1:17" x14ac:dyDescent="0.3">
      <c r="A381">
        <v>113590</v>
      </c>
      <c r="B381" t="s">
        <v>150</v>
      </c>
      <c r="C381" t="s">
        <v>19</v>
      </c>
      <c r="D381" t="s">
        <v>151</v>
      </c>
      <c r="E381" s="6">
        <v>145102.51999999999</v>
      </c>
      <c r="F381" t="s">
        <v>366</v>
      </c>
      <c r="G381" s="4" t="str">
        <f t="shared" si="32"/>
        <v>145102.52</v>
      </c>
      <c r="H381" t="str">
        <f t="shared" si="33"/>
        <v>145102.52</v>
      </c>
      <c r="I381" s="1">
        <v>45716</v>
      </c>
      <c r="J381" s="2">
        <f t="shared" si="34"/>
        <v>-7.3251427791924438E-3</v>
      </c>
      <c r="K381" s="3" t="str">
        <f t="shared" si="35"/>
        <v/>
      </c>
      <c r="L381" t="str">
        <f t="shared" si="36"/>
        <v/>
      </c>
      <c r="M381" t="str">
        <f t="shared" si="37"/>
        <v/>
      </c>
      <c r="N381">
        <v>146173.26</v>
      </c>
      <c r="O381" t="s">
        <v>412</v>
      </c>
      <c r="Q381" t="s">
        <v>19</v>
      </c>
    </row>
    <row r="382" spans="1:17" x14ac:dyDescent="0.3">
      <c r="A382">
        <v>113590</v>
      </c>
      <c r="B382" t="s">
        <v>150</v>
      </c>
      <c r="C382" t="s">
        <v>19</v>
      </c>
      <c r="D382" t="s">
        <v>153</v>
      </c>
      <c r="E382" s="6">
        <v>37693.58</v>
      </c>
      <c r="F382" t="s">
        <v>366</v>
      </c>
      <c r="G382" s="4" t="str">
        <f t="shared" si="32"/>
        <v>37693.58</v>
      </c>
      <c r="H382" t="str">
        <f t="shared" si="33"/>
        <v>37693.58</v>
      </c>
      <c r="I382" s="1">
        <v>45716</v>
      </c>
      <c r="J382" s="2">
        <f t="shared" si="34"/>
        <v>-5.8131591565961007E-3</v>
      </c>
      <c r="K382" s="3" t="str">
        <f t="shared" si="35"/>
        <v/>
      </c>
      <c r="L382" t="str">
        <f t="shared" si="36"/>
        <v/>
      </c>
      <c r="M382" t="str">
        <f t="shared" si="37"/>
        <v/>
      </c>
      <c r="N382">
        <v>37913.980000000003</v>
      </c>
      <c r="O382" t="s">
        <v>413</v>
      </c>
      <c r="Q382" t="s">
        <v>19</v>
      </c>
    </row>
    <row r="383" spans="1:17" x14ac:dyDescent="0.3">
      <c r="A383">
        <v>130912</v>
      </c>
      <c r="B383" t="s">
        <v>604</v>
      </c>
      <c r="C383" t="s">
        <v>590</v>
      </c>
      <c r="D383" t="s">
        <v>605</v>
      </c>
      <c r="E383" s="6">
        <v>25534.52</v>
      </c>
      <c r="F383" t="s">
        <v>366</v>
      </c>
      <c r="G383" s="4" t="str">
        <f t="shared" si="32"/>
        <v>25534.52</v>
      </c>
      <c r="H383" t="str">
        <f t="shared" si="33"/>
        <v>25534.52</v>
      </c>
      <c r="I383" s="1">
        <v>45716</v>
      </c>
      <c r="J383" s="2">
        <f t="shared" si="34"/>
        <v>-5.8729930695955931E-3</v>
      </c>
      <c r="K383" s="3" t="str">
        <f t="shared" si="35"/>
        <v/>
      </c>
      <c r="L383" t="str">
        <f t="shared" si="36"/>
        <v/>
      </c>
      <c r="M383" t="str">
        <f t="shared" si="37"/>
        <v/>
      </c>
      <c r="N383">
        <v>25685.37</v>
      </c>
      <c r="O383" t="s">
        <v>677</v>
      </c>
      <c r="Q383" t="s">
        <v>590</v>
      </c>
    </row>
    <row r="384" spans="1:17" x14ac:dyDescent="0.3">
      <c r="A384">
        <v>133380</v>
      </c>
      <c r="B384" t="s">
        <v>155</v>
      </c>
      <c r="C384" t="s">
        <v>611</v>
      </c>
      <c r="D384" t="s">
        <v>156</v>
      </c>
      <c r="E384" s="6">
        <v>9821.66</v>
      </c>
      <c r="F384" t="s">
        <v>366</v>
      </c>
      <c r="G384" s="4" t="str">
        <f t="shared" si="32"/>
        <v>9821.66</v>
      </c>
      <c r="H384" t="str">
        <f t="shared" si="33"/>
        <v>9821.66</v>
      </c>
      <c r="I384" s="1">
        <v>45716</v>
      </c>
      <c r="J384" s="2">
        <f t="shared" si="34"/>
        <v>1.0376728640367601E-2</v>
      </c>
      <c r="K384" s="3" t="str">
        <f t="shared" si="35"/>
        <v/>
      </c>
      <c r="L384" t="str">
        <f t="shared" si="36"/>
        <v/>
      </c>
      <c r="M384" t="str">
        <f t="shared" si="37"/>
        <v>Check</v>
      </c>
      <c r="N384">
        <v>9720.7900000000009</v>
      </c>
      <c r="O384" t="s">
        <v>157</v>
      </c>
      <c r="Q384" t="s">
        <v>41</v>
      </c>
    </row>
    <row r="385" spans="1:17" x14ac:dyDescent="0.3">
      <c r="A385">
        <v>133380</v>
      </c>
      <c r="B385" t="s">
        <v>155</v>
      </c>
      <c r="C385" t="s">
        <v>606</v>
      </c>
      <c r="D385" t="s">
        <v>618</v>
      </c>
      <c r="E385" s="6">
        <v>1067.6400000000001</v>
      </c>
      <c r="F385" t="s">
        <v>366</v>
      </c>
      <c r="G385" s="4" t="str">
        <f t="shared" si="32"/>
        <v>1067.64</v>
      </c>
      <c r="H385" t="str">
        <f t="shared" si="33"/>
        <v>1067.64</v>
      </c>
      <c r="I385" s="1">
        <v>45716</v>
      </c>
      <c r="J385" s="2">
        <f t="shared" si="34"/>
        <v>-6.8742267657645583E-3</v>
      </c>
      <c r="K385" s="3" t="str">
        <f t="shared" si="35"/>
        <v/>
      </c>
      <c r="L385" t="str">
        <f t="shared" si="36"/>
        <v/>
      </c>
      <c r="M385" t="str">
        <f t="shared" si="37"/>
        <v/>
      </c>
      <c r="N385">
        <v>1075.03</v>
      </c>
      <c r="O385" t="s">
        <v>653</v>
      </c>
      <c r="Q385" t="s">
        <v>606</v>
      </c>
    </row>
    <row r="386" spans="1:17" x14ac:dyDescent="0.3">
      <c r="A386">
        <v>133382</v>
      </c>
      <c r="B386" t="s">
        <v>158</v>
      </c>
      <c r="C386" t="s">
        <v>611</v>
      </c>
      <c r="D386" t="s">
        <v>159</v>
      </c>
      <c r="E386" s="6">
        <v>1102.02</v>
      </c>
      <c r="F386" t="s">
        <v>366</v>
      </c>
      <c r="G386" s="4" t="str">
        <f t="shared" si="32"/>
        <v>1102.02</v>
      </c>
      <c r="H386" t="str">
        <f t="shared" si="33"/>
        <v>1102.02</v>
      </c>
      <c r="I386" s="1">
        <v>45716</v>
      </c>
      <c r="J386" s="2">
        <f t="shared" si="34"/>
        <v>-6.8402411658149429E-3</v>
      </c>
      <c r="K386" s="3" t="str">
        <f t="shared" si="35"/>
        <v/>
      </c>
      <c r="L386" t="str">
        <f t="shared" si="36"/>
        <v/>
      </c>
      <c r="M386" t="str">
        <f t="shared" si="37"/>
        <v>Check</v>
      </c>
      <c r="N386">
        <v>1109.6099999999999</v>
      </c>
      <c r="O386" t="s">
        <v>160</v>
      </c>
      <c r="Q386" t="s">
        <v>41</v>
      </c>
    </row>
    <row r="387" spans="1:17" x14ac:dyDescent="0.3">
      <c r="A387">
        <v>133382</v>
      </c>
      <c r="B387" t="s">
        <v>158</v>
      </c>
      <c r="C387" t="s">
        <v>606</v>
      </c>
      <c r="D387" t="s">
        <v>619</v>
      </c>
      <c r="E387" s="6">
        <v>120.92</v>
      </c>
      <c r="F387" t="s">
        <v>366</v>
      </c>
      <c r="G387" s="4" t="str">
        <f t="shared" ref="G387:G450" si="38">SUBSTITUTE(E387,"R","")</f>
        <v>120.92</v>
      </c>
      <c r="H387" t="str">
        <f t="shared" ref="H387:H450" si="39">SUBSTITUTE(G387,",","")</f>
        <v>120.92</v>
      </c>
      <c r="I387" s="1">
        <v>45716</v>
      </c>
      <c r="J387" s="2">
        <f t="shared" ref="J387:J450" si="40">(H387-N387)/N387</f>
        <v>-6.5724613867893297E-3</v>
      </c>
      <c r="K387" s="3" t="str">
        <f t="shared" ref="K387:K450" si="41">IF(ABS(J387)&gt;0.1,"Check!","")</f>
        <v/>
      </c>
      <c r="L387" t="str">
        <f t="shared" ref="L387:L450" si="42">IF(LEFT(O387,10)&lt;&gt;LEFT(D387,10),"Check","")</f>
        <v/>
      </c>
      <c r="M387" t="str">
        <f t="shared" ref="M387:M450" si="43">IF(Q387&lt;&gt;C387,"Check","")</f>
        <v/>
      </c>
      <c r="N387">
        <v>121.72</v>
      </c>
      <c r="O387" t="s">
        <v>654</v>
      </c>
      <c r="Q387" t="s">
        <v>606</v>
      </c>
    </row>
    <row r="388" spans="1:17" x14ac:dyDescent="0.3">
      <c r="A388">
        <v>100202693</v>
      </c>
      <c r="B388" t="s">
        <v>594</v>
      </c>
      <c r="C388" t="s">
        <v>590</v>
      </c>
      <c r="D388" t="s">
        <v>599</v>
      </c>
      <c r="E388" s="6">
        <v>127233.67</v>
      </c>
      <c r="F388" t="s">
        <v>366</v>
      </c>
      <c r="G388" s="4" t="str">
        <f t="shared" si="38"/>
        <v>127233.67</v>
      </c>
      <c r="H388" t="str">
        <f t="shared" si="39"/>
        <v>127233.67</v>
      </c>
      <c r="I388" s="1">
        <v>45716</v>
      </c>
      <c r="J388" s="2">
        <f t="shared" si="40"/>
        <v>-7.3240411099393795E-3</v>
      </c>
      <c r="K388" s="3" t="str">
        <f t="shared" si="41"/>
        <v/>
      </c>
      <c r="L388" t="str">
        <f t="shared" si="42"/>
        <v/>
      </c>
      <c r="M388" t="str">
        <f t="shared" si="43"/>
        <v/>
      </c>
      <c r="N388">
        <v>128172.41</v>
      </c>
      <c r="O388" t="s">
        <v>678</v>
      </c>
      <c r="Q388" t="s">
        <v>590</v>
      </c>
    </row>
    <row r="389" spans="1:17" x14ac:dyDescent="0.3">
      <c r="A389">
        <v>100202693</v>
      </c>
      <c r="B389" t="s">
        <v>594</v>
      </c>
      <c r="C389" t="s">
        <v>19</v>
      </c>
      <c r="D389" t="s">
        <v>597</v>
      </c>
      <c r="E389" s="6">
        <v>95084.84</v>
      </c>
      <c r="F389" t="s">
        <v>366</v>
      </c>
      <c r="G389" s="4" t="str">
        <f t="shared" si="38"/>
        <v>95084.84</v>
      </c>
      <c r="H389" t="str">
        <f t="shared" si="39"/>
        <v>95084.84</v>
      </c>
      <c r="I389" s="1">
        <v>45716</v>
      </c>
      <c r="J389" s="2">
        <f t="shared" si="40"/>
        <v>-7.6900109588944913E-3</v>
      </c>
      <c r="K389" s="3" t="str">
        <f t="shared" si="41"/>
        <v/>
      </c>
      <c r="L389" t="str">
        <f t="shared" si="42"/>
        <v/>
      </c>
      <c r="M389" t="str">
        <f t="shared" si="43"/>
        <v/>
      </c>
      <c r="N389">
        <v>95821.71</v>
      </c>
      <c r="O389" t="s">
        <v>679</v>
      </c>
      <c r="Q389" t="s">
        <v>19</v>
      </c>
    </row>
    <row r="390" spans="1:17" x14ac:dyDescent="0.3">
      <c r="A390">
        <v>100202693</v>
      </c>
      <c r="B390" t="s">
        <v>594</v>
      </c>
      <c r="C390" t="s">
        <v>19</v>
      </c>
      <c r="D390" t="s">
        <v>598</v>
      </c>
      <c r="E390" s="6">
        <v>370745.11</v>
      </c>
      <c r="F390" t="s">
        <v>366</v>
      </c>
      <c r="G390" s="4" t="str">
        <f t="shared" si="38"/>
        <v>370745.11</v>
      </c>
      <c r="H390" t="str">
        <f t="shared" si="39"/>
        <v>370745.11</v>
      </c>
      <c r="I390" s="1">
        <v>45716</v>
      </c>
      <c r="J390" s="2">
        <f t="shared" si="40"/>
        <v>-7.4262097659626479E-3</v>
      </c>
      <c r="K390" s="3" t="str">
        <f t="shared" si="41"/>
        <v/>
      </c>
      <c r="L390" t="str">
        <f t="shared" si="42"/>
        <v/>
      </c>
      <c r="M390" t="str">
        <f t="shared" si="43"/>
        <v/>
      </c>
      <c r="N390">
        <v>373518.94</v>
      </c>
      <c r="O390" t="s">
        <v>680</v>
      </c>
      <c r="Q390" t="s">
        <v>19</v>
      </c>
    </row>
    <row r="391" spans="1:17" x14ac:dyDescent="0.3">
      <c r="A391">
        <v>100205932</v>
      </c>
      <c r="B391" t="s">
        <v>165</v>
      </c>
      <c r="C391" t="s">
        <v>19</v>
      </c>
      <c r="D391" t="s">
        <v>586</v>
      </c>
      <c r="E391" s="6">
        <v>41273.26</v>
      </c>
      <c r="F391" t="s">
        <v>366</v>
      </c>
      <c r="G391" s="4" t="str">
        <f t="shared" si="38"/>
        <v>41273.26</v>
      </c>
      <c r="H391" t="str">
        <f t="shared" si="39"/>
        <v>41273.26</v>
      </c>
      <c r="I391" s="1">
        <v>45716</v>
      </c>
      <c r="J391" s="2">
        <f t="shared" si="40"/>
        <v>-6.6312416393452898E-3</v>
      </c>
      <c r="K391" s="3" t="str">
        <f t="shared" si="41"/>
        <v/>
      </c>
      <c r="L391" t="str">
        <f t="shared" si="42"/>
        <v/>
      </c>
      <c r="M391" t="str">
        <f t="shared" si="43"/>
        <v/>
      </c>
      <c r="N391">
        <v>41548.78</v>
      </c>
      <c r="O391" t="s">
        <v>681</v>
      </c>
      <c r="Q391" t="s">
        <v>19</v>
      </c>
    </row>
    <row r="392" spans="1:17" x14ac:dyDescent="0.3">
      <c r="A392">
        <v>100220898</v>
      </c>
      <c r="B392" t="s">
        <v>166</v>
      </c>
      <c r="C392" t="s">
        <v>19</v>
      </c>
      <c r="D392" t="s">
        <v>167</v>
      </c>
      <c r="E392" s="6">
        <v>96222.87</v>
      </c>
      <c r="F392" t="s">
        <v>366</v>
      </c>
      <c r="G392" s="4" t="str">
        <f t="shared" si="38"/>
        <v>96222.87</v>
      </c>
      <c r="H392" t="str">
        <f t="shared" si="39"/>
        <v>96222.87</v>
      </c>
      <c r="I392" s="1">
        <v>45716</v>
      </c>
      <c r="J392" s="2">
        <f t="shared" si="40"/>
        <v>-7.6676068207977678E-3</v>
      </c>
      <c r="K392" s="3" t="str">
        <f t="shared" si="41"/>
        <v/>
      </c>
      <c r="L392" t="str">
        <f t="shared" si="42"/>
        <v/>
      </c>
      <c r="M392" t="str">
        <f t="shared" si="43"/>
        <v/>
      </c>
      <c r="N392">
        <v>96966.37</v>
      </c>
      <c r="O392" t="s">
        <v>414</v>
      </c>
      <c r="Q392" t="s">
        <v>19</v>
      </c>
    </row>
    <row r="393" spans="1:17" x14ac:dyDescent="0.3">
      <c r="A393">
        <v>100220898</v>
      </c>
      <c r="B393" t="s">
        <v>166</v>
      </c>
      <c r="C393" t="s">
        <v>19</v>
      </c>
      <c r="D393" t="s">
        <v>169</v>
      </c>
      <c r="E393" s="6">
        <v>75566.42</v>
      </c>
      <c r="F393" t="s">
        <v>366</v>
      </c>
      <c r="G393" s="4" t="str">
        <f t="shared" si="38"/>
        <v>75566.42</v>
      </c>
      <c r="H393" t="str">
        <f t="shared" si="39"/>
        <v>75566.42</v>
      </c>
      <c r="I393" s="1">
        <v>45716</v>
      </c>
      <c r="J393" s="2">
        <f t="shared" si="40"/>
        <v>-7.1246810645883051E-3</v>
      </c>
      <c r="K393" s="3" t="str">
        <f t="shared" si="41"/>
        <v/>
      </c>
      <c r="L393" t="str">
        <f t="shared" si="42"/>
        <v/>
      </c>
      <c r="M393" t="str">
        <f t="shared" si="43"/>
        <v/>
      </c>
      <c r="N393">
        <v>76108.67</v>
      </c>
      <c r="O393" t="s">
        <v>415</v>
      </c>
      <c r="Q393" t="s">
        <v>19</v>
      </c>
    </row>
    <row r="394" spans="1:17" x14ac:dyDescent="0.3">
      <c r="A394">
        <v>100247003</v>
      </c>
      <c r="B394" t="s">
        <v>105</v>
      </c>
      <c r="C394" t="s">
        <v>19</v>
      </c>
      <c r="D394" t="s">
        <v>171</v>
      </c>
      <c r="E394" s="6">
        <v>60650.27</v>
      </c>
      <c r="F394" t="s">
        <v>366</v>
      </c>
      <c r="G394" s="4" t="str">
        <f t="shared" si="38"/>
        <v>60650.27</v>
      </c>
      <c r="H394" t="str">
        <f t="shared" si="39"/>
        <v>60650.27</v>
      </c>
      <c r="I394" s="1">
        <v>45716</v>
      </c>
      <c r="J394" s="2">
        <f t="shared" si="40"/>
        <v>-1.3773192970254753E-3</v>
      </c>
      <c r="K394" s="3" t="str">
        <f t="shared" si="41"/>
        <v/>
      </c>
      <c r="L394" t="str">
        <f t="shared" si="42"/>
        <v/>
      </c>
      <c r="M394" t="str">
        <f t="shared" si="43"/>
        <v/>
      </c>
      <c r="N394">
        <v>60733.919999999998</v>
      </c>
      <c r="O394" t="s">
        <v>416</v>
      </c>
      <c r="Q394" t="s">
        <v>19</v>
      </c>
    </row>
    <row r="395" spans="1:17" x14ac:dyDescent="0.3">
      <c r="A395">
        <v>100249944</v>
      </c>
      <c r="B395" t="s">
        <v>173</v>
      </c>
      <c r="C395" t="s">
        <v>19</v>
      </c>
      <c r="D395" t="s">
        <v>174</v>
      </c>
      <c r="E395" s="6">
        <v>129259.38</v>
      </c>
      <c r="F395" t="s">
        <v>366</v>
      </c>
      <c r="G395" s="4" t="str">
        <f t="shared" si="38"/>
        <v>129259.38</v>
      </c>
      <c r="H395" t="str">
        <f t="shared" si="39"/>
        <v>129259.38</v>
      </c>
      <c r="I395" s="1">
        <v>45716</v>
      </c>
      <c r="J395" s="2">
        <f t="shared" si="40"/>
        <v>-7.2463072434577726E-3</v>
      </c>
      <c r="K395" s="3" t="str">
        <f t="shared" si="41"/>
        <v/>
      </c>
      <c r="L395" t="str">
        <f t="shared" si="42"/>
        <v/>
      </c>
      <c r="M395" t="str">
        <f t="shared" si="43"/>
        <v/>
      </c>
      <c r="N395">
        <v>130202.87</v>
      </c>
      <c r="O395" t="s">
        <v>417</v>
      </c>
      <c r="Q395" t="s">
        <v>19</v>
      </c>
    </row>
    <row r="396" spans="1:17" x14ac:dyDescent="0.3">
      <c r="A396">
        <v>100250182</v>
      </c>
      <c r="B396" t="s">
        <v>176</v>
      </c>
      <c r="C396" t="s">
        <v>19</v>
      </c>
      <c r="D396" t="s">
        <v>177</v>
      </c>
      <c r="E396" s="6">
        <v>279386.95</v>
      </c>
      <c r="F396" t="s">
        <v>366</v>
      </c>
      <c r="G396" s="4" t="str">
        <f t="shared" si="38"/>
        <v>279386.95</v>
      </c>
      <c r="H396" t="str">
        <f t="shared" si="39"/>
        <v>279386.95</v>
      </c>
      <c r="I396" s="1">
        <v>45716</v>
      </c>
      <c r="J396" s="2">
        <f t="shared" si="40"/>
        <v>-7.5387242269939984E-3</v>
      </c>
      <c r="K396" s="3" t="str">
        <f t="shared" si="41"/>
        <v/>
      </c>
      <c r="L396" t="str">
        <f t="shared" si="42"/>
        <v/>
      </c>
      <c r="M396" t="str">
        <f t="shared" si="43"/>
        <v/>
      </c>
      <c r="N396">
        <v>281509.17</v>
      </c>
      <c r="O396" t="s">
        <v>418</v>
      </c>
      <c r="Q396" t="s">
        <v>19</v>
      </c>
    </row>
    <row r="397" spans="1:17" x14ac:dyDescent="0.3">
      <c r="A397">
        <v>100271808</v>
      </c>
      <c r="B397" t="s">
        <v>179</v>
      </c>
      <c r="C397" t="s">
        <v>611</v>
      </c>
      <c r="D397" t="s">
        <v>180</v>
      </c>
      <c r="E397" s="6">
        <v>7484.51</v>
      </c>
      <c r="F397" t="s">
        <v>366</v>
      </c>
      <c r="G397" s="4" t="str">
        <f t="shared" si="38"/>
        <v>7484.51</v>
      </c>
      <c r="H397" t="str">
        <f t="shared" si="39"/>
        <v>7484.51</v>
      </c>
      <c r="I397" s="1">
        <v>45716</v>
      </c>
      <c r="J397" s="2">
        <f t="shared" si="40"/>
        <v>1.1377901736548849E-2</v>
      </c>
      <c r="K397" s="3" t="str">
        <f t="shared" si="41"/>
        <v/>
      </c>
      <c r="L397" t="str">
        <f t="shared" si="42"/>
        <v/>
      </c>
      <c r="M397" t="str">
        <f t="shared" si="43"/>
        <v>Check</v>
      </c>
      <c r="N397">
        <v>7400.31</v>
      </c>
      <c r="O397" t="s">
        <v>181</v>
      </c>
      <c r="Q397" t="s">
        <v>41</v>
      </c>
    </row>
    <row r="398" spans="1:17" x14ac:dyDescent="0.3">
      <c r="A398">
        <v>100271808</v>
      </c>
      <c r="B398" t="s">
        <v>179</v>
      </c>
      <c r="C398" t="s">
        <v>606</v>
      </c>
      <c r="D398" t="s">
        <v>620</v>
      </c>
      <c r="E398" s="6">
        <v>813.09</v>
      </c>
      <c r="F398" t="s">
        <v>366</v>
      </c>
      <c r="G398" s="4" t="str">
        <f t="shared" si="38"/>
        <v>813.09</v>
      </c>
      <c r="H398" t="str">
        <f t="shared" si="39"/>
        <v>813.09</v>
      </c>
      <c r="I398" s="1">
        <v>45716</v>
      </c>
      <c r="J398" s="2">
        <f t="shared" si="40"/>
        <v>-6.8038013338870065E-3</v>
      </c>
      <c r="K398" s="3" t="str">
        <f t="shared" si="41"/>
        <v/>
      </c>
      <c r="L398" t="str">
        <f t="shared" si="42"/>
        <v/>
      </c>
      <c r="M398" t="str">
        <f t="shared" si="43"/>
        <v/>
      </c>
      <c r="N398">
        <v>818.66</v>
      </c>
      <c r="O398" t="s">
        <v>658</v>
      </c>
      <c r="Q398" t="s">
        <v>606</v>
      </c>
    </row>
    <row r="399" spans="1:17" x14ac:dyDescent="0.3">
      <c r="A399">
        <v>100273792</v>
      </c>
      <c r="B399" t="s">
        <v>182</v>
      </c>
      <c r="C399" t="s">
        <v>19</v>
      </c>
      <c r="D399" t="s">
        <v>183</v>
      </c>
      <c r="E399" s="6">
        <v>125628.62</v>
      </c>
      <c r="F399" t="s">
        <v>366</v>
      </c>
      <c r="G399" s="4" t="str">
        <f t="shared" si="38"/>
        <v>125628.62</v>
      </c>
      <c r="H399" t="str">
        <f t="shared" si="39"/>
        <v>125628.62</v>
      </c>
      <c r="I399" s="1">
        <v>45716</v>
      </c>
      <c r="J399" s="2">
        <f t="shared" si="40"/>
        <v>-2.3192381615535383E-3</v>
      </c>
      <c r="K399" s="3" t="str">
        <f t="shared" si="41"/>
        <v/>
      </c>
      <c r="L399" t="str">
        <f t="shared" si="42"/>
        <v/>
      </c>
      <c r="M399" t="str">
        <f t="shared" si="43"/>
        <v/>
      </c>
      <c r="N399">
        <v>125920.66</v>
      </c>
      <c r="O399" t="s">
        <v>419</v>
      </c>
      <c r="Q399" t="s">
        <v>19</v>
      </c>
    </row>
    <row r="400" spans="1:17" x14ac:dyDescent="0.3">
      <c r="A400">
        <v>100273792</v>
      </c>
      <c r="B400" t="s">
        <v>182</v>
      </c>
      <c r="C400" t="s">
        <v>19</v>
      </c>
      <c r="D400" t="s">
        <v>185</v>
      </c>
      <c r="E400" s="6">
        <v>179482.19</v>
      </c>
      <c r="F400" t="s">
        <v>366</v>
      </c>
      <c r="G400" s="4" t="str">
        <f t="shared" si="38"/>
        <v>179482.19</v>
      </c>
      <c r="H400" t="str">
        <f t="shared" si="39"/>
        <v>179482.19</v>
      </c>
      <c r="I400" s="1">
        <v>45716</v>
      </c>
      <c r="J400" s="2">
        <f t="shared" si="40"/>
        <v>-2.9256342591637585E-3</v>
      </c>
      <c r="K400" s="3" t="str">
        <f t="shared" si="41"/>
        <v/>
      </c>
      <c r="L400" t="str">
        <f t="shared" si="42"/>
        <v/>
      </c>
      <c r="M400" t="str">
        <f t="shared" si="43"/>
        <v/>
      </c>
      <c r="N400">
        <v>180008.83</v>
      </c>
      <c r="O400" t="s">
        <v>420</v>
      </c>
      <c r="Q400" t="s">
        <v>19</v>
      </c>
    </row>
    <row r="401" spans="1:17" x14ac:dyDescent="0.3">
      <c r="A401">
        <v>100273792</v>
      </c>
      <c r="B401" t="s">
        <v>182</v>
      </c>
      <c r="C401" t="s">
        <v>590</v>
      </c>
      <c r="D401" t="s">
        <v>588</v>
      </c>
      <c r="E401" s="6">
        <v>21994.71</v>
      </c>
      <c r="F401" t="s">
        <v>366</v>
      </c>
      <c r="G401" s="4" t="str">
        <f t="shared" si="38"/>
        <v>21994.71</v>
      </c>
      <c r="H401" t="str">
        <f t="shared" si="39"/>
        <v>21994.71</v>
      </c>
      <c r="I401" s="1">
        <v>45716</v>
      </c>
      <c r="J401" s="2">
        <f t="shared" si="40"/>
        <v>-2.5839289415006089E-3</v>
      </c>
      <c r="K401" s="3" t="str">
        <f t="shared" si="41"/>
        <v/>
      </c>
      <c r="L401" t="str">
        <f t="shared" si="42"/>
        <v/>
      </c>
      <c r="M401" t="str">
        <f t="shared" si="43"/>
        <v>Check</v>
      </c>
      <c r="N401">
        <v>22051.69</v>
      </c>
      <c r="O401" t="s">
        <v>589</v>
      </c>
      <c r="Q401" t="s">
        <v>16</v>
      </c>
    </row>
    <row r="402" spans="1:17" x14ac:dyDescent="0.3">
      <c r="A402">
        <v>100278188</v>
      </c>
      <c r="B402" t="s">
        <v>187</v>
      </c>
      <c r="C402" t="s">
        <v>19</v>
      </c>
      <c r="D402" t="s">
        <v>192</v>
      </c>
      <c r="E402" s="6">
        <v>25687.57</v>
      </c>
      <c r="F402" t="s">
        <v>366</v>
      </c>
      <c r="G402" s="4" t="str">
        <f t="shared" si="38"/>
        <v>25687.57</v>
      </c>
      <c r="H402" t="str">
        <f t="shared" si="39"/>
        <v>25687.57</v>
      </c>
      <c r="I402" s="1">
        <v>45716</v>
      </c>
      <c r="J402" s="2">
        <f t="shared" si="40"/>
        <v>-5.1497761084780243E-3</v>
      </c>
      <c r="K402" s="3" t="str">
        <f t="shared" si="41"/>
        <v/>
      </c>
      <c r="L402" t="str">
        <f t="shared" si="42"/>
        <v/>
      </c>
      <c r="M402" t="str">
        <f t="shared" si="43"/>
        <v/>
      </c>
      <c r="N402">
        <v>25820.54</v>
      </c>
      <c r="O402" t="s">
        <v>422</v>
      </c>
      <c r="Q402" t="s">
        <v>19</v>
      </c>
    </row>
    <row r="403" spans="1:17" x14ac:dyDescent="0.3">
      <c r="A403">
        <v>100278188</v>
      </c>
      <c r="B403" t="s">
        <v>187</v>
      </c>
      <c r="C403" t="s">
        <v>19</v>
      </c>
      <c r="D403" t="s">
        <v>194</v>
      </c>
      <c r="E403" s="6">
        <v>47103.33</v>
      </c>
      <c r="F403" t="s">
        <v>366</v>
      </c>
      <c r="G403" s="4" t="str">
        <f t="shared" si="38"/>
        <v>47103.33</v>
      </c>
      <c r="H403" t="str">
        <f t="shared" si="39"/>
        <v>47103.33</v>
      </c>
      <c r="I403" s="1">
        <v>45716</v>
      </c>
      <c r="J403" s="2">
        <f t="shared" si="40"/>
        <v>-6.9012322409176203E-3</v>
      </c>
      <c r="K403" s="3" t="str">
        <f t="shared" si="41"/>
        <v/>
      </c>
      <c r="L403" t="str">
        <f t="shared" si="42"/>
        <v/>
      </c>
      <c r="M403" t="str">
        <f t="shared" si="43"/>
        <v/>
      </c>
      <c r="N403">
        <v>47430.66</v>
      </c>
      <c r="O403" t="s">
        <v>423</v>
      </c>
      <c r="Q403" t="s">
        <v>19</v>
      </c>
    </row>
    <row r="404" spans="1:17" x14ac:dyDescent="0.3">
      <c r="A404">
        <v>100278188</v>
      </c>
      <c r="B404" t="s">
        <v>187</v>
      </c>
      <c r="C404" t="s">
        <v>19</v>
      </c>
      <c r="D404" t="s">
        <v>190</v>
      </c>
      <c r="E404" s="6">
        <v>14319.11</v>
      </c>
      <c r="F404" t="s">
        <v>366</v>
      </c>
      <c r="G404" s="4" t="str">
        <f t="shared" si="38"/>
        <v>14319.11</v>
      </c>
      <c r="H404" t="str">
        <f t="shared" si="39"/>
        <v>14319.11</v>
      </c>
      <c r="I404" s="1">
        <v>45716</v>
      </c>
      <c r="J404" s="2">
        <f t="shared" si="40"/>
        <v>-7.4714595651178741E-3</v>
      </c>
      <c r="K404" s="3" t="str">
        <f t="shared" si="41"/>
        <v/>
      </c>
      <c r="L404" t="str">
        <f t="shared" si="42"/>
        <v/>
      </c>
      <c r="M404" t="str">
        <f t="shared" si="43"/>
        <v/>
      </c>
      <c r="N404">
        <v>14426.9</v>
      </c>
      <c r="O404" t="s">
        <v>421</v>
      </c>
      <c r="Q404" t="s">
        <v>19</v>
      </c>
    </row>
    <row r="405" spans="1:17" x14ac:dyDescent="0.3">
      <c r="A405">
        <v>100309343</v>
      </c>
      <c r="B405" t="s">
        <v>196</v>
      </c>
      <c r="C405" t="s">
        <v>590</v>
      </c>
      <c r="D405" t="s">
        <v>424</v>
      </c>
      <c r="E405" s="6">
        <v>11827.71</v>
      </c>
      <c r="F405" t="s">
        <v>366</v>
      </c>
      <c r="G405" s="4" t="str">
        <f t="shared" si="38"/>
        <v>11827.71</v>
      </c>
      <c r="H405" t="str">
        <f t="shared" si="39"/>
        <v>11827.71</v>
      </c>
      <c r="I405" s="1">
        <v>45716</v>
      </c>
      <c r="J405" s="2">
        <f t="shared" si="40"/>
        <v>8.6257180281343916E-3</v>
      </c>
      <c r="K405" s="3" t="str">
        <f t="shared" si="41"/>
        <v/>
      </c>
      <c r="L405" t="str">
        <f t="shared" si="42"/>
        <v/>
      </c>
      <c r="M405" t="str">
        <f t="shared" si="43"/>
        <v>Check</v>
      </c>
      <c r="N405">
        <v>11726.56</v>
      </c>
      <c r="O405" t="s">
        <v>425</v>
      </c>
      <c r="Q405" t="s">
        <v>16</v>
      </c>
    </row>
    <row r="406" spans="1:17" x14ac:dyDescent="0.3">
      <c r="A406">
        <v>100317997</v>
      </c>
      <c r="B406" t="s">
        <v>199</v>
      </c>
      <c r="C406" t="s">
        <v>611</v>
      </c>
      <c r="D406" t="s">
        <v>200</v>
      </c>
      <c r="E406" s="6">
        <v>1520.58</v>
      </c>
      <c r="F406" t="s">
        <v>366</v>
      </c>
      <c r="G406" s="4" t="str">
        <f t="shared" si="38"/>
        <v>1520.58</v>
      </c>
      <c r="H406" t="str">
        <f t="shared" si="39"/>
        <v>1520.58</v>
      </c>
      <c r="I406" s="1">
        <v>45716</v>
      </c>
      <c r="J406" s="2">
        <f t="shared" si="40"/>
        <v>1.0829028977125397E-2</v>
      </c>
      <c r="K406" s="3" t="str">
        <f t="shared" si="41"/>
        <v/>
      </c>
      <c r="L406" t="str">
        <f t="shared" si="42"/>
        <v/>
      </c>
      <c r="M406" t="str">
        <f t="shared" si="43"/>
        <v>Check</v>
      </c>
      <c r="N406">
        <v>1504.29</v>
      </c>
      <c r="O406" t="s">
        <v>201</v>
      </c>
      <c r="Q406" t="s">
        <v>41</v>
      </c>
    </row>
    <row r="407" spans="1:17" x14ac:dyDescent="0.3">
      <c r="A407">
        <v>100317997</v>
      </c>
      <c r="B407" t="s">
        <v>199</v>
      </c>
      <c r="C407" t="s">
        <v>606</v>
      </c>
      <c r="D407" t="s">
        <v>621</v>
      </c>
      <c r="E407" s="6">
        <v>165.9</v>
      </c>
      <c r="F407" t="s">
        <v>366</v>
      </c>
      <c r="G407" s="4" t="str">
        <f t="shared" si="38"/>
        <v>165.9</v>
      </c>
      <c r="H407" t="str">
        <f t="shared" si="39"/>
        <v>165.9</v>
      </c>
      <c r="I407" s="1">
        <v>45716</v>
      </c>
      <c r="J407" s="2">
        <f t="shared" si="40"/>
        <v>-7.8344596615035119E-3</v>
      </c>
      <c r="K407" s="3" t="str">
        <f t="shared" si="41"/>
        <v/>
      </c>
      <c r="L407" t="str">
        <f t="shared" si="42"/>
        <v/>
      </c>
      <c r="M407" t="str">
        <f t="shared" si="43"/>
        <v/>
      </c>
      <c r="N407">
        <v>167.21</v>
      </c>
      <c r="O407" t="s">
        <v>659</v>
      </c>
      <c r="Q407" t="s">
        <v>606</v>
      </c>
    </row>
    <row r="408" spans="1:17" x14ac:dyDescent="0.3">
      <c r="A408">
        <v>100325823</v>
      </c>
      <c r="B408" t="s">
        <v>202</v>
      </c>
      <c r="C408" t="s">
        <v>19</v>
      </c>
      <c r="D408" t="s">
        <v>203</v>
      </c>
      <c r="E408" s="6">
        <v>134784.28</v>
      </c>
      <c r="F408" t="s">
        <v>366</v>
      </c>
      <c r="G408" s="4" t="str">
        <f t="shared" si="38"/>
        <v>134784.28</v>
      </c>
      <c r="H408" t="str">
        <f t="shared" si="39"/>
        <v>134784.28</v>
      </c>
      <c r="I408" s="1">
        <v>45716</v>
      </c>
      <c r="J408" s="2">
        <f t="shared" si="40"/>
        <v>-7.3054782285465773E-3</v>
      </c>
      <c r="K408" s="3" t="str">
        <f t="shared" si="41"/>
        <v/>
      </c>
      <c r="L408" t="str">
        <f t="shared" si="42"/>
        <v/>
      </c>
      <c r="M408" t="str">
        <f t="shared" si="43"/>
        <v/>
      </c>
      <c r="N408">
        <v>135776.19</v>
      </c>
      <c r="O408" t="s">
        <v>426</v>
      </c>
      <c r="Q408" t="s">
        <v>19</v>
      </c>
    </row>
    <row r="409" spans="1:17" x14ac:dyDescent="0.3">
      <c r="A409">
        <v>100376880</v>
      </c>
      <c r="B409" t="s">
        <v>205</v>
      </c>
      <c r="C409" t="s">
        <v>19</v>
      </c>
      <c r="D409" t="s">
        <v>208</v>
      </c>
      <c r="E409" s="6">
        <v>12785.85</v>
      </c>
      <c r="F409" t="s">
        <v>366</v>
      </c>
      <c r="G409" s="4" t="str">
        <f t="shared" si="38"/>
        <v>12785.85</v>
      </c>
      <c r="H409" t="str">
        <f t="shared" si="39"/>
        <v>12785.85</v>
      </c>
      <c r="I409" s="1">
        <v>45716</v>
      </c>
      <c r="J409" s="2">
        <f t="shared" si="40"/>
        <v>-3.0673707113858917E-2</v>
      </c>
      <c r="K409" s="3" t="str">
        <f t="shared" si="41"/>
        <v/>
      </c>
      <c r="L409" t="str">
        <f t="shared" si="42"/>
        <v/>
      </c>
      <c r="M409" t="str">
        <f t="shared" si="43"/>
        <v/>
      </c>
      <c r="N409">
        <v>13190.45</v>
      </c>
      <c r="O409" t="s">
        <v>427</v>
      </c>
      <c r="Q409" t="s">
        <v>19</v>
      </c>
    </row>
    <row r="410" spans="1:17" x14ac:dyDescent="0.3">
      <c r="A410">
        <v>100388471</v>
      </c>
      <c r="B410" t="s">
        <v>210</v>
      </c>
      <c r="C410" t="s">
        <v>19</v>
      </c>
      <c r="D410" t="s">
        <v>211</v>
      </c>
      <c r="E410" s="6">
        <v>317134.44</v>
      </c>
      <c r="F410" t="s">
        <v>366</v>
      </c>
      <c r="G410" s="4" t="str">
        <f t="shared" si="38"/>
        <v>317134.44</v>
      </c>
      <c r="H410" t="str">
        <f t="shared" si="39"/>
        <v>317134.44</v>
      </c>
      <c r="I410" s="1">
        <v>45716</v>
      </c>
      <c r="J410" s="2">
        <f t="shared" si="40"/>
        <v>-2.7944507434270712E-3</v>
      </c>
      <c r="K410" s="3" t="str">
        <f t="shared" si="41"/>
        <v/>
      </c>
      <c r="L410" t="str">
        <f t="shared" si="42"/>
        <v/>
      </c>
      <c r="M410" t="str">
        <f t="shared" si="43"/>
        <v/>
      </c>
      <c r="N410">
        <v>318023.14</v>
      </c>
      <c r="O410" t="s">
        <v>428</v>
      </c>
      <c r="Q410" t="s">
        <v>19</v>
      </c>
    </row>
    <row r="411" spans="1:17" x14ac:dyDescent="0.3">
      <c r="A411">
        <v>100388471</v>
      </c>
      <c r="B411" t="s">
        <v>210</v>
      </c>
      <c r="C411" t="s">
        <v>19</v>
      </c>
      <c r="D411" t="s">
        <v>213</v>
      </c>
      <c r="E411" s="6">
        <v>13558.03</v>
      </c>
      <c r="F411" t="s">
        <v>366</v>
      </c>
      <c r="G411" s="4" t="str">
        <f t="shared" si="38"/>
        <v>13558.03</v>
      </c>
      <c r="H411" t="str">
        <f t="shared" si="39"/>
        <v>13558.03</v>
      </c>
      <c r="I411" s="1">
        <v>45716</v>
      </c>
      <c r="J411" s="2">
        <f t="shared" si="40"/>
        <v>6.1752216356137559E-3</v>
      </c>
      <c r="K411" s="3" t="str">
        <f t="shared" si="41"/>
        <v/>
      </c>
      <c r="L411" t="str">
        <f t="shared" si="42"/>
        <v/>
      </c>
      <c r="M411" t="str">
        <f t="shared" si="43"/>
        <v/>
      </c>
      <c r="N411">
        <v>13474.82</v>
      </c>
      <c r="O411" t="s">
        <v>429</v>
      </c>
      <c r="Q411" t="s">
        <v>19</v>
      </c>
    </row>
    <row r="412" spans="1:17" x14ac:dyDescent="0.3">
      <c r="A412">
        <v>100408912</v>
      </c>
      <c r="B412" t="s">
        <v>215</v>
      </c>
      <c r="C412" t="s">
        <v>19</v>
      </c>
      <c r="D412" t="s">
        <v>216</v>
      </c>
      <c r="E412" s="6">
        <v>188570.36</v>
      </c>
      <c r="F412" t="s">
        <v>366</v>
      </c>
      <c r="G412" s="4" t="str">
        <f t="shared" si="38"/>
        <v>188570.36</v>
      </c>
      <c r="H412" t="str">
        <f t="shared" si="39"/>
        <v>188570.36</v>
      </c>
      <c r="I412" s="1">
        <v>45716</v>
      </c>
      <c r="J412" s="2">
        <f t="shared" si="40"/>
        <v>-7.5555002356506498E-3</v>
      </c>
      <c r="K412" s="3" t="str">
        <f t="shared" si="41"/>
        <v/>
      </c>
      <c r="L412" t="str">
        <f t="shared" si="42"/>
        <v/>
      </c>
      <c r="M412" t="str">
        <f t="shared" si="43"/>
        <v/>
      </c>
      <c r="N412">
        <v>190005.95</v>
      </c>
      <c r="O412" t="s">
        <v>430</v>
      </c>
      <c r="Q412" t="s">
        <v>19</v>
      </c>
    </row>
    <row r="413" spans="1:17" x14ac:dyDescent="0.3">
      <c r="A413">
        <v>100421069</v>
      </c>
      <c r="B413" t="s">
        <v>218</v>
      </c>
      <c r="C413" t="s">
        <v>19</v>
      </c>
      <c r="D413" t="s">
        <v>220</v>
      </c>
      <c r="E413" s="6">
        <v>101396.8</v>
      </c>
      <c r="F413" t="s">
        <v>366</v>
      </c>
      <c r="G413" s="4" t="str">
        <f t="shared" si="38"/>
        <v>101396.8</v>
      </c>
      <c r="H413" t="str">
        <f t="shared" si="39"/>
        <v>101396.8</v>
      </c>
      <c r="I413" s="1">
        <v>45716</v>
      </c>
      <c r="J413" s="2">
        <f t="shared" si="40"/>
        <v>-7.706469135957076E-3</v>
      </c>
      <c r="K413" s="3" t="str">
        <f t="shared" si="41"/>
        <v/>
      </c>
      <c r="L413" t="str">
        <f t="shared" si="42"/>
        <v/>
      </c>
      <c r="M413" t="str">
        <f t="shared" si="43"/>
        <v/>
      </c>
      <c r="N413">
        <v>102184.28</v>
      </c>
      <c r="O413" t="s">
        <v>431</v>
      </c>
      <c r="Q413" t="s">
        <v>19</v>
      </c>
    </row>
    <row r="414" spans="1:17" x14ac:dyDescent="0.3">
      <c r="A414">
        <v>100421069</v>
      </c>
      <c r="B414" t="s">
        <v>218</v>
      </c>
      <c r="C414" t="s">
        <v>19</v>
      </c>
      <c r="D414" t="s">
        <v>222</v>
      </c>
      <c r="E414" s="6">
        <v>45999.28</v>
      </c>
      <c r="F414" t="s">
        <v>366</v>
      </c>
      <c r="G414" s="4" t="str">
        <f t="shared" si="38"/>
        <v>45999.28</v>
      </c>
      <c r="H414" t="str">
        <f t="shared" si="39"/>
        <v>45999.28</v>
      </c>
      <c r="I414" s="1">
        <v>45716</v>
      </c>
      <c r="J414" s="2">
        <f t="shared" si="40"/>
        <v>-6.0920340354382726E-4</v>
      </c>
      <c r="K414" s="3" t="str">
        <f t="shared" si="41"/>
        <v/>
      </c>
      <c r="L414" t="str">
        <f t="shared" si="42"/>
        <v/>
      </c>
      <c r="M414" t="str">
        <f t="shared" si="43"/>
        <v/>
      </c>
      <c r="N414">
        <v>46027.32</v>
      </c>
      <c r="O414" t="s">
        <v>432</v>
      </c>
      <c r="Q414" t="s">
        <v>19</v>
      </c>
    </row>
    <row r="415" spans="1:17" x14ac:dyDescent="0.3">
      <c r="A415">
        <v>100421069</v>
      </c>
      <c r="B415" t="s">
        <v>218</v>
      </c>
      <c r="C415" t="s">
        <v>19</v>
      </c>
      <c r="D415" t="s">
        <v>224</v>
      </c>
      <c r="E415" s="6">
        <v>55195.27</v>
      </c>
      <c r="F415" t="s">
        <v>366</v>
      </c>
      <c r="G415" s="4" t="str">
        <f t="shared" si="38"/>
        <v>55195.27</v>
      </c>
      <c r="H415" t="str">
        <f t="shared" si="39"/>
        <v>55195.27</v>
      </c>
      <c r="I415" s="1">
        <v>45716</v>
      </c>
      <c r="J415" s="2">
        <f t="shared" si="40"/>
        <v>-7.6919453637265545E-3</v>
      </c>
      <c r="K415" s="3" t="str">
        <f t="shared" si="41"/>
        <v/>
      </c>
      <c r="L415" t="str">
        <f t="shared" si="42"/>
        <v/>
      </c>
      <c r="M415" t="str">
        <f t="shared" si="43"/>
        <v/>
      </c>
      <c r="N415">
        <v>55623.12</v>
      </c>
      <c r="O415" t="s">
        <v>433</v>
      </c>
      <c r="Q415" t="s">
        <v>19</v>
      </c>
    </row>
    <row r="416" spans="1:17" x14ac:dyDescent="0.3">
      <c r="A416">
        <v>100489695</v>
      </c>
      <c r="B416" t="s">
        <v>229</v>
      </c>
      <c r="C416" t="s">
        <v>590</v>
      </c>
      <c r="D416" t="s">
        <v>230</v>
      </c>
      <c r="E416" s="6">
        <v>362995.26</v>
      </c>
      <c r="F416" t="s">
        <v>366</v>
      </c>
      <c r="G416" s="4" t="str">
        <f t="shared" si="38"/>
        <v>362995.26</v>
      </c>
      <c r="H416" t="str">
        <f t="shared" si="39"/>
        <v>362995.26</v>
      </c>
      <c r="I416" s="1">
        <v>45716</v>
      </c>
      <c r="J416" s="2">
        <f t="shared" si="40"/>
        <v>4.0757432629442069E-3</v>
      </c>
      <c r="K416" s="3" t="str">
        <f t="shared" si="41"/>
        <v/>
      </c>
      <c r="L416" t="str">
        <f t="shared" si="42"/>
        <v/>
      </c>
      <c r="M416" t="str">
        <f t="shared" si="43"/>
        <v>Check</v>
      </c>
      <c r="N416">
        <v>361521.79</v>
      </c>
      <c r="O416" t="s">
        <v>434</v>
      </c>
      <c r="Q416" t="s">
        <v>16</v>
      </c>
    </row>
    <row r="417" spans="1:17" x14ac:dyDescent="0.3">
      <c r="A417">
        <v>100492707</v>
      </c>
      <c r="B417" t="s">
        <v>232</v>
      </c>
      <c r="C417" t="s">
        <v>19</v>
      </c>
      <c r="D417" t="s">
        <v>233</v>
      </c>
      <c r="E417" s="6">
        <v>86890</v>
      </c>
      <c r="F417" t="s">
        <v>366</v>
      </c>
      <c r="G417" s="4" t="str">
        <f t="shared" si="38"/>
        <v>86890</v>
      </c>
      <c r="H417" t="str">
        <f t="shared" si="39"/>
        <v>86890</v>
      </c>
      <c r="I417" s="1">
        <v>45716</v>
      </c>
      <c r="J417" s="2">
        <f t="shared" si="40"/>
        <v>-7.0717426947951379E-3</v>
      </c>
      <c r="K417" s="3" t="str">
        <f t="shared" si="41"/>
        <v/>
      </c>
      <c r="L417" t="str">
        <f t="shared" si="42"/>
        <v/>
      </c>
      <c r="M417" t="str">
        <f t="shared" si="43"/>
        <v/>
      </c>
      <c r="N417">
        <v>87508.84</v>
      </c>
      <c r="O417" t="s">
        <v>435</v>
      </c>
      <c r="Q417" t="s">
        <v>19</v>
      </c>
    </row>
    <row r="418" spans="1:17" x14ac:dyDescent="0.3">
      <c r="A418">
        <v>100492707</v>
      </c>
      <c r="B418" t="s">
        <v>232</v>
      </c>
      <c r="C418" t="s">
        <v>19</v>
      </c>
      <c r="D418" t="s">
        <v>624</v>
      </c>
      <c r="E418" s="6">
        <v>729484.31</v>
      </c>
      <c r="F418" t="s">
        <v>366</v>
      </c>
      <c r="G418" s="4" t="str">
        <f t="shared" si="38"/>
        <v>729484.31</v>
      </c>
      <c r="H418" t="str">
        <f t="shared" si="39"/>
        <v>729484.31</v>
      </c>
      <c r="I418" s="1">
        <v>45716</v>
      </c>
      <c r="J418" s="2">
        <f t="shared" si="40"/>
        <v>-7.4436794150737791E-3</v>
      </c>
      <c r="K418" s="3" t="str">
        <f t="shared" si="41"/>
        <v/>
      </c>
      <c r="L418" t="str">
        <f t="shared" si="42"/>
        <v/>
      </c>
      <c r="M418" t="str">
        <f t="shared" si="43"/>
        <v/>
      </c>
      <c r="N418">
        <v>734955.08</v>
      </c>
      <c r="O418" t="s">
        <v>682</v>
      </c>
      <c r="Q418" t="s">
        <v>19</v>
      </c>
    </row>
    <row r="419" spans="1:17" x14ac:dyDescent="0.3">
      <c r="A419">
        <v>100497270</v>
      </c>
      <c r="B419" t="s">
        <v>235</v>
      </c>
      <c r="C419" t="s">
        <v>606</v>
      </c>
      <c r="D419" t="s">
        <v>625</v>
      </c>
      <c r="E419" s="6">
        <v>1353.91</v>
      </c>
      <c r="F419" t="s">
        <v>366</v>
      </c>
      <c r="G419" s="4" t="str">
        <f t="shared" si="38"/>
        <v>1353.91</v>
      </c>
      <c r="H419" t="str">
        <f t="shared" si="39"/>
        <v>1353.91</v>
      </c>
      <c r="I419" s="1">
        <v>45716</v>
      </c>
      <c r="J419" s="2">
        <f t="shared" si="40"/>
        <v>-7.3464180713086313E-3</v>
      </c>
      <c r="K419" s="3" t="str">
        <f t="shared" si="41"/>
        <v/>
      </c>
      <c r="L419" t="str">
        <f t="shared" si="42"/>
        <v/>
      </c>
      <c r="M419" t="str">
        <f t="shared" si="43"/>
        <v/>
      </c>
      <c r="N419">
        <v>1363.93</v>
      </c>
      <c r="O419" t="s">
        <v>661</v>
      </c>
      <c r="Q419" t="s">
        <v>606</v>
      </c>
    </row>
    <row r="420" spans="1:17" x14ac:dyDescent="0.3">
      <c r="A420">
        <v>100497270</v>
      </c>
      <c r="B420" t="s">
        <v>235</v>
      </c>
      <c r="C420" t="s">
        <v>611</v>
      </c>
      <c r="D420" t="s">
        <v>236</v>
      </c>
      <c r="E420" s="6">
        <v>12406.28</v>
      </c>
      <c r="F420" t="s">
        <v>366</v>
      </c>
      <c r="G420" s="4" t="str">
        <f t="shared" si="38"/>
        <v>12406.28</v>
      </c>
      <c r="H420" t="str">
        <f t="shared" si="39"/>
        <v>12406.28</v>
      </c>
      <c r="I420" s="1">
        <v>45716</v>
      </c>
      <c r="J420" s="2">
        <f t="shared" si="40"/>
        <v>7.6166497461929465E-3</v>
      </c>
      <c r="K420" s="3" t="str">
        <f t="shared" si="41"/>
        <v/>
      </c>
      <c r="L420" t="str">
        <f t="shared" si="42"/>
        <v/>
      </c>
      <c r="M420" t="str">
        <f t="shared" si="43"/>
        <v>Check</v>
      </c>
      <c r="N420">
        <v>12312.5</v>
      </c>
      <c r="O420" t="s">
        <v>237</v>
      </c>
      <c r="Q420" t="s">
        <v>41</v>
      </c>
    </row>
    <row r="421" spans="1:17" x14ac:dyDescent="0.3">
      <c r="A421">
        <v>100528113</v>
      </c>
      <c r="B421" t="s">
        <v>436</v>
      </c>
      <c r="C421" t="s">
        <v>590</v>
      </c>
      <c r="D421" t="s">
        <v>437</v>
      </c>
      <c r="E421" s="6">
        <v>73914.67</v>
      </c>
      <c r="F421" t="s">
        <v>366</v>
      </c>
      <c r="G421" s="4" t="str">
        <f t="shared" si="38"/>
        <v>73914.67</v>
      </c>
      <c r="H421" t="str">
        <f t="shared" si="39"/>
        <v>73914.67</v>
      </c>
      <c r="I421" s="1">
        <v>45716</v>
      </c>
      <c r="J421" s="2">
        <f t="shared" si="40"/>
        <v>-6.5993599952691639E-3</v>
      </c>
      <c r="K421" s="3" t="str">
        <f t="shared" si="41"/>
        <v/>
      </c>
      <c r="L421" t="str">
        <f t="shared" si="42"/>
        <v/>
      </c>
      <c r="M421" t="str">
        <f t="shared" si="43"/>
        <v>Check</v>
      </c>
      <c r="N421">
        <v>74405.7</v>
      </c>
      <c r="O421" t="s">
        <v>438</v>
      </c>
      <c r="Q421" t="s">
        <v>16</v>
      </c>
    </row>
    <row r="422" spans="1:17" x14ac:dyDescent="0.3">
      <c r="A422">
        <v>100562496</v>
      </c>
      <c r="B422" t="s">
        <v>238</v>
      </c>
      <c r="C422" t="s">
        <v>611</v>
      </c>
      <c r="D422" t="s">
        <v>239</v>
      </c>
      <c r="E422" s="6">
        <v>14818.99</v>
      </c>
      <c r="F422" t="s">
        <v>366</v>
      </c>
      <c r="G422" s="4" t="str">
        <f t="shared" si="38"/>
        <v>14818.99</v>
      </c>
      <c r="H422" t="str">
        <f t="shared" si="39"/>
        <v>14818.99</v>
      </c>
      <c r="I422" s="1">
        <v>45716</v>
      </c>
      <c r="J422" s="2">
        <f t="shared" si="40"/>
        <v>8.3902150902747177E-3</v>
      </c>
      <c r="K422" s="3" t="str">
        <f t="shared" si="41"/>
        <v/>
      </c>
      <c r="L422" t="str">
        <f t="shared" si="42"/>
        <v/>
      </c>
      <c r="M422" t="str">
        <f t="shared" si="43"/>
        <v>Check</v>
      </c>
      <c r="N422">
        <v>14695.69</v>
      </c>
      <c r="O422" t="s">
        <v>240</v>
      </c>
      <c r="Q422" t="s">
        <v>41</v>
      </c>
    </row>
    <row r="423" spans="1:17" x14ac:dyDescent="0.3">
      <c r="A423">
        <v>100562496</v>
      </c>
      <c r="B423" t="s">
        <v>238</v>
      </c>
      <c r="C423" t="s">
        <v>606</v>
      </c>
      <c r="D423" t="s">
        <v>626</v>
      </c>
      <c r="E423" s="6">
        <v>1796.54</v>
      </c>
      <c r="F423" t="s">
        <v>366</v>
      </c>
      <c r="G423" s="4" t="str">
        <f t="shared" si="38"/>
        <v>1796.54</v>
      </c>
      <c r="H423" t="str">
        <f t="shared" si="39"/>
        <v>1796.54</v>
      </c>
      <c r="I423" s="1">
        <v>45716</v>
      </c>
      <c r="J423" s="2">
        <f t="shared" si="40"/>
        <v>8.2159492676355979E-3</v>
      </c>
      <c r="K423" s="3" t="str">
        <f t="shared" si="41"/>
        <v/>
      </c>
      <c r="L423" t="str">
        <f t="shared" si="42"/>
        <v/>
      </c>
      <c r="M423" t="str">
        <f t="shared" si="43"/>
        <v/>
      </c>
      <c r="N423">
        <v>1781.9</v>
      </c>
      <c r="O423" t="s">
        <v>663</v>
      </c>
      <c r="Q423" t="s">
        <v>606</v>
      </c>
    </row>
    <row r="424" spans="1:17" x14ac:dyDescent="0.3">
      <c r="A424">
        <v>100562496</v>
      </c>
      <c r="B424" t="s">
        <v>238</v>
      </c>
      <c r="C424" t="s">
        <v>609</v>
      </c>
      <c r="D424" t="s">
        <v>627</v>
      </c>
      <c r="E424" s="6">
        <v>364.13</v>
      </c>
      <c r="F424" t="s">
        <v>366</v>
      </c>
      <c r="G424" s="4" t="str">
        <f t="shared" si="38"/>
        <v>364.13</v>
      </c>
      <c r="H424" t="str">
        <f t="shared" si="39"/>
        <v>364.13</v>
      </c>
      <c r="I424" s="1">
        <v>45716</v>
      </c>
      <c r="J424" s="2">
        <f t="shared" si="40"/>
        <v>0.17673862461220269</v>
      </c>
      <c r="K424" s="3" t="str">
        <f t="shared" si="41"/>
        <v>Check!</v>
      </c>
      <c r="L424" t="str">
        <f t="shared" si="42"/>
        <v/>
      </c>
      <c r="M424" t="str">
        <f t="shared" si="43"/>
        <v/>
      </c>
      <c r="N424">
        <v>309.44</v>
      </c>
      <c r="O424" t="s">
        <v>662</v>
      </c>
      <c r="Q424" t="s">
        <v>609</v>
      </c>
    </row>
    <row r="425" spans="1:17" x14ac:dyDescent="0.3">
      <c r="A425">
        <v>100564770</v>
      </c>
      <c r="B425" t="s">
        <v>241</v>
      </c>
      <c r="C425" t="s">
        <v>19</v>
      </c>
      <c r="D425" t="s">
        <v>242</v>
      </c>
      <c r="E425" s="6">
        <v>51126.11</v>
      </c>
      <c r="F425" t="s">
        <v>366</v>
      </c>
      <c r="G425" s="4" t="str">
        <f t="shared" si="38"/>
        <v>51126.11</v>
      </c>
      <c r="H425" t="str">
        <f t="shared" si="39"/>
        <v>51126.11</v>
      </c>
      <c r="I425" s="1">
        <v>45716</v>
      </c>
      <c r="J425" s="2">
        <f t="shared" si="40"/>
        <v>4.9976539097146997E-3</v>
      </c>
      <c r="K425" s="3" t="str">
        <f t="shared" si="41"/>
        <v/>
      </c>
      <c r="L425" t="str">
        <f t="shared" si="42"/>
        <v/>
      </c>
      <c r="M425" t="str">
        <f t="shared" si="43"/>
        <v/>
      </c>
      <c r="N425">
        <v>50871.87</v>
      </c>
      <c r="O425" t="s">
        <v>439</v>
      </c>
      <c r="Q425" t="s">
        <v>19</v>
      </c>
    </row>
    <row r="426" spans="1:17" x14ac:dyDescent="0.3">
      <c r="A426">
        <v>100596689</v>
      </c>
      <c r="B426" t="s">
        <v>250</v>
      </c>
      <c r="C426" t="s">
        <v>590</v>
      </c>
      <c r="D426" t="s">
        <v>440</v>
      </c>
      <c r="E426" s="6">
        <v>42854.26</v>
      </c>
      <c r="F426" t="s">
        <v>366</v>
      </c>
      <c r="G426" s="4" t="str">
        <f t="shared" si="38"/>
        <v>42854.26</v>
      </c>
      <c r="H426" t="str">
        <f t="shared" si="39"/>
        <v>42854.26</v>
      </c>
      <c r="I426" s="1">
        <v>45716</v>
      </c>
      <c r="J426" s="2">
        <f t="shared" si="40"/>
        <v>-4.3113563207280532E-3</v>
      </c>
      <c r="K426" s="3" t="str">
        <f t="shared" si="41"/>
        <v/>
      </c>
      <c r="L426" t="str">
        <f t="shared" si="42"/>
        <v/>
      </c>
      <c r="M426" t="str">
        <f t="shared" si="43"/>
        <v>Check</v>
      </c>
      <c r="N426">
        <v>43039.82</v>
      </c>
      <c r="O426" t="s">
        <v>441</v>
      </c>
      <c r="Q426" t="s">
        <v>16</v>
      </c>
    </row>
    <row r="427" spans="1:17" x14ac:dyDescent="0.3">
      <c r="A427">
        <v>100596689</v>
      </c>
      <c r="B427" t="s">
        <v>250</v>
      </c>
      <c r="C427" t="s">
        <v>590</v>
      </c>
      <c r="D427" t="s">
        <v>251</v>
      </c>
      <c r="E427" s="6">
        <v>15372.29</v>
      </c>
      <c r="F427" t="s">
        <v>366</v>
      </c>
      <c r="G427" s="4" t="str">
        <f t="shared" si="38"/>
        <v>15372.29</v>
      </c>
      <c r="H427" t="str">
        <f t="shared" si="39"/>
        <v>15372.29</v>
      </c>
      <c r="I427" s="1">
        <v>45716</v>
      </c>
      <c r="J427" s="2">
        <f t="shared" si="40"/>
        <v>-2.4251021761673508E-3</v>
      </c>
      <c r="K427" s="3" t="str">
        <f t="shared" si="41"/>
        <v/>
      </c>
      <c r="L427" t="str">
        <f t="shared" si="42"/>
        <v/>
      </c>
      <c r="M427" t="str">
        <f t="shared" si="43"/>
        <v>Check</v>
      </c>
      <c r="N427">
        <v>15409.66</v>
      </c>
      <c r="O427" t="s">
        <v>442</v>
      </c>
      <c r="Q427" t="s">
        <v>16</v>
      </c>
    </row>
    <row r="428" spans="1:17" x14ac:dyDescent="0.3">
      <c r="A428">
        <v>100614771</v>
      </c>
      <c r="B428" t="s">
        <v>443</v>
      </c>
      <c r="C428" t="s">
        <v>590</v>
      </c>
      <c r="D428" t="s">
        <v>444</v>
      </c>
      <c r="E428" s="6">
        <v>4528.38</v>
      </c>
      <c r="F428" t="s">
        <v>366</v>
      </c>
      <c r="G428" s="4" t="str">
        <f t="shared" si="38"/>
        <v>4528.38</v>
      </c>
      <c r="H428" t="str">
        <f t="shared" si="39"/>
        <v>4528.38</v>
      </c>
      <c r="I428" s="1">
        <v>45716</v>
      </c>
      <c r="J428" s="2">
        <f t="shared" si="40"/>
        <v>-0.79878329206100507</v>
      </c>
      <c r="K428" s="3" t="str">
        <f t="shared" si="41"/>
        <v>Check!</v>
      </c>
      <c r="L428" t="str">
        <f t="shared" si="42"/>
        <v/>
      </c>
      <c r="M428" t="str">
        <f t="shared" si="43"/>
        <v>Check</v>
      </c>
      <c r="N428">
        <v>22504.99</v>
      </c>
      <c r="O428" t="s">
        <v>445</v>
      </c>
      <c r="Q428" t="s">
        <v>16</v>
      </c>
    </row>
    <row r="429" spans="1:17" x14ac:dyDescent="0.3">
      <c r="A429">
        <v>100620477</v>
      </c>
      <c r="B429" t="s">
        <v>446</v>
      </c>
      <c r="C429" t="s">
        <v>590</v>
      </c>
      <c r="D429" t="s">
        <v>447</v>
      </c>
      <c r="E429" s="6">
        <v>26826.98</v>
      </c>
      <c r="F429" t="s">
        <v>366</v>
      </c>
      <c r="G429" s="4" t="str">
        <f t="shared" si="38"/>
        <v>26826.98</v>
      </c>
      <c r="H429" t="str">
        <f t="shared" si="39"/>
        <v>26826.98</v>
      </c>
      <c r="I429" s="1">
        <v>45716</v>
      </c>
      <c r="J429" s="2">
        <f t="shared" si="40"/>
        <v>-3.8835463361400818E-3</v>
      </c>
      <c r="K429" s="3" t="str">
        <f t="shared" si="41"/>
        <v/>
      </c>
      <c r="L429" t="str">
        <f t="shared" si="42"/>
        <v/>
      </c>
      <c r="M429" t="str">
        <f t="shared" si="43"/>
        <v>Check</v>
      </c>
      <c r="N429">
        <v>26931.57</v>
      </c>
      <c r="O429" t="s">
        <v>448</v>
      </c>
      <c r="Q429" t="s">
        <v>16</v>
      </c>
    </row>
    <row r="430" spans="1:17" x14ac:dyDescent="0.3">
      <c r="A430">
        <v>100623191</v>
      </c>
      <c r="B430" t="s">
        <v>449</v>
      </c>
      <c r="C430" t="s">
        <v>590</v>
      </c>
      <c r="D430" t="s">
        <v>450</v>
      </c>
      <c r="E430" s="6">
        <v>5793.26</v>
      </c>
      <c r="F430" t="s">
        <v>366</v>
      </c>
      <c r="G430" s="4" t="str">
        <f t="shared" si="38"/>
        <v>5793.26</v>
      </c>
      <c r="H430" t="str">
        <f t="shared" si="39"/>
        <v>5793.26</v>
      </c>
      <c r="I430" s="1">
        <v>45716</v>
      </c>
      <c r="J430" s="2">
        <f t="shared" si="40"/>
        <v>5.8266923624495032E-3</v>
      </c>
      <c r="K430" s="3" t="str">
        <f t="shared" si="41"/>
        <v/>
      </c>
      <c r="L430" t="str">
        <f t="shared" si="42"/>
        <v/>
      </c>
      <c r="M430" t="str">
        <f t="shared" si="43"/>
        <v>Check</v>
      </c>
      <c r="N430">
        <v>5759.7</v>
      </c>
      <c r="O430" t="s">
        <v>451</v>
      </c>
      <c r="Q430" t="s">
        <v>16</v>
      </c>
    </row>
    <row r="431" spans="1:17" x14ac:dyDescent="0.3">
      <c r="A431">
        <v>100625039</v>
      </c>
      <c r="B431" t="s">
        <v>452</v>
      </c>
      <c r="C431" t="s">
        <v>590</v>
      </c>
      <c r="D431" t="s">
        <v>453</v>
      </c>
      <c r="E431" s="6">
        <v>33895.53</v>
      </c>
      <c r="F431" t="s">
        <v>366</v>
      </c>
      <c r="G431" s="4" t="str">
        <f t="shared" si="38"/>
        <v>33895.53</v>
      </c>
      <c r="H431" t="str">
        <f t="shared" si="39"/>
        <v>33895.53</v>
      </c>
      <c r="I431" s="1">
        <v>45716</v>
      </c>
      <c r="J431" s="2">
        <f t="shared" si="40"/>
        <v>8.9285581402547762E-3</v>
      </c>
      <c r="K431" s="3" t="str">
        <f t="shared" si="41"/>
        <v/>
      </c>
      <c r="L431" t="str">
        <f t="shared" si="42"/>
        <v/>
      </c>
      <c r="M431" t="str">
        <f t="shared" si="43"/>
        <v>Check</v>
      </c>
      <c r="N431">
        <v>33595.57</v>
      </c>
      <c r="O431" t="s">
        <v>454</v>
      </c>
      <c r="Q431" t="s">
        <v>16</v>
      </c>
    </row>
    <row r="432" spans="1:17" x14ac:dyDescent="0.3">
      <c r="A432">
        <v>100625041</v>
      </c>
      <c r="B432" t="s">
        <v>69</v>
      </c>
      <c r="C432" t="s">
        <v>590</v>
      </c>
      <c r="D432" t="s">
        <v>455</v>
      </c>
      <c r="E432" s="6">
        <v>26565.41</v>
      </c>
      <c r="F432" t="s">
        <v>366</v>
      </c>
      <c r="G432" s="4" t="str">
        <f t="shared" si="38"/>
        <v>26565.41</v>
      </c>
      <c r="H432" t="str">
        <f t="shared" si="39"/>
        <v>26565.41</v>
      </c>
      <c r="I432" s="1">
        <v>45716</v>
      </c>
      <c r="J432" s="2">
        <f t="shared" si="40"/>
        <v>-3.8245198257048528E-3</v>
      </c>
      <c r="K432" s="3" t="str">
        <f t="shared" si="41"/>
        <v/>
      </c>
      <c r="L432" t="str">
        <f t="shared" si="42"/>
        <v/>
      </c>
      <c r="M432" t="str">
        <f t="shared" si="43"/>
        <v>Check</v>
      </c>
      <c r="N432">
        <v>26667.4</v>
      </c>
      <c r="O432" t="s">
        <v>456</v>
      </c>
      <c r="Q432" t="s">
        <v>16</v>
      </c>
    </row>
    <row r="433" spans="1:17" x14ac:dyDescent="0.3">
      <c r="A433">
        <v>100628018</v>
      </c>
      <c r="B433" t="s">
        <v>253</v>
      </c>
      <c r="C433" t="s">
        <v>590</v>
      </c>
      <c r="D433" t="s">
        <v>254</v>
      </c>
      <c r="E433" s="6">
        <v>130770.11</v>
      </c>
      <c r="F433" t="s">
        <v>366</v>
      </c>
      <c r="G433" s="4" t="str">
        <f t="shared" si="38"/>
        <v>130770.11</v>
      </c>
      <c r="H433" t="str">
        <f t="shared" si="39"/>
        <v>130770.11</v>
      </c>
      <c r="I433" s="1">
        <v>45716</v>
      </c>
      <c r="J433" s="2">
        <f t="shared" si="40"/>
        <v>-0.40264373207892729</v>
      </c>
      <c r="K433" s="3" t="str">
        <f t="shared" si="41"/>
        <v>Check!</v>
      </c>
      <c r="L433" t="str">
        <f t="shared" si="42"/>
        <v/>
      </c>
      <c r="M433" t="str">
        <f t="shared" si="43"/>
        <v>Check</v>
      </c>
      <c r="N433">
        <v>218914.77</v>
      </c>
      <c r="O433" t="s">
        <v>584</v>
      </c>
      <c r="Q433" t="s">
        <v>16</v>
      </c>
    </row>
    <row r="434" spans="1:17" x14ac:dyDescent="0.3">
      <c r="A434">
        <v>100628990</v>
      </c>
      <c r="B434" t="s">
        <v>256</v>
      </c>
      <c r="C434" t="s">
        <v>19</v>
      </c>
      <c r="D434" t="s">
        <v>257</v>
      </c>
      <c r="E434" s="6">
        <v>38907.56</v>
      </c>
      <c r="F434" t="s">
        <v>366</v>
      </c>
      <c r="G434" s="4" t="str">
        <f t="shared" si="38"/>
        <v>38907.56</v>
      </c>
      <c r="H434" t="str">
        <f t="shared" si="39"/>
        <v>38907.56</v>
      </c>
      <c r="I434" s="1">
        <v>45716</v>
      </c>
      <c r="J434" s="2">
        <f t="shared" si="40"/>
        <v>-6.971289435870197E-3</v>
      </c>
      <c r="K434" s="3" t="str">
        <f t="shared" si="41"/>
        <v/>
      </c>
      <c r="L434" t="str">
        <f t="shared" si="42"/>
        <v/>
      </c>
      <c r="M434" t="str">
        <f t="shared" si="43"/>
        <v/>
      </c>
      <c r="N434">
        <v>39180.699999999997</v>
      </c>
      <c r="O434" t="s">
        <v>457</v>
      </c>
      <c r="Q434" t="s">
        <v>19</v>
      </c>
    </row>
    <row r="435" spans="1:17" x14ac:dyDescent="0.3">
      <c r="A435">
        <v>100630706</v>
      </c>
      <c r="B435" t="s">
        <v>262</v>
      </c>
      <c r="C435" t="s">
        <v>590</v>
      </c>
      <c r="D435" t="s">
        <v>263</v>
      </c>
      <c r="E435" s="6">
        <v>13089.63</v>
      </c>
      <c r="F435" t="s">
        <v>366</v>
      </c>
      <c r="G435" s="4" t="str">
        <f t="shared" si="38"/>
        <v>13089.63</v>
      </c>
      <c r="H435" t="str">
        <f t="shared" si="39"/>
        <v>13089.63</v>
      </c>
      <c r="I435" s="1">
        <v>45716</v>
      </c>
      <c r="J435" s="2">
        <f t="shared" si="40"/>
        <v>-1.4326680352537535E-3</v>
      </c>
      <c r="K435" s="3" t="str">
        <f t="shared" si="41"/>
        <v/>
      </c>
      <c r="L435" t="str">
        <f t="shared" si="42"/>
        <v/>
      </c>
      <c r="M435" t="str">
        <f t="shared" si="43"/>
        <v>Check</v>
      </c>
      <c r="N435">
        <v>13108.41</v>
      </c>
      <c r="O435" t="s">
        <v>458</v>
      </c>
      <c r="Q435" t="s">
        <v>16</v>
      </c>
    </row>
    <row r="436" spans="1:17" x14ac:dyDescent="0.3">
      <c r="A436">
        <v>100631121</v>
      </c>
      <c r="B436" t="s">
        <v>459</v>
      </c>
      <c r="C436" t="s">
        <v>590</v>
      </c>
      <c r="D436" t="s">
        <v>460</v>
      </c>
      <c r="E436" s="6">
        <v>6972.85</v>
      </c>
      <c r="F436" t="s">
        <v>366</v>
      </c>
      <c r="G436" s="4" t="str">
        <f t="shared" si="38"/>
        <v>6972.85</v>
      </c>
      <c r="H436" t="str">
        <f t="shared" si="39"/>
        <v>6972.85</v>
      </c>
      <c r="I436" s="1">
        <v>45716</v>
      </c>
      <c r="J436" s="2">
        <f t="shared" si="40"/>
        <v>1.2683137947460748E-2</v>
      </c>
      <c r="K436" s="3" t="str">
        <f t="shared" si="41"/>
        <v/>
      </c>
      <c r="L436" t="str">
        <f t="shared" si="42"/>
        <v/>
      </c>
      <c r="M436" t="str">
        <f t="shared" si="43"/>
        <v>Check</v>
      </c>
      <c r="N436">
        <v>6885.52</v>
      </c>
      <c r="O436" t="s">
        <v>461</v>
      </c>
      <c r="Q436" t="s">
        <v>16</v>
      </c>
    </row>
    <row r="437" spans="1:17" x14ac:dyDescent="0.3">
      <c r="A437">
        <v>100633203</v>
      </c>
      <c r="B437" t="s">
        <v>265</v>
      </c>
      <c r="C437" t="s">
        <v>590</v>
      </c>
      <c r="D437" t="s">
        <v>266</v>
      </c>
      <c r="E437" s="6">
        <v>229012.78</v>
      </c>
      <c r="F437" t="s">
        <v>366</v>
      </c>
      <c r="G437" s="4" t="str">
        <f t="shared" si="38"/>
        <v>229012.78</v>
      </c>
      <c r="H437" t="str">
        <f t="shared" si="39"/>
        <v>229012.78</v>
      </c>
      <c r="I437" s="1">
        <v>45716</v>
      </c>
      <c r="J437" s="2">
        <f t="shared" si="40"/>
        <v>-0.20261034786880777</v>
      </c>
      <c r="K437" s="3" t="str">
        <f t="shared" si="41"/>
        <v>Check!</v>
      </c>
      <c r="L437" t="str">
        <f t="shared" si="42"/>
        <v/>
      </c>
      <c r="M437" t="str">
        <f t="shared" si="43"/>
        <v>Check</v>
      </c>
      <c r="N437">
        <v>287203.09999999998</v>
      </c>
      <c r="O437" t="s">
        <v>585</v>
      </c>
      <c r="Q437" t="s">
        <v>16</v>
      </c>
    </row>
    <row r="438" spans="1:17" x14ac:dyDescent="0.3">
      <c r="A438">
        <v>100637079</v>
      </c>
      <c r="B438" t="s">
        <v>268</v>
      </c>
      <c r="C438" t="s">
        <v>611</v>
      </c>
      <c r="D438" t="s">
        <v>269</v>
      </c>
      <c r="E438" s="6">
        <v>16796.84</v>
      </c>
      <c r="F438" t="s">
        <v>366</v>
      </c>
      <c r="G438" s="4" t="str">
        <f t="shared" si="38"/>
        <v>16796.84</v>
      </c>
      <c r="H438" t="str">
        <f t="shared" si="39"/>
        <v>16796.84</v>
      </c>
      <c r="I438" s="1">
        <v>45716</v>
      </c>
      <c r="J438" s="2">
        <f t="shared" si="40"/>
        <v>8.1350194762714115E-3</v>
      </c>
      <c r="K438" s="3" t="str">
        <f t="shared" si="41"/>
        <v/>
      </c>
      <c r="L438" t="str">
        <f t="shared" si="42"/>
        <v/>
      </c>
      <c r="M438" t="str">
        <f t="shared" si="43"/>
        <v>Check</v>
      </c>
      <c r="N438">
        <v>16661.3</v>
      </c>
      <c r="O438" t="s">
        <v>270</v>
      </c>
      <c r="Q438" t="s">
        <v>41</v>
      </c>
    </row>
    <row r="439" spans="1:17" x14ac:dyDescent="0.3">
      <c r="A439">
        <v>100637079</v>
      </c>
      <c r="B439" t="s">
        <v>268</v>
      </c>
      <c r="C439" t="s">
        <v>611</v>
      </c>
      <c r="D439" t="s">
        <v>271</v>
      </c>
      <c r="E439" s="6">
        <v>24071.88</v>
      </c>
      <c r="F439" t="s">
        <v>366</v>
      </c>
      <c r="G439" s="4" t="str">
        <f t="shared" si="38"/>
        <v>24071.88</v>
      </c>
      <c r="H439" t="str">
        <f t="shared" si="39"/>
        <v>24071.88</v>
      </c>
      <c r="I439" s="1">
        <v>45716</v>
      </c>
      <c r="J439" s="2">
        <f t="shared" si="40"/>
        <v>7.4943016353867528E-3</v>
      </c>
      <c r="K439" s="3" t="str">
        <f t="shared" si="41"/>
        <v/>
      </c>
      <c r="L439" t="str">
        <f t="shared" si="42"/>
        <v/>
      </c>
      <c r="M439" t="str">
        <f t="shared" si="43"/>
        <v>Check</v>
      </c>
      <c r="N439">
        <v>23892.82</v>
      </c>
      <c r="O439" t="s">
        <v>272</v>
      </c>
      <c r="Q439" t="s">
        <v>41</v>
      </c>
    </row>
    <row r="440" spans="1:17" x14ac:dyDescent="0.3">
      <c r="A440">
        <v>100637079</v>
      </c>
      <c r="B440" t="s">
        <v>268</v>
      </c>
      <c r="C440" t="s">
        <v>606</v>
      </c>
      <c r="D440" t="s">
        <v>628</v>
      </c>
      <c r="E440" s="6">
        <v>1831.42</v>
      </c>
      <c r="F440" t="s">
        <v>366</v>
      </c>
      <c r="G440" s="4" t="str">
        <f t="shared" si="38"/>
        <v>1831.42</v>
      </c>
      <c r="H440" t="str">
        <f t="shared" si="39"/>
        <v>1831.42</v>
      </c>
      <c r="I440" s="1">
        <v>45716</v>
      </c>
      <c r="J440" s="2">
        <f t="shared" si="40"/>
        <v>-7.2635812708014141E-3</v>
      </c>
      <c r="K440" s="3" t="str">
        <f t="shared" si="41"/>
        <v/>
      </c>
      <c r="L440" t="str">
        <f t="shared" si="42"/>
        <v/>
      </c>
      <c r="M440" t="str">
        <f t="shared" si="43"/>
        <v/>
      </c>
      <c r="N440">
        <v>1844.82</v>
      </c>
      <c r="O440" t="s">
        <v>664</v>
      </c>
      <c r="Q440" t="s">
        <v>606</v>
      </c>
    </row>
    <row r="441" spans="1:17" x14ac:dyDescent="0.3">
      <c r="A441">
        <v>100637079</v>
      </c>
      <c r="B441" t="s">
        <v>268</v>
      </c>
      <c r="C441" t="s">
        <v>606</v>
      </c>
      <c r="D441" t="s">
        <v>629</v>
      </c>
      <c r="E441" s="6">
        <v>2666.11</v>
      </c>
      <c r="F441" t="s">
        <v>366</v>
      </c>
      <c r="G441" s="4" t="str">
        <f t="shared" si="38"/>
        <v>2666.11</v>
      </c>
      <c r="H441" t="str">
        <f t="shared" si="39"/>
        <v>2666.11</v>
      </c>
      <c r="I441" s="1">
        <v>45716</v>
      </c>
      <c r="J441" s="2">
        <f t="shared" si="40"/>
        <v>7.6229997656787653E-3</v>
      </c>
      <c r="K441" s="3" t="str">
        <f t="shared" si="41"/>
        <v/>
      </c>
      <c r="L441" t="str">
        <f t="shared" si="42"/>
        <v/>
      </c>
      <c r="M441" t="str">
        <f t="shared" si="43"/>
        <v/>
      </c>
      <c r="N441">
        <v>2645.94</v>
      </c>
      <c r="O441" t="s">
        <v>665</v>
      </c>
      <c r="Q441" t="s">
        <v>606</v>
      </c>
    </row>
    <row r="442" spans="1:17" x14ac:dyDescent="0.3">
      <c r="A442">
        <v>100637079</v>
      </c>
      <c r="B442" t="s">
        <v>268</v>
      </c>
      <c r="C442" t="s">
        <v>590</v>
      </c>
      <c r="D442" t="s">
        <v>635</v>
      </c>
      <c r="E442" s="6">
        <v>3250.84</v>
      </c>
      <c r="F442" t="s">
        <v>366</v>
      </c>
      <c r="G442" s="4" t="str">
        <f t="shared" si="38"/>
        <v>3250.84</v>
      </c>
      <c r="H442" t="str">
        <f t="shared" si="39"/>
        <v>3250.84</v>
      </c>
      <c r="I442" s="1">
        <v>45716</v>
      </c>
      <c r="J442" s="2">
        <f t="shared" si="40"/>
        <v>0.25494222966843355</v>
      </c>
      <c r="K442" s="3" t="str">
        <f t="shared" si="41"/>
        <v>Check!</v>
      </c>
      <c r="L442" t="str">
        <f t="shared" si="42"/>
        <v/>
      </c>
      <c r="M442" t="str">
        <f t="shared" si="43"/>
        <v/>
      </c>
      <c r="N442">
        <v>2590.4299999999998</v>
      </c>
      <c r="O442" t="s">
        <v>683</v>
      </c>
      <c r="Q442" t="s">
        <v>590</v>
      </c>
    </row>
    <row r="443" spans="1:17" x14ac:dyDescent="0.3">
      <c r="A443">
        <v>100641153</v>
      </c>
      <c r="B443" t="s">
        <v>273</v>
      </c>
      <c r="C443" t="s">
        <v>19</v>
      </c>
      <c r="D443" t="s">
        <v>274</v>
      </c>
      <c r="E443" s="6">
        <v>485329.68</v>
      </c>
      <c r="F443" t="s">
        <v>366</v>
      </c>
      <c r="G443" s="4" t="str">
        <f t="shared" si="38"/>
        <v>485329.68</v>
      </c>
      <c r="H443" t="str">
        <f t="shared" si="39"/>
        <v>485329.68</v>
      </c>
      <c r="I443" s="1">
        <v>45716</v>
      </c>
      <c r="J443" s="2">
        <f t="shared" si="40"/>
        <v>-7.5588594278882372E-3</v>
      </c>
      <c r="K443" s="3" t="str">
        <f t="shared" si="41"/>
        <v/>
      </c>
      <c r="L443" t="str">
        <f t="shared" si="42"/>
        <v/>
      </c>
      <c r="M443" t="str">
        <f t="shared" si="43"/>
        <v/>
      </c>
      <c r="N443">
        <v>489026.16</v>
      </c>
      <c r="O443" t="s">
        <v>462</v>
      </c>
      <c r="Q443" t="s">
        <v>19</v>
      </c>
    </row>
    <row r="444" spans="1:17" x14ac:dyDescent="0.3">
      <c r="A444">
        <v>100651921</v>
      </c>
      <c r="B444" t="s">
        <v>279</v>
      </c>
      <c r="C444" t="s">
        <v>590</v>
      </c>
      <c r="D444" t="s">
        <v>280</v>
      </c>
      <c r="E444" s="6">
        <v>78242.95</v>
      </c>
      <c r="F444" t="s">
        <v>366</v>
      </c>
      <c r="G444" s="4" t="str">
        <f t="shared" si="38"/>
        <v>78242.95</v>
      </c>
      <c r="H444" t="str">
        <f t="shared" si="39"/>
        <v>78242.95</v>
      </c>
      <c r="I444" s="1">
        <v>45716</v>
      </c>
      <c r="J444" s="2">
        <f t="shared" si="40"/>
        <v>-1.9839667830338077E-3</v>
      </c>
      <c r="K444" s="3" t="str">
        <f t="shared" si="41"/>
        <v/>
      </c>
      <c r="L444" t="str">
        <f t="shared" si="42"/>
        <v/>
      </c>
      <c r="M444" t="str">
        <f t="shared" si="43"/>
        <v>Check</v>
      </c>
      <c r="N444">
        <v>78398.490000000005</v>
      </c>
      <c r="O444" t="s">
        <v>463</v>
      </c>
      <c r="Q444" t="s">
        <v>16</v>
      </c>
    </row>
    <row r="445" spans="1:17" x14ac:dyDescent="0.3">
      <c r="A445">
        <v>100651921</v>
      </c>
      <c r="B445" t="s">
        <v>279</v>
      </c>
      <c r="C445" t="s">
        <v>590</v>
      </c>
      <c r="D445" t="s">
        <v>282</v>
      </c>
      <c r="E445" s="6">
        <v>79486.38</v>
      </c>
      <c r="F445" t="s">
        <v>366</v>
      </c>
      <c r="G445" s="4" t="str">
        <f t="shared" si="38"/>
        <v>79486.38</v>
      </c>
      <c r="H445" t="str">
        <f t="shared" si="39"/>
        <v>79486.38</v>
      </c>
      <c r="I445" s="1">
        <v>45716</v>
      </c>
      <c r="J445" s="2">
        <f t="shared" si="40"/>
        <v>-1.2918838234332352E-3</v>
      </c>
      <c r="K445" s="3" t="str">
        <f t="shared" si="41"/>
        <v/>
      </c>
      <c r="L445" t="str">
        <f t="shared" si="42"/>
        <v/>
      </c>
      <c r="M445" t="str">
        <f t="shared" si="43"/>
        <v>Check</v>
      </c>
      <c r="N445">
        <v>79589.2</v>
      </c>
      <c r="O445" t="s">
        <v>464</v>
      </c>
      <c r="Q445" t="s">
        <v>16</v>
      </c>
    </row>
    <row r="446" spans="1:17" x14ac:dyDescent="0.3">
      <c r="A446">
        <v>100655835</v>
      </c>
      <c r="B446" t="s">
        <v>284</v>
      </c>
      <c r="C446" t="s">
        <v>19</v>
      </c>
      <c r="D446" t="s">
        <v>285</v>
      </c>
      <c r="E446" s="6">
        <v>1306090.82</v>
      </c>
      <c r="F446" t="s">
        <v>366</v>
      </c>
      <c r="G446" s="4" t="str">
        <f t="shared" si="38"/>
        <v>1306090.82</v>
      </c>
      <c r="H446" t="str">
        <f t="shared" si="39"/>
        <v>1306090.82</v>
      </c>
      <c r="I446" s="1">
        <v>45716</v>
      </c>
      <c r="J446" s="2">
        <f t="shared" si="40"/>
        <v>-7.3408877140520466E-3</v>
      </c>
      <c r="K446" s="3" t="str">
        <f t="shared" si="41"/>
        <v/>
      </c>
      <c r="L446" t="str">
        <f t="shared" si="42"/>
        <v/>
      </c>
      <c r="M446" t="str">
        <f t="shared" si="43"/>
        <v/>
      </c>
      <c r="N446">
        <v>1315749.5900000001</v>
      </c>
      <c r="O446" t="s">
        <v>465</v>
      </c>
      <c r="Q446" t="s">
        <v>19</v>
      </c>
    </row>
    <row r="447" spans="1:17" x14ac:dyDescent="0.3">
      <c r="A447">
        <v>100663638</v>
      </c>
      <c r="B447" t="s">
        <v>287</v>
      </c>
      <c r="C447" t="s">
        <v>19</v>
      </c>
      <c r="D447" t="s">
        <v>288</v>
      </c>
      <c r="E447" s="6">
        <v>402255.34</v>
      </c>
      <c r="F447" t="s">
        <v>366</v>
      </c>
      <c r="G447" s="4" t="str">
        <f t="shared" si="38"/>
        <v>402255.34</v>
      </c>
      <c r="H447" t="str">
        <f t="shared" si="39"/>
        <v>402255.34</v>
      </c>
      <c r="I447" s="1">
        <v>45716</v>
      </c>
      <c r="J447" s="2">
        <f t="shared" si="40"/>
        <v>-7.5875064906861713E-3</v>
      </c>
      <c r="K447" s="3" t="str">
        <f t="shared" si="41"/>
        <v/>
      </c>
      <c r="L447" t="str">
        <f t="shared" si="42"/>
        <v/>
      </c>
      <c r="M447" t="str">
        <f t="shared" si="43"/>
        <v/>
      </c>
      <c r="N447">
        <v>405330.79</v>
      </c>
      <c r="O447" t="s">
        <v>466</v>
      </c>
      <c r="Q447" t="s">
        <v>19</v>
      </c>
    </row>
    <row r="448" spans="1:17" x14ac:dyDescent="0.3">
      <c r="A448">
        <v>100663638</v>
      </c>
      <c r="B448" t="s">
        <v>287</v>
      </c>
      <c r="C448" t="s">
        <v>19</v>
      </c>
      <c r="D448" t="s">
        <v>290</v>
      </c>
      <c r="E448" s="6">
        <v>13925.77</v>
      </c>
      <c r="F448" t="s">
        <v>366</v>
      </c>
      <c r="G448" s="4" t="str">
        <f t="shared" si="38"/>
        <v>13925.77</v>
      </c>
      <c r="H448" t="str">
        <f t="shared" si="39"/>
        <v>13925.77</v>
      </c>
      <c r="I448" s="1">
        <v>45716</v>
      </c>
      <c r="J448" s="2">
        <f t="shared" si="40"/>
        <v>-3.753691451856553E-3</v>
      </c>
      <c r="K448" s="3" t="str">
        <f t="shared" si="41"/>
        <v/>
      </c>
      <c r="L448" t="str">
        <f t="shared" si="42"/>
        <v/>
      </c>
      <c r="M448" t="str">
        <f t="shared" si="43"/>
        <v/>
      </c>
      <c r="N448">
        <v>13978.24</v>
      </c>
      <c r="O448" t="s">
        <v>467</v>
      </c>
      <c r="Q448" t="s">
        <v>19</v>
      </c>
    </row>
    <row r="449" spans="1:17" x14ac:dyDescent="0.3">
      <c r="A449">
        <v>100664029</v>
      </c>
      <c r="B449" t="s">
        <v>292</v>
      </c>
      <c r="C449" t="s">
        <v>19</v>
      </c>
      <c r="D449" t="s">
        <v>293</v>
      </c>
      <c r="E449" s="6">
        <v>36368.339999999997</v>
      </c>
      <c r="F449" t="s">
        <v>366</v>
      </c>
      <c r="G449" s="4" t="str">
        <f t="shared" si="38"/>
        <v>36368.34</v>
      </c>
      <c r="H449" t="str">
        <f t="shared" si="39"/>
        <v>36368.34</v>
      </c>
      <c r="I449" s="1">
        <v>45716</v>
      </c>
      <c r="J449" s="2">
        <f t="shared" si="40"/>
        <v>-6.655737651186695E-3</v>
      </c>
      <c r="K449" s="3" t="str">
        <f t="shared" si="41"/>
        <v/>
      </c>
      <c r="L449" t="str">
        <f t="shared" si="42"/>
        <v/>
      </c>
      <c r="M449" t="str">
        <f t="shared" si="43"/>
        <v/>
      </c>
      <c r="N449">
        <v>36612.019999999997</v>
      </c>
      <c r="O449" t="s">
        <v>468</v>
      </c>
      <c r="Q449" t="s">
        <v>19</v>
      </c>
    </row>
    <row r="450" spans="1:17" x14ac:dyDescent="0.3">
      <c r="A450">
        <v>100664029</v>
      </c>
      <c r="B450" t="s">
        <v>292</v>
      </c>
      <c r="C450" t="s">
        <v>19</v>
      </c>
      <c r="D450" t="s">
        <v>295</v>
      </c>
      <c r="E450" s="6">
        <v>23338.36</v>
      </c>
      <c r="F450" t="s">
        <v>366</v>
      </c>
      <c r="G450" s="4" t="str">
        <f t="shared" si="38"/>
        <v>23338.36</v>
      </c>
      <c r="H450" t="str">
        <f t="shared" si="39"/>
        <v>23338.36</v>
      </c>
      <c r="I450" s="1">
        <v>45716</v>
      </c>
      <c r="J450" s="2">
        <f t="shared" si="40"/>
        <v>-5.8824882456724121E-3</v>
      </c>
      <c r="K450" s="3" t="str">
        <f t="shared" si="41"/>
        <v/>
      </c>
      <c r="L450" t="str">
        <f t="shared" si="42"/>
        <v/>
      </c>
      <c r="M450" t="str">
        <f t="shared" si="43"/>
        <v/>
      </c>
      <c r="N450">
        <v>23476.46</v>
      </c>
      <c r="O450" t="s">
        <v>469</v>
      </c>
      <c r="Q450" t="s">
        <v>19</v>
      </c>
    </row>
    <row r="451" spans="1:17" x14ac:dyDescent="0.3">
      <c r="A451">
        <v>100664292</v>
      </c>
      <c r="B451" t="s">
        <v>297</v>
      </c>
      <c r="C451" t="s">
        <v>590</v>
      </c>
      <c r="D451" t="s">
        <v>298</v>
      </c>
      <c r="E451" s="6">
        <v>2152.87</v>
      </c>
      <c r="F451" t="s">
        <v>366</v>
      </c>
      <c r="G451" s="4" t="str">
        <f t="shared" ref="G451:G514" si="44">SUBSTITUTE(E451,"R","")</f>
        <v>2152.87</v>
      </c>
      <c r="H451" t="str">
        <f t="shared" ref="H451:H514" si="45">SUBSTITUTE(G451,",","")</f>
        <v>2152.87</v>
      </c>
      <c r="I451" s="1">
        <v>45716</v>
      </c>
      <c r="J451" s="2">
        <f t="shared" ref="J451:J514" si="46">(H451-N451)/N451</f>
        <v>-7.7019515297891928E-3</v>
      </c>
      <c r="K451" s="3" t="str">
        <f t="shared" ref="K451:K514" si="47">IF(ABS(J451)&gt;0.1,"Check!","")</f>
        <v/>
      </c>
      <c r="L451" t="str">
        <f t="shared" ref="L451:L514" si="48">IF(LEFT(O451,10)&lt;&gt;LEFT(D451,10),"Check","")</f>
        <v/>
      </c>
      <c r="M451" t="str">
        <f t="shared" ref="M451:M514" si="49">IF(Q451&lt;&gt;C451,"Check","")</f>
        <v>Check</v>
      </c>
      <c r="N451">
        <v>2169.58</v>
      </c>
      <c r="O451" t="s">
        <v>470</v>
      </c>
      <c r="Q451" t="s">
        <v>16</v>
      </c>
    </row>
    <row r="452" spans="1:17" x14ac:dyDescent="0.3">
      <c r="A452">
        <v>100664292</v>
      </c>
      <c r="B452" t="s">
        <v>297</v>
      </c>
      <c r="C452" t="s">
        <v>19</v>
      </c>
      <c r="D452" t="s">
        <v>300</v>
      </c>
      <c r="E452" s="6">
        <v>185856.88</v>
      </c>
      <c r="F452" t="s">
        <v>366</v>
      </c>
      <c r="G452" s="4" t="str">
        <f t="shared" si="44"/>
        <v>185856.88</v>
      </c>
      <c r="H452" t="str">
        <f t="shared" si="45"/>
        <v>185856.88</v>
      </c>
      <c r="I452" s="1">
        <v>45716</v>
      </c>
      <c r="J452" s="2">
        <f t="shared" si="46"/>
        <v>-7.4056493484368187E-3</v>
      </c>
      <c r="K452" s="3" t="str">
        <f t="shared" si="47"/>
        <v/>
      </c>
      <c r="L452" t="str">
        <f t="shared" si="48"/>
        <v/>
      </c>
      <c r="M452" t="str">
        <f t="shared" si="49"/>
        <v/>
      </c>
      <c r="N452">
        <v>187243.54</v>
      </c>
      <c r="O452" t="s">
        <v>471</v>
      </c>
      <c r="Q452" t="s">
        <v>19</v>
      </c>
    </row>
    <row r="453" spans="1:17" x14ac:dyDescent="0.3">
      <c r="A453">
        <v>100664348</v>
      </c>
      <c r="B453" t="s">
        <v>302</v>
      </c>
      <c r="C453" t="s">
        <v>19</v>
      </c>
      <c r="D453" t="s">
        <v>303</v>
      </c>
      <c r="E453" s="6">
        <v>30633.16</v>
      </c>
      <c r="F453" t="s">
        <v>366</v>
      </c>
      <c r="G453" s="4" t="str">
        <f t="shared" si="44"/>
        <v>30633.16</v>
      </c>
      <c r="H453" t="str">
        <f t="shared" si="45"/>
        <v>30633.16</v>
      </c>
      <c r="I453" s="1">
        <v>45716</v>
      </c>
      <c r="J453" s="2">
        <f t="shared" si="46"/>
        <v>-6.9799225115791674E-3</v>
      </c>
      <c r="K453" s="3" t="str">
        <f t="shared" si="47"/>
        <v/>
      </c>
      <c r="L453" t="str">
        <f t="shared" si="48"/>
        <v/>
      </c>
      <c r="M453" t="str">
        <f t="shared" si="49"/>
        <v/>
      </c>
      <c r="N453">
        <v>30848.48</v>
      </c>
      <c r="O453" t="s">
        <v>472</v>
      </c>
      <c r="Q453" t="s">
        <v>19</v>
      </c>
    </row>
    <row r="454" spans="1:17" x14ac:dyDescent="0.3">
      <c r="A454">
        <v>100664351</v>
      </c>
      <c r="B454" t="s">
        <v>305</v>
      </c>
      <c r="C454" t="s">
        <v>19</v>
      </c>
      <c r="D454" t="s">
        <v>306</v>
      </c>
      <c r="E454" s="6">
        <v>46107.040000000001</v>
      </c>
      <c r="F454" t="s">
        <v>366</v>
      </c>
      <c r="G454" s="4" t="str">
        <f t="shared" si="44"/>
        <v>46107.04</v>
      </c>
      <c r="H454" t="str">
        <f t="shared" si="45"/>
        <v>46107.04</v>
      </c>
      <c r="I454" s="1">
        <v>45716</v>
      </c>
      <c r="J454" s="2">
        <f t="shared" si="46"/>
        <v>-3.4841708902466538E-2</v>
      </c>
      <c r="K454" s="3" t="str">
        <f t="shared" si="47"/>
        <v/>
      </c>
      <c r="L454" t="str">
        <f t="shared" si="48"/>
        <v/>
      </c>
      <c r="M454" t="str">
        <f t="shared" si="49"/>
        <v/>
      </c>
      <c r="N454">
        <v>47771.48</v>
      </c>
      <c r="O454" t="s">
        <v>473</v>
      </c>
      <c r="Q454" t="s">
        <v>19</v>
      </c>
    </row>
    <row r="455" spans="1:17" x14ac:dyDescent="0.3">
      <c r="A455">
        <v>100664601</v>
      </c>
      <c r="B455" t="s">
        <v>308</v>
      </c>
      <c r="C455" t="s">
        <v>623</v>
      </c>
      <c r="D455" t="s">
        <v>309</v>
      </c>
      <c r="E455" s="6">
        <v>254756.66</v>
      </c>
      <c r="F455" t="s">
        <v>366</v>
      </c>
      <c r="G455" s="4" t="str">
        <f t="shared" si="44"/>
        <v>254756.66</v>
      </c>
      <c r="H455" t="str">
        <f t="shared" si="45"/>
        <v>254756.66</v>
      </c>
      <c r="I455" s="1">
        <v>45716</v>
      </c>
      <c r="J455" s="2">
        <f t="shared" si="46"/>
        <v>6.7367600584401829E-3</v>
      </c>
      <c r="K455" s="3" t="str">
        <f t="shared" si="47"/>
        <v/>
      </c>
      <c r="L455" t="str">
        <f t="shared" si="48"/>
        <v/>
      </c>
      <c r="M455" t="str">
        <f t="shared" si="49"/>
        <v>Check</v>
      </c>
      <c r="N455">
        <v>253051.91</v>
      </c>
      <c r="O455" t="s">
        <v>310</v>
      </c>
      <c r="Q455" t="s">
        <v>164</v>
      </c>
    </row>
    <row r="456" spans="1:17" x14ac:dyDescent="0.3">
      <c r="A456">
        <v>100664601</v>
      </c>
      <c r="B456" t="s">
        <v>308</v>
      </c>
      <c r="C456" t="s">
        <v>611</v>
      </c>
      <c r="D456" t="s">
        <v>311</v>
      </c>
      <c r="E456" s="6">
        <v>78771.8</v>
      </c>
      <c r="F456" t="s">
        <v>366</v>
      </c>
      <c r="G456" s="4" t="str">
        <f t="shared" si="44"/>
        <v>78771.8</v>
      </c>
      <c r="H456" t="str">
        <f t="shared" si="45"/>
        <v>78771.8</v>
      </c>
      <c r="I456" s="1">
        <v>45716</v>
      </c>
      <c r="J456" s="2">
        <f t="shared" si="46"/>
        <v>6.6456004765131681E-3</v>
      </c>
      <c r="K456" s="3" t="str">
        <f t="shared" si="47"/>
        <v/>
      </c>
      <c r="L456" t="str">
        <f t="shared" si="48"/>
        <v/>
      </c>
      <c r="M456" t="str">
        <f t="shared" si="49"/>
        <v>Check</v>
      </c>
      <c r="N456">
        <v>78251.77</v>
      </c>
      <c r="O456" t="s">
        <v>312</v>
      </c>
      <c r="Q456" t="s">
        <v>41</v>
      </c>
    </row>
    <row r="457" spans="1:17" x14ac:dyDescent="0.3">
      <c r="A457">
        <v>100664601</v>
      </c>
      <c r="B457" t="s">
        <v>308</v>
      </c>
      <c r="C457" t="s">
        <v>622</v>
      </c>
      <c r="D457" t="s">
        <v>630</v>
      </c>
      <c r="E457" s="6">
        <v>3701.47</v>
      </c>
      <c r="F457" t="s">
        <v>366</v>
      </c>
      <c r="G457" s="4" t="str">
        <f t="shared" si="44"/>
        <v>3701.47</v>
      </c>
      <c r="H457" t="str">
        <f t="shared" si="45"/>
        <v>3701.47</v>
      </c>
      <c r="I457" s="1">
        <v>45716</v>
      </c>
      <c r="J457" s="2">
        <f t="shared" si="46"/>
        <v>-2.9717039750627388E-5</v>
      </c>
      <c r="K457" s="3" t="str">
        <f t="shared" si="47"/>
        <v/>
      </c>
      <c r="L457" t="str">
        <f t="shared" si="48"/>
        <v/>
      </c>
      <c r="M457" t="str">
        <f t="shared" si="49"/>
        <v/>
      </c>
      <c r="N457">
        <v>3701.58</v>
      </c>
      <c r="O457" t="s">
        <v>667</v>
      </c>
      <c r="Q457" t="s">
        <v>622</v>
      </c>
    </row>
    <row r="458" spans="1:17" x14ac:dyDescent="0.3">
      <c r="A458">
        <v>100664601</v>
      </c>
      <c r="B458" t="s">
        <v>308</v>
      </c>
      <c r="C458" t="s">
        <v>606</v>
      </c>
      <c r="D458" t="s">
        <v>631</v>
      </c>
      <c r="E458" s="6">
        <v>3671.1</v>
      </c>
      <c r="F458" t="s">
        <v>366</v>
      </c>
      <c r="G458" s="4" t="str">
        <f t="shared" si="44"/>
        <v>3671.1</v>
      </c>
      <c r="H458" t="str">
        <f t="shared" si="45"/>
        <v>3671.1</v>
      </c>
      <c r="I458" s="1">
        <v>45716</v>
      </c>
      <c r="J458" s="2">
        <f t="shared" si="46"/>
        <v>-7.2742022714981317E-3</v>
      </c>
      <c r="K458" s="3" t="str">
        <f t="shared" si="47"/>
        <v/>
      </c>
      <c r="L458" t="str">
        <f t="shared" si="48"/>
        <v/>
      </c>
      <c r="M458" t="str">
        <f t="shared" si="49"/>
        <v/>
      </c>
      <c r="N458">
        <v>3698</v>
      </c>
      <c r="O458" t="s">
        <v>668</v>
      </c>
      <c r="Q458" t="s">
        <v>606</v>
      </c>
    </row>
    <row r="459" spans="1:17" x14ac:dyDescent="0.3">
      <c r="A459">
        <v>100664737</v>
      </c>
      <c r="B459" t="s">
        <v>313</v>
      </c>
      <c r="C459" t="s">
        <v>19</v>
      </c>
      <c r="D459" t="s">
        <v>314</v>
      </c>
      <c r="E459" s="6">
        <v>25557.59</v>
      </c>
      <c r="F459" t="s">
        <v>366</v>
      </c>
      <c r="G459" s="4" t="str">
        <f t="shared" si="44"/>
        <v>25557.59</v>
      </c>
      <c r="H459" t="str">
        <f t="shared" si="45"/>
        <v>25557.59</v>
      </c>
      <c r="I459" s="1">
        <v>45716</v>
      </c>
      <c r="J459" s="2">
        <f t="shared" si="46"/>
        <v>-6.0142585843390257E-3</v>
      </c>
      <c r="K459" s="3" t="str">
        <f t="shared" si="47"/>
        <v/>
      </c>
      <c r="L459" t="str">
        <f t="shared" si="48"/>
        <v/>
      </c>
      <c r="M459" t="str">
        <f t="shared" si="49"/>
        <v/>
      </c>
      <c r="N459">
        <v>25712.23</v>
      </c>
      <c r="O459" t="s">
        <v>474</v>
      </c>
      <c r="Q459" t="s">
        <v>19</v>
      </c>
    </row>
    <row r="460" spans="1:17" x14ac:dyDescent="0.3">
      <c r="A460">
        <v>100664737</v>
      </c>
      <c r="B460" t="s">
        <v>313</v>
      </c>
      <c r="C460" t="s">
        <v>19</v>
      </c>
      <c r="D460" t="s">
        <v>316</v>
      </c>
      <c r="E460" s="6">
        <v>11951.83</v>
      </c>
      <c r="F460" t="s">
        <v>366</v>
      </c>
      <c r="G460" s="4" t="str">
        <f t="shared" si="44"/>
        <v>11951.83</v>
      </c>
      <c r="H460" t="str">
        <f t="shared" si="45"/>
        <v>11951.83</v>
      </c>
      <c r="I460" s="1">
        <v>45716</v>
      </c>
      <c r="J460" s="2">
        <f t="shared" si="46"/>
        <v>-4.462987936272058E-3</v>
      </c>
      <c r="K460" s="3" t="str">
        <f t="shared" si="47"/>
        <v/>
      </c>
      <c r="L460" t="str">
        <f t="shared" si="48"/>
        <v/>
      </c>
      <c r="M460" t="str">
        <f t="shared" si="49"/>
        <v/>
      </c>
      <c r="N460">
        <v>12005.41</v>
      </c>
      <c r="O460" t="s">
        <v>475</v>
      </c>
      <c r="Q460" t="s">
        <v>19</v>
      </c>
    </row>
    <row r="461" spans="1:17" x14ac:dyDescent="0.3">
      <c r="A461">
        <v>100665510</v>
      </c>
      <c r="B461" t="s">
        <v>318</v>
      </c>
      <c r="C461" t="s">
        <v>590</v>
      </c>
      <c r="D461" t="s">
        <v>476</v>
      </c>
      <c r="E461" s="6">
        <v>11310.23</v>
      </c>
      <c r="F461" t="s">
        <v>366</v>
      </c>
      <c r="G461" s="4" t="str">
        <f t="shared" si="44"/>
        <v>11310.23</v>
      </c>
      <c r="H461" t="str">
        <f t="shared" si="45"/>
        <v>11310.23</v>
      </c>
      <c r="I461" s="1">
        <v>45716</v>
      </c>
      <c r="J461" s="2">
        <f t="shared" si="46"/>
        <v>-6.0732872029485522E-3</v>
      </c>
      <c r="K461" s="3" t="str">
        <f t="shared" si="47"/>
        <v/>
      </c>
      <c r="L461" t="str">
        <f t="shared" si="48"/>
        <v/>
      </c>
      <c r="M461" t="str">
        <f t="shared" si="49"/>
        <v>Check</v>
      </c>
      <c r="N461">
        <v>11379.34</v>
      </c>
      <c r="O461" t="s">
        <v>477</v>
      </c>
      <c r="Q461" t="s">
        <v>16</v>
      </c>
    </row>
    <row r="462" spans="1:17" x14ac:dyDescent="0.3">
      <c r="A462">
        <v>100665510</v>
      </c>
      <c r="B462" t="s">
        <v>318</v>
      </c>
      <c r="C462" t="s">
        <v>19</v>
      </c>
      <c r="D462" t="s">
        <v>319</v>
      </c>
      <c r="E462" s="6">
        <v>118209.25</v>
      </c>
      <c r="F462" t="s">
        <v>366</v>
      </c>
      <c r="G462" s="4" t="str">
        <f t="shared" si="44"/>
        <v>118209.25</v>
      </c>
      <c r="H462" t="str">
        <f t="shared" si="45"/>
        <v>118209.25</v>
      </c>
      <c r="I462" s="1">
        <v>45716</v>
      </c>
      <c r="J462" s="2">
        <f t="shared" si="46"/>
        <v>-6.7506263619349699E-3</v>
      </c>
      <c r="K462" s="3" t="str">
        <f t="shared" si="47"/>
        <v/>
      </c>
      <c r="L462" t="str">
        <f t="shared" si="48"/>
        <v/>
      </c>
      <c r="M462" t="str">
        <f t="shared" si="49"/>
        <v/>
      </c>
      <c r="N462">
        <v>119012.66</v>
      </c>
      <c r="O462" t="s">
        <v>478</v>
      </c>
      <c r="Q462" t="s">
        <v>19</v>
      </c>
    </row>
    <row r="463" spans="1:17" x14ac:dyDescent="0.3">
      <c r="A463">
        <v>100665581</v>
      </c>
      <c r="B463" t="s">
        <v>321</v>
      </c>
      <c r="C463" t="s">
        <v>623</v>
      </c>
      <c r="D463" t="s">
        <v>322</v>
      </c>
      <c r="E463" s="6">
        <v>152016.65</v>
      </c>
      <c r="F463" t="s">
        <v>366</v>
      </c>
      <c r="G463" s="4" t="str">
        <f t="shared" si="44"/>
        <v>152016.65</v>
      </c>
      <c r="H463" t="str">
        <f t="shared" si="45"/>
        <v>152016.65</v>
      </c>
      <c r="I463" s="1">
        <v>45716</v>
      </c>
      <c r="J463" s="2">
        <f t="shared" si="46"/>
        <v>6.7415154396372034E-3</v>
      </c>
      <c r="K463" s="3" t="str">
        <f t="shared" si="47"/>
        <v/>
      </c>
      <c r="L463" t="str">
        <f t="shared" si="48"/>
        <v/>
      </c>
      <c r="M463" t="str">
        <f t="shared" si="49"/>
        <v>Check</v>
      </c>
      <c r="N463">
        <v>150998.69</v>
      </c>
      <c r="O463" t="s">
        <v>323</v>
      </c>
      <c r="Q463" t="s">
        <v>164</v>
      </c>
    </row>
    <row r="464" spans="1:17" x14ac:dyDescent="0.3">
      <c r="A464">
        <v>100665581</v>
      </c>
      <c r="B464" t="s">
        <v>321</v>
      </c>
      <c r="C464" t="s">
        <v>622</v>
      </c>
      <c r="D464" t="s">
        <v>632</v>
      </c>
      <c r="E464" s="6">
        <v>3701.68</v>
      </c>
      <c r="F464" t="s">
        <v>366</v>
      </c>
      <c r="G464" s="4" t="str">
        <f t="shared" si="44"/>
        <v>3701.68</v>
      </c>
      <c r="H464" t="str">
        <f t="shared" si="45"/>
        <v>3701.68</v>
      </c>
      <c r="I464" s="1">
        <v>45716</v>
      </c>
      <c r="J464" s="2">
        <f t="shared" si="46"/>
        <v>-3.5117955810835552E-5</v>
      </c>
      <c r="K464" s="3" t="str">
        <f t="shared" si="47"/>
        <v/>
      </c>
      <c r="L464" t="str">
        <f t="shared" si="48"/>
        <v/>
      </c>
      <c r="M464" t="str">
        <f t="shared" si="49"/>
        <v/>
      </c>
      <c r="N464">
        <v>3701.81</v>
      </c>
      <c r="O464" t="s">
        <v>669</v>
      </c>
      <c r="Q464" t="s">
        <v>622</v>
      </c>
    </row>
    <row r="465" spans="1:17" x14ac:dyDescent="0.3">
      <c r="A465">
        <v>100665581</v>
      </c>
      <c r="B465" t="s">
        <v>321</v>
      </c>
      <c r="C465" t="s">
        <v>590</v>
      </c>
      <c r="D465" t="s">
        <v>639</v>
      </c>
      <c r="E465" s="6">
        <v>238804.46</v>
      </c>
      <c r="F465" t="s">
        <v>366</v>
      </c>
      <c r="G465" s="4" t="str">
        <f t="shared" si="44"/>
        <v>238804.46</v>
      </c>
      <c r="H465" t="str">
        <f t="shared" si="45"/>
        <v>238804.46</v>
      </c>
      <c r="I465" s="1">
        <v>45716</v>
      </c>
      <c r="J465" s="2">
        <f t="shared" si="46"/>
        <v>17.863611840249991</v>
      </c>
      <c r="K465" s="3" t="str">
        <f t="shared" si="47"/>
        <v>Check!</v>
      </c>
      <c r="L465" t="str">
        <f t="shared" si="48"/>
        <v/>
      </c>
      <c r="M465" t="str">
        <f t="shared" si="49"/>
        <v/>
      </c>
      <c r="N465">
        <v>12659.53</v>
      </c>
      <c r="O465" t="s">
        <v>684</v>
      </c>
      <c r="Q465" t="s">
        <v>590</v>
      </c>
    </row>
    <row r="466" spans="1:17" x14ac:dyDescent="0.3">
      <c r="A466">
        <v>100666150</v>
      </c>
      <c r="B466" t="s">
        <v>324</v>
      </c>
      <c r="C466" t="s">
        <v>19</v>
      </c>
      <c r="D466" t="s">
        <v>325</v>
      </c>
      <c r="E466" s="6">
        <v>197255.31</v>
      </c>
      <c r="F466" t="s">
        <v>366</v>
      </c>
      <c r="G466" s="4" t="str">
        <f t="shared" si="44"/>
        <v>197255.31</v>
      </c>
      <c r="H466" t="str">
        <f t="shared" si="45"/>
        <v>197255.31</v>
      </c>
      <c r="I466" s="1">
        <v>45716</v>
      </c>
      <c r="J466" s="2">
        <f t="shared" si="46"/>
        <v>-7.5889603998154365E-3</v>
      </c>
      <c r="K466" s="3" t="str">
        <f t="shared" si="47"/>
        <v/>
      </c>
      <c r="L466" t="str">
        <f t="shared" si="48"/>
        <v/>
      </c>
      <c r="M466" t="str">
        <f t="shared" si="49"/>
        <v/>
      </c>
      <c r="N466">
        <v>198763.72</v>
      </c>
      <c r="O466" t="s">
        <v>479</v>
      </c>
      <c r="Q466" t="s">
        <v>19</v>
      </c>
    </row>
    <row r="467" spans="1:17" x14ac:dyDescent="0.3">
      <c r="A467">
        <v>100668166</v>
      </c>
      <c r="B467" t="s">
        <v>480</v>
      </c>
      <c r="C467" t="s">
        <v>590</v>
      </c>
      <c r="D467" t="s">
        <v>481</v>
      </c>
      <c r="E467" s="6">
        <v>26340.400000000001</v>
      </c>
      <c r="F467" t="s">
        <v>366</v>
      </c>
      <c r="G467" s="4" t="str">
        <f t="shared" si="44"/>
        <v>26340.4</v>
      </c>
      <c r="H467" t="str">
        <f t="shared" si="45"/>
        <v>26340.4</v>
      </c>
      <c r="I467" s="1">
        <v>45716</v>
      </c>
      <c r="J467" s="2">
        <f t="shared" si="46"/>
        <v>-3.856687635530522E-3</v>
      </c>
      <c r="K467" s="3" t="str">
        <f t="shared" si="47"/>
        <v/>
      </c>
      <c r="L467" t="str">
        <f t="shared" si="48"/>
        <v/>
      </c>
      <c r="M467" t="str">
        <f t="shared" si="49"/>
        <v>Check</v>
      </c>
      <c r="N467">
        <v>26442.38</v>
      </c>
      <c r="O467" t="s">
        <v>482</v>
      </c>
      <c r="Q467" t="s">
        <v>16</v>
      </c>
    </row>
    <row r="468" spans="1:17" x14ac:dyDescent="0.3">
      <c r="A468">
        <v>100668409</v>
      </c>
      <c r="B468" t="s">
        <v>327</v>
      </c>
      <c r="C468" t="s">
        <v>590</v>
      </c>
      <c r="D468" t="s">
        <v>328</v>
      </c>
      <c r="E468" s="6">
        <v>39664.06</v>
      </c>
      <c r="F468" t="s">
        <v>366</v>
      </c>
      <c r="G468" s="4" t="str">
        <f t="shared" si="44"/>
        <v>39664.06</v>
      </c>
      <c r="H468" t="str">
        <f t="shared" si="45"/>
        <v>39664.06</v>
      </c>
      <c r="I468" s="1">
        <v>45716</v>
      </c>
      <c r="J468" s="2">
        <f t="shared" si="46"/>
        <v>-6.12077729135757E-3</v>
      </c>
      <c r="K468" s="3" t="str">
        <f t="shared" si="47"/>
        <v/>
      </c>
      <c r="L468" t="str">
        <f t="shared" si="48"/>
        <v/>
      </c>
      <c r="M468" t="str">
        <f t="shared" si="49"/>
        <v>Check</v>
      </c>
      <c r="N468">
        <v>39908.33</v>
      </c>
      <c r="O468" t="s">
        <v>483</v>
      </c>
      <c r="Q468" t="s">
        <v>16</v>
      </c>
    </row>
    <row r="469" spans="1:17" x14ac:dyDescent="0.3">
      <c r="A469">
        <v>100668534</v>
      </c>
      <c r="B469" t="s">
        <v>330</v>
      </c>
      <c r="C469" t="s">
        <v>590</v>
      </c>
      <c r="D469" t="s">
        <v>331</v>
      </c>
      <c r="E469" s="6">
        <v>80048.28</v>
      </c>
      <c r="F469" t="s">
        <v>366</v>
      </c>
      <c r="G469" s="4" t="str">
        <f t="shared" si="44"/>
        <v>80048.28</v>
      </c>
      <c r="H469" t="str">
        <f t="shared" si="45"/>
        <v>80048.28</v>
      </c>
      <c r="I469" s="1">
        <v>45716</v>
      </c>
      <c r="J469" s="2">
        <f t="shared" si="46"/>
        <v>-6.9115725387595122E-3</v>
      </c>
      <c r="K469" s="3" t="str">
        <f t="shared" si="47"/>
        <v/>
      </c>
      <c r="L469" t="str">
        <f t="shared" si="48"/>
        <v/>
      </c>
      <c r="M469" t="str">
        <f t="shared" si="49"/>
        <v>Check</v>
      </c>
      <c r="N469">
        <v>80605.39</v>
      </c>
      <c r="O469" t="s">
        <v>484</v>
      </c>
      <c r="Q469" t="s">
        <v>16</v>
      </c>
    </row>
    <row r="470" spans="1:17" x14ac:dyDescent="0.3">
      <c r="A470">
        <v>100669580</v>
      </c>
      <c r="B470" t="s">
        <v>333</v>
      </c>
      <c r="C470" t="s">
        <v>19</v>
      </c>
      <c r="D470" t="s">
        <v>334</v>
      </c>
      <c r="E470" s="6">
        <v>93047.09</v>
      </c>
      <c r="F470" t="s">
        <v>366</v>
      </c>
      <c r="G470" s="4" t="str">
        <f t="shared" si="44"/>
        <v>93047.09</v>
      </c>
      <c r="H470" t="str">
        <f t="shared" si="45"/>
        <v>93047.09</v>
      </c>
      <c r="I470" s="1">
        <v>45716</v>
      </c>
      <c r="J470" s="2">
        <f t="shared" si="46"/>
        <v>-7.7208239469994935E-3</v>
      </c>
      <c r="K470" s="3" t="str">
        <f t="shared" si="47"/>
        <v/>
      </c>
      <c r="L470" t="str">
        <f t="shared" si="48"/>
        <v/>
      </c>
      <c r="M470" t="str">
        <f t="shared" si="49"/>
        <v/>
      </c>
      <c r="N470">
        <v>93771.08</v>
      </c>
      <c r="O470" t="s">
        <v>485</v>
      </c>
      <c r="Q470" t="s">
        <v>19</v>
      </c>
    </row>
    <row r="471" spans="1:17" x14ac:dyDescent="0.3">
      <c r="A471">
        <v>100670671</v>
      </c>
      <c r="B471" t="s">
        <v>336</v>
      </c>
      <c r="C471" t="s">
        <v>590</v>
      </c>
      <c r="D471" t="s">
        <v>337</v>
      </c>
      <c r="E471" s="6">
        <v>733943.58</v>
      </c>
      <c r="F471" t="s">
        <v>366</v>
      </c>
      <c r="G471" s="4" t="str">
        <f t="shared" si="44"/>
        <v>733943.58</v>
      </c>
      <c r="H471" t="str">
        <f t="shared" si="45"/>
        <v>733943.58</v>
      </c>
      <c r="I471" s="1">
        <v>45716</v>
      </c>
      <c r="J471" s="2">
        <f t="shared" si="46"/>
        <v>0.82307124479186233</v>
      </c>
      <c r="K471" s="3" t="str">
        <f t="shared" si="47"/>
        <v>Check!</v>
      </c>
      <c r="L471" t="str">
        <f t="shared" si="48"/>
        <v/>
      </c>
      <c r="M471" t="str">
        <f t="shared" si="49"/>
        <v>Check</v>
      </c>
      <c r="N471">
        <v>402586.34</v>
      </c>
      <c r="O471" t="s">
        <v>486</v>
      </c>
      <c r="Q471" t="s">
        <v>16</v>
      </c>
    </row>
    <row r="472" spans="1:17" x14ac:dyDescent="0.3">
      <c r="A472">
        <v>100670671</v>
      </c>
      <c r="B472" t="s">
        <v>336</v>
      </c>
      <c r="C472" t="s">
        <v>611</v>
      </c>
      <c r="D472" t="s">
        <v>339</v>
      </c>
      <c r="E472" s="6">
        <v>15892.6</v>
      </c>
      <c r="F472" t="s">
        <v>366</v>
      </c>
      <c r="G472" s="4" t="str">
        <f t="shared" si="44"/>
        <v>15892.6</v>
      </c>
      <c r="H472" t="str">
        <f t="shared" si="45"/>
        <v>15892.6</v>
      </c>
      <c r="I472" s="1">
        <v>45716</v>
      </c>
      <c r="J472" s="2">
        <f t="shared" si="46"/>
        <v>8.1910847097215085E-3</v>
      </c>
      <c r="K472" s="3" t="str">
        <f t="shared" si="47"/>
        <v/>
      </c>
      <c r="L472" t="str">
        <f t="shared" si="48"/>
        <v/>
      </c>
      <c r="M472" t="str">
        <f t="shared" si="49"/>
        <v>Check</v>
      </c>
      <c r="N472">
        <v>15763.48</v>
      </c>
      <c r="O472" t="s">
        <v>340</v>
      </c>
      <c r="Q472" t="s">
        <v>41</v>
      </c>
    </row>
    <row r="473" spans="1:17" x14ac:dyDescent="0.3">
      <c r="A473">
        <v>100670671</v>
      </c>
      <c r="B473" t="s">
        <v>336</v>
      </c>
      <c r="C473" t="s">
        <v>606</v>
      </c>
      <c r="D473" t="s">
        <v>633</v>
      </c>
      <c r="E473" s="6">
        <v>1857.5</v>
      </c>
      <c r="F473" t="s">
        <v>366</v>
      </c>
      <c r="G473" s="4" t="str">
        <f t="shared" si="44"/>
        <v>1857.5</v>
      </c>
      <c r="H473" t="str">
        <f t="shared" si="45"/>
        <v>1857.5</v>
      </c>
      <c r="I473" s="1">
        <v>45716</v>
      </c>
      <c r="J473" s="2">
        <f t="shared" si="46"/>
        <v>3.365257363863736E-3</v>
      </c>
      <c r="K473" s="3" t="str">
        <f t="shared" si="47"/>
        <v/>
      </c>
      <c r="L473" t="str">
        <f t="shared" si="48"/>
        <v/>
      </c>
      <c r="M473" t="str">
        <f t="shared" si="49"/>
        <v/>
      </c>
      <c r="N473">
        <v>1851.27</v>
      </c>
      <c r="O473" t="s">
        <v>671</v>
      </c>
      <c r="Q473" t="s">
        <v>606</v>
      </c>
    </row>
    <row r="474" spans="1:17" x14ac:dyDescent="0.3">
      <c r="A474">
        <v>100670671</v>
      </c>
      <c r="B474" t="s">
        <v>336</v>
      </c>
      <c r="C474" t="s">
        <v>609</v>
      </c>
      <c r="D474" t="s">
        <v>634</v>
      </c>
      <c r="E474" s="6">
        <v>248.68</v>
      </c>
      <c r="F474" t="s">
        <v>366</v>
      </c>
      <c r="G474" s="4" t="str">
        <f t="shared" si="44"/>
        <v>248.68</v>
      </c>
      <c r="H474" t="str">
        <f t="shared" si="45"/>
        <v>248.68</v>
      </c>
      <c r="I474" s="1">
        <v>45716</v>
      </c>
      <c r="J474" s="2">
        <f t="shared" si="46"/>
        <v>0.17684917893142779</v>
      </c>
      <c r="K474" s="3" t="str">
        <f t="shared" si="47"/>
        <v>Check!</v>
      </c>
      <c r="L474" t="str">
        <f t="shared" si="48"/>
        <v/>
      </c>
      <c r="M474" t="str">
        <f t="shared" si="49"/>
        <v/>
      </c>
      <c r="N474">
        <v>211.31</v>
      </c>
      <c r="O474" t="s">
        <v>670</v>
      </c>
      <c r="Q474" t="s">
        <v>609</v>
      </c>
    </row>
    <row r="475" spans="1:17" x14ac:dyDescent="0.3">
      <c r="A475">
        <v>100675336</v>
      </c>
      <c r="B475" t="s">
        <v>347</v>
      </c>
      <c r="C475" t="s">
        <v>19</v>
      </c>
      <c r="D475" t="s">
        <v>348</v>
      </c>
      <c r="E475" s="6">
        <v>128187.18</v>
      </c>
      <c r="F475" t="s">
        <v>366</v>
      </c>
      <c r="G475" s="4" t="str">
        <f t="shared" si="44"/>
        <v>128187.18</v>
      </c>
      <c r="H475" t="str">
        <f t="shared" si="45"/>
        <v>128187.18</v>
      </c>
      <c r="I475" s="1">
        <v>45716</v>
      </c>
      <c r="J475" s="2">
        <f t="shared" si="46"/>
        <v>-7.3016317504432018E-3</v>
      </c>
      <c r="K475" s="3" t="str">
        <f t="shared" si="47"/>
        <v/>
      </c>
      <c r="L475" t="str">
        <f t="shared" si="48"/>
        <v/>
      </c>
      <c r="M475" t="str">
        <f t="shared" si="49"/>
        <v/>
      </c>
      <c r="N475">
        <v>129130.04</v>
      </c>
      <c r="O475" t="s">
        <v>487</v>
      </c>
      <c r="Q475" t="s">
        <v>19</v>
      </c>
    </row>
    <row r="476" spans="1:17" x14ac:dyDescent="0.3">
      <c r="A476">
        <v>100677278</v>
      </c>
      <c r="B476" t="s">
        <v>350</v>
      </c>
      <c r="C476" t="s">
        <v>19</v>
      </c>
      <c r="D476" t="s">
        <v>351</v>
      </c>
      <c r="E476" s="6">
        <v>79407.47</v>
      </c>
      <c r="F476" t="s">
        <v>366</v>
      </c>
      <c r="G476" s="4" t="str">
        <f t="shared" si="44"/>
        <v>79407.47</v>
      </c>
      <c r="H476" t="str">
        <f t="shared" si="45"/>
        <v>79407.47</v>
      </c>
      <c r="I476" s="1">
        <v>45716</v>
      </c>
      <c r="J476" s="2">
        <f t="shared" si="46"/>
        <v>-7.2457988194086498E-3</v>
      </c>
      <c r="K476" s="3" t="str">
        <f t="shared" si="47"/>
        <v/>
      </c>
      <c r="L476" t="str">
        <f t="shared" si="48"/>
        <v/>
      </c>
      <c r="M476" t="str">
        <f t="shared" si="49"/>
        <v/>
      </c>
      <c r="N476">
        <v>79987.039999999994</v>
      </c>
      <c r="O476" t="s">
        <v>488</v>
      </c>
      <c r="Q476" t="s">
        <v>19</v>
      </c>
    </row>
    <row r="477" spans="1:17" x14ac:dyDescent="0.3">
      <c r="A477">
        <v>100677585</v>
      </c>
      <c r="B477" t="s">
        <v>353</v>
      </c>
      <c r="C477" t="s">
        <v>19</v>
      </c>
      <c r="D477" t="s">
        <v>354</v>
      </c>
      <c r="E477" s="6">
        <v>61832.02</v>
      </c>
      <c r="F477" t="s">
        <v>366</v>
      </c>
      <c r="G477" s="4" t="str">
        <f t="shared" si="44"/>
        <v>61832.02</v>
      </c>
      <c r="H477" t="str">
        <f t="shared" si="45"/>
        <v>61832.02</v>
      </c>
      <c r="I477" s="1">
        <v>45716</v>
      </c>
      <c r="J477" s="2">
        <f t="shared" si="46"/>
        <v>-6.5855937606038098E-3</v>
      </c>
      <c r="K477" s="3" t="str">
        <f t="shared" si="47"/>
        <v/>
      </c>
      <c r="L477" t="str">
        <f t="shared" si="48"/>
        <v/>
      </c>
      <c r="M477" t="str">
        <f t="shared" si="49"/>
        <v/>
      </c>
      <c r="N477">
        <v>62241.919999999998</v>
      </c>
      <c r="O477" t="s">
        <v>489</v>
      </c>
      <c r="Q477" t="s">
        <v>19</v>
      </c>
    </row>
    <row r="478" spans="1:17" x14ac:dyDescent="0.3">
      <c r="A478">
        <v>100706842</v>
      </c>
      <c r="B478" t="s">
        <v>356</v>
      </c>
      <c r="C478" t="s">
        <v>19</v>
      </c>
      <c r="D478" t="s">
        <v>357</v>
      </c>
      <c r="E478" s="6">
        <v>25819.9</v>
      </c>
      <c r="F478" t="s">
        <v>366</v>
      </c>
      <c r="G478" s="4" t="str">
        <f t="shared" si="44"/>
        <v>25819.9</v>
      </c>
      <c r="H478" t="str">
        <f t="shared" si="45"/>
        <v>25819.9</v>
      </c>
      <c r="I478" s="1">
        <v>45716</v>
      </c>
      <c r="J478" s="2">
        <f t="shared" si="46"/>
        <v>-6.8998038023345793E-3</v>
      </c>
      <c r="K478" s="3" t="str">
        <f t="shared" si="47"/>
        <v/>
      </c>
      <c r="L478" t="str">
        <f t="shared" si="48"/>
        <v/>
      </c>
      <c r="M478" t="str">
        <f t="shared" si="49"/>
        <v/>
      </c>
      <c r="N478">
        <v>25999.29</v>
      </c>
      <c r="O478" t="s">
        <v>490</v>
      </c>
      <c r="Q478" t="s">
        <v>19</v>
      </c>
    </row>
    <row r="479" spans="1:17" x14ac:dyDescent="0.3">
      <c r="A479">
        <v>100711105</v>
      </c>
      <c r="B479" t="s">
        <v>359</v>
      </c>
      <c r="C479" t="s">
        <v>590</v>
      </c>
      <c r="D479" t="s">
        <v>360</v>
      </c>
      <c r="E479" s="6">
        <v>4572.58</v>
      </c>
      <c r="F479" t="s">
        <v>366</v>
      </c>
      <c r="G479" s="4" t="str">
        <f t="shared" si="44"/>
        <v>4572.58</v>
      </c>
      <c r="H479" t="str">
        <f t="shared" si="45"/>
        <v>4572.58</v>
      </c>
      <c r="I479" s="1">
        <v>45716</v>
      </c>
      <c r="J479" s="2">
        <f t="shared" si="46"/>
        <v>-0.2079753623590056</v>
      </c>
      <c r="K479" s="3" t="str">
        <f t="shared" si="47"/>
        <v>Check!</v>
      </c>
      <c r="L479" t="str">
        <f t="shared" si="48"/>
        <v/>
      </c>
      <c r="M479" t="str">
        <f t="shared" si="49"/>
        <v>Check</v>
      </c>
      <c r="N479">
        <v>5773.28</v>
      </c>
      <c r="O479" t="s">
        <v>491</v>
      </c>
      <c r="Q479" t="s">
        <v>16</v>
      </c>
    </row>
    <row r="480" spans="1:17" x14ac:dyDescent="0.3">
      <c r="A480">
        <v>100786852</v>
      </c>
      <c r="B480" t="s">
        <v>636</v>
      </c>
      <c r="C480" t="s">
        <v>19</v>
      </c>
      <c r="D480" t="s">
        <v>637</v>
      </c>
      <c r="E480" s="6">
        <v>361729.77</v>
      </c>
      <c r="F480" t="s">
        <v>366</v>
      </c>
      <c r="G480" s="4" t="str">
        <f t="shared" si="44"/>
        <v>361729.77</v>
      </c>
      <c r="H480" t="str">
        <f t="shared" si="45"/>
        <v>361729.77</v>
      </c>
      <c r="I480" s="1">
        <v>45716</v>
      </c>
      <c r="J480" s="2">
        <f t="shared" si="46"/>
        <v>-7.3529962615934549E-3</v>
      </c>
      <c r="K480" s="3" t="str">
        <f t="shared" si="47"/>
        <v/>
      </c>
      <c r="L480" t="str">
        <f t="shared" si="48"/>
        <v/>
      </c>
      <c r="M480" t="str">
        <f t="shared" si="49"/>
        <v/>
      </c>
      <c r="N480">
        <v>364409.27</v>
      </c>
      <c r="O480" t="s">
        <v>685</v>
      </c>
      <c r="Q480" t="s">
        <v>19</v>
      </c>
    </row>
    <row r="481" spans="1:17" x14ac:dyDescent="0.3">
      <c r="A481">
        <v>100799345</v>
      </c>
      <c r="B481" t="s">
        <v>640</v>
      </c>
      <c r="C481" t="s">
        <v>590</v>
      </c>
      <c r="D481" t="s">
        <v>641</v>
      </c>
      <c r="E481" s="6">
        <v>574282.11</v>
      </c>
      <c r="F481" t="s">
        <v>366</v>
      </c>
      <c r="G481" s="4" t="str">
        <f t="shared" si="44"/>
        <v>574282.11</v>
      </c>
      <c r="H481" t="str">
        <f t="shared" si="45"/>
        <v>574282.11</v>
      </c>
      <c r="I481" s="1">
        <v>45716</v>
      </c>
      <c r="J481" s="2">
        <f t="shared" si="46"/>
        <v>5.4583944086533265</v>
      </c>
      <c r="K481" s="3" t="str">
        <f t="shared" si="47"/>
        <v>Check!</v>
      </c>
      <c r="L481" t="str">
        <f t="shared" si="48"/>
        <v/>
      </c>
      <c r="M481" t="str">
        <f t="shared" si="49"/>
        <v/>
      </c>
      <c r="N481">
        <v>88920.26</v>
      </c>
      <c r="O481" t="s">
        <v>686</v>
      </c>
      <c r="Q481" t="s">
        <v>590</v>
      </c>
    </row>
    <row r="482" spans="1:17" s="7" customFormat="1" x14ac:dyDescent="0.3">
      <c r="A482" s="7">
        <v>32490</v>
      </c>
      <c r="B482" s="7" t="s">
        <v>15</v>
      </c>
      <c r="C482" s="7" t="s">
        <v>590</v>
      </c>
      <c r="D482" s="7" t="s">
        <v>17</v>
      </c>
      <c r="E482" s="8">
        <v>11950.86</v>
      </c>
      <c r="F482" s="7" t="s">
        <v>492</v>
      </c>
      <c r="G482" s="4" t="str">
        <f t="shared" si="44"/>
        <v>11950.86</v>
      </c>
      <c r="H482" t="str">
        <f t="shared" si="45"/>
        <v>11950.86</v>
      </c>
      <c r="I482" s="1">
        <v>45716</v>
      </c>
      <c r="J482" s="2">
        <f t="shared" si="46"/>
        <v>1.2483285801897339E-3</v>
      </c>
      <c r="K482" s="3" t="str">
        <f t="shared" si="47"/>
        <v/>
      </c>
      <c r="L482" t="str">
        <f t="shared" si="48"/>
        <v/>
      </c>
      <c r="M482" t="str">
        <f t="shared" si="49"/>
        <v>Check</v>
      </c>
      <c r="N482" s="7">
        <v>11935.96</v>
      </c>
      <c r="O482" s="7" t="s">
        <v>367</v>
      </c>
      <c r="Q482" s="7" t="s">
        <v>16</v>
      </c>
    </row>
    <row r="483" spans="1:17" x14ac:dyDescent="0.3">
      <c r="A483">
        <v>32490</v>
      </c>
      <c r="B483" t="s">
        <v>15</v>
      </c>
      <c r="C483" t="s">
        <v>19</v>
      </c>
      <c r="D483" t="s">
        <v>20</v>
      </c>
      <c r="E483" s="6">
        <v>8245.7800000000007</v>
      </c>
      <c r="F483" t="s">
        <v>492</v>
      </c>
      <c r="G483" s="4" t="str">
        <f t="shared" si="44"/>
        <v>8245.78</v>
      </c>
      <c r="H483" t="str">
        <f t="shared" si="45"/>
        <v>8245.78</v>
      </c>
      <c r="I483" s="1">
        <v>45716</v>
      </c>
      <c r="J483" s="2">
        <f t="shared" si="46"/>
        <v>1.215079804438321E-2</v>
      </c>
      <c r="K483" s="3" t="str">
        <f t="shared" si="47"/>
        <v/>
      </c>
      <c r="L483" t="str">
        <f t="shared" si="48"/>
        <v/>
      </c>
      <c r="M483" t="str">
        <f t="shared" si="49"/>
        <v/>
      </c>
      <c r="N483">
        <v>8146.79</v>
      </c>
      <c r="O483" t="s">
        <v>368</v>
      </c>
      <c r="Q483" t="s">
        <v>19</v>
      </c>
    </row>
    <row r="484" spans="1:17" x14ac:dyDescent="0.3">
      <c r="A484">
        <v>32490</v>
      </c>
      <c r="B484" t="s">
        <v>15</v>
      </c>
      <c r="C484" t="s">
        <v>19</v>
      </c>
      <c r="D484" t="s">
        <v>22</v>
      </c>
      <c r="E484" s="6">
        <v>30571.77</v>
      </c>
      <c r="F484" t="s">
        <v>492</v>
      </c>
      <c r="G484" s="4" t="str">
        <f t="shared" si="44"/>
        <v>30571.77</v>
      </c>
      <c r="H484" t="str">
        <f t="shared" si="45"/>
        <v>30571.77</v>
      </c>
      <c r="I484" s="1">
        <v>45716</v>
      </c>
      <c r="J484" s="2">
        <f t="shared" si="46"/>
        <v>7.9218000830159948E-3</v>
      </c>
      <c r="K484" s="3" t="str">
        <f t="shared" si="47"/>
        <v/>
      </c>
      <c r="L484" t="str">
        <f t="shared" si="48"/>
        <v/>
      </c>
      <c r="M484" t="str">
        <f t="shared" si="49"/>
        <v/>
      </c>
      <c r="N484">
        <v>30331.49</v>
      </c>
      <c r="O484" t="s">
        <v>369</v>
      </c>
      <c r="Q484" t="s">
        <v>19</v>
      </c>
    </row>
    <row r="485" spans="1:17" x14ac:dyDescent="0.3">
      <c r="A485">
        <v>33672</v>
      </c>
      <c r="B485" t="s">
        <v>24</v>
      </c>
      <c r="C485" t="s">
        <v>19</v>
      </c>
      <c r="D485" t="s">
        <v>25</v>
      </c>
      <c r="E485" s="6">
        <v>161043.32999999999</v>
      </c>
      <c r="F485" t="s">
        <v>492</v>
      </c>
      <c r="G485" s="4" t="str">
        <f t="shared" si="44"/>
        <v>161043.33</v>
      </c>
      <c r="H485" t="str">
        <f t="shared" si="45"/>
        <v>161043.33</v>
      </c>
      <c r="I485" s="1">
        <v>45716</v>
      </c>
      <c r="J485" s="2">
        <f t="shared" si="46"/>
        <v>-1.3384665194545251E-3</v>
      </c>
      <c r="K485" s="3" t="str">
        <f t="shared" si="47"/>
        <v/>
      </c>
      <c r="L485" t="str">
        <f t="shared" si="48"/>
        <v/>
      </c>
      <c r="M485" t="str">
        <f t="shared" si="49"/>
        <v/>
      </c>
      <c r="N485">
        <v>161259.17000000001</v>
      </c>
      <c r="O485" t="s">
        <v>370</v>
      </c>
      <c r="Q485" t="s">
        <v>19</v>
      </c>
    </row>
    <row r="486" spans="1:17" x14ac:dyDescent="0.3">
      <c r="A486">
        <v>34171</v>
      </c>
      <c r="B486" t="s">
        <v>27</v>
      </c>
      <c r="C486" t="s">
        <v>19</v>
      </c>
      <c r="D486" t="s">
        <v>28</v>
      </c>
      <c r="E486" s="6">
        <v>24472.45</v>
      </c>
      <c r="F486" t="s">
        <v>492</v>
      </c>
      <c r="G486" s="4" t="str">
        <f t="shared" si="44"/>
        <v>24472.45</v>
      </c>
      <c r="H486" t="str">
        <f t="shared" si="45"/>
        <v>24472.45</v>
      </c>
      <c r="I486" s="1">
        <v>45716</v>
      </c>
      <c r="J486" s="2">
        <f t="shared" si="46"/>
        <v>-1.5222507278732094E-3</v>
      </c>
      <c r="K486" s="3" t="str">
        <f t="shared" si="47"/>
        <v/>
      </c>
      <c r="L486" t="str">
        <f t="shared" si="48"/>
        <v/>
      </c>
      <c r="M486" t="str">
        <f t="shared" si="49"/>
        <v/>
      </c>
      <c r="N486">
        <v>24509.759999999998</v>
      </c>
      <c r="O486" t="s">
        <v>371</v>
      </c>
      <c r="Q486" t="s">
        <v>19</v>
      </c>
    </row>
    <row r="487" spans="1:17" x14ac:dyDescent="0.3">
      <c r="A487">
        <v>34173</v>
      </c>
      <c r="B487" t="s">
        <v>30</v>
      </c>
      <c r="C487" t="s">
        <v>19</v>
      </c>
      <c r="D487" t="s">
        <v>31</v>
      </c>
      <c r="E487" s="6">
        <v>96266.73</v>
      </c>
      <c r="F487" t="s">
        <v>492</v>
      </c>
      <c r="G487" s="4" t="str">
        <f t="shared" si="44"/>
        <v>96266.73</v>
      </c>
      <c r="H487" t="str">
        <f t="shared" si="45"/>
        <v>96266.73</v>
      </c>
      <c r="I487" s="1">
        <v>45716</v>
      </c>
      <c r="J487" s="2">
        <f t="shared" si="46"/>
        <v>2.7240188318945345E-3</v>
      </c>
      <c r="K487" s="3" t="str">
        <f t="shared" si="47"/>
        <v/>
      </c>
      <c r="L487" t="str">
        <f t="shared" si="48"/>
        <v/>
      </c>
      <c r="M487" t="str">
        <f t="shared" si="49"/>
        <v/>
      </c>
      <c r="N487">
        <v>96005.21</v>
      </c>
      <c r="O487" t="s">
        <v>372</v>
      </c>
      <c r="Q487" t="s">
        <v>19</v>
      </c>
    </row>
    <row r="488" spans="1:17" x14ac:dyDescent="0.3">
      <c r="A488">
        <v>34199</v>
      </c>
      <c r="B488" t="s">
        <v>36</v>
      </c>
      <c r="C488" t="s">
        <v>19</v>
      </c>
      <c r="D488" t="s">
        <v>39</v>
      </c>
      <c r="E488" s="6">
        <v>21409.4</v>
      </c>
      <c r="F488" t="s">
        <v>492</v>
      </c>
      <c r="G488" s="4" t="str">
        <f t="shared" si="44"/>
        <v>21409.4</v>
      </c>
      <c r="H488" t="str">
        <f t="shared" si="45"/>
        <v>21409.4</v>
      </c>
      <c r="I488" s="1">
        <v>45716</v>
      </c>
      <c r="J488" s="2">
        <f t="shared" si="46"/>
        <v>5.8980837303569135E-4</v>
      </c>
      <c r="K488" s="3" t="str">
        <f t="shared" si="47"/>
        <v/>
      </c>
      <c r="L488" t="str">
        <f t="shared" si="48"/>
        <v/>
      </c>
      <c r="M488" t="str">
        <f t="shared" si="49"/>
        <v/>
      </c>
      <c r="N488">
        <v>21396.78</v>
      </c>
      <c r="O488" t="s">
        <v>373</v>
      </c>
      <c r="Q488" t="s">
        <v>19</v>
      </c>
    </row>
    <row r="489" spans="1:17" x14ac:dyDescent="0.3">
      <c r="A489">
        <v>34200</v>
      </c>
      <c r="B489" t="s">
        <v>592</v>
      </c>
      <c r="C489" t="s">
        <v>590</v>
      </c>
      <c r="D489" t="s">
        <v>595</v>
      </c>
      <c r="E489" s="6">
        <v>23735.7</v>
      </c>
      <c r="F489" t="s">
        <v>492</v>
      </c>
      <c r="G489" s="4" t="str">
        <f t="shared" si="44"/>
        <v>23735.7</v>
      </c>
      <c r="H489" t="str">
        <f t="shared" si="45"/>
        <v>23735.7</v>
      </c>
      <c r="I489" s="1">
        <v>45716</v>
      </c>
      <c r="J489" s="2">
        <f t="shared" si="46"/>
        <v>7.1276729224795013E-2</v>
      </c>
      <c r="K489" s="3" t="str">
        <f t="shared" si="47"/>
        <v/>
      </c>
      <c r="L489" t="str">
        <f t="shared" si="48"/>
        <v/>
      </c>
      <c r="M489" t="str">
        <f t="shared" si="49"/>
        <v/>
      </c>
      <c r="N489">
        <v>22156.46</v>
      </c>
      <c r="O489" t="s">
        <v>676</v>
      </c>
      <c r="Q489" t="s">
        <v>590</v>
      </c>
    </row>
    <row r="490" spans="1:17" x14ac:dyDescent="0.3">
      <c r="A490">
        <v>34200</v>
      </c>
      <c r="B490" t="s">
        <v>592</v>
      </c>
      <c r="C490" t="s">
        <v>611</v>
      </c>
      <c r="D490" t="s">
        <v>42</v>
      </c>
      <c r="E490" s="6">
        <v>53322.81</v>
      </c>
      <c r="F490" t="s">
        <v>492</v>
      </c>
      <c r="G490" s="4" t="str">
        <f t="shared" si="44"/>
        <v>53322.81</v>
      </c>
      <c r="H490" t="str">
        <f t="shared" si="45"/>
        <v>53322.81</v>
      </c>
      <c r="I490" s="1">
        <v>45716</v>
      </c>
      <c r="J490" s="2">
        <f t="shared" si="46"/>
        <v>1.297073728871353E-2</v>
      </c>
      <c r="K490" s="3" t="str">
        <f t="shared" si="47"/>
        <v/>
      </c>
      <c r="L490" t="str">
        <f t="shared" si="48"/>
        <v/>
      </c>
      <c r="M490" t="str">
        <f t="shared" si="49"/>
        <v>Check</v>
      </c>
      <c r="N490">
        <v>52640.03</v>
      </c>
      <c r="O490" t="s">
        <v>43</v>
      </c>
      <c r="Q490" t="s">
        <v>41</v>
      </c>
    </row>
    <row r="491" spans="1:17" x14ac:dyDescent="0.3">
      <c r="A491">
        <v>34200</v>
      </c>
      <c r="B491" t="s">
        <v>592</v>
      </c>
      <c r="C491" t="s">
        <v>611</v>
      </c>
      <c r="D491" t="s">
        <v>44</v>
      </c>
      <c r="E491" s="6">
        <v>29433.84</v>
      </c>
      <c r="F491" t="s">
        <v>492</v>
      </c>
      <c r="G491" s="4" t="str">
        <f t="shared" si="44"/>
        <v>29433.84</v>
      </c>
      <c r="H491" t="str">
        <f t="shared" si="45"/>
        <v>29433.84</v>
      </c>
      <c r="I491" s="1">
        <v>45716</v>
      </c>
      <c r="J491" s="2">
        <f t="shared" si="46"/>
        <v>1.4198302102765624E-2</v>
      </c>
      <c r="K491" s="3" t="str">
        <f t="shared" si="47"/>
        <v/>
      </c>
      <c r="L491" t="str">
        <f t="shared" si="48"/>
        <v/>
      </c>
      <c r="M491" t="str">
        <f t="shared" si="49"/>
        <v>Check</v>
      </c>
      <c r="N491">
        <v>29021.78</v>
      </c>
      <c r="O491" t="s">
        <v>45</v>
      </c>
      <c r="Q491" t="s">
        <v>41</v>
      </c>
    </row>
    <row r="492" spans="1:17" x14ac:dyDescent="0.3">
      <c r="A492">
        <v>34200</v>
      </c>
      <c r="B492" t="s">
        <v>592</v>
      </c>
      <c r="C492" t="s">
        <v>609</v>
      </c>
      <c r="D492" t="s">
        <v>610</v>
      </c>
      <c r="E492" s="6">
        <v>2172.15</v>
      </c>
      <c r="F492" t="s">
        <v>492</v>
      </c>
      <c r="G492" s="4" t="str">
        <f t="shared" si="44"/>
        <v>2172.15</v>
      </c>
      <c r="H492" t="str">
        <f t="shared" si="45"/>
        <v>2172.15</v>
      </c>
      <c r="I492" s="1">
        <v>45716</v>
      </c>
      <c r="J492" s="2">
        <f t="shared" si="46"/>
        <v>0.19256510066377147</v>
      </c>
      <c r="K492" s="3" t="str">
        <f t="shared" si="47"/>
        <v>Check!</v>
      </c>
      <c r="L492" t="str">
        <f t="shared" si="48"/>
        <v/>
      </c>
      <c r="M492" t="str">
        <f t="shared" si="49"/>
        <v/>
      </c>
      <c r="N492">
        <v>1821.41</v>
      </c>
      <c r="O492" t="s">
        <v>644</v>
      </c>
      <c r="Q492" t="s">
        <v>609</v>
      </c>
    </row>
    <row r="493" spans="1:17" x14ac:dyDescent="0.3">
      <c r="A493">
        <v>34200</v>
      </c>
      <c r="B493" t="s">
        <v>592</v>
      </c>
      <c r="C493" t="s">
        <v>606</v>
      </c>
      <c r="D493" t="s">
        <v>607</v>
      </c>
      <c r="E493" s="6">
        <v>3624.28</v>
      </c>
      <c r="F493" t="s">
        <v>492</v>
      </c>
      <c r="G493" s="4" t="str">
        <f t="shared" si="44"/>
        <v>3624.28</v>
      </c>
      <c r="H493" t="str">
        <f t="shared" si="45"/>
        <v>3624.28</v>
      </c>
      <c r="I493" s="1">
        <v>45716</v>
      </c>
      <c r="J493" s="2">
        <f t="shared" si="46"/>
        <v>4.7210399637087667E-2</v>
      </c>
      <c r="K493" s="3" t="str">
        <f t="shared" si="47"/>
        <v/>
      </c>
      <c r="L493" t="str">
        <f t="shared" si="48"/>
        <v/>
      </c>
      <c r="M493" t="str">
        <f t="shared" si="49"/>
        <v/>
      </c>
      <c r="N493">
        <v>3460.89</v>
      </c>
      <c r="O493" t="s">
        <v>645</v>
      </c>
      <c r="Q493" t="s">
        <v>606</v>
      </c>
    </row>
    <row r="494" spans="1:17" x14ac:dyDescent="0.3">
      <c r="A494">
        <v>34200</v>
      </c>
      <c r="B494" t="s">
        <v>592</v>
      </c>
      <c r="C494" t="s">
        <v>606</v>
      </c>
      <c r="D494" t="s">
        <v>608</v>
      </c>
      <c r="E494" s="6">
        <v>2570.63</v>
      </c>
      <c r="F494" t="s">
        <v>492</v>
      </c>
      <c r="G494" s="4" t="str">
        <f t="shared" si="44"/>
        <v>2570.63</v>
      </c>
      <c r="H494" t="str">
        <f t="shared" si="45"/>
        <v>2570.63</v>
      </c>
      <c r="I494" s="1">
        <v>45716</v>
      </c>
      <c r="J494" s="2">
        <f t="shared" si="46"/>
        <v>9.5590054549953649E-3</v>
      </c>
      <c r="K494" s="3" t="str">
        <f t="shared" si="47"/>
        <v/>
      </c>
      <c r="L494" t="str">
        <f t="shared" si="48"/>
        <v/>
      </c>
      <c r="M494" t="str">
        <f t="shared" si="49"/>
        <v/>
      </c>
      <c r="N494">
        <v>2546.29</v>
      </c>
      <c r="O494" t="s">
        <v>646</v>
      </c>
      <c r="Q494" t="s">
        <v>606</v>
      </c>
    </row>
    <row r="495" spans="1:17" x14ac:dyDescent="0.3">
      <c r="A495">
        <v>34202</v>
      </c>
      <c r="B495" t="s">
        <v>46</v>
      </c>
      <c r="C495" t="s">
        <v>19</v>
      </c>
      <c r="D495" t="s">
        <v>49</v>
      </c>
      <c r="E495" s="6">
        <v>482166.65</v>
      </c>
      <c r="F495" t="s">
        <v>492</v>
      </c>
      <c r="G495" s="4" t="str">
        <f t="shared" si="44"/>
        <v>482166.65</v>
      </c>
      <c r="H495" t="str">
        <f t="shared" si="45"/>
        <v>482166.65</v>
      </c>
      <c r="I495" s="1">
        <v>45716</v>
      </c>
      <c r="J495" s="2">
        <f t="shared" si="46"/>
        <v>-1.3636202463732116E-3</v>
      </c>
      <c r="K495" s="3" t="str">
        <f t="shared" si="47"/>
        <v/>
      </c>
      <c r="L495" t="str">
        <f t="shared" si="48"/>
        <v/>
      </c>
      <c r="M495" t="str">
        <f t="shared" si="49"/>
        <v/>
      </c>
      <c r="N495">
        <v>482825.04</v>
      </c>
      <c r="O495" t="s">
        <v>375</v>
      </c>
      <c r="Q495" t="s">
        <v>19</v>
      </c>
    </row>
    <row r="496" spans="1:17" x14ac:dyDescent="0.3">
      <c r="A496">
        <v>34202</v>
      </c>
      <c r="B496" t="s">
        <v>46</v>
      </c>
      <c r="C496" t="s">
        <v>19</v>
      </c>
      <c r="D496" t="s">
        <v>47</v>
      </c>
      <c r="E496" s="6">
        <v>1250.1400000000001</v>
      </c>
      <c r="F496" t="s">
        <v>492</v>
      </c>
      <c r="G496" s="4" t="str">
        <f t="shared" si="44"/>
        <v>1250.14</v>
      </c>
      <c r="H496" t="str">
        <f t="shared" si="45"/>
        <v>1250.14</v>
      </c>
      <c r="I496" s="1">
        <v>45716</v>
      </c>
      <c r="J496" s="2">
        <f t="shared" si="46"/>
        <v>-6.3951908165056236E-4</v>
      </c>
      <c r="K496" s="3" t="str">
        <f t="shared" si="47"/>
        <v/>
      </c>
      <c r="L496" t="str">
        <f t="shared" si="48"/>
        <v/>
      </c>
      <c r="M496" t="str">
        <f t="shared" si="49"/>
        <v/>
      </c>
      <c r="N496">
        <v>1250.94</v>
      </c>
      <c r="O496" t="s">
        <v>374</v>
      </c>
      <c r="Q496" t="s">
        <v>19</v>
      </c>
    </row>
    <row r="497" spans="1:17" x14ac:dyDescent="0.3">
      <c r="A497">
        <v>34202</v>
      </c>
      <c r="B497" t="s">
        <v>46</v>
      </c>
      <c r="C497" t="s">
        <v>19</v>
      </c>
      <c r="D497" t="s">
        <v>47</v>
      </c>
      <c r="E497" s="6">
        <v>92185.35</v>
      </c>
      <c r="F497" t="s">
        <v>492</v>
      </c>
      <c r="G497" s="4" t="str">
        <f t="shared" si="44"/>
        <v>92185.35</v>
      </c>
      <c r="H497" t="str">
        <f t="shared" si="45"/>
        <v>92185.35</v>
      </c>
      <c r="I497" s="1">
        <v>45716</v>
      </c>
      <c r="J497" s="2">
        <f t="shared" si="46"/>
        <v>-1.2222345494211117E-3</v>
      </c>
      <c r="K497" s="3" t="str">
        <f t="shared" si="47"/>
        <v/>
      </c>
      <c r="L497" t="str">
        <f t="shared" si="48"/>
        <v/>
      </c>
      <c r="M497" t="str">
        <f t="shared" si="49"/>
        <v/>
      </c>
      <c r="N497">
        <v>92298.16</v>
      </c>
      <c r="O497" t="s">
        <v>374</v>
      </c>
      <c r="Q497" t="s">
        <v>19</v>
      </c>
    </row>
    <row r="498" spans="1:17" x14ac:dyDescent="0.3">
      <c r="A498">
        <v>34209</v>
      </c>
      <c r="B498" t="s">
        <v>51</v>
      </c>
      <c r="C498" t="s">
        <v>590</v>
      </c>
      <c r="D498" t="s">
        <v>376</v>
      </c>
      <c r="E498" s="6">
        <v>45837.25</v>
      </c>
      <c r="F498" t="s">
        <v>492</v>
      </c>
      <c r="G498" s="4" t="str">
        <f t="shared" si="44"/>
        <v>45837.25</v>
      </c>
      <c r="H498" t="str">
        <f t="shared" si="45"/>
        <v>45837.25</v>
      </c>
      <c r="I498" s="1">
        <v>45716</v>
      </c>
      <c r="J498" s="2">
        <f t="shared" si="46"/>
        <v>0.10635099015182353</v>
      </c>
      <c r="K498" s="3" t="str">
        <f t="shared" si="47"/>
        <v>Check!</v>
      </c>
      <c r="L498" t="str">
        <f t="shared" si="48"/>
        <v/>
      </c>
      <c r="M498" t="str">
        <f t="shared" si="49"/>
        <v>Check</v>
      </c>
      <c r="N498">
        <v>41431.019999999997</v>
      </c>
      <c r="O498" t="s">
        <v>377</v>
      </c>
      <c r="Q498" t="s">
        <v>16</v>
      </c>
    </row>
    <row r="499" spans="1:17" x14ac:dyDescent="0.3">
      <c r="A499">
        <v>34209</v>
      </c>
      <c r="B499" t="s">
        <v>51</v>
      </c>
      <c r="C499" t="s">
        <v>19</v>
      </c>
      <c r="D499" t="s">
        <v>54</v>
      </c>
      <c r="E499" s="6">
        <v>140279.54</v>
      </c>
      <c r="F499" t="s">
        <v>492</v>
      </c>
      <c r="G499" s="4" t="str">
        <f t="shared" si="44"/>
        <v>140279.54</v>
      </c>
      <c r="H499" t="str">
        <f t="shared" si="45"/>
        <v>140279.54</v>
      </c>
      <c r="I499" s="1">
        <v>45716</v>
      </c>
      <c r="J499" s="2">
        <f t="shared" si="46"/>
        <v>6.9755610938914466E-3</v>
      </c>
      <c r="K499" s="3" t="str">
        <f t="shared" si="47"/>
        <v/>
      </c>
      <c r="L499" t="str">
        <f t="shared" si="48"/>
        <v/>
      </c>
      <c r="M499" t="str">
        <f t="shared" si="49"/>
        <v/>
      </c>
      <c r="N499">
        <v>139307.79</v>
      </c>
      <c r="O499" t="s">
        <v>379</v>
      </c>
      <c r="Q499" t="s">
        <v>19</v>
      </c>
    </row>
    <row r="500" spans="1:17" x14ac:dyDescent="0.3">
      <c r="A500">
        <v>34209</v>
      </c>
      <c r="B500" t="s">
        <v>51</v>
      </c>
      <c r="C500" t="s">
        <v>19</v>
      </c>
      <c r="D500" t="s">
        <v>52</v>
      </c>
      <c r="E500" s="6">
        <v>108890.85</v>
      </c>
      <c r="F500" t="s">
        <v>492</v>
      </c>
      <c r="G500" s="4" t="str">
        <f t="shared" si="44"/>
        <v>108890.85</v>
      </c>
      <c r="H500" t="str">
        <f t="shared" si="45"/>
        <v>108890.85</v>
      </c>
      <c r="I500" s="1">
        <v>45716</v>
      </c>
      <c r="J500" s="2">
        <f t="shared" si="46"/>
        <v>7.0640985884843684E-3</v>
      </c>
      <c r="K500" s="3" t="str">
        <f t="shared" si="47"/>
        <v/>
      </c>
      <c r="L500" t="str">
        <f t="shared" si="48"/>
        <v/>
      </c>
      <c r="M500" t="str">
        <f t="shared" si="49"/>
        <v/>
      </c>
      <c r="N500">
        <v>108127.03</v>
      </c>
      <c r="O500" t="s">
        <v>378</v>
      </c>
      <c r="Q500" t="s">
        <v>19</v>
      </c>
    </row>
    <row r="501" spans="1:17" x14ac:dyDescent="0.3">
      <c r="A501">
        <v>34209</v>
      </c>
      <c r="B501" t="s">
        <v>51</v>
      </c>
      <c r="C501" t="s">
        <v>612</v>
      </c>
      <c r="D501" t="s">
        <v>57</v>
      </c>
      <c r="E501" s="6">
        <v>10356.07</v>
      </c>
      <c r="F501" t="s">
        <v>492</v>
      </c>
      <c r="G501" s="4" t="str">
        <f t="shared" si="44"/>
        <v>10356.07</v>
      </c>
      <c r="H501" t="str">
        <f t="shared" si="45"/>
        <v>10356.07</v>
      </c>
      <c r="I501" s="1">
        <v>45716</v>
      </c>
      <c r="J501" s="2">
        <f t="shared" si="46"/>
        <v>1.4543057049537395E-2</v>
      </c>
      <c r="K501" s="3" t="str">
        <f t="shared" si="47"/>
        <v/>
      </c>
      <c r="L501" t="str">
        <f t="shared" si="48"/>
        <v/>
      </c>
      <c r="M501" t="str">
        <f t="shared" si="49"/>
        <v>Check</v>
      </c>
      <c r="N501">
        <v>10207.620000000001</v>
      </c>
      <c r="O501" t="s">
        <v>58</v>
      </c>
      <c r="Q501" t="s">
        <v>56</v>
      </c>
    </row>
    <row r="502" spans="1:17" x14ac:dyDescent="0.3">
      <c r="A502">
        <v>34216</v>
      </c>
      <c r="B502" t="s">
        <v>59</v>
      </c>
      <c r="C502" t="s">
        <v>19</v>
      </c>
      <c r="D502" t="s">
        <v>60</v>
      </c>
      <c r="E502" s="6">
        <v>61775.54</v>
      </c>
      <c r="F502" t="s">
        <v>492</v>
      </c>
      <c r="G502" s="4" t="str">
        <f t="shared" si="44"/>
        <v>61775.54</v>
      </c>
      <c r="H502" t="str">
        <f t="shared" si="45"/>
        <v>61775.54</v>
      </c>
      <c r="I502" s="1">
        <v>45716</v>
      </c>
      <c r="J502" s="2">
        <f t="shared" si="46"/>
        <v>4.8827684973672906E-3</v>
      </c>
      <c r="K502" s="3" t="str">
        <f t="shared" si="47"/>
        <v/>
      </c>
      <c r="L502" t="str">
        <f t="shared" si="48"/>
        <v/>
      </c>
      <c r="M502" t="str">
        <f t="shared" si="49"/>
        <v/>
      </c>
      <c r="N502">
        <v>61475.37</v>
      </c>
      <c r="O502" t="s">
        <v>380</v>
      </c>
      <c r="Q502" t="s">
        <v>19</v>
      </c>
    </row>
    <row r="503" spans="1:17" x14ac:dyDescent="0.3">
      <c r="A503">
        <v>34337</v>
      </c>
      <c r="B503" t="s">
        <v>64</v>
      </c>
      <c r="C503" t="s">
        <v>590</v>
      </c>
      <c r="D503" t="s">
        <v>65</v>
      </c>
      <c r="E503" s="6">
        <v>2707.53</v>
      </c>
      <c r="F503" t="s">
        <v>492</v>
      </c>
      <c r="G503" s="4" t="str">
        <f t="shared" si="44"/>
        <v>2707.53</v>
      </c>
      <c r="H503" t="str">
        <f t="shared" si="45"/>
        <v>2707.53</v>
      </c>
      <c r="I503" s="1">
        <v>45716</v>
      </c>
      <c r="J503" s="2">
        <f t="shared" si="46"/>
        <v>9.8428280507546519E-3</v>
      </c>
      <c r="K503" s="3" t="str">
        <f t="shared" si="47"/>
        <v/>
      </c>
      <c r="L503" t="str">
        <f t="shared" si="48"/>
        <v/>
      </c>
      <c r="M503" t="str">
        <f t="shared" si="49"/>
        <v>Check</v>
      </c>
      <c r="N503">
        <v>2681.14</v>
      </c>
      <c r="O503" t="s">
        <v>381</v>
      </c>
      <c r="Q503" t="s">
        <v>16</v>
      </c>
    </row>
    <row r="504" spans="1:17" x14ac:dyDescent="0.3">
      <c r="A504">
        <v>34337</v>
      </c>
      <c r="B504" t="s">
        <v>64</v>
      </c>
      <c r="C504" t="s">
        <v>19</v>
      </c>
      <c r="D504" t="s">
        <v>67</v>
      </c>
      <c r="E504" s="6">
        <v>35172.92</v>
      </c>
      <c r="F504" t="s">
        <v>492</v>
      </c>
      <c r="G504" s="4" t="str">
        <f t="shared" si="44"/>
        <v>35172.92</v>
      </c>
      <c r="H504" t="str">
        <f t="shared" si="45"/>
        <v>35172.92</v>
      </c>
      <c r="I504" s="1">
        <v>45716</v>
      </c>
      <c r="J504" s="2">
        <f t="shared" si="46"/>
        <v>-1.6681005083776586E-3</v>
      </c>
      <c r="K504" s="3" t="str">
        <f t="shared" si="47"/>
        <v/>
      </c>
      <c r="L504" t="str">
        <f t="shared" si="48"/>
        <v/>
      </c>
      <c r="M504" t="str">
        <f t="shared" si="49"/>
        <v/>
      </c>
      <c r="N504">
        <v>35231.69</v>
      </c>
      <c r="O504" t="s">
        <v>382</v>
      </c>
      <c r="Q504" t="s">
        <v>19</v>
      </c>
    </row>
    <row r="505" spans="1:17" x14ac:dyDescent="0.3">
      <c r="A505">
        <v>34395</v>
      </c>
      <c r="B505" t="s">
        <v>69</v>
      </c>
      <c r="C505" t="s">
        <v>590</v>
      </c>
      <c r="D505" t="s">
        <v>383</v>
      </c>
      <c r="E505" s="6">
        <v>14801.09</v>
      </c>
      <c r="F505" t="s">
        <v>492</v>
      </c>
      <c r="G505" s="4" t="str">
        <f t="shared" si="44"/>
        <v>14801.09</v>
      </c>
      <c r="H505" t="str">
        <f t="shared" si="45"/>
        <v>14801.09</v>
      </c>
      <c r="I505" s="1">
        <v>45716</v>
      </c>
      <c r="J505" s="2">
        <f t="shared" si="46"/>
        <v>1.3211163669471032E-2</v>
      </c>
      <c r="K505" s="3" t="str">
        <f t="shared" si="47"/>
        <v/>
      </c>
      <c r="L505" t="str">
        <f t="shared" si="48"/>
        <v/>
      </c>
      <c r="M505" t="str">
        <f t="shared" si="49"/>
        <v>Check</v>
      </c>
      <c r="N505">
        <v>14608.1</v>
      </c>
      <c r="O505" t="s">
        <v>384</v>
      </c>
      <c r="Q505" t="s">
        <v>16</v>
      </c>
    </row>
    <row r="506" spans="1:17" x14ac:dyDescent="0.3">
      <c r="A506">
        <v>34395</v>
      </c>
      <c r="B506" t="s">
        <v>69</v>
      </c>
      <c r="C506" t="s">
        <v>19</v>
      </c>
      <c r="D506" t="s">
        <v>74</v>
      </c>
      <c r="E506" s="6">
        <v>13506.32</v>
      </c>
      <c r="F506" t="s">
        <v>492</v>
      </c>
      <c r="G506" s="4" t="str">
        <f t="shared" si="44"/>
        <v>13506.32</v>
      </c>
      <c r="H506" t="str">
        <f t="shared" si="45"/>
        <v>13506.32</v>
      </c>
      <c r="I506" s="1">
        <v>45716</v>
      </c>
      <c r="J506" s="2">
        <f t="shared" si="46"/>
        <v>3.5847921857456706E-4</v>
      </c>
      <c r="K506" s="3" t="str">
        <f t="shared" si="47"/>
        <v/>
      </c>
      <c r="L506" t="str">
        <f t="shared" si="48"/>
        <v/>
      </c>
      <c r="M506" t="str">
        <f t="shared" si="49"/>
        <v/>
      </c>
      <c r="N506">
        <v>13501.48</v>
      </c>
      <c r="O506" t="s">
        <v>386</v>
      </c>
      <c r="Q506" t="s">
        <v>19</v>
      </c>
    </row>
    <row r="507" spans="1:17" x14ac:dyDescent="0.3">
      <c r="A507">
        <v>34395</v>
      </c>
      <c r="B507" t="s">
        <v>69</v>
      </c>
      <c r="C507" t="s">
        <v>19</v>
      </c>
      <c r="D507" t="s">
        <v>72</v>
      </c>
      <c r="E507" s="6">
        <v>8135.43</v>
      </c>
      <c r="F507" t="s">
        <v>492</v>
      </c>
      <c r="G507" s="4" t="str">
        <f t="shared" si="44"/>
        <v>8135.43</v>
      </c>
      <c r="H507" t="str">
        <f t="shared" si="45"/>
        <v>8135.43</v>
      </c>
      <c r="I507" s="1">
        <v>45716</v>
      </c>
      <c r="J507" s="2">
        <f t="shared" si="46"/>
        <v>1.7633057550015478E-3</v>
      </c>
      <c r="K507" s="3" t="str">
        <f t="shared" si="47"/>
        <v/>
      </c>
      <c r="L507" t="str">
        <f t="shared" si="48"/>
        <v/>
      </c>
      <c r="M507" t="str">
        <f t="shared" si="49"/>
        <v/>
      </c>
      <c r="N507">
        <v>8121.11</v>
      </c>
      <c r="O507" t="s">
        <v>387</v>
      </c>
      <c r="Q507" t="s">
        <v>19</v>
      </c>
    </row>
    <row r="508" spans="1:17" x14ac:dyDescent="0.3">
      <c r="A508">
        <v>34395</v>
      </c>
      <c r="B508" t="s">
        <v>69</v>
      </c>
      <c r="C508" t="s">
        <v>19</v>
      </c>
      <c r="D508" t="s">
        <v>70</v>
      </c>
      <c r="E508" s="6">
        <v>134424.97</v>
      </c>
      <c r="F508" t="s">
        <v>492</v>
      </c>
      <c r="G508" s="4" t="str">
        <f t="shared" si="44"/>
        <v>134424.97</v>
      </c>
      <c r="H508" t="str">
        <f t="shared" si="45"/>
        <v>134424.97</v>
      </c>
      <c r="I508" s="1">
        <v>45716</v>
      </c>
      <c r="J508" s="2">
        <f t="shared" si="46"/>
        <v>9.9490806737814567E-3</v>
      </c>
      <c r="K508" s="3" t="str">
        <f t="shared" si="47"/>
        <v/>
      </c>
      <c r="L508" t="str">
        <f t="shared" si="48"/>
        <v/>
      </c>
      <c r="M508" t="str">
        <f t="shared" si="49"/>
        <v/>
      </c>
      <c r="N508">
        <v>133100.74</v>
      </c>
      <c r="O508" t="s">
        <v>385</v>
      </c>
      <c r="Q508" t="s">
        <v>19</v>
      </c>
    </row>
    <row r="509" spans="1:17" x14ac:dyDescent="0.3">
      <c r="A509">
        <v>36048</v>
      </c>
      <c r="B509" t="s">
        <v>76</v>
      </c>
      <c r="C509" t="s">
        <v>19</v>
      </c>
      <c r="D509" t="s">
        <v>77</v>
      </c>
      <c r="E509" s="6">
        <v>7356.67</v>
      </c>
      <c r="F509" t="s">
        <v>492</v>
      </c>
      <c r="G509" s="4" t="str">
        <f t="shared" si="44"/>
        <v>7356.67</v>
      </c>
      <c r="H509" t="str">
        <f t="shared" si="45"/>
        <v>7356.67</v>
      </c>
      <c r="I509" s="1">
        <v>45716</v>
      </c>
      <c r="J509" s="2">
        <f t="shared" si="46"/>
        <v>1.2834121526271986E-2</v>
      </c>
      <c r="K509" s="3" t="str">
        <f t="shared" si="47"/>
        <v/>
      </c>
      <c r="L509" t="str">
        <f t="shared" si="48"/>
        <v/>
      </c>
      <c r="M509" t="str">
        <f t="shared" si="49"/>
        <v/>
      </c>
      <c r="N509">
        <v>7263.45</v>
      </c>
      <c r="O509" t="s">
        <v>388</v>
      </c>
      <c r="Q509" t="s">
        <v>19</v>
      </c>
    </row>
    <row r="510" spans="1:17" x14ac:dyDescent="0.3">
      <c r="A510">
        <v>36048</v>
      </c>
      <c r="B510" t="s">
        <v>76</v>
      </c>
      <c r="C510" t="s">
        <v>19</v>
      </c>
      <c r="D510" t="s">
        <v>79</v>
      </c>
      <c r="E510" s="6">
        <v>22265.38</v>
      </c>
      <c r="F510" t="s">
        <v>492</v>
      </c>
      <c r="G510" s="4" t="str">
        <f t="shared" si="44"/>
        <v>22265.38</v>
      </c>
      <c r="H510" t="str">
        <f t="shared" si="45"/>
        <v>22265.38</v>
      </c>
      <c r="I510" s="1">
        <v>45716</v>
      </c>
      <c r="J510" s="2">
        <f t="shared" si="46"/>
        <v>8.1291904677386444E-3</v>
      </c>
      <c r="K510" s="3" t="str">
        <f t="shared" si="47"/>
        <v/>
      </c>
      <c r="L510" t="str">
        <f t="shared" si="48"/>
        <v/>
      </c>
      <c r="M510" t="str">
        <f t="shared" si="49"/>
        <v/>
      </c>
      <c r="N510">
        <v>22085.84</v>
      </c>
      <c r="O510" t="s">
        <v>389</v>
      </c>
      <c r="Q510" t="s">
        <v>19</v>
      </c>
    </row>
    <row r="511" spans="1:17" x14ac:dyDescent="0.3">
      <c r="A511">
        <v>36059</v>
      </c>
      <c r="B511" t="s">
        <v>81</v>
      </c>
      <c r="C511" t="s">
        <v>19</v>
      </c>
      <c r="D511" t="s">
        <v>82</v>
      </c>
      <c r="E511" s="6">
        <v>32693.53</v>
      </c>
      <c r="F511" t="s">
        <v>492</v>
      </c>
      <c r="G511" s="4" t="str">
        <f t="shared" si="44"/>
        <v>32693.53</v>
      </c>
      <c r="H511" t="str">
        <f t="shared" si="45"/>
        <v>32693.53</v>
      </c>
      <c r="I511" s="1">
        <v>45716</v>
      </c>
      <c r="J511" s="2">
        <f t="shared" si="46"/>
        <v>-1.0959565406027186E-3</v>
      </c>
      <c r="K511" s="3" t="str">
        <f t="shared" si="47"/>
        <v/>
      </c>
      <c r="L511" t="str">
        <f t="shared" si="48"/>
        <v/>
      </c>
      <c r="M511" t="str">
        <f t="shared" si="49"/>
        <v/>
      </c>
      <c r="N511">
        <v>32729.4</v>
      </c>
      <c r="O511" t="s">
        <v>390</v>
      </c>
      <c r="Q511" t="s">
        <v>19</v>
      </c>
    </row>
    <row r="512" spans="1:17" x14ac:dyDescent="0.3">
      <c r="A512">
        <v>36059</v>
      </c>
      <c r="B512" t="s">
        <v>81</v>
      </c>
      <c r="C512" t="s">
        <v>19</v>
      </c>
      <c r="D512" t="s">
        <v>84</v>
      </c>
      <c r="E512" s="6">
        <v>21113.25</v>
      </c>
      <c r="F512" t="s">
        <v>492</v>
      </c>
      <c r="G512" s="4" t="str">
        <f t="shared" si="44"/>
        <v>21113.25</v>
      </c>
      <c r="H512" t="str">
        <f t="shared" si="45"/>
        <v>21113.25</v>
      </c>
      <c r="I512" s="1">
        <v>45716</v>
      </c>
      <c r="J512" s="2">
        <f t="shared" si="46"/>
        <v>-4.2135862116316072E-4</v>
      </c>
      <c r="K512" s="3" t="str">
        <f t="shared" si="47"/>
        <v/>
      </c>
      <c r="L512" t="str">
        <f t="shared" si="48"/>
        <v/>
      </c>
      <c r="M512" t="str">
        <f t="shared" si="49"/>
        <v/>
      </c>
      <c r="N512">
        <v>21122.15</v>
      </c>
      <c r="O512" t="s">
        <v>391</v>
      </c>
      <c r="Q512" t="s">
        <v>19</v>
      </c>
    </row>
    <row r="513" spans="1:17" x14ac:dyDescent="0.3">
      <c r="A513">
        <v>36060</v>
      </c>
      <c r="B513" t="s">
        <v>86</v>
      </c>
      <c r="C513" t="s">
        <v>19</v>
      </c>
      <c r="D513" t="s">
        <v>87</v>
      </c>
      <c r="E513" s="6">
        <v>51658.39</v>
      </c>
      <c r="F513" t="s">
        <v>492</v>
      </c>
      <c r="G513" s="4" t="str">
        <f t="shared" si="44"/>
        <v>51658.39</v>
      </c>
      <c r="H513" t="str">
        <f t="shared" si="45"/>
        <v>51658.39</v>
      </c>
      <c r="I513" s="1">
        <v>45716</v>
      </c>
      <c r="J513" s="2">
        <f t="shared" si="46"/>
        <v>-1.0283965464595311E-3</v>
      </c>
      <c r="K513" s="3" t="str">
        <f t="shared" si="47"/>
        <v/>
      </c>
      <c r="L513" t="str">
        <f t="shared" si="48"/>
        <v/>
      </c>
      <c r="M513" t="str">
        <f t="shared" si="49"/>
        <v/>
      </c>
      <c r="N513">
        <v>51711.57</v>
      </c>
      <c r="O513" t="s">
        <v>392</v>
      </c>
      <c r="Q513" t="s">
        <v>19</v>
      </c>
    </row>
    <row r="514" spans="1:17" x14ac:dyDescent="0.3">
      <c r="A514">
        <v>36060</v>
      </c>
      <c r="B514" t="s">
        <v>86</v>
      </c>
      <c r="C514" t="s">
        <v>19</v>
      </c>
      <c r="D514" t="s">
        <v>89</v>
      </c>
      <c r="E514" s="6">
        <v>8797.52</v>
      </c>
      <c r="F514" t="s">
        <v>492</v>
      </c>
      <c r="G514" s="4" t="str">
        <f t="shared" si="44"/>
        <v>8797.52</v>
      </c>
      <c r="H514" t="str">
        <f t="shared" si="45"/>
        <v>8797.52</v>
      </c>
      <c r="I514" s="1">
        <v>45716</v>
      </c>
      <c r="J514" s="2">
        <f t="shared" si="46"/>
        <v>2.3893215443427274E-3</v>
      </c>
      <c r="K514" s="3" t="str">
        <f t="shared" si="47"/>
        <v/>
      </c>
      <c r="L514" t="str">
        <f t="shared" si="48"/>
        <v/>
      </c>
      <c r="M514" t="str">
        <f t="shared" si="49"/>
        <v/>
      </c>
      <c r="N514">
        <v>8776.5499999999993</v>
      </c>
      <c r="O514" t="s">
        <v>393</v>
      </c>
      <c r="Q514" t="s">
        <v>19</v>
      </c>
    </row>
    <row r="515" spans="1:17" x14ac:dyDescent="0.3">
      <c r="A515">
        <v>36062</v>
      </c>
      <c r="B515" t="s">
        <v>91</v>
      </c>
      <c r="C515" t="s">
        <v>611</v>
      </c>
      <c r="D515" t="s">
        <v>92</v>
      </c>
      <c r="E515" s="6">
        <v>15170.79</v>
      </c>
      <c r="F515" t="s">
        <v>492</v>
      </c>
      <c r="G515" s="4" t="str">
        <f t="shared" ref="G515:G578" si="50">SUBSTITUTE(E515,"R","")</f>
        <v>15170.79</v>
      </c>
      <c r="H515" t="str">
        <f t="shared" ref="H515:H578" si="51">SUBSTITUTE(G515,",","")</f>
        <v>15170.79</v>
      </c>
      <c r="I515" s="1">
        <v>45716</v>
      </c>
      <c r="J515" s="2">
        <f t="shared" ref="J515:J578" si="52">(H515-N515)/N515</f>
        <v>1.3819843504306078E-2</v>
      </c>
      <c r="K515" s="3" t="str">
        <f t="shared" ref="K515:K578" si="53">IF(ABS(J515)&gt;0.1,"Check!","")</f>
        <v/>
      </c>
      <c r="L515" t="str">
        <f t="shared" ref="L515:L578" si="54">IF(LEFT(O515,10)&lt;&gt;LEFT(D515,10),"Check","")</f>
        <v/>
      </c>
      <c r="M515" t="str">
        <f t="shared" ref="M515:M578" si="55">IF(Q515&lt;&gt;C515,"Check","")</f>
        <v>Check</v>
      </c>
      <c r="N515">
        <v>14963.99</v>
      </c>
      <c r="O515" t="s">
        <v>93</v>
      </c>
      <c r="Q515" t="s">
        <v>41</v>
      </c>
    </row>
    <row r="516" spans="1:17" x14ac:dyDescent="0.3">
      <c r="A516">
        <v>36062</v>
      </c>
      <c r="B516" t="s">
        <v>91</v>
      </c>
      <c r="C516" t="s">
        <v>606</v>
      </c>
      <c r="D516" t="s">
        <v>613</v>
      </c>
      <c r="E516" s="6">
        <v>1655.07</v>
      </c>
      <c r="F516" t="s">
        <v>492</v>
      </c>
      <c r="G516" s="4" t="str">
        <f t="shared" si="50"/>
        <v>1655.07</v>
      </c>
      <c r="H516" t="str">
        <f t="shared" si="51"/>
        <v>1655.07</v>
      </c>
      <c r="I516" s="1">
        <v>45716</v>
      </c>
      <c r="J516" s="2">
        <f t="shared" si="52"/>
        <v>-1.3515878139877327E-3</v>
      </c>
      <c r="K516" s="3" t="str">
        <f t="shared" si="53"/>
        <v/>
      </c>
      <c r="L516" t="str">
        <f t="shared" si="54"/>
        <v/>
      </c>
      <c r="M516" t="str">
        <f t="shared" si="55"/>
        <v/>
      </c>
      <c r="N516">
        <v>1657.31</v>
      </c>
      <c r="O516" t="s">
        <v>647</v>
      </c>
      <c r="Q516" t="s">
        <v>606</v>
      </c>
    </row>
    <row r="517" spans="1:17" x14ac:dyDescent="0.3">
      <c r="A517">
        <v>36062</v>
      </c>
      <c r="B517" t="s">
        <v>91</v>
      </c>
      <c r="C517" t="s">
        <v>590</v>
      </c>
      <c r="D517" t="s">
        <v>582</v>
      </c>
      <c r="E517" s="6">
        <v>2844.59</v>
      </c>
      <c r="F517" t="s">
        <v>492</v>
      </c>
      <c r="G517" s="4" t="str">
        <f t="shared" si="50"/>
        <v>2844.59</v>
      </c>
      <c r="H517" t="str">
        <f t="shared" si="51"/>
        <v>2844.59</v>
      </c>
      <c r="I517" s="1">
        <v>45716</v>
      </c>
      <c r="J517" s="2">
        <f t="shared" si="52"/>
        <v>2.7825753907746196E-2</v>
      </c>
      <c r="K517" s="3" t="str">
        <f t="shared" si="53"/>
        <v/>
      </c>
      <c r="L517" t="str">
        <f t="shared" si="54"/>
        <v/>
      </c>
      <c r="M517" t="str">
        <f t="shared" si="55"/>
        <v>Check</v>
      </c>
      <c r="N517">
        <v>2767.58</v>
      </c>
      <c r="O517" t="s">
        <v>583</v>
      </c>
      <c r="Q517" t="s">
        <v>16</v>
      </c>
    </row>
    <row r="518" spans="1:17" x14ac:dyDescent="0.3">
      <c r="A518">
        <v>36355</v>
      </c>
      <c r="B518" t="s">
        <v>94</v>
      </c>
      <c r="C518" t="s">
        <v>19</v>
      </c>
      <c r="D518" t="s">
        <v>95</v>
      </c>
      <c r="E518" s="6">
        <v>655.69</v>
      </c>
      <c r="F518" t="s">
        <v>492</v>
      </c>
      <c r="G518" s="4" t="str">
        <f t="shared" si="50"/>
        <v>655.69</v>
      </c>
      <c r="H518" t="str">
        <f t="shared" si="51"/>
        <v>655.69</v>
      </c>
      <c r="I518" s="1">
        <v>45716</v>
      </c>
      <c r="J518" s="2">
        <f t="shared" si="52"/>
        <v>-1.8530992261289975E-2</v>
      </c>
      <c r="K518" s="3" t="str">
        <f t="shared" si="53"/>
        <v/>
      </c>
      <c r="L518" t="str">
        <f t="shared" si="54"/>
        <v/>
      </c>
      <c r="M518" t="str">
        <f t="shared" si="55"/>
        <v/>
      </c>
      <c r="N518">
        <v>668.07</v>
      </c>
      <c r="O518" t="s">
        <v>394</v>
      </c>
      <c r="Q518" t="s">
        <v>19</v>
      </c>
    </row>
    <row r="519" spans="1:17" x14ac:dyDescent="0.3">
      <c r="A519">
        <v>37040</v>
      </c>
      <c r="B519" t="s">
        <v>596</v>
      </c>
      <c r="C519" t="s">
        <v>19</v>
      </c>
      <c r="D519" t="s">
        <v>97</v>
      </c>
      <c r="E519" s="6">
        <v>26957.68</v>
      </c>
      <c r="F519" t="s">
        <v>492</v>
      </c>
      <c r="G519" s="4" t="str">
        <f t="shared" si="50"/>
        <v>26957.68</v>
      </c>
      <c r="H519" t="str">
        <f t="shared" si="51"/>
        <v>26957.68</v>
      </c>
      <c r="I519" s="1">
        <v>45716</v>
      </c>
      <c r="J519" s="2">
        <f t="shared" si="52"/>
        <v>-5.7019856108283661E-4</v>
      </c>
      <c r="K519" s="3" t="str">
        <f t="shared" si="53"/>
        <v/>
      </c>
      <c r="L519" t="str">
        <f t="shared" si="54"/>
        <v/>
      </c>
      <c r="M519" t="str">
        <f t="shared" si="55"/>
        <v/>
      </c>
      <c r="N519">
        <v>26973.06</v>
      </c>
      <c r="O519" t="s">
        <v>395</v>
      </c>
      <c r="Q519" t="s">
        <v>19</v>
      </c>
    </row>
    <row r="520" spans="1:17" x14ac:dyDescent="0.3">
      <c r="A520">
        <v>37041</v>
      </c>
      <c r="B520" t="s">
        <v>99</v>
      </c>
      <c r="C520" t="s">
        <v>19</v>
      </c>
      <c r="D520" t="s">
        <v>100</v>
      </c>
      <c r="E520" s="6">
        <v>5735.15</v>
      </c>
      <c r="F520" t="s">
        <v>492</v>
      </c>
      <c r="G520" s="4" t="str">
        <f t="shared" si="50"/>
        <v>5735.15</v>
      </c>
      <c r="H520" t="str">
        <f t="shared" si="51"/>
        <v>5735.15</v>
      </c>
      <c r="I520" s="1">
        <v>45716</v>
      </c>
      <c r="J520" s="2">
        <f t="shared" si="52"/>
        <v>4.0915441421062945E-3</v>
      </c>
      <c r="K520" s="3" t="str">
        <f t="shared" si="53"/>
        <v/>
      </c>
      <c r="L520" t="str">
        <f t="shared" si="54"/>
        <v/>
      </c>
      <c r="M520" t="str">
        <f t="shared" si="55"/>
        <v/>
      </c>
      <c r="N520">
        <v>5711.78</v>
      </c>
      <c r="O520" t="s">
        <v>396</v>
      </c>
      <c r="Q520" t="s">
        <v>19</v>
      </c>
    </row>
    <row r="521" spans="1:17" x14ac:dyDescent="0.3">
      <c r="A521">
        <v>38586</v>
      </c>
      <c r="B521" t="s">
        <v>102</v>
      </c>
      <c r="C521" t="s">
        <v>19</v>
      </c>
      <c r="D521" t="s">
        <v>103</v>
      </c>
      <c r="E521" s="6">
        <v>4017.04</v>
      </c>
      <c r="F521" t="s">
        <v>492</v>
      </c>
      <c r="G521" s="4" t="str">
        <f t="shared" si="50"/>
        <v>4017.04</v>
      </c>
      <c r="H521" t="str">
        <f t="shared" si="51"/>
        <v>4017.04</v>
      </c>
      <c r="I521" s="1">
        <v>45716</v>
      </c>
      <c r="J521" s="2">
        <f t="shared" si="52"/>
        <v>6.4616348261822649E-3</v>
      </c>
      <c r="K521" s="3" t="str">
        <f t="shared" si="53"/>
        <v/>
      </c>
      <c r="L521" t="str">
        <f t="shared" si="54"/>
        <v/>
      </c>
      <c r="M521" t="str">
        <f t="shared" si="55"/>
        <v/>
      </c>
      <c r="N521">
        <v>3991.25</v>
      </c>
      <c r="O521" t="s">
        <v>397</v>
      </c>
      <c r="Q521" t="s">
        <v>19</v>
      </c>
    </row>
    <row r="522" spans="1:17" x14ac:dyDescent="0.3">
      <c r="A522">
        <v>38842</v>
      </c>
      <c r="B522" t="s">
        <v>105</v>
      </c>
      <c r="C522" t="s">
        <v>19</v>
      </c>
      <c r="D522" t="s">
        <v>106</v>
      </c>
      <c r="E522" s="6">
        <v>7125.39</v>
      </c>
      <c r="F522" t="s">
        <v>492</v>
      </c>
      <c r="G522" s="4" t="str">
        <f t="shared" si="50"/>
        <v>7125.39</v>
      </c>
      <c r="H522" t="str">
        <f t="shared" si="51"/>
        <v>7125.39</v>
      </c>
      <c r="I522" s="1">
        <v>45716</v>
      </c>
      <c r="J522" s="2">
        <f t="shared" si="52"/>
        <v>4.9688582486150483E-3</v>
      </c>
      <c r="K522" s="3" t="str">
        <f t="shared" si="53"/>
        <v/>
      </c>
      <c r="L522" t="str">
        <f t="shared" si="54"/>
        <v/>
      </c>
      <c r="M522" t="str">
        <f t="shared" si="55"/>
        <v/>
      </c>
      <c r="N522">
        <v>7090.16</v>
      </c>
      <c r="O522" t="s">
        <v>398</v>
      </c>
      <c r="Q522" t="s">
        <v>19</v>
      </c>
    </row>
    <row r="523" spans="1:17" x14ac:dyDescent="0.3">
      <c r="A523">
        <v>38851</v>
      </c>
      <c r="B523" t="s">
        <v>108</v>
      </c>
      <c r="C523" t="s">
        <v>19</v>
      </c>
      <c r="D523" t="s">
        <v>109</v>
      </c>
      <c r="E523" s="6">
        <v>245.66</v>
      </c>
      <c r="F523" t="s">
        <v>492</v>
      </c>
      <c r="G523" s="4" t="str">
        <f t="shared" si="50"/>
        <v>245.66</v>
      </c>
      <c r="H523" t="str">
        <f t="shared" si="51"/>
        <v>245.66</v>
      </c>
      <c r="I523" s="1">
        <v>45716</v>
      </c>
      <c r="J523" s="2">
        <f t="shared" si="52"/>
        <v>-3.2910794425635832E-2</v>
      </c>
      <c r="K523" s="3" t="str">
        <f t="shared" si="53"/>
        <v/>
      </c>
      <c r="L523" t="str">
        <f t="shared" si="54"/>
        <v/>
      </c>
      <c r="M523" t="str">
        <f t="shared" si="55"/>
        <v/>
      </c>
      <c r="N523">
        <v>254.02</v>
      </c>
      <c r="O523" t="s">
        <v>399</v>
      </c>
      <c r="Q523" t="s">
        <v>19</v>
      </c>
    </row>
    <row r="524" spans="1:17" x14ac:dyDescent="0.3">
      <c r="A524">
        <v>38887</v>
      </c>
      <c r="B524" t="s">
        <v>111</v>
      </c>
      <c r="C524" t="s">
        <v>19</v>
      </c>
      <c r="D524" t="s">
        <v>112</v>
      </c>
      <c r="E524" s="6">
        <v>1462.91</v>
      </c>
      <c r="F524" t="s">
        <v>492</v>
      </c>
      <c r="G524" s="4" t="str">
        <f t="shared" si="50"/>
        <v>1462.91</v>
      </c>
      <c r="H524" t="str">
        <f t="shared" si="51"/>
        <v>1462.91</v>
      </c>
      <c r="I524" s="1">
        <v>45716</v>
      </c>
      <c r="J524" s="2">
        <f t="shared" si="52"/>
        <v>3.1454066805705247E-4</v>
      </c>
      <c r="K524" s="3" t="str">
        <f t="shared" si="53"/>
        <v/>
      </c>
      <c r="L524" t="str">
        <f t="shared" si="54"/>
        <v/>
      </c>
      <c r="M524" t="str">
        <f t="shared" si="55"/>
        <v/>
      </c>
      <c r="N524">
        <v>1462.45</v>
      </c>
      <c r="O524" t="s">
        <v>400</v>
      </c>
      <c r="Q524" t="s">
        <v>19</v>
      </c>
    </row>
    <row r="525" spans="1:17" x14ac:dyDescent="0.3">
      <c r="A525">
        <v>41695</v>
      </c>
      <c r="B525" t="s">
        <v>114</v>
      </c>
      <c r="C525" t="s">
        <v>611</v>
      </c>
      <c r="D525" t="s">
        <v>115</v>
      </c>
      <c r="E525" s="6">
        <v>3931.46</v>
      </c>
      <c r="F525" t="s">
        <v>492</v>
      </c>
      <c r="G525" s="4" t="str">
        <f t="shared" si="50"/>
        <v>3931.46</v>
      </c>
      <c r="H525" t="str">
        <f t="shared" si="51"/>
        <v>3931.46</v>
      </c>
      <c r="I525" s="1">
        <v>45716</v>
      </c>
      <c r="J525" s="2">
        <f t="shared" si="52"/>
        <v>1.6269787929233934E-2</v>
      </c>
      <c r="K525" s="3" t="str">
        <f t="shared" si="53"/>
        <v/>
      </c>
      <c r="L525" t="str">
        <f t="shared" si="54"/>
        <v/>
      </c>
      <c r="M525" t="str">
        <f t="shared" si="55"/>
        <v>Check</v>
      </c>
      <c r="N525">
        <v>3868.52</v>
      </c>
      <c r="O525" t="s">
        <v>116</v>
      </c>
      <c r="Q525" t="s">
        <v>41</v>
      </c>
    </row>
    <row r="526" spans="1:17" x14ac:dyDescent="0.3">
      <c r="A526">
        <v>41695</v>
      </c>
      <c r="B526" t="s">
        <v>114</v>
      </c>
      <c r="C526" t="s">
        <v>606</v>
      </c>
      <c r="D526" t="s">
        <v>614</v>
      </c>
      <c r="E526" s="6">
        <v>427.36</v>
      </c>
      <c r="F526" t="s">
        <v>492</v>
      </c>
      <c r="G526" s="4" t="str">
        <f t="shared" si="50"/>
        <v>427.36</v>
      </c>
      <c r="H526" t="str">
        <f t="shared" si="51"/>
        <v>427.36</v>
      </c>
      <c r="I526" s="1">
        <v>45716</v>
      </c>
      <c r="J526" s="2">
        <f t="shared" si="52"/>
        <v>-7.7158689705156562E-4</v>
      </c>
      <c r="K526" s="3" t="str">
        <f t="shared" si="53"/>
        <v/>
      </c>
      <c r="L526" t="str">
        <f t="shared" si="54"/>
        <v/>
      </c>
      <c r="M526" t="str">
        <f t="shared" si="55"/>
        <v/>
      </c>
      <c r="N526">
        <v>427.69</v>
      </c>
      <c r="O526" t="s">
        <v>648</v>
      </c>
      <c r="Q526" t="s">
        <v>606</v>
      </c>
    </row>
    <row r="527" spans="1:17" x14ac:dyDescent="0.3">
      <c r="A527">
        <v>41695</v>
      </c>
      <c r="B527" t="s">
        <v>114</v>
      </c>
      <c r="C527" t="s">
        <v>590</v>
      </c>
      <c r="D527" t="s">
        <v>117</v>
      </c>
      <c r="E527" s="6">
        <v>66832.539999999994</v>
      </c>
      <c r="F527" t="s">
        <v>492</v>
      </c>
      <c r="G527" s="4" t="str">
        <f t="shared" si="50"/>
        <v>66832.54</v>
      </c>
      <c r="H527" t="str">
        <f t="shared" si="51"/>
        <v>66832.54</v>
      </c>
      <c r="I527" s="1">
        <v>45716</v>
      </c>
      <c r="J527" s="2">
        <f t="shared" si="52"/>
        <v>-7.7650752052805031E-5</v>
      </c>
      <c r="K527" s="3" t="str">
        <f t="shared" si="53"/>
        <v/>
      </c>
      <c r="L527" t="str">
        <f t="shared" si="54"/>
        <v/>
      </c>
      <c r="M527" t="str">
        <f t="shared" si="55"/>
        <v>Check</v>
      </c>
      <c r="N527">
        <v>66837.73</v>
      </c>
      <c r="O527" t="s">
        <v>401</v>
      </c>
      <c r="Q527" t="s">
        <v>16</v>
      </c>
    </row>
    <row r="528" spans="1:17" x14ac:dyDescent="0.3">
      <c r="A528">
        <v>46589</v>
      </c>
      <c r="B528" t="s">
        <v>638</v>
      </c>
      <c r="C528" t="s">
        <v>19</v>
      </c>
      <c r="D528" t="s">
        <v>118</v>
      </c>
      <c r="E528" s="6">
        <v>77022.179999999993</v>
      </c>
      <c r="F528" t="s">
        <v>492</v>
      </c>
      <c r="G528" s="4" t="str">
        <f t="shared" si="50"/>
        <v>77022.18</v>
      </c>
      <c r="H528" t="str">
        <f t="shared" si="51"/>
        <v>77022.18</v>
      </c>
      <c r="I528" s="1">
        <v>45716</v>
      </c>
      <c r="J528" s="2">
        <f t="shared" si="52"/>
        <v>9.9662833964903452E-3</v>
      </c>
      <c r="K528" s="3" t="str">
        <f t="shared" si="53"/>
        <v/>
      </c>
      <c r="L528" t="str">
        <f t="shared" si="54"/>
        <v/>
      </c>
      <c r="M528" t="str">
        <f t="shared" si="55"/>
        <v/>
      </c>
      <c r="N528">
        <v>76262.13</v>
      </c>
      <c r="O528" t="s">
        <v>402</v>
      </c>
      <c r="Q528" t="s">
        <v>19</v>
      </c>
    </row>
    <row r="529" spans="1:17" x14ac:dyDescent="0.3">
      <c r="A529">
        <v>46589</v>
      </c>
      <c r="B529" t="s">
        <v>638</v>
      </c>
      <c r="C529" t="s">
        <v>19</v>
      </c>
      <c r="D529" t="s">
        <v>120</v>
      </c>
      <c r="E529" s="6">
        <v>3413.75</v>
      </c>
      <c r="F529" t="s">
        <v>492</v>
      </c>
      <c r="G529" s="4" t="str">
        <f t="shared" si="50"/>
        <v>3413.75</v>
      </c>
      <c r="H529" t="str">
        <f t="shared" si="51"/>
        <v>3413.75</v>
      </c>
      <c r="I529" s="1">
        <v>45716</v>
      </c>
      <c r="J529" s="2">
        <f t="shared" si="52"/>
        <v>7.6063022804148733E-3</v>
      </c>
      <c r="K529" s="3" t="str">
        <f t="shared" si="53"/>
        <v/>
      </c>
      <c r="L529" t="str">
        <f t="shared" si="54"/>
        <v/>
      </c>
      <c r="M529" t="str">
        <f t="shared" si="55"/>
        <v/>
      </c>
      <c r="N529">
        <v>3387.98</v>
      </c>
      <c r="O529" t="s">
        <v>403</v>
      </c>
      <c r="Q529" t="s">
        <v>19</v>
      </c>
    </row>
    <row r="530" spans="1:17" x14ac:dyDescent="0.3">
      <c r="A530">
        <v>54985</v>
      </c>
      <c r="B530" t="s">
        <v>122</v>
      </c>
      <c r="C530" t="s">
        <v>19</v>
      </c>
      <c r="D530" t="s">
        <v>123</v>
      </c>
      <c r="E530" s="6">
        <v>1452</v>
      </c>
      <c r="F530" t="s">
        <v>492</v>
      </c>
      <c r="G530" s="4" t="str">
        <f t="shared" si="50"/>
        <v>1452</v>
      </c>
      <c r="H530" t="str">
        <f t="shared" si="51"/>
        <v>1452</v>
      </c>
      <c r="I530" s="1">
        <v>45716</v>
      </c>
      <c r="J530" s="2">
        <f t="shared" si="52"/>
        <v>-4.405771560745264E-4</v>
      </c>
      <c r="K530" s="3" t="str">
        <f t="shared" si="53"/>
        <v/>
      </c>
      <c r="L530" t="str">
        <f t="shared" si="54"/>
        <v/>
      </c>
      <c r="M530" t="str">
        <f t="shared" si="55"/>
        <v/>
      </c>
      <c r="N530">
        <v>1452.64</v>
      </c>
      <c r="O530" t="s">
        <v>404</v>
      </c>
      <c r="Q530" t="s">
        <v>19</v>
      </c>
    </row>
    <row r="531" spans="1:17" x14ac:dyDescent="0.3">
      <c r="A531">
        <v>61172</v>
      </c>
      <c r="B531" t="s">
        <v>125</v>
      </c>
      <c r="C531" t="s">
        <v>611</v>
      </c>
      <c r="D531" t="s">
        <v>126</v>
      </c>
      <c r="E531" s="6">
        <v>30942.57</v>
      </c>
      <c r="F531" t="s">
        <v>492</v>
      </c>
      <c r="G531" s="4" t="str">
        <f t="shared" si="50"/>
        <v>30942.57</v>
      </c>
      <c r="H531" t="str">
        <f t="shared" si="51"/>
        <v>30942.57</v>
      </c>
      <c r="I531" s="1">
        <v>45716</v>
      </c>
      <c r="J531" s="2">
        <f t="shared" si="52"/>
        <v>1.4170993906629964E-2</v>
      </c>
      <c r="K531" s="3" t="str">
        <f t="shared" si="53"/>
        <v/>
      </c>
      <c r="L531" t="str">
        <f t="shared" si="54"/>
        <v/>
      </c>
      <c r="M531" t="str">
        <f t="shared" si="55"/>
        <v>Check</v>
      </c>
      <c r="N531">
        <v>30510.21</v>
      </c>
      <c r="O531" t="s">
        <v>127</v>
      </c>
      <c r="Q531" t="s">
        <v>41</v>
      </c>
    </row>
    <row r="532" spans="1:17" x14ac:dyDescent="0.3">
      <c r="A532">
        <v>61172</v>
      </c>
      <c r="B532" t="s">
        <v>125</v>
      </c>
      <c r="C532" t="s">
        <v>606</v>
      </c>
      <c r="D532" t="s">
        <v>615</v>
      </c>
      <c r="E532" s="6">
        <v>2553.7800000000002</v>
      </c>
      <c r="F532" t="s">
        <v>492</v>
      </c>
      <c r="G532" s="4" t="str">
        <f t="shared" si="50"/>
        <v>2553.78</v>
      </c>
      <c r="H532" t="str">
        <f t="shared" si="51"/>
        <v>2553.78</v>
      </c>
      <c r="I532" s="1">
        <v>45716</v>
      </c>
      <c r="J532" s="2">
        <f t="shared" si="52"/>
        <v>-2.4663229473720133E-4</v>
      </c>
      <c r="K532" s="3" t="str">
        <f t="shared" si="53"/>
        <v/>
      </c>
      <c r="L532" t="str">
        <f t="shared" si="54"/>
        <v/>
      </c>
      <c r="M532" t="str">
        <f t="shared" si="55"/>
        <v/>
      </c>
      <c r="N532">
        <v>2554.41</v>
      </c>
      <c r="O532" t="s">
        <v>649</v>
      </c>
      <c r="Q532" t="s">
        <v>606</v>
      </c>
    </row>
    <row r="533" spans="1:17" x14ac:dyDescent="0.3">
      <c r="A533">
        <v>62166</v>
      </c>
      <c r="B533" t="s">
        <v>128</v>
      </c>
      <c r="C533" t="s">
        <v>611</v>
      </c>
      <c r="D533" t="s">
        <v>129</v>
      </c>
      <c r="E533" s="6">
        <v>27226.94</v>
      </c>
      <c r="F533" t="s">
        <v>492</v>
      </c>
      <c r="G533" s="4" t="str">
        <f t="shared" si="50"/>
        <v>27226.94</v>
      </c>
      <c r="H533" t="str">
        <f t="shared" si="51"/>
        <v>27226.94</v>
      </c>
      <c r="I533" s="1">
        <v>45716</v>
      </c>
      <c r="J533" s="2">
        <f t="shared" si="52"/>
        <v>1.3212691775680805E-2</v>
      </c>
      <c r="K533" s="3" t="str">
        <f t="shared" si="53"/>
        <v/>
      </c>
      <c r="L533" t="str">
        <f t="shared" si="54"/>
        <v/>
      </c>
      <c r="M533" t="str">
        <f t="shared" si="55"/>
        <v>Check</v>
      </c>
      <c r="N533">
        <v>26871.89</v>
      </c>
      <c r="O533" t="s">
        <v>130</v>
      </c>
      <c r="Q533" t="s">
        <v>41</v>
      </c>
    </row>
    <row r="534" spans="1:17" x14ac:dyDescent="0.3">
      <c r="A534">
        <v>62166</v>
      </c>
      <c r="B534" t="s">
        <v>128</v>
      </c>
      <c r="C534" t="s">
        <v>606</v>
      </c>
      <c r="D534" t="s">
        <v>616</v>
      </c>
      <c r="E534" s="6">
        <v>2542.98</v>
      </c>
      <c r="F534" t="s">
        <v>492</v>
      </c>
      <c r="G534" s="4" t="str">
        <f t="shared" si="50"/>
        <v>2542.98</v>
      </c>
      <c r="H534" t="str">
        <f t="shared" si="51"/>
        <v>2542.98</v>
      </c>
      <c r="I534" s="1">
        <v>45716</v>
      </c>
      <c r="J534" s="2">
        <f t="shared" si="52"/>
        <v>-1.2332490220413306E-3</v>
      </c>
      <c r="K534" s="3" t="str">
        <f t="shared" si="53"/>
        <v/>
      </c>
      <c r="L534" t="str">
        <f t="shared" si="54"/>
        <v/>
      </c>
      <c r="M534" t="str">
        <f t="shared" si="55"/>
        <v/>
      </c>
      <c r="N534">
        <v>2546.12</v>
      </c>
      <c r="O534" t="s">
        <v>650</v>
      </c>
      <c r="Q534" t="s">
        <v>606</v>
      </c>
    </row>
    <row r="535" spans="1:17" x14ac:dyDescent="0.3">
      <c r="A535">
        <v>69046</v>
      </c>
      <c r="B535" t="s">
        <v>131</v>
      </c>
      <c r="C535" t="s">
        <v>19</v>
      </c>
      <c r="D535" t="s">
        <v>132</v>
      </c>
      <c r="E535" s="6">
        <v>102631.82</v>
      </c>
      <c r="F535" t="s">
        <v>492</v>
      </c>
      <c r="G535" s="4" t="str">
        <f t="shared" si="50"/>
        <v>102631.82</v>
      </c>
      <c r="H535" t="str">
        <f t="shared" si="51"/>
        <v>102631.82</v>
      </c>
      <c r="I535" s="1">
        <v>45716</v>
      </c>
      <c r="J535" s="2">
        <f t="shared" si="52"/>
        <v>-5.5877346400585559E-4</v>
      </c>
      <c r="K535" s="3" t="str">
        <f t="shared" si="53"/>
        <v/>
      </c>
      <c r="L535" t="str">
        <f t="shared" si="54"/>
        <v/>
      </c>
      <c r="M535" t="str">
        <f t="shared" si="55"/>
        <v/>
      </c>
      <c r="N535">
        <v>102689.2</v>
      </c>
      <c r="O535" t="s">
        <v>405</v>
      </c>
      <c r="Q535" t="s">
        <v>19</v>
      </c>
    </row>
    <row r="536" spans="1:17" x14ac:dyDescent="0.3">
      <c r="A536">
        <v>72002</v>
      </c>
      <c r="B536" t="s">
        <v>134</v>
      </c>
      <c r="C536" t="s">
        <v>590</v>
      </c>
      <c r="D536" t="s">
        <v>135</v>
      </c>
      <c r="E536" s="6">
        <v>17105.45</v>
      </c>
      <c r="F536" t="s">
        <v>492</v>
      </c>
      <c r="G536" s="4" t="str">
        <f t="shared" si="50"/>
        <v>17105.45</v>
      </c>
      <c r="H536" t="str">
        <f t="shared" si="51"/>
        <v>17105.45</v>
      </c>
      <c r="I536" s="1">
        <v>45716</v>
      </c>
      <c r="J536" s="2">
        <f t="shared" si="52"/>
        <v>-0.19476898409869453</v>
      </c>
      <c r="K536" s="3" t="str">
        <f t="shared" si="53"/>
        <v>Check!</v>
      </c>
      <c r="L536" t="str">
        <f t="shared" si="54"/>
        <v/>
      </c>
      <c r="M536" t="str">
        <f t="shared" si="55"/>
        <v>Check</v>
      </c>
      <c r="N536">
        <v>21242.91</v>
      </c>
      <c r="O536" t="s">
        <v>406</v>
      </c>
      <c r="Q536" t="s">
        <v>16</v>
      </c>
    </row>
    <row r="537" spans="1:17" x14ac:dyDescent="0.3">
      <c r="A537">
        <v>72002</v>
      </c>
      <c r="B537" t="s">
        <v>134</v>
      </c>
      <c r="C537" t="s">
        <v>19</v>
      </c>
      <c r="D537" t="s">
        <v>137</v>
      </c>
      <c r="E537" s="6">
        <v>46690.65</v>
      </c>
      <c r="F537" t="s">
        <v>492</v>
      </c>
      <c r="G537" s="4" t="str">
        <f t="shared" si="50"/>
        <v>46690.65</v>
      </c>
      <c r="H537" t="str">
        <f t="shared" si="51"/>
        <v>46690.65</v>
      </c>
      <c r="I537" s="1">
        <v>45716</v>
      </c>
      <c r="J537" s="2">
        <f t="shared" si="52"/>
        <v>-1.0344680031664894E-3</v>
      </c>
      <c r="K537" s="3" t="str">
        <f t="shared" si="53"/>
        <v/>
      </c>
      <c r="L537" t="str">
        <f t="shared" si="54"/>
        <v/>
      </c>
      <c r="M537" t="str">
        <f t="shared" si="55"/>
        <v/>
      </c>
      <c r="N537">
        <v>46739</v>
      </c>
      <c r="O537" t="s">
        <v>407</v>
      </c>
      <c r="Q537" t="s">
        <v>19</v>
      </c>
    </row>
    <row r="538" spans="1:17" x14ac:dyDescent="0.3">
      <c r="A538">
        <v>72002</v>
      </c>
      <c r="B538" t="s">
        <v>134</v>
      </c>
      <c r="C538" t="s">
        <v>19</v>
      </c>
      <c r="D538" t="s">
        <v>139</v>
      </c>
      <c r="E538" s="6">
        <v>6818.19</v>
      </c>
      <c r="F538" t="s">
        <v>492</v>
      </c>
      <c r="G538" s="4" t="str">
        <f t="shared" si="50"/>
        <v>6818.19</v>
      </c>
      <c r="H538" t="str">
        <f t="shared" si="51"/>
        <v>6818.19</v>
      </c>
      <c r="I538" s="1">
        <v>45716</v>
      </c>
      <c r="J538" s="2">
        <f t="shared" si="52"/>
        <v>3.3374978478435584E-3</v>
      </c>
      <c r="K538" s="3" t="str">
        <f t="shared" si="53"/>
        <v/>
      </c>
      <c r="L538" t="str">
        <f t="shared" si="54"/>
        <v/>
      </c>
      <c r="M538" t="str">
        <f t="shared" si="55"/>
        <v/>
      </c>
      <c r="N538">
        <v>6795.51</v>
      </c>
      <c r="O538" t="s">
        <v>408</v>
      </c>
      <c r="Q538" t="s">
        <v>19</v>
      </c>
    </row>
    <row r="539" spans="1:17" x14ac:dyDescent="0.3">
      <c r="A539">
        <v>80212</v>
      </c>
      <c r="B539" t="s">
        <v>141</v>
      </c>
      <c r="C539" t="s">
        <v>590</v>
      </c>
      <c r="D539" t="s">
        <v>142</v>
      </c>
      <c r="E539" s="6">
        <v>8017.27</v>
      </c>
      <c r="F539" t="s">
        <v>492</v>
      </c>
      <c r="G539" s="4" t="str">
        <f t="shared" si="50"/>
        <v>8017.27</v>
      </c>
      <c r="H539" t="str">
        <f t="shared" si="51"/>
        <v>8017.27</v>
      </c>
      <c r="I539" s="1">
        <v>45716</v>
      </c>
      <c r="J539" s="2">
        <f t="shared" si="52"/>
        <v>4.3067109781044343E-3</v>
      </c>
      <c r="K539" s="3" t="str">
        <f t="shared" si="53"/>
        <v/>
      </c>
      <c r="L539" t="str">
        <f t="shared" si="54"/>
        <v/>
      </c>
      <c r="M539" t="str">
        <f t="shared" si="55"/>
        <v>Check</v>
      </c>
      <c r="N539">
        <v>7982.89</v>
      </c>
      <c r="O539" t="s">
        <v>409</v>
      </c>
      <c r="Q539" t="s">
        <v>16</v>
      </c>
    </row>
    <row r="540" spans="1:17" x14ac:dyDescent="0.3">
      <c r="A540">
        <v>80212</v>
      </c>
      <c r="B540" t="s">
        <v>141</v>
      </c>
      <c r="C540" t="s">
        <v>611</v>
      </c>
      <c r="D540" t="s">
        <v>144</v>
      </c>
      <c r="E540" s="6">
        <v>11222.71</v>
      </c>
      <c r="F540" t="s">
        <v>492</v>
      </c>
      <c r="G540" s="4" t="str">
        <f t="shared" si="50"/>
        <v>11222.71</v>
      </c>
      <c r="H540" t="str">
        <f t="shared" si="51"/>
        <v>11222.71</v>
      </c>
      <c r="I540" s="1">
        <v>45716</v>
      </c>
      <c r="J540" s="2">
        <f t="shared" si="52"/>
        <v>1.4830857153191459E-2</v>
      </c>
      <c r="K540" s="3" t="str">
        <f t="shared" si="53"/>
        <v/>
      </c>
      <c r="L540" t="str">
        <f t="shared" si="54"/>
        <v/>
      </c>
      <c r="M540" t="str">
        <f t="shared" si="55"/>
        <v>Check</v>
      </c>
      <c r="N540">
        <v>11058.7</v>
      </c>
      <c r="O540" t="s">
        <v>145</v>
      </c>
      <c r="Q540" t="s">
        <v>41</v>
      </c>
    </row>
    <row r="541" spans="1:17" x14ac:dyDescent="0.3">
      <c r="A541">
        <v>80212</v>
      </c>
      <c r="B541" t="s">
        <v>141</v>
      </c>
      <c r="C541" t="s">
        <v>606</v>
      </c>
      <c r="D541" t="s">
        <v>617</v>
      </c>
      <c r="E541" s="6">
        <v>1222.79</v>
      </c>
      <c r="F541" t="s">
        <v>492</v>
      </c>
      <c r="G541" s="4" t="str">
        <f t="shared" si="50"/>
        <v>1222.79</v>
      </c>
      <c r="H541" t="str">
        <f t="shared" si="51"/>
        <v>1222.79</v>
      </c>
      <c r="I541" s="1">
        <v>45716</v>
      </c>
      <c r="J541" s="2">
        <f t="shared" si="52"/>
        <v>-7.2731433054401475E-4</v>
      </c>
      <c r="K541" s="3" t="str">
        <f t="shared" si="53"/>
        <v/>
      </c>
      <c r="L541" t="str">
        <f t="shared" si="54"/>
        <v/>
      </c>
      <c r="M541" t="str">
        <f t="shared" si="55"/>
        <v/>
      </c>
      <c r="N541">
        <v>1223.68</v>
      </c>
      <c r="O541" t="s">
        <v>651</v>
      </c>
      <c r="Q541" t="s">
        <v>606</v>
      </c>
    </row>
    <row r="542" spans="1:17" x14ac:dyDescent="0.3">
      <c r="A542">
        <v>81381</v>
      </c>
      <c r="B542" t="s">
        <v>593</v>
      </c>
      <c r="C542" t="s">
        <v>19</v>
      </c>
      <c r="D542" t="s">
        <v>146</v>
      </c>
      <c r="E542" s="6">
        <v>16891</v>
      </c>
      <c r="F542" t="s">
        <v>492</v>
      </c>
      <c r="G542" s="4" t="str">
        <f t="shared" si="50"/>
        <v>16891</v>
      </c>
      <c r="H542" t="str">
        <f t="shared" si="51"/>
        <v>16891</v>
      </c>
      <c r="I542" s="1">
        <v>45716</v>
      </c>
      <c r="J542" s="2">
        <f t="shared" si="52"/>
        <v>1.1089188248897528E-3</v>
      </c>
      <c r="K542" s="3" t="str">
        <f t="shared" si="53"/>
        <v/>
      </c>
      <c r="L542" t="str">
        <f t="shared" si="54"/>
        <v/>
      </c>
      <c r="M542" t="str">
        <f t="shared" si="55"/>
        <v/>
      </c>
      <c r="N542">
        <v>16872.29</v>
      </c>
      <c r="O542" t="s">
        <v>410</v>
      </c>
      <c r="Q542" t="s">
        <v>19</v>
      </c>
    </row>
    <row r="543" spans="1:17" x14ac:dyDescent="0.3">
      <c r="A543">
        <v>81381</v>
      </c>
      <c r="B543" t="s">
        <v>593</v>
      </c>
      <c r="C543" t="s">
        <v>19</v>
      </c>
      <c r="D543" t="s">
        <v>148</v>
      </c>
      <c r="E543" s="6">
        <v>571041.87</v>
      </c>
      <c r="F543" t="s">
        <v>492</v>
      </c>
      <c r="G543" s="4" t="str">
        <f t="shared" si="50"/>
        <v>571041.87</v>
      </c>
      <c r="H543" t="str">
        <f t="shared" si="51"/>
        <v>571041.87</v>
      </c>
      <c r="I543" s="1">
        <v>45716</v>
      </c>
      <c r="J543" s="2">
        <f t="shared" si="52"/>
        <v>-1.2336046852037921E-3</v>
      </c>
      <c r="K543" s="3" t="str">
        <f t="shared" si="53"/>
        <v/>
      </c>
      <c r="L543" t="str">
        <f t="shared" si="54"/>
        <v/>
      </c>
      <c r="M543" t="str">
        <f t="shared" si="55"/>
        <v/>
      </c>
      <c r="N543">
        <v>571747.18000000005</v>
      </c>
      <c r="O543" t="s">
        <v>411</v>
      </c>
      <c r="Q543" t="s">
        <v>19</v>
      </c>
    </row>
    <row r="544" spans="1:17" x14ac:dyDescent="0.3">
      <c r="A544">
        <v>113590</v>
      </c>
      <c r="B544" t="s">
        <v>150</v>
      </c>
      <c r="C544" t="s">
        <v>19</v>
      </c>
      <c r="D544" t="s">
        <v>151</v>
      </c>
      <c r="E544" s="6">
        <v>100685.05</v>
      </c>
      <c r="F544" t="s">
        <v>492</v>
      </c>
      <c r="G544" s="4" t="str">
        <f t="shared" si="50"/>
        <v>100685.05</v>
      </c>
      <c r="H544" t="str">
        <f t="shared" si="51"/>
        <v>100685.05</v>
      </c>
      <c r="I544" s="1">
        <v>45716</v>
      </c>
      <c r="J544" s="2">
        <f t="shared" si="52"/>
        <v>-1.225788032809024E-3</v>
      </c>
      <c r="K544" s="3" t="str">
        <f t="shared" si="53"/>
        <v/>
      </c>
      <c r="L544" t="str">
        <f t="shared" si="54"/>
        <v/>
      </c>
      <c r="M544" t="str">
        <f t="shared" si="55"/>
        <v/>
      </c>
      <c r="N544">
        <v>100808.62</v>
      </c>
      <c r="O544" t="s">
        <v>412</v>
      </c>
      <c r="Q544" t="s">
        <v>19</v>
      </c>
    </row>
    <row r="545" spans="1:17" x14ac:dyDescent="0.3">
      <c r="A545">
        <v>113590</v>
      </c>
      <c r="B545" t="s">
        <v>150</v>
      </c>
      <c r="C545" t="s">
        <v>19</v>
      </c>
      <c r="D545" t="s">
        <v>153</v>
      </c>
      <c r="E545" s="6">
        <v>26150.14</v>
      </c>
      <c r="F545" t="s">
        <v>492</v>
      </c>
      <c r="G545" s="4" t="str">
        <f t="shared" si="50"/>
        <v>26150.14</v>
      </c>
      <c r="H545" t="str">
        <f t="shared" si="51"/>
        <v>26150.14</v>
      </c>
      <c r="I545" s="1">
        <v>45716</v>
      </c>
      <c r="J545" s="2">
        <f t="shared" si="52"/>
        <v>2.9492285147169283E-4</v>
      </c>
      <c r="K545" s="3" t="str">
        <f t="shared" si="53"/>
        <v/>
      </c>
      <c r="L545" t="str">
        <f t="shared" si="54"/>
        <v/>
      </c>
      <c r="M545" t="str">
        <f t="shared" si="55"/>
        <v/>
      </c>
      <c r="N545">
        <v>26142.43</v>
      </c>
      <c r="O545" t="s">
        <v>413</v>
      </c>
      <c r="Q545" t="s">
        <v>19</v>
      </c>
    </row>
    <row r="546" spans="1:17" x14ac:dyDescent="0.3">
      <c r="A546">
        <v>130912</v>
      </c>
      <c r="B546" t="s">
        <v>604</v>
      </c>
      <c r="C546" t="s">
        <v>590</v>
      </c>
      <c r="D546" t="s">
        <v>605</v>
      </c>
      <c r="E546" s="6">
        <v>17664.740000000002</v>
      </c>
      <c r="F546" t="s">
        <v>492</v>
      </c>
      <c r="G546" s="4" t="str">
        <f t="shared" si="50"/>
        <v>17664.74</v>
      </c>
      <c r="H546" t="str">
        <f t="shared" si="51"/>
        <v>17664.74</v>
      </c>
      <c r="I546" s="1">
        <v>45716</v>
      </c>
      <c r="J546" s="2">
        <f t="shared" si="52"/>
        <v>2.3611921925520478E-4</v>
      </c>
      <c r="K546" s="3" t="str">
        <f t="shared" si="53"/>
        <v/>
      </c>
      <c r="L546" t="str">
        <f t="shared" si="54"/>
        <v/>
      </c>
      <c r="M546" t="str">
        <f t="shared" si="55"/>
        <v/>
      </c>
      <c r="N546">
        <v>17660.57</v>
      </c>
      <c r="O546" t="s">
        <v>677</v>
      </c>
      <c r="Q546" t="s">
        <v>590</v>
      </c>
    </row>
    <row r="547" spans="1:17" x14ac:dyDescent="0.3">
      <c r="A547">
        <v>133380</v>
      </c>
      <c r="B547" t="s">
        <v>155</v>
      </c>
      <c r="C547" t="s">
        <v>611</v>
      </c>
      <c r="D547" t="s">
        <v>156</v>
      </c>
      <c r="E547" s="6">
        <v>6804.09</v>
      </c>
      <c r="F547" t="s">
        <v>492</v>
      </c>
      <c r="G547" s="4" t="str">
        <f t="shared" si="50"/>
        <v>6804.09</v>
      </c>
      <c r="H547" t="str">
        <f t="shared" si="51"/>
        <v>6804.09</v>
      </c>
      <c r="I547" s="1">
        <v>45716</v>
      </c>
      <c r="J547" s="2">
        <f t="shared" si="52"/>
        <v>1.6570598728855319E-2</v>
      </c>
      <c r="K547" s="3" t="str">
        <f t="shared" si="53"/>
        <v/>
      </c>
      <c r="L547" t="str">
        <f t="shared" si="54"/>
        <v/>
      </c>
      <c r="M547" t="str">
        <f t="shared" si="55"/>
        <v>Check</v>
      </c>
      <c r="N547">
        <v>6693.18</v>
      </c>
      <c r="O547" t="s">
        <v>157</v>
      </c>
      <c r="Q547" t="s">
        <v>41</v>
      </c>
    </row>
    <row r="548" spans="1:17" x14ac:dyDescent="0.3">
      <c r="A548">
        <v>133380</v>
      </c>
      <c r="B548" t="s">
        <v>155</v>
      </c>
      <c r="C548" t="s">
        <v>606</v>
      </c>
      <c r="D548" t="s">
        <v>618</v>
      </c>
      <c r="E548" s="6">
        <v>739.66</v>
      </c>
      <c r="F548" t="s">
        <v>492</v>
      </c>
      <c r="G548" s="4" t="str">
        <f t="shared" si="50"/>
        <v>739.66</v>
      </c>
      <c r="H548" t="str">
        <f t="shared" si="51"/>
        <v>739.66</v>
      </c>
      <c r="I548" s="1">
        <v>45716</v>
      </c>
      <c r="J548" s="2">
        <f t="shared" si="52"/>
        <v>-7.565318418849249E-4</v>
      </c>
      <c r="K548" s="3" t="str">
        <f t="shared" si="53"/>
        <v/>
      </c>
      <c r="L548" t="str">
        <f t="shared" si="54"/>
        <v/>
      </c>
      <c r="M548" t="str">
        <f t="shared" si="55"/>
        <v/>
      </c>
      <c r="N548">
        <v>740.22</v>
      </c>
      <c r="O548" t="s">
        <v>653</v>
      </c>
      <c r="Q548" t="s">
        <v>606</v>
      </c>
    </row>
    <row r="549" spans="1:17" x14ac:dyDescent="0.3">
      <c r="A549">
        <v>133382</v>
      </c>
      <c r="B549" t="s">
        <v>158</v>
      </c>
      <c r="C549" t="s">
        <v>611</v>
      </c>
      <c r="D549" t="s">
        <v>159</v>
      </c>
      <c r="E549" s="6">
        <v>763.29</v>
      </c>
      <c r="F549" t="s">
        <v>492</v>
      </c>
      <c r="G549" s="4" t="str">
        <f t="shared" si="50"/>
        <v>763.29</v>
      </c>
      <c r="H549" t="str">
        <f t="shared" si="51"/>
        <v>763.29</v>
      </c>
      <c r="I549" s="1">
        <v>45716</v>
      </c>
      <c r="J549" s="2">
        <f t="shared" si="52"/>
        <v>-7.3312823198279646E-4</v>
      </c>
      <c r="K549" s="3" t="str">
        <f t="shared" si="53"/>
        <v/>
      </c>
      <c r="L549" t="str">
        <f t="shared" si="54"/>
        <v/>
      </c>
      <c r="M549" t="str">
        <f t="shared" si="55"/>
        <v>Check</v>
      </c>
      <c r="N549">
        <v>763.85</v>
      </c>
      <c r="O549" t="s">
        <v>160</v>
      </c>
      <c r="Q549" t="s">
        <v>41</v>
      </c>
    </row>
    <row r="550" spans="1:17" x14ac:dyDescent="0.3">
      <c r="A550">
        <v>133382</v>
      </c>
      <c r="B550" t="s">
        <v>158</v>
      </c>
      <c r="C550" t="s">
        <v>606</v>
      </c>
      <c r="D550" t="s">
        <v>619</v>
      </c>
      <c r="E550" s="6">
        <v>83.76</v>
      </c>
      <c r="F550" t="s">
        <v>492</v>
      </c>
      <c r="G550" s="4" t="str">
        <f t="shared" si="50"/>
        <v>83.76</v>
      </c>
      <c r="H550" t="str">
        <f t="shared" si="51"/>
        <v>83.76</v>
      </c>
      <c r="I550" s="1">
        <v>45716</v>
      </c>
      <c r="J550" s="2">
        <f t="shared" si="52"/>
        <v>-4.7732696897365205E-4</v>
      </c>
      <c r="K550" s="3" t="str">
        <f t="shared" si="53"/>
        <v/>
      </c>
      <c r="L550" t="str">
        <f t="shared" si="54"/>
        <v/>
      </c>
      <c r="M550" t="str">
        <f t="shared" si="55"/>
        <v/>
      </c>
      <c r="N550">
        <v>83.8</v>
      </c>
      <c r="O550" t="s">
        <v>654</v>
      </c>
      <c r="Q550" t="s">
        <v>606</v>
      </c>
    </row>
    <row r="551" spans="1:17" x14ac:dyDescent="0.3">
      <c r="A551">
        <v>100202693</v>
      </c>
      <c r="B551" t="s">
        <v>594</v>
      </c>
      <c r="C551" t="s">
        <v>590</v>
      </c>
      <c r="D551" t="s">
        <v>599</v>
      </c>
      <c r="E551" s="6">
        <v>87620.160000000003</v>
      </c>
      <c r="F551" t="s">
        <v>492</v>
      </c>
      <c r="G551" s="4" t="str">
        <f t="shared" si="50"/>
        <v>87620.16</v>
      </c>
      <c r="H551" t="str">
        <f t="shared" si="51"/>
        <v>87620.16</v>
      </c>
      <c r="I551" s="1">
        <v>45716</v>
      </c>
      <c r="J551" s="2">
        <f t="shared" si="52"/>
        <v>-1.2239031464808749E-3</v>
      </c>
      <c r="K551" s="3" t="str">
        <f t="shared" si="53"/>
        <v/>
      </c>
      <c r="L551" t="str">
        <f t="shared" si="54"/>
        <v/>
      </c>
      <c r="M551" t="str">
        <f t="shared" si="55"/>
        <v/>
      </c>
      <c r="N551">
        <v>87727.53</v>
      </c>
      <c r="O551" t="s">
        <v>678</v>
      </c>
      <c r="Q551" t="s">
        <v>590</v>
      </c>
    </row>
    <row r="552" spans="1:17" x14ac:dyDescent="0.3">
      <c r="A552">
        <v>100202693</v>
      </c>
      <c r="B552" t="s">
        <v>594</v>
      </c>
      <c r="C552" t="s">
        <v>19</v>
      </c>
      <c r="D552" t="s">
        <v>597</v>
      </c>
      <c r="E552" s="6">
        <v>65967.839999999997</v>
      </c>
      <c r="F552" t="s">
        <v>492</v>
      </c>
      <c r="G552" s="4" t="str">
        <f t="shared" si="50"/>
        <v>65967.84</v>
      </c>
      <c r="H552" t="str">
        <f t="shared" si="51"/>
        <v>65967.84</v>
      </c>
      <c r="I552" s="1">
        <v>45716</v>
      </c>
      <c r="J552" s="2">
        <f t="shared" si="52"/>
        <v>-1.5927818106860651E-3</v>
      </c>
      <c r="K552" s="3" t="str">
        <f t="shared" si="53"/>
        <v/>
      </c>
      <c r="L552" t="str">
        <f t="shared" si="54"/>
        <v/>
      </c>
      <c r="M552" t="str">
        <f t="shared" si="55"/>
        <v/>
      </c>
      <c r="N552">
        <v>66073.08</v>
      </c>
      <c r="O552" t="s">
        <v>679</v>
      </c>
      <c r="Q552" t="s">
        <v>19</v>
      </c>
    </row>
    <row r="553" spans="1:17" x14ac:dyDescent="0.3">
      <c r="A553">
        <v>100202693</v>
      </c>
      <c r="B553" t="s">
        <v>594</v>
      </c>
      <c r="C553" t="s">
        <v>19</v>
      </c>
      <c r="D553" t="s">
        <v>598</v>
      </c>
      <c r="E553" s="6">
        <v>257231.68</v>
      </c>
      <c r="F553" t="s">
        <v>492</v>
      </c>
      <c r="G553" s="4" t="str">
        <f t="shared" si="50"/>
        <v>257231.68</v>
      </c>
      <c r="H553" t="str">
        <f t="shared" si="51"/>
        <v>257231.68</v>
      </c>
      <c r="I553" s="1">
        <v>45716</v>
      </c>
      <c r="J553" s="2">
        <f t="shared" si="52"/>
        <v>-1.3283957718687716E-3</v>
      </c>
      <c r="K553" s="3" t="str">
        <f t="shared" si="53"/>
        <v/>
      </c>
      <c r="L553" t="str">
        <f t="shared" si="54"/>
        <v/>
      </c>
      <c r="M553" t="str">
        <f t="shared" si="55"/>
        <v/>
      </c>
      <c r="N553">
        <v>257573.84</v>
      </c>
      <c r="O553" t="s">
        <v>680</v>
      </c>
      <c r="Q553" t="s">
        <v>19</v>
      </c>
    </row>
    <row r="554" spans="1:17" x14ac:dyDescent="0.3">
      <c r="A554">
        <v>100205932</v>
      </c>
      <c r="B554" t="s">
        <v>165</v>
      </c>
      <c r="C554" t="s">
        <v>19</v>
      </c>
      <c r="D554" t="s">
        <v>586</v>
      </c>
      <c r="E554" s="6">
        <v>28047.24</v>
      </c>
      <c r="F554" t="s">
        <v>492</v>
      </c>
      <c r="G554" s="4" t="str">
        <f t="shared" si="50"/>
        <v>28047.24</v>
      </c>
      <c r="H554" t="str">
        <f t="shared" si="51"/>
        <v>28047.24</v>
      </c>
      <c r="I554" s="1">
        <v>45716</v>
      </c>
      <c r="J554" s="2">
        <f t="shared" si="52"/>
        <v>-5.2597819114811489E-4</v>
      </c>
      <c r="K554" s="3" t="str">
        <f t="shared" si="53"/>
        <v/>
      </c>
      <c r="L554" t="str">
        <f t="shared" si="54"/>
        <v/>
      </c>
      <c r="M554" t="str">
        <f t="shared" si="55"/>
        <v/>
      </c>
      <c r="N554">
        <v>28062</v>
      </c>
      <c r="O554" t="s">
        <v>681</v>
      </c>
      <c r="Q554" t="s">
        <v>19</v>
      </c>
    </row>
    <row r="555" spans="1:17" x14ac:dyDescent="0.3">
      <c r="A555">
        <v>100220898</v>
      </c>
      <c r="B555" t="s">
        <v>166</v>
      </c>
      <c r="C555" t="s">
        <v>19</v>
      </c>
      <c r="D555" t="s">
        <v>167</v>
      </c>
      <c r="E555" s="6">
        <v>66767.03</v>
      </c>
      <c r="F555" t="s">
        <v>492</v>
      </c>
      <c r="G555" s="4" t="str">
        <f t="shared" si="50"/>
        <v>66767.03</v>
      </c>
      <c r="H555" t="str">
        <f t="shared" si="51"/>
        <v>66767.03</v>
      </c>
      <c r="I555" s="1">
        <v>45716</v>
      </c>
      <c r="J555" s="2">
        <f t="shared" si="52"/>
        <v>-1.5700138862263355E-3</v>
      </c>
      <c r="K555" s="3" t="str">
        <f t="shared" si="53"/>
        <v/>
      </c>
      <c r="L555" t="str">
        <f t="shared" si="54"/>
        <v/>
      </c>
      <c r="M555" t="str">
        <f t="shared" si="55"/>
        <v/>
      </c>
      <c r="N555">
        <v>66872.02</v>
      </c>
      <c r="O555" t="s">
        <v>414</v>
      </c>
      <c r="Q555" t="s">
        <v>19</v>
      </c>
    </row>
    <row r="556" spans="1:17" x14ac:dyDescent="0.3">
      <c r="A556">
        <v>100220898</v>
      </c>
      <c r="B556" t="s">
        <v>166</v>
      </c>
      <c r="C556" t="s">
        <v>19</v>
      </c>
      <c r="D556" t="s">
        <v>169</v>
      </c>
      <c r="E556" s="6">
        <v>52837.67</v>
      </c>
      <c r="F556" t="s">
        <v>492</v>
      </c>
      <c r="G556" s="4" t="str">
        <f t="shared" si="50"/>
        <v>52837.67</v>
      </c>
      <c r="H556" t="str">
        <f t="shared" si="51"/>
        <v>52837.67</v>
      </c>
      <c r="I556" s="1">
        <v>45716</v>
      </c>
      <c r="J556" s="2">
        <f t="shared" si="52"/>
        <v>-1.1333213101081742E-3</v>
      </c>
      <c r="K556" s="3" t="str">
        <f t="shared" si="53"/>
        <v/>
      </c>
      <c r="L556" t="str">
        <f t="shared" si="54"/>
        <v/>
      </c>
      <c r="M556" t="str">
        <f t="shared" si="55"/>
        <v/>
      </c>
      <c r="N556">
        <v>52897.62</v>
      </c>
      <c r="O556" t="s">
        <v>415</v>
      </c>
      <c r="Q556" t="s">
        <v>19</v>
      </c>
    </row>
    <row r="557" spans="1:17" x14ac:dyDescent="0.3">
      <c r="A557">
        <v>100247003</v>
      </c>
      <c r="B557" t="s">
        <v>105</v>
      </c>
      <c r="C557" t="s">
        <v>19</v>
      </c>
      <c r="D557" t="s">
        <v>171</v>
      </c>
      <c r="E557" s="6">
        <v>42408.63</v>
      </c>
      <c r="F557" t="s">
        <v>492</v>
      </c>
      <c r="G557" s="4" t="str">
        <f t="shared" si="50"/>
        <v>42408.63</v>
      </c>
      <c r="H557" t="str">
        <f t="shared" si="51"/>
        <v>42408.63</v>
      </c>
      <c r="I557" s="1">
        <v>45716</v>
      </c>
      <c r="J557" s="2">
        <f t="shared" si="52"/>
        <v>4.7566969753973978E-3</v>
      </c>
      <c r="K557" s="3" t="str">
        <f t="shared" si="53"/>
        <v/>
      </c>
      <c r="L557" t="str">
        <f t="shared" si="54"/>
        <v/>
      </c>
      <c r="M557" t="str">
        <f t="shared" si="55"/>
        <v/>
      </c>
      <c r="N557">
        <v>42207.86</v>
      </c>
      <c r="O557" t="s">
        <v>416</v>
      </c>
      <c r="Q557" t="s">
        <v>19</v>
      </c>
    </row>
    <row r="558" spans="1:17" x14ac:dyDescent="0.3">
      <c r="A558">
        <v>100249944</v>
      </c>
      <c r="B558" t="s">
        <v>173</v>
      </c>
      <c r="C558" t="s">
        <v>19</v>
      </c>
      <c r="D558" t="s">
        <v>174</v>
      </c>
      <c r="E558" s="6">
        <v>89693.47</v>
      </c>
      <c r="F558" t="s">
        <v>492</v>
      </c>
      <c r="G558" s="4" t="str">
        <f t="shared" si="50"/>
        <v>89693.47</v>
      </c>
      <c r="H558" t="str">
        <f t="shared" si="51"/>
        <v>89693.47</v>
      </c>
      <c r="I558" s="1">
        <v>45716</v>
      </c>
      <c r="J558" s="2">
        <f t="shared" si="52"/>
        <v>-1.144924934529556E-3</v>
      </c>
      <c r="K558" s="3" t="str">
        <f t="shared" si="53"/>
        <v/>
      </c>
      <c r="L558" t="str">
        <f t="shared" si="54"/>
        <v/>
      </c>
      <c r="M558" t="str">
        <f t="shared" si="55"/>
        <v/>
      </c>
      <c r="N558">
        <v>89796.28</v>
      </c>
      <c r="O558" t="s">
        <v>417</v>
      </c>
      <c r="Q558" t="s">
        <v>19</v>
      </c>
    </row>
    <row r="559" spans="1:17" x14ac:dyDescent="0.3">
      <c r="A559">
        <v>100250182</v>
      </c>
      <c r="B559" t="s">
        <v>176</v>
      </c>
      <c r="C559" t="s">
        <v>19</v>
      </c>
      <c r="D559" t="s">
        <v>177</v>
      </c>
      <c r="E559" s="6">
        <v>193872.17</v>
      </c>
      <c r="F559" t="s">
        <v>492</v>
      </c>
      <c r="G559" s="4" t="str">
        <f t="shared" si="50"/>
        <v>193872.17</v>
      </c>
      <c r="H559" t="str">
        <f t="shared" si="51"/>
        <v>193872.17</v>
      </c>
      <c r="I559" s="1">
        <v>45716</v>
      </c>
      <c r="J559" s="2">
        <f t="shared" si="52"/>
        <v>-1.4397504631687428E-3</v>
      </c>
      <c r="K559" s="3" t="str">
        <f t="shared" si="53"/>
        <v/>
      </c>
      <c r="L559" t="str">
        <f t="shared" si="54"/>
        <v/>
      </c>
      <c r="M559" t="str">
        <f t="shared" si="55"/>
        <v/>
      </c>
      <c r="N559">
        <v>194151.7</v>
      </c>
      <c r="O559" t="s">
        <v>418</v>
      </c>
      <c r="Q559" t="s">
        <v>19</v>
      </c>
    </row>
    <row r="560" spans="1:17" x14ac:dyDescent="0.3">
      <c r="A560">
        <v>100271808</v>
      </c>
      <c r="B560" t="s">
        <v>179</v>
      </c>
      <c r="C560" t="s">
        <v>611</v>
      </c>
      <c r="D560" t="s">
        <v>180</v>
      </c>
      <c r="E560" s="6">
        <v>5184.8599999999997</v>
      </c>
      <c r="F560" t="s">
        <v>492</v>
      </c>
      <c r="G560" s="4" t="str">
        <f t="shared" si="50"/>
        <v>5184.86</v>
      </c>
      <c r="H560" t="str">
        <f t="shared" si="51"/>
        <v>5184.86</v>
      </c>
      <c r="I560" s="1">
        <v>45716</v>
      </c>
      <c r="J560" s="2">
        <f t="shared" si="52"/>
        <v>1.7576982709555766E-2</v>
      </c>
      <c r="K560" s="3" t="str">
        <f t="shared" si="53"/>
        <v/>
      </c>
      <c r="L560" t="str">
        <f t="shared" si="54"/>
        <v/>
      </c>
      <c r="M560" t="str">
        <f t="shared" si="55"/>
        <v>Check</v>
      </c>
      <c r="N560">
        <v>5095.3</v>
      </c>
      <c r="O560" t="s">
        <v>181</v>
      </c>
      <c r="Q560" t="s">
        <v>41</v>
      </c>
    </row>
    <row r="561" spans="1:17" x14ac:dyDescent="0.3">
      <c r="A561">
        <v>100271808</v>
      </c>
      <c r="B561" t="s">
        <v>179</v>
      </c>
      <c r="C561" t="s">
        <v>606</v>
      </c>
      <c r="D561" t="s">
        <v>620</v>
      </c>
      <c r="E561" s="6">
        <v>563.28</v>
      </c>
      <c r="F561" t="s">
        <v>492</v>
      </c>
      <c r="G561" s="4" t="str">
        <f t="shared" si="50"/>
        <v>563.28</v>
      </c>
      <c r="H561" t="str">
        <f t="shared" si="51"/>
        <v>563.28</v>
      </c>
      <c r="I561" s="1">
        <v>45716</v>
      </c>
      <c r="J561" s="2">
        <f t="shared" si="52"/>
        <v>-7.0962248084015277E-4</v>
      </c>
      <c r="K561" s="3" t="str">
        <f t="shared" si="53"/>
        <v/>
      </c>
      <c r="L561" t="str">
        <f t="shared" si="54"/>
        <v/>
      </c>
      <c r="M561" t="str">
        <f t="shared" si="55"/>
        <v/>
      </c>
      <c r="N561">
        <v>563.67999999999995</v>
      </c>
      <c r="O561" t="s">
        <v>658</v>
      </c>
      <c r="Q561" t="s">
        <v>606</v>
      </c>
    </row>
    <row r="562" spans="1:17" x14ac:dyDescent="0.3">
      <c r="A562">
        <v>100273792</v>
      </c>
      <c r="B562" t="s">
        <v>182</v>
      </c>
      <c r="C562" t="s">
        <v>19</v>
      </c>
      <c r="D562" t="s">
        <v>183</v>
      </c>
      <c r="E562" s="6">
        <v>87766.62</v>
      </c>
      <c r="F562" t="s">
        <v>492</v>
      </c>
      <c r="G562" s="4" t="str">
        <f t="shared" si="50"/>
        <v>87766.62</v>
      </c>
      <c r="H562" t="str">
        <f t="shared" si="51"/>
        <v>87766.62</v>
      </c>
      <c r="I562" s="1">
        <v>45716</v>
      </c>
      <c r="J562" s="2">
        <f t="shared" si="52"/>
        <v>3.8094072584264555E-3</v>
      </c>
      <c r="K562" s="3" t="str">
        <f t="shared" si="53"/>
        <v/>
      </c>
      <c r="L562" t="str">
        <f t="shared" si="54"/>
        <v/>
      </c>
      <c r="M562" t="str">
        <f t="shared" si="55"/>
        <v/>
      </c>
      <c r="N562">
        <v>87433.55</v>
      </c>
      <c r="O562" t="s">
        <v>419</v>
      </c>
      <c r="Q562" t="s">
        <v>19</v>
      </c>
    </row>
    <row r="563" spans="1:17" x14ac:dyDescent="0.3">
      <c r="A563">
        <v>100273792</v>
      </c>
      <c r="B563" t="s">
        <v>182</v>
      </c>
      <c r="C563" t="s">
        <v>19</v>
      </c>
      <c r="D563" t="s">
        <v>185</v>
      </c>
      <c r="E563" s="6">
        <v>125476.53</v>
      </c>
      <c r="F563" t="s">
        <v>492</v>
      </c>
      <c r="G563" s="4" t="str">
        <f t="shared" si="50"/>
        <v>125476.53</v>
      </c>
      <c r="H563" t="str">
        <f t="shared" si="51"/>
        <v>125476.53</v>
      </c>
      <c r="I563" s="1">
        <v>45716</v>
      </c>
      <c r="J563" s="2">
        <f t="shared" si="52"/>
        <v>3.1984430645953812E-3</v>
      </c>
      <c r="K563" s="3" t="str">
        <f t="shared" si="53"/>
        <v/>
      </c>
      <c r="L563" t="str">
        <f t="shared" si="54"/>
        <v/>
      </c>
      <c r="M563" t="str">
        <f t="shared" si="55"/>
        <v/>
      </c>
      <c r="N563">
        <v>125076.48</v>
      </c>
      <c r="O563" t="s">
        <v>420</v>
      </c>
      <c r="Q563" t="s">
        <v>19</v>
      </c>
    </row>
    <row r="564" spans="1:17" x14ac:dyDescent="0.3">
      <c r="A564">
        <v>100273792</v>
      </c>
      <c r="B564" t="s">
        <v>182</v>
      </c>
      <c r="C564" t="s">
        <v>590</v>
      </c>
      <c r="D564" t="s">
        <v>588</v>
      </c>
      <c r="E564" s="6">
        <v>15185.79</v>
      </c>
      <c r="F564" t="s">
        <v>492</v>
      </c>
      <c r="G564" s="4" t="str">
        <f t="shared" si="50"/>
        <v>15185.79</v>
      </c>
      <c r="H564" t="str">
        <f t="shared" si="51"/>
        <v>15185.79</v>
      </c>
      <c r="I564" s="1">
        <v>45716</v>
      </c>
      <c r="J564" s="2">
        <f t="shared" si="52"/>
        <v>2.5714934600220723E-3</v>
      </c>
      <c r="K564" s="3" t="str">
        <f t="shared" si="53"/>
        <v/>
      </c>
      <c r="L564" t="str">
        <f t="shared" si="54"/>
        <v/>
      </c>
      <c r="M564" t="str">
        <f t="shared" si="55"/>
        <v>Check</v>
      </c>
      <c r="N564">
        <v>15146.84</v>
      </c>
      <c r="O564" t="s">
        <v>589</v>
      </c>
      <c r="Q564" t="s">
        <v>16</v>
      </c>
    </row>
    <row r="565" spans="1:17" x14ac:dyDescent="0.3">
      <c r="A565">
        <v>100278188</v>
      </c>
      <c r="B565" t="s">
        <v>187</v>
      </c>
      <c r="C565" t="s">
        <v>19</v>
      </c>
      <c r="D565" t="s">
        <v>192</v>
      </c>
      <c r="E565" s="6">
        <v>17825</v>
      </c>
      <c r="F565" t="s">
        <v>492</v>
      </c>
      <c r="G565" s="4" t="str">
        <f t="shared" si="50"/>
        <v>17825</v>
      </c>
      <c r="H565" t="str">
        <f t="shared" si="51"/>
        <v>17825</v>
      </c>
      <c r="I565" s="1">
        <v>45716</v>
      </c>
      <c r="J565" s="2">
        <f t="shared" si="52"/>
        <v>9.6643098329434059E-4</v>
      </c>
      <c r="K565" s="3" t="str">
        <f t="shared" si="53"/>
        <v/>
      </c>
      <c r="L565" t="str">
        <f t="shared" si="54"/>
        <v/>
      </c>
      <c r="M565" t="str">
        <f t="shared" si="55"/>
        <v/>
      </c>
      <c r="N565">
        <v>17807.79</v>
      </c>
      <c r="O565" t="s">
        <v>422</v>
      </c>
      <c r="Q565" t="s">
        <v>19</v>
      </c>
    </row>
    <row r="566" spans="1:17" x14ac:dyDescent="0.3">
      <c r="A566">
        <v>100278188</v>
      </c>
      <c r="B566" t="s">
        <v>187</v>
      </c>
      <c r="C566" t="s">
        <v>19</v>
      </c>
      <c r="D566" t="s">
        <v>194</v>
      </c>
      <c r="E566" s="6">
        <v>32683.78</v>
      </c>
      <c r="F566" t="s">
        <v>492</v>
      </c>
      <c r="G566" s="4" t="str">
        <f t="shared" si="50"/>
        <v>32683.78</v>
      </c>
      <c r="H566" t="str">
        <f t="shared" si="51"/>
        <v>32683.78</v>
      </c>
      <c r="I566" s="1">
        <v>45716</v>
      </c>
      <c r="J566" s="2">
        <f t="shared" si="52"/>
        <v>-8.0036783903130089E-4</v>
      </c>
      <c r="K566" s="3" t="str">
        <f t="shared" si="53"/>
        <v/>
      </c>
      <c r="L566" t="str">
        <f t="shared" si="54"/>
        <v/>
      </c>
      <c r="M566" t="str">
        <f t="shared" si="55"/>
        <v/>
      </c>
      <c r="N566">
        <v>32709.96</v>
      </c>
      <c r="O566" t="s">
        <v>423</v>
      </c>
      <c r="Q566" t="s">
        <v>19</v>
      </c>
    </row>
    <row r="567" spans="1:17" x14ac:dyDescent="0.3">
      <c r="A567">
        <v>100278188</v>
      </c>
      <c r="B567" t="s">
        <v>187</v>
      </c>
      <c r="C567" t="s">
        <v>19</v>
      </c>
      <c r="D567" t="s">
        <v>190</v>
      </c>
      <c r="E567" s="6">
        <v>9931.76</v>
      </c>
      <c r="F567" t="s">
        <v>492</v>
      </c>
      <c r="G567" s="4" t="str">
        <f t="shared" si="50"/>
        <v>9931.76</v>
      </c>
      <c r="H567" t="str">
        <f t="shared" si="51"/>
        <v>9931.76</v>
      </c>
      <c r="I567" s="1">
        <v>45716</v>
      </c>
      <c r="J567" s="2">
        <f t="shared" si="52"/>
        <v>-1.4327353380903499E-3</v>
      </c>
      <c r="K567" s="3" t="str">
        <f t="shared" si="53"/>
        <v/>
      </c>
      <c r="L567" t="str">
        <f t="shared" si="54"/>
        <v/>
      </c>
      <c r="M567" t="str">
        <f t="shared" si="55"/>
        <v/>
      </c>
      <c r="N567">
        <v>9946.01</v>
      </c>
      <c r="O567" t="s">
        <v>421</v>
      </c>
      <c r="Q567" t="s">
        <v>19</v>
      </c>
    </row>
    <row r="568" spans="1:17" x14ac:dyDescent="0.3">
      <c r="A568">
        <v>100309343</v>
      </c>
      <c r="B568" t="s">
        <v>196</v>
      </c>
      <c r="C568" t="s">
        <v>590</v>
      </c>
      <c r="D568" t="s">
        <v>424</v>
      </c>
      <c r="E568" s="6">
        <v>8161.48</v>
      </c>
      <c r="F568" t="s">
        <v>492</v>
      </c>
      <c r="G568" s="4" t="str">
        <f t="shared" si="50"/>
        <v>8161.48</v>
      </c>
      <c r="H568" t="str">
        <f t="shared" si="51"/>
        <v>8161.48</v>
      </c>
      <c r="I568" s="1">
        <v>45716</v>
      </c>
      <c r="J568" s="2">
        <f t="shared" si="52"/>
        <v>1.3448103730451732E-2</v>
      </c>
      <c r="K568" s="3" t="str">
        <f t="shared" si="53"/>
        <v/>
      </c>
      <c r="L568" t="str">
        <f t="shared" si="54"/>
        <v/>
      </c>
      <c r="M568" t="str">
        <f t="shared" si="55"/>
        <v>Check</v>
      </c>
      <c r="N568">
        <v>8053.18</v>
      </c>
      <c r="O568" t="s">
        <v>425</v>
      </c>
      <c r="Q568" t="s">
        <v>16</v>
      </c>
    </row>
    <row r="569" spans="1:17" x14ac:dyDescent="0.3">
      <c r="A569">
        <v>100317997</v>
      </c>
      <c r="B569" t="s">
        <v>199</v>
      </c>
      <c r="C569" t="s">
        <v>611</v>
      </c>
      <c r="D569" t="s">
        <v>200</v>
      </c>
      <c r="E569" s="6">
        <v>1052.92</v>
      </c>
      <c r="F569" t="s">
        <v>492</v>
      </c>
      <c r="G569" s="4" t="str">
        <f t="shared" si="50"/>
        <v>1052.92</v>
      </c>
      <c r="H569" t="str">
        <f t="shared" si="51"/>
        <v>1052.92</v>
      </c>
      <c r="I569" s="1">
        <v>45716</v>
      </c>
      <c r="J569" s="2">
        <f t="shared" si="52"/>
        <v>1.7038868711846167E-2</v>
      </c>
      <c r="K569" s="3" t="str">
        <f t="shared" si="53"/>
        <v/>
      </c>
      <c r="L569" t="str">
        <f t="shared" si="54"/>
        <v/>
      </c>
      <c r="M569" t="str">
        <f t="shared" si="55"/>
        <v>Check</v>
      </c>
      <c r="N569">
        <v>1035.28</v>
      </c>
      <c r="O569" t="s">
        <v>201</v>
      </c>
      <c r="Q569" t="s">
        <v>41</v>
      </c>
    </row>
    <row r="570" spans="1:17" x14ac:dyDescent="0.3">
      <c r="A570">
        <v>100317997</v>
      </c>
      <c r="B570" t="s">
        <v>199</v>
      </c>
      <c r="C570" t="s">
        <v>606</v>
      </c>
      <c r="D570" t="s">
        <v>621</v>
      </c>
      <c r="E570" s="6">
        <v>114.9</v>
      </c>
      <c r="F570" t="s">
        <v>492</v>
      </c>
      <c r="G570" s="4" t="str">
        <f t="shared" si="50"/>
        <v>114.9</v>
      </c>
      <c r="H570" t="str">
        <f t="shared" si="51"/>
        <v>114.9</v>
      </c>
      <c r="I570" s="1">
        <v>45716</v>
      </c>
      <c r="J570" s="2">
        <f t="shared" si="52"/>
        <v>-1.7376194613378682E-3</v>
      </c>
      <c r="K570" s="3" t="str">
        <f t="shared" si="53"/>
        <v/>
      </c>
      <c r="L570" t="str">
        <f t="shared" si="54"/>
        <v/>
      </c>
      <c r="M570" t="str">
        <f t="shared" si="55"/>
        <v/>
      </c>
      <c r="N570">
        <v>115.1</v>
      </c>
      <c r="O570" t="s">
        <v>659</v>
      </c>
      <c r="Q570" t="s">
        <v>606</v>
      </c>
    </row>
    <row r="571" spans="1:17" x14ac:dyDescent="0.3">
      <c r="A571">
        <v>100325823</v>
      </c>
      <c r="B571" t="s">
        <v>202</v>
      </c>
      <c r="C571" t="s">
        <v>19</v>
      </c>
      <c r="D571" t="s">
        <v>203</v>
      </c>
      <c r="E571" s="6">
        <v>93531.61</v>
      </c>
      <c r="F571" t="s">
        <v>492</v>
      </c>
      <c r="G571" s="4" t="str">
        <f t="shared" si="50"/>
        <v>93531.61</v>
      </c>
      <c r="H571" t="str">
        <f t="shared" si="51"/>
        <v>93531.61</v>
      </c>
      <c r="I571" s="1">
        <v>45716</v>
      </c>
      <c r="J571" s="2">
        <f t="shared" si="52"/>
        <v>-1.2038100754407147E-3</v>
      </c>
      <c r="K571" s="3" t="str">
        <f t="shared" si="53"/>
        <v/>
      </c>
      <c r="L571" t="str">
        <f t="shared" si="54"/>
        <v/>
      </c>
      <c r="M571" t="str">
        <f t="shared" si="55"/>
        <v/>
      </c>
      <c r="N571">
        <v>93644.34</v>
      </c>
      <c r="O571" t="s">
        <v>426</v>
      </c>
      <c r="Q571" t="s">
        <v>19</v>
      </c>
    </row>
    <row r="572" spans="1:17" x14ac:dyDescent="0.3">
      <c r="A572">
        <v>100376880</v>
      </c>
      <c r="B572" t="s">
        <v>205</v>
      </c>
      <c r="C572" t="s">
        <v>19</v>
      </c>
      <c r="D572" t="s">
        <v>208</v>
      </c>
      <c r="E572" s="6">
        <v>8818.7999999999993</v>
      </c>
      <c r="F572" t="s">
        <v>492</v>
      </c>
      <c r="G572" s="4" t="str">
        <f t="shared" si="50"/>
        <v>8818.8</v>
      </c>
      <c r="H572" t="str">
        <f t="shared" si="51"/>
        <v>8818.8</v>
      </c>
      <c r="I572" s="1">
        <v>45716</v>
      </c>
      <c r="J572" s="2">
        <f t="shared" si="52"/>
        <v>-2.8296720551015446E-2</v>
      </c>
      <c r="K572" s="3" t="str">
        <f t="shared" si="53"/>
        <v/>
      </c>
      <c r="L572" t="str">
        <f t="shared" si="54"/>
        <v/>
      </c>
      <c r="M572" t="str">
        <f t="shared" si="55"/>
        <v/>
      </c>
      <c r="N572">
        <v>9075.61</v>
      </c>
      <c r="O572" t="s">
        <v>427</v>
      </c>
      <c r="Q572" t="s">
        <v>19</v>
      </c>
    </row>
    <row r="573" spans="1:17" x14ac:dyDescent="0.3">
      <c r="A573">
        <v>100388471</v>
      </c>
      <c r="B573" t="s">
        <v>210</v>
      </c>
      <c r="C573" t="s">
        <v>19</v>
      </c>
      <c r="D573" t="s">
        <v>211</v>
      </c>
      <c r="E573" s="6">
        <v>221677.5</v>
      </c>
      <c r="F573" t="s">
        <v>492</v>
      </c>
      <c r="G573" s="4" t="str">
        <f t="shared" si="50"/>
        <v>221677.5</v>
      </c>
      <c r="H573" t="str">
        <f t="shared" si="51"/>
        <v>221677.5</v>
      </c>
      <c r="I573" s="1">
        <v>45716</v>
      </c>
      <c r="J573" s="2">
        <f t="shared" si="52"/>
        <v>3.3350585326874247E-3</v>
      </c>
      <c r="K573" s="3" t="str">
        <f t="shared" si="53"/>
        <v/>
      </c>
      <c r="L573" t="str">
        <f t="shared" si="54"/>
        <v/>
      </c>
      <c r="M573" t="str">
        <f t="shared" si="55"/>
        <v/>
      </c>
      <c r="N573">
        <v>220940.65</v>
      </c>
      <c r="O573" t="s">
        <v>428</v>
      </c>
      <c r="Q573" t="s">
        <v>19</v>
      </c>
    </row>
    <row r="574" spans="1:17" x14ac:dyDescent="0.3">
      <c r="A574">
        <v>100388471</v>
      </c>
      <c r="B574" t="s">
        <v>210</v>
      </c>
      <c r="C574" t="s">
        <v>19</v>
      </c>
      <c r="D574" t="s">
        <v>213</v>
      </c>
      <c r="E574" s="6">
        <v>9457.42</v>
      </c>
      <c r="F574" t="s">
        <v>492</v>
      </c>
      <c r="G574" s="4" t="str">
        <f t="shared" si="50"/>
        <v>9457.42</v>
      </c>
      <c r="H574" t="str">
        <f t="shared" si="51"/>
        <v>9457.42</v>
      </c>
      <c r="I574" s="1">
        <v>45716</v>
      </c>
      <c r="J574" s="2">
        <f t="shared" si="52"/>
        <v>1.2182683529564111E-2</v>
      </c>
      <c r="K574" s="3" t="str">
        <f t="shared" si="53"/>
        <v/>
      </c>
      <c r="L574" t="str">
        <f t="shared" si="54"/>
        <v/>
      </c>
      <c r="M574" t="str">
        <f t="shared" si="55"/>
        <v/>
      </c>
      <c r="N574">
        <v>9343.59</v>
      </c>
      <c r="O574" t="s">
        <v>429</v>
      </c>
      <c r="Q574" t="s">
        <v>19</v>
      </c>
    </row>
    <row r="575" spans="1:17" x14ac:dyDescent="0.3">
      <c r="A575">
        <v>100408912</v>
      </c>
      <c r="B575" t="s">
        <v>215</v>
      </c>
      <c r="C575" t="s">
        <v>19</v>
      </c>
      <c r="D575" t="s">
        <v>216</v>
      </c>
      <c r="E575" s="6">
        <v>130851.1</v>
      </c>
      <c r="F575" t="s">
        <v>492</v>
      </c>
      <c r="G575" s="4" t="str">
        <f t="shared" si="50"/>
        <v>130851.1</v>
      </c>
      <c r="H575" t="str">
        <f t="shared" si="51"/>
        <v>130851.1</v>
      </c>
      <c r="I575" s="1">
        <v>45716</v>
      </c>
      <c r="J575" s="2">
        <f t="shared" si="52"/>
        <v>-1.4584612501222533E-3</v>
      </c>
      <c r="K575" s="3" t="str">
        <f t="shared" si="53"/>
        <v/>
      </c>
      <c r="L575" t="str">
        <f t="shared" si="54"/>
        <v/>
      </c>
      <c r="M575" t="str">
        <f t="shared" si="55"/>
        <v/>
      </c>
      <c r="N575">
        <v>131042.22</v>
      </c>
      <c r="O575" t="s">
        <v>430</v>
      </c>
      <c r="Q575" t="s">
        <v>19</v>
      </c>
    </row>
    <row r="576" spans="1:17" x14ac:dyDescent="0.3">
      <c r="A576">
        <v>100421069</v>
      </c>
      <c r="B576" t="s">
        <v>218</v>
      </c>
      <c r="C576" t="s">
        <v>19</v>
      </c>
      <c r="D576" t="s">
        <v>220</v>
      </c>
      <c r="E576" s="6">
        <v>70358.559999999998</v>
      </c>
      <c r="F576" t="s">
        <v>492</v>
      </c>
      <c r="G576" s="4" t="str">
        <f t="shared" si="50"/>
        <v>70358.56</v>
      </c>
      <c r="H576" t="str">
        <f t="shared" si="51"/>
        <v>70358.56</v>
      </c>
      <c r="I576" s="1">
        <v>45716</v>
      </c>
      <c r="J576" s="2">
        <f t="shared" si="52"/>
        <v>-1.6203426146986222E-3</v>
      </c>
      <c r="K576" s="3" t="str">
        <f t="shared" si="53"/>
        <v/>
      </c>
      <c r="L576" t="str">
        <f t="shared" si="54"/>
        <v/>
      </c>
      <c r="M576" t="str">
        <f t="shared" si="55"/>
        <v/>
      </c>
      <c r="N576">
        <v>70472.75</v>
      </c>
      <c r="O576" t="s">
        <v>431</v>
      </c>
      <c r="Q576" t="s">
        <v>19</v>
      </c>
    </row>
    <row r="577" spans="1:17" x14ac:dyDescent="0.3">
      <c r="A577">
        <v>100421069</v>
      </c>
      <c r="B577" t="s">
        <v>218</v>
      </c>
      <c r="C577" t="s">
        <v>19</v>
      </c>
      <c r="D577" t="s">
        <v>222</v>
      </c>
      <c r="E577" s="6">
        <v>32160.87</v>
      </c>
      <c r="F577" t="s">
        <v>492</v>
      </c>
      <c r="G577" s="4" t="str">
        <f t="shared" si="50"/>
        <v>32160.87</v>
      </c>
      <c r="H577" t="str">
        <f t="shared" si="51"/>
        <v>32160.87</v>
      </c>
      <c r="I577" s="1">
        <v>45716</v>
      </c>
      <c r="J577" s="2">
        <f t="shared" si="52"/>
        <v>5.5299524762380875E-3</v>
      </c>
      <c r="K577" s="3" t="str">
        <f t="shared" si="53"/>
        <v/>
      </c>
      <c r="L577" t="str">
        <f t="shared" si="54"/>
        <v/>
      </c>
      <c r="M577" t="str">
        <f t="shared" si="55"/>
        <v/>
      </c>
      <c r="N577">
        <v>31984</v>
      </c>
      <c r="O577" t="s">
        <v>432</v>
      </c>
      <c r="Q577" t="s">
        <v>19</v>
      </c>
    </row>
    <row r="578" spans="1:17" x14ac:dyDescent="0.3">
      <c r="A578">
        <v>100421069</v>
      </c>
      <c r="B578" t="s">
        <v>218</v>
      </c>
      <c r="C578" t="s">
        <v>19</v>
      </c>
      <c r="D578" t="s">
        <v>224</v>
      </c>
      <c r="E578" s="6">
        <v>38300.519999999997</v>
      </c>
      <c r="F578" t="s">
        <v>492</v>
      </c>
      <c r="G578" s="4" t="str">
        <f t="shared" si="50"/>
        <v>38300.52</v>
      </c>
      <c r="H578" t="str">
        <f t="shared" si="51"/>
        <v>38300.52</v>
      </c>
      <c r="I578" s="1">
        <v>45716</v>
      </c>
      <c r="J578" s="2">
        <f t="shared" si="52"/>
        <v>-1.6294333372520898E-3</v>
      </c>
      <c r="K578" s="3" t="str">
        <f t="shared" si="53"/>
        <v/>
      </c>
      <c r="L578" t="str">
        <f t="shared" si="54"/>
        <v/>
      </c>
      <c r="M578" t="str">
        <f t="shared" si="55"/>
        <v/>
      </c>
      <c r="N578">
        <v>38363.03</v>
      </c>
      <c r="O578" t="s">
        <v>433</v>
      </c>
      <c r="Q578" t="s">
        <v>19</v>
      </c>
    </row>
    <row r="579" spans="1:17" x14ac:dyDescent="0.3">
      <c r="A579">
        <v>100489695</v>
      </c>
      <c r="B579" t="s">
        <v>229</v>
      </c>
      <c r="C579" t="s">
        <v>590</v>
      </c>
      <c r="D579" t="s">
        <v>230</v>
      </c>
      <c r="E579" s="6">
        <v>253793.81</v>
      </c>
      <c r="F579" t="s">
        <v>492</v>
      </c>
      <c r="G579" s="4" t="str">
        <f t="shared" ref="G579:G642" si="56">SUBSTITUTE(E579,"R","")</f>
        <v>253793.81</v>
      </c>
      <c r="H579" t="str">
        <f t="shared" ref="H579:H642" si="57">SUBSTITUTE(G579,",","")</f>
        <v>253793.81</v>
      </c>
      <c r="I579" s="1">
        <v>45716</v>
      </c>
      <c r="J579" s="2">
        <f t="shared" ref="J579:J642" si="58">(H579-N579)/N579</f>
        <v>1.0240940379722093E-2</v>
      </c>
      <c r="K579" s="3" t="str">
        <f t="shared" ref="K579:K642" si="59">IF(ABS(J579)&gt;0.1,"Check!","")</f>
        <v/>
      </c>
      <c r="L579" t="str">
        <f t="shared" ref="L579:L642" si="60">IF(LEFT(O579,10)&lt;&gt;LEFT(D579,10),"Check","")</f>
        <v/>
      </c>
      <c r="M579" t="str">
        <f t="shared" ref="M579:M642" si="61">IF(Q579&lt;&gt;C579,"Check","")</f>
        <v>Check</v>
      </c>
      <c r="N579">
        <v>251221.07</v>
      </c>
      <c r="O579" t="s">
        <v>434</v>
      </c>
      <c r="Q579" t="s">
        <v>16</v>
      </c>
    </row>
    <row r="580" spans="1:17" x14ac:dyDescent="0.3">
      <c r="A580">
        <v>100492707</v>
      </c>
      <c r="B580" t="s">
        <v>232</v>
      </c>
      <c r="C580" t="s">
        <v>19</v>
      </c>
      <c r="D580" t="s">
        <v>233</v>
      </c>
      <c r="E580" s="6">
        <v>60286.92</v>
      </c>
      <c r="F580" t="s">
        <v>492</v>
      </c>
      <c r="G580" s="4" t="str">
        <f t="shared" si="56"/>
        <v>60286.92</v>
      </c>
      <c r="H580" t="str">
        <f t="shared" si="57"/>
        <v>60286.92</v>
      </c>
      <c r="I580" s="1">
        <v>45716</v>
      </c>
      <c r="J580" s="2">
        <f t="shared" si="58"/>
        <v>-9.7074346885851878E-4</v>
      </c>
      <c r="K580" s="3" t="str">
        <f t="shared" si="59"/>
        <v/>
      </c>
      <c r="L580" t="str">
        <f t="shared" si="60"/>
        <v/>
      </c>
      <c r="M580" t="str">
        <f t="shared" si="61"/>
        <v/>
      </c>
      <c r="N580">
        <v>60345.5</v>
      </c>
      <c r="O580" t="s">
        <v>435</v>
      </c>
      <c r="Q580" t="s">
        <v>19</v>
      </c>
    </row>
    <row r="581" spans="1:17" x14ac:dyDescent="0.3">
      <c r="A581">
        <v>100492707</v>
      </c>
      <c r="B581" t="s">
        <v>232</v>
      </c>
      <c r="C581" t="s">
        <v>19</v>
      </c>
      <c r="D581" t="s">
        <v>624</v>
      </c>
      <c r="E581" s="6">
        <v>493034.53</v>
      </c>
      <c r="F581" t="s">
        <v>492</v>
      </c>
      <c r="G581" s="4" t="str">
        <f t="shared" si="56"/>
        <v>493034.53</v>
      </c>
      <c r="H581" t="str">
        <f t="shared" si="57"/>
        <v>493034.53</v>
      </c>
      <c r="I581" s="1">
        <v>45716</v>
      </c>
      <c r="J581" s="2">
        <f t="shared" si="58"/>
        <v>-1.3399135224984814E-3</v>
      </c>
      <c r="K581" s="3" t="str">
        <f t="shared" si="59"/>
        <v/>
      </c>
      <c r="L581" t="str">
        <f t="shared" si="60"/>
        <v/>
      </c>
      <c r="M581" t="str">
        <f t="shared" si="61"/>
        <v/>
      </c>
      <c r="N581">
        <v>493696.04</v>
      </c>
      <c r="O581" t="s">
        <v>682</v>
      </c>
      <c r="Q581" t="s">
        <v>19</v>
      </c>
    </row>
    <row r="582" spans="1:17" x14ac:dyDescent="0.3">
      <c r="A582">
        <v>100497270</v>
      </c>
      <c r="B582" t="s">
        <v>235</v>
      </c>
      <c r="C582" t="s">
        <v>606</v>
      </c>
      <c r="D582" t="s">
        <v>625</v>
      </c>
      <c r="E582" s="6">
        <v>937.54</v>
      </c>
      <c r="F582" t="s">
        <v>492</v>
      </c>
      <c r="G582" s="4" t="str">
        <f t="shared" si="56"/>
        <v>937.54</v>
      </c>
      <c r="H582" t="str">
        <f t="shared" si="57"/>
        <v>937.54</v>
      </c>
      <c r="I582" s="1">
        <v>45716</v>
      </c>
      <c r="J582" s="2">
        <f t="shared" si="58"/>
        <v>-1.3208632480453451E-3</v>
      </c>
      <c r="K582" s="3" t="str">
        <f t="shared" si="59"/>
        <v/>
      </c>
      <c r="L582" t="str">
        <f t="shared" si="60"/>
        <v/>
      </c>
      <c r="M582" t="str">
        <f t="shared" si="61"/>
        <v/>
      </c>
      <c r="N582">
        <v>938.78</v>
      </c>
      <c r="O582" t="s">
        <v>661</v>
      </c>
      <c r="Q582" t="s">
        <v>606</v>
      </c>
    </row>
    <row r="583" spans="1:17" x14ac:dyDescent="0.3">
      <c r="A583">
        <v>100497270</v>
      </c>
      <c r="B583" t="s">
        <v>235</v>
      </c>
      <c r="C583" t="s">
        <v>611</v>
      </c>
      <c r="D583" t="s">
        <v>236</v>
      </c>
      <c r="E583" s="6">
        <v>8592.2000000000007</v>
      </c>
      <c r="F583" t="s">
        <v>492</v>
      </c>
      <c r="G583" s="4" t="str">
        <f t="shared" si="56"/>
        <v>8592.2</v>
      </c>
      <c r="H583" t="str">
        <f t="shared" si="57"/>
        <v>8592.2</v>
      </c>
      <c r="I583" s="1">
        <v>45716</v>
      </c>
      <c r="J583" s="2">
        <f t="shared" si="58"/>
        <v>1.3793022075914889E-2</v>
      </c>
      <c r="K583" s="3" t="str">
        <f t="shared" si="59"/>
        <v/>
      </c>
      <c r="L583" t="str">
        <f t="shared" si="60"/>
        <v/>
      </c>
      <c r="M583" t="str">
        <f t="shared" si="61"/>
        <v>Check</v>
      </c>
      <c r="N583">
        <v>8475.2999999999993</v>
      </c>
      <c r="O583" t="s">
        <v>237</v>
      </c>
      <c r="Q583" t="s">
        <v>41</v>
      </c>
    </row>
    <row r="584" spans="1:17" x14ac:dyDescent="0.3">
      <c r="A584">
        <v>100528113</v>
      </c>
      <c r="B584" t="s">
        <v>436</v>
      </c>
      <c r="C584" t="s">
        <v>590</v>
      </c>
      <c r="D584" t="s">
        <v>437</v>
      </c>
      <c r="E584" s="6">
        <v>51273.69</v>
      </c>
      <c r="F584" t="s">
        <v>492</v>
      </c>
      <c r="G584" s="4" t="str">
        <f t="shared" si="56"/>
        <v>51273.69</v>
      </c>
      <c r="H584" t="str">
        <f t="shared" si="57"/>
        <v>51273.69</v>
      </c>
      <c r="I584" s="1">
        <v>45716</v>
      </c>
      <c r="J584" s="2">
        <f t="shared" si="58"/>
        <v>-4.9533032743257128E-4</v>
      </c>
      <c r="K584" s="3" t="str">
        <f t="shared" si="59"/>
        <v/>
      </c>
      <c r="L584" t="str">
        <f t="shared" si="60"/>
        <v/>
      </c>
      <c r="M584" t="str">
        <f t="shared" si="61"/>
        <v>Check</v>
      </c>
      <c r="N584">
        <v>51299.1</v>
      </c>
      <c r="O584" t="s">
        <v>438</v>
      </c>
      <c r="Q584" t="s">
        <v>16</v>
      </c>
    </row>
    <row r="585" spans="1:17" x14ac:dyDescent="0.3">
      <c r="A585">
        <v>100562496</v>
      </c>
      <c r="B585" t="s">
        <v>238</v>
      </c>
      <c r="C585" t="s">
        <v>611</v>
      </c>
      <c r="D585" t="s">
        <v>239</v>
      </c>
      <c r="E585" s="6">
        <v>10265.77</v>
      </c>
      <c r="F585" t="s">
        <v>492</v>
      </c>
      <c r="G585" s="4" t="str">
        <f t="shared" si="56"/>
        <v>10265.77</v>
      </c>
      <c r="H585" t="str">
        <f t="shared" si="57"/>
        <v>10265.77</v>
      </c>
      <c r="I585" s="1">
        <v>45716</v>
      </c>
      <c r="J585" s="2">
        <f t="shared" si="58"/>
        <v>1.4572577265791231E-2</v>
      </c>
      <c r="K585" s="3" t="str">
        <f t="shared" si="59"/>
        <v/>
      </c>
      <c r="L585" t="str">
        <f t="shared" si="60"/>
        <v/>
      </c>
      <c r="M585" t="str">
        <f t="shared" si="61"/>
        <v>Check</v>
      </c>
      <c r="N585">
        <v>10118.32</v>
      </c>
      <c r="O585" t="s">
        <v>240</v>
      </c>
      <c r="Q585" t="s">
        <v>41</v>
      </c>
    </row>
    <row r="586" spans="1:17" x14ac:dyDescent="0.3">
      <c r="A586">
        <v>100562496</v>
      </c>
      <c r="B586" t="s">
        <v>238</v>
      </c>
      <c r="C586" t="s">
        <v>606</v>
      </c>
      <c r="D586" t="s">
        <v>626</v>
      </c>
      <c r="E586" s="6">
        <v>1241.17</v>
      </c>
      <c r="F586" t="s">
        <v>492</v>
      </c>
      <c r="G586" s="4" t="str">
        <f t="shared" si="56"/>
        <v>1241.17</v>
      </c>
      <c r="H586" t="str">
        <f t="shared" si="57"/>
        <v>1241.17</v>
      </c>
      <c r="I586" s="1">
        <v>45716</v>
      </c>
      <c r="J586" s="2">
        <f t="shared" si="58"/>
        <v>1.3903524894824965E-2</v>
      </c>
      <c r="K586" s="3" t="str">
        <f t="shared" si="59"/>
        <v/>
      </c>
      <c r="L586" t="str">
        <f t="shared" si="60"/>
        <v/>
      </c>
      <c r="M586" t="str">
        <f t="shared" si="61"/>
        <v/>
      </c>
      <c r="N586">
        <v>1224.1500000000001</v>
      </c>
      <c r="O586" t="s">
        <v>663</v>
      </c>
      <c r="Q586" t="s">
        <v>606</v>
      </c>
    </row>
    <row r="587" spans="1:17" x14ac:dyDescent="0.3">
      <c r="A587">
        <v>100562496</v>
      </c>
      <c r="B587" t="s">
        <v>238</v>
      </c>
      <c r="C587" t="s">
        <v>609</v>
      </c>
      <c r="D587" t="s">
        <v>627</v>
      </c>
      <c r="E587" s="6">
        <v>245.4</v>
      </c>
      <c r="F587" t="s">
        <v>492</v>
      </c>
      <c r="G587" s="4" t="str">
        <f t="shared" si="56"/>
        <v>245.4</v>
      </c>
      <c r="H587" t="str">
        <f t="shared" si="57"/>
        <v>245.4</v>
      </c>
      <c r="I587" s="1">
        <v>45716</v>
      </c>
      <c r="J587" s="2">
        <f t="shared" si="58"/>
        <v>0.18236569501324978</v>
      </c>
      <c r="K587" s="3" t="str">
        <f t="shared" si="59"/>
        <v>Check!</v>
      </c>
      <c r="L587" t="str">
        <f t="shared" si="60"/>
        <v/>
      </c>
      <c r="M587" t="str">
        <f t="shared" si="61"/>
        <v/>
      </c>
      <c r="N587">
        <v>207.55</v>
      </c>
      <c r="O587" t="s">
        <v>662</v>
      </c>
      <c r="Q587" t="s">
        <v>609</v>
      </c>
    </row>
    <row r="588" spans="1:17" x14ac:dyDescent="0.3">
      <c r="A588">
        <v>100564770</v>
      </c>
      <c r="B588" t="s">
        <v>241</v>
      </c>
      <c r="C588" t="s">
        <v>19</v>
      </c>
      <c r="D588" t="s">
        <v>242</v>
      </c>
      <c r="E588" s="6">
        <v>35754.410000000003</v>
      </c>
      <c r="F588" t="s">
        <v>492</v>
      </c>
      <c r="G588" s="4" t="str">
        <f t="shared" si="56"/>
        <v>35754.41</v>
      </c>
      <c r="H588" t="str">
        <f t="shared" si="57"/>
        <v>35754.41</v>
      </c>
      <c r="I588" s="1">
        <v>45716</v>
      </c>
      <c r="J588" s="2">
        <f t="shared" si="58"/>
        <v>1.1167855219754304E-2</v>
      </c>
      <c r="K588" s="3" t="str">
        <f t="shared" si="59"/>
        <v/>
      </c>
      <c r="L588" t="str">
        <f t="shared" si="60"/>
        <v/>
      </c>
      <c r="M588" t="str">
        <f t="shared" si="61"/>
        <v/>
      </c>
      <c r="N588">
        <v>35359.519999999997</v>
      </c>
      <c r="O588" t="s">
        <v>439</v>
      </c>
      <c r="Q588" t="s">
        <v>19</v>
      </c>
    </row>
    <row r="589" spans="1:17" x14ac:dyDescent="0.3">
      <c r="A589">
        <v>100596689</v>
      </c>
      <c r="B589" t="s">
        <v>250</v>
      </c>
      <c r="C589" t="s">
        <v>590</v>
      </c>
      <c r="D589" t="s">
        <v>440</v>
      </c>
      <c r="E589" s="6">
        <v>29621.34</v>
      </c>
      <c r="F589" t="s">
        <v>492</v>
      </c>
      <c r="G589" s="4" t="str">
        <f t="shared" si="56"/>
        <v>29621.34</v>
      </c>
      <c r="H589" t="str">
        <f t="shared" si="57"/>
        <v>29621.34</v>
      </c>
      <c r="I589" s="1">
        <v>45716</v>
      </c>
      <c r="J589" s="2">
        <f t="shared" si="58"/>
        <v>1.3400176460446633E-3</v>
      </c>
      <c r="K589" s="3" t="str">
        <f t="shared" si="59"/>
        <v/>
      </c>
      <c r="L589" t="str">
        <f t="shared" si="60"/>
        <v/>
      </c>
      <c r="M589" t="str">
        <f t="shared" si="61"/>
        <v>Check</v>
      </c>
      <c r="N589">
        <v>29581.7</v>
      </c>
      <c r="O589" t="s">
        <v>441</v>
      </c>
      <c r="Q589" t="s">
        <v>16</v>
      </c>
    </row>
    <row r="590" spans="1:17" x14ac:dyDescent="0.3">
      <c r="A590">
        <v>100596689</v>
      </c>
      <c r="B590" t="s">
        <v>250</v>
      </c>
      <c r="C590" t="s">
        <v>590</v>
      </c>
      <c r="D590" t="s">
        <v>251</v>
      </c>
      <c r="E590" s="6">
        <v>10661.49</v>
      </c>
      <c r="F590" t="s">
        <v>492</v>
      </c>
      <c r="G590" s="4" t="str">
        <f t="shared" si="56"/>
        <v>10661.49</v>
      </c>
      <c r="H590" t="str">
        <f t="shared" si="57"/>
        <v>10661.49</v>
      </c>
      <c r="I590" s="1">
        <v>45716</v>
      </c>
      <c r="J590" s="2">
        <f t="shared" si="58"/>
        <v>3.7026367518470751E-3</v>
      </c>
      <c r="K590" s="3" t="str">
        <f t="shared" si="59"/>
        <v/>
      </c>
      <c r="L590" t="str">
        <f t="shared" si="60"/>
        <v/>
      </c>
      <c r="M590" t="str">
        <f t="shared" si="61"/>
        <v>Check</v>
      </c>
      <c r="N590">
        <v>10622.16</v>
      </c>
      <c r="O590" t="s">
        <v>442</v>
      </c>
      <c r="Q590" t="s">
        <v>16</v>
      </c>
    </row>
    <row r="591" spans="1:17" x14ac:dyDescent="0.3">
      <c r="A591">
        <v>100614771</v>
      </c>
      <c r="B591" t="s">
        <v>443</v>
      </c>
      <c r="C591" t="s">
        <v>590</v>
      </c>
      <c r="D591" t="s">
        <v>444</v>
      </c>
      <c r="E591" s="6">
        <v>3179.72</v>
      </c>
      <c r="F591" t="s">
        <v>492</v>
      </c>
      <c r="G591" s="4" t="str">
        <f t="shared" si="56"/>
        <v>3179.72</v>
      </c>
      <c r="H591" t="str">
        <f t="shared" si="57"/>
        <v>3179.72</v>
      </c>
      <c r="I591" s="1">
        <v>45716</v>
      </c>
      <c r="J591" s="2">
        <f t="shared" si="58"/>
        <v>-0.79472765126450517</v>
      </c>
      <c r="K591" s="3" t="str">
        <f t="shared" si="59"/>
        <v>Check!</v>
      </c>
      <c r="L591" t="str">
        <f t="shared" si="60"/>
        <v/>
      </c>
      <c r="M591" t="str">
        <f t="shared" si="61"/>
        <v>Check</v>
      </c>
      <c r="N591">
        <v>15490.25</v>
      </c>
      <c r="O591" t="s">
        <v>445</v>
      </c>
      <c r="Q591" t="s">
        <v>16</v>
      </c>
    </row>
    <row r="592" spans="1:17" x14ac:dyDescent="0.3">
      <c r="A592">
        <v>100620477</v>
      </c>
      <c r="B592" t="s">
        <v>446</v>
      </c>
      <c r="C592" t="s">
        <v>590</v>
      </c>
      <c r="D592" t="s">
        <v>447</v>
      </c>
      <c r="E592" s="6">
        <v>18559.400000000001</v>
      </c>
      <c r="F592" t="s">
        <v>492</v>
      </c>
      <c r="G592" s="4" t="str">
        <f t="shared" si="56"/>
        <v>18559.4</v>
      </c>
      <c r="H592" t="str">
        <f t="shared" si="57"/>
        <v>18559.4</v>
      </c>
      <c r="I592" s="1">
        <v>45716</v>
      </c>
      <c r="J592" s="2">
        <f t="shared" si="58"/>
        <v>1.5066254826922563E-3</v>
      </c>
      <c r="K592" s="3" t="str">
        <f t="shared" si="59"/>
        <v/>
      </c>
      <c r="L592" t="str">
        <f t="shared" si="60"/>
        <v/>
      </c>
      <c r="M592" t="str">
        <f t="shared" si="61"/>
        <v>Check</v>
      </c>
      <c r="N592">
        <v>18531.48</v>
      </c>
      <c r="O592" t="s">
        <v>448</v>
      </c>
      <c r="Q592" t="s">
        <v>16</v>
      </c>
    </row>
    <row r="593" spans="1:17" x14ac:dyDescent="0.3">
      <c r="A593">
        <v>100623191</v>
      </c>
      <c r="B593" t="s">
        <v>449</v>
      </c>
      <c r="C593" t="s">
        <v>590</v>
      </c>
      <c r="D593" t="s">
        <v>450</v>
      </c>
      <c r="E593" s="6">
        <v>3953.79</v>
      </c>
      <c r="F593" t="s">
        <v>492</v>
      </c>
      <c r="G593" s="4" t="str">
        <f t="shared" si="56"/>
        <v>3953.79</v>
      </c>
      <c r="H593" t="str">
        <f t="shared" si="57"/>
        <v>3953.79</v>
      </c>
      <c r="I593" s="1">
        <v>45716</v>
      </c>
      <c r="J593" s="2">
        <f t="shared" si="58"/>
        <v>1.1996662332476706E-2</v>
      </c>
      <c r="K593" s="3" t="str">
        <f t="shared" si="59"/>
        <v/>
      </c>
      <c r="L593" t="str">
        <f t="shared" si="60"/>
        <v/>
      </c>
      <c r="M593" t="str">
        <f t="shared" si="61"/>
        <v>Check</v>
      </c>
      <c r="N593">
        <v>3906.92</v>
      </c>
      <c r="O593" t="s">
        <v>451</v>
      </c>
      <c r="Q593" t="s">
        <v>16</v>
      </c>
    </row>
    <row r="594" spans="1:17" x14ac:dyDescent="0.3">
      <c r="A594">
        <v>100625039</v>
      </c>
      <c r="B594" t="s">
        <v>452</v>
      </c>
      <c r="C594" t="s">
        <v>590</v>
      </c>
      <c r="D594" t="s">
        <v>453</v>
      </c>
      <c r="E594" s="6">
        <v>23393.29</v>
      </c>
      <c r="F594" t="s">
        <v>492</v>
      </c>
      <c r="G594" s="4" t="str">
        <f t="shared" si="56"/>
        <v>23393.29</v>
      </c>
      <c r="H594" t="str">
        <f t="shared" si="57"/>
        <v>23393.29</v>
      </c>
      <c r="I594" s="1">
        <v>45716</v>
      </c>
      <c r="J594" s="2">
        <f t="shared" si="58"/>
        <v>1.4102231751544838E-2</v>
      </c>
      <c r="K594" s="3" t="str">
        <f t="shared" si="59"/>
        <v/>
      </c>
      <c r="L594" t="str">
        <f t="shared" si="60"/>
        <v/>
      </c>
      <c r="M594" t="str">
        <f t="shared" si="61"/>
        <v>Check</v>
      </c>
      <c r="N594">
        <v>23067.98</v>
      </c>
      <c r="O594" t="s">
        <v>454</v>
      </c>
      <c r="Q594" t="s">
        <v>16</v>
      </c>
    </row>
    <row r="595" spans="1:17" x14ac:dyDescent="0.3">
      <c r="A595">
        <v>100625041</v>
      </c>
      <c r="B595" t="s">
        <v>69</v>
      </c>
      <c r="C595" t="s">
        <v>590</v>
      </c>
      <c r="D595" t="s">
        <v>455</v>
      </c>
      <c r="E595" s="6">
        <v>18368.91</v>
      </c>
      <c r="F595" t="s">
        <v>492</v>
      </c>
      <c r="G595" s="4" t="str">
        <f t="shared" si="56"/>
        <v>18368.91</v>
      </c>
      <c r="H595" t="str">
        <f t="shared" si="57"/>
        <v>18368.91</v>
      </c>
      <c r="I595" s="1">
        <v>45716</v>
      </c>
      <c r="J595" s="2">
        <f t="shared" si="58"/>
        <v>1.5550378154445155E-3</v>
      </c>
      <c r="K595" s="3" t="str">
        <f t="shared" si="59"/>
        <v/>
      </c>
      <c r="L595" t="str">
        <f t="shared" si="60"/>
        <v/>
      </c>
      <c r="M595" t="str">
        <f t="shared" si="61"/>
        <v>Check</v>
      </c>
      <c r="N595">
        <v>18340.39</v>
      </c>
      <c r="O595" t="s">
        <v>456</v>
      </c>
      <c r="Q595" t="s">
        <v>16</v>
      </c>
    </row>
    <row r="596" spans="1:17" x14ac:dyDescent="0.3">
      <c r="A596">
        <v>100628018</v>
      </c>
      <c r="B596" t="s">
        <v>253</v>
      </c>
      <c r="C596" t="s">
        <v>590</v>
      </c>
      <c r="D596" t="s">
        <v>254</v>
      </c>
      <c r="E596" s="6">
        <v>90519.29</v>
      </c>
      <c r="F596" t="s">
        <v>492</v>
      </c>
      <c r="G596" s="4" t="str">
        <f t="shared" si="56"/>
        <v>90519.29</v>
      </c>
      <c r="H596" t="str">
        <f t="shared" si="57"/>
        <v>90519.29</v>
      </c>
      <c r="I596" s="1">
        <v>45716</v>
      </c>
      <c r="J596" s="2">
        <f t="shared" si="58"/>
        <v>-0.39987870188475499</v>
      </c>
      <c r="K596" s="3" t="str">
        <f t="shared" si="59"/>
        <v>Check!</v>
      </c>
      <c r="L596" t="str">
        <f t="shared" si="60"/>
        <v/>
      </c>
      <c r="M596" t="str">
        <f t="shared" si="61"/>
        <v>Check</v>
      </c>
      <c r="N596">
        <v>150834.99</v>
      </c>
      <c r="O596" t="s">
        <v>584</v>
      </c>
      <c r="Q596" t="s">
        <v>16</v>
      </c>
    </row>
    <row r="597" spans="1:17" x14ac:dyDescent="0.3">
      <c r="A597">
        <v>100628990</v>
      </c>
      <c r="B597" t="s">
        <v>256</v>
      </c>
      <c r="C597" t="s">
        <v>19</v>
      </c>
      <c r="D597" t="s">
        <v>257</v>
      </c>
      <c r="E597" s="6">
        <v>26986.75</v>
      </c>
      <c r="F597" t="s">
        <v>492</v>
      </c>
      <c r="G597" s="4" t="str">
        <f t="shared" si="56"/>
        <v>26986.75</v>
      </c>
      <c r="H597" t="str">
        <f t="shared" si="57"/>
        <v>26986.75</v>
      </c>
      <c r="I597" s="1">
        <v>45716</v>
      </c>
      <c r="J597" s="2">
        <f t="shared" si="58"/>
        <v>-1.0238979862969375E-3</v>
      </c>
      <c r="K597" s="3" t="str">
        <f t="shared" si="59"/>
        <v/>
      </c>
      <c r="L597" t="str">
        <f t="shared" si="60"/>
        <v/>
      </c>
      <c r="M597" t="str">
        <f t="shared" si="61"/>
        <v/>
      </c>
      <c r="N597">
        <v>27014.41</v>
      </c>
      <c r="O597" t="s">
        <v>457</v>
      </c>
      <c r="Q597" t="s">
        <v>19</v>
      </c>
    </row>
    <row r="598" spans="1:17" x14ac:dyDescent="0.3">
      <c r="A598">
        <v>100630706</v>
      </c>
      <c r="B598" t="s">
        <v>262</v>
      </c>
      <c r="C598" t="s">
        <v>590</v>
      </c>
      <c r="D598" t="s">
        <v>263</v>
      </c>
      <c r="E598" s="6">
        <v>9072.2800000000007</v>
      </c>
      <c r="F598" t="s">
        <v>492</v>
      </c>
      <c r="G598" s="4" t="str">
        <f t="shared" si="56"/>
        <v>9072.28</v>
      </c>
      <c r="H598" t="str">
        <f t="shared" si="57"/>
        <v>9072.28</v>
      </c>
      <c r="I598" s="1">
        <v>45716</v>
      </c>
      <c r="J598" s="2">
        <f t="shared" si="58"/>
        <v>4.7044231322954421E-3</v>
      </c>
      <c r="K598" s="3" t="str">
        <f t="shared" si="59"/>
        <v/>
      </c>
      <c r="L598" t="str">
        <f t="shared" si="60"/>
        <v/>
      </c>
      <c r="M598" t="str">
        <f t="shared" si="61"/>
        <v>Check</v>
      </c>
      <c r="N598">
        <v>9029.7999999999993</v>
      </c>
      <c r="O598" t="s">
        <v>458</v>
      </c>
      <c r="Q598" t="s">
        <v>16</v>
      </c>
    </row>
    <row r="599" spans="1:17" x14ac:dyDescent="0.3">
      <c r="A599">
        <v>100631121</v>
      </c>
      <c r="B599" t="s">
        <v>459</v>
      </c>
      <c r="C599" t="s">
        <v>590</v>
      </c>
      <c r="D599" t="s">
        <v>460</v>
      </c>
      <c r="E599" s="6">
        <v>4755.8900000000003</v>
      </c>
      <c r="F599" t="s">
        <v>492</v>
      </c>
      <c r="G599" s="4" t="str">
        <f t="shared" si="56"/>
        <v>4755.89</v>
      </c>
      <c r="H599" t="str">
        <f t="shared" si="57"/>
        <v>4755.89</v>
      </c>
      <c r="I599" s="1">
        <v>45716</v>
      </c>
      <c r="J599" s="2">
        <f t="shared" si="58"/>
        <v>1.5068437599380266E-2</v>
      </c>
      <c r="K599" s="3" t="str">
        <f t="shared" si="59"/>
        <v/>
      </c>
      <c r="L599" t="str">
        <f t="shared" si="60"/>
        <v/>
      </c>
      <c r="M599" t="str">
        <f t="shared" si="61"/>
        <v>Check</v>
      </c>
      <c r="N599">
        <v>4685.29</v>
      </c>
      <c r="O599" t="s">
        <v>461</v>
      </c>
      <c r="Q599" t="s">
        <v>16</v>
      </c>
    </row>
    <row r="600" spans="1:17" x14ac:dyDescent="0.3">
      <c r="A600">
        <v>100633203</v>
      </c>
      <c r="B600" t="s">
        <v>265</v>
      </c>
      <c r="C600" t="s">
        <v>590</v>
      </c>
      <c r="D600" t="s">
        <v>266</v>
      </c>
      <c r="E600" s="6">
        <v>158958.67000000001</v>
      </c>
      <c r="F600" t="s">
        <v>492</v>
      </c>
      <c r="G600" s="4" t="str">
        <f t="shared" si="56"/>
        <v>158958.67</v>
      </c>
      <c r="H600" t="str">
        <f t="shared" si="57"/>
        <v>158958.67</v>
      </c>
      <c r="I600" s="1">
        <v>45716</v>
      </c>
      <c r="J600" s="2">
        <f t="shared" si="58"/>
        <v>-0.19765761104794732</v>
      </c>
      <c r="K600" s="3" t="str">
        <f t="shared" si="59"/>
        <v>Check!</v>
      </c>
      <c r="L600" t="str">
        <f t="shared" si="60"/>
        <v/>
      </c>
      <c r="M600" t="str">
        <f t="shared" si="61"/>
        <v>Check</v>
      </c>
      <c r="N600">
        <v>198118.25</v>
      </c>
      <c r="O600" t="s">
        <v>585</v>
      </c>
      <c r="Q600" t="s">
        <v>16</v>
      </c>
    </row>
    <row r="601" spans="1:17" x14ac:dyDescent="0.3">
      <c r="A601">
        <v>100637079</v>
      </c>
      <c r="B601" t="s">
        <v>268</v>
      </c>
      <c r="C601" t="s">
        <v>611</v>
      </c>
      <c r="D601" t="s">
        <v>269</v>
      </c>
      <c r="E601" s="6">
        <v>11635.59</v>
      </c>
      <c r="F601" t="s">
        <v>492</v>
      </c>
      <c r="G601" s="4" t="str">
        <f t="shared" si="56"/>
        <v>11635.59</v>
      </c>
      <c r="H601" t="str">
        <f t="shared" si="57"/>
        <v>11635.59</v>
      </c>
      <c r="I601" s="1">
        <v>45716</v>
      </c>
      <c r="J601" s="2">
        <f t="shared" si="58"/>
        <v>1.4315639718708344E-2</v>
      </c>
      <c r="K601" s="3" t="str">
        <f t="shared" si="59"/>
        <v/>
      </c>
      <c r="L601" t="str">
        <f t="shared" si="60"/>
        <v/>
      </c>
      <c r="M601" t="str">
        <f t="shared" si="61"/>
        <v>Check</v>
      </c>
      <c r="N601">
        <v>11471.37</v>
      </c>
      <c r="O601" t="s">
        <v>270</v>
      </c>
      <c r="Q601" t="s">
        <v>41</v>
      </c>
    </row>
    <row r="602" spans="1:17" x14ac:dyDescent="0.3">
      <c r="A602">
        <v>100637079</v>
      </c>
      <c r="B602" t="s">
        <v>268</v>
      </c>
      <c r="C602" t="s">
        <v>611</v>
      </c>
      <c r="D602" t="s">
        <v>271</v>
      </c>
      <c r="E602" s="6">
        <v>16675.830000000002</v>
      </c>
      <c r="F602" t="s">
        <v>492</v>
      </c>
      <c r="G602" s="4" t="str">
        <f t="shared" si="56"/>
        <v>16675.83</v>
      </c>
      <c r="H602" t="str">
        <f t="shared" si="57"/>
        <v>16675.83</v>
      </c>
      <c r="I602" s="1">
        <v>45716</v>
      </c>
      <c r="J602" s="2">
        <f t="shared" si="58"/>
        <v>1.3677121458309396E-2</v>
      </c>
      <c r="K602" s="3" t="str">
        <f t="shared" si="59"/>
        <v/>
      </c>
      <c r="L602" t="str">
        <f t="shared" si="60"/>
        <v/>
      </c>
      <c r="M602" t="str">
        <f t="shared" si="61"/>
        <v>Check</v>
      </c>
      <c r="N602">
        <v>16450.830000000002</v>
      </c>
      <c r="O602" t="s">
        <v>272</v>
      </c>
      <c r="Q602" t="s">
        <v>41</v>
      </c>
    </row>
    <row r="603" spans="1:17" x14ac:dyDescent="0.3">
      <c r="A603">
        <v>100637079</v>
      </c>
      <c r="B603" t="s">
        <v>268</v>
      </c>
      <c r="C603" t="s">
        <v>606</v>
      </c>
      <c r="D603" t="s">
        <v>628</v>
      </c>
      <c r="E603" s="6">
        <v>1268.5999999999999</v>
      </c>
      <c r="F603" t="s">
        <v>492</v>
      </c>
      <c r="G603" s="4" t="str">
        <f t="shared" si="56"/>
        <v>1268.6</v>
      </c>
      <c r="H603" t="str">
        <f t="shared" si="57"/>
        <v>1268.6</v>
      </c>
      <c r="I603" s="1">
        <v>45716</v>
      </c>
      <c r="J603" s="2">
        <f t="shared" si="58"/>
        <v>-1.2832321705518758E-3</v>
      </c>
      <c r="K603" s="3" t="str">
        <f t="shared" si="59"/>
        <v/>
      </c>
      <c r="L603" t="str">
        <f t="shared" si="60"/>
        <v/>
      </c>
      <c r="M603" t="str">
        <f t="shared" si="61"/>
        <v/>
      </c>
      <c r="N603">
        <v>1270.23</v>
      </c>
      <c r="O603" t="s">
        <v>664</v>
      </c>
      <c r="Q603" t="s">
        <v>606</v>
      </c>
    </row>
    <row r="604" spans="1:17" x14ac:dyDescent="0.3">
      <c r="A604">
        <v>100637079</v>
      </c>
      <c r="B604" t="s">
        <v>268</v>
      </c>
      <c r="C604" t="s">
        <v>606</v>
      </c>
      <c r="D604" t="s">
        <v>629</v>
      </c>
      <c r="E604" s="6">
        <v>1847.21</v>
      </c>
      <c r="F604" t="s">
        <v>492</v>
      </c>
      <c r="G604" s="4" t="str">
        <f t="shared" si="56"/>
        <v>1847.21</v>
      </c>
      <c r="H604" t="str">
        <f t="shared" si="57"/>
        <v>1847.21</v>
      </c>
      <c r="I604" s="1">
        <v>45716</v>
      </c>
      <c r="J604" s="2">
        <f t="shared" si="58"/>
        <v>1.3892090674570473E-2</v>
      </c>
      <c r="K604" s="3" t="str">
        <f t="shared" si="59"/>
        <v/>
      </c>
      <c r="L604" t="str">
        <f t="shared" si="60"/>
        <v/>
      </c>
      <c r="M604" t="str">
        <f t="shared" si="61"/>
        <v/>
      </c>
      <c r="N604">
        <v>1821.9</v>
      </c>
      <c r="O604" t="s">
        <v>665</v>
      </c>
      <c r="Q604" t="s">
        <v>606</v>
      </c>
    </row>
    <row r="605" spans="1:17" x14ac:dyDescent="0.3">
      <c r="A605">
        <v>100637079</v>
      </c>
      <c r="B605" t="s">
        <v>268</v>
      </c>
      <c r="C605" t="s">
        <v>590</v>
      </c>
      <c r="D605" t="s">
        <v>635</v>
      </c>
      <c r="E605" s="6">
        <v>2151.8200000000002</v>
      </c>
      <c r="F605" t="s">
        <v>492</v>
      </c>
      <c r="G605" s="4" t="str">
        <f t="shared" si="56"/>
        <v>2151.82</v>
      </c>
      <c r="H605" t="str">
        <f t="shared" si="57"/>
        <v>2151.82</v>
      </c>
      <c r="I605" s="1">
        <v>45716</v>
      </c>
      <c r="J605" s="2">
        <f t="shared" si="58"/>
        <v>0.25650054013021528</v>
      </c>
      <c r="K605" s="3" t="str">
        <f t="shared" si="59"/>
        <v>Check!</v>
      </c>
      <c r="L605" t="str">
        <f t="shared" si="60"/>
        <v/>
      </c>
      <c r="M605" t="str">
        <f t="shared" si="61"/>
        <v/>
      </c>
      <c r="N605">
        <v>1712.55</v>
      </c>
      <c r="O605" t="s">
        <v>683</v>
      </c>
      <c r="Q605" t="s">
        <v>590</v>
      </c>
    </row>
    <row r="606" spans="1:17" x14ac:dyDescent="0.3">
      <c r="A606">
        <v>100641153</v>
      </c>
      <c r="B606" t="s">
        <v>273</v>
      </c>
      <c r="C606" t="s">
        <v>19</v>
      </c>
      <c r="D606" t="s">
        <v>274</v>
      </c>
      <c r="E606" s="6">
        <v>336794.56</v>
      </c>
      <c r="F606" t="s">
        <v>492</v>
      </c>
      <c r="G606" s="4" t="str">
        <f t="shared" si="56"/>
        <v>336794.56</v>
      </c>
      <c r="H606" t="str">
        <f t="shared" si="57"/>
        <v>336794.56</v>
      </c>
      <c r="I606" s="1">
        <v>45716</v>
      </c>
      <c r="J606" s="2">
        <f t="shared" si="58"/>
        <v>-1.4622232796773743E-3</v>
      </c>
      <c r="K606" s="3" t="str">
        <f t="shared" si="59"/>
        <v/>
      </c>
      <c r="L606" t="str">
        <f t="shared" si="60"/>
        <v/>
      </c>
      <c r="M606" t="str">
        <f t="shared" si="61"/>
        <v/>
      </c>
      <c r="N606">
        <v>337287.75</v>
      </c>
      <c r="O606" t="s">
        <v>462</v>
      </c>
      <c r="Q606" t="s">
        <v>19</v>
      </c>
    </row>
    <row r="607" spans="1:17" x14ac:dyDescent="0.3">
      <c r="A607">
        <v>100651921</v>
      </c>
      <c r="B607" t="s">
        <v>279</v>
      </c>
      <c r="C607" t="s">
        <v>590</v>
      </c>
      <c r="D607" t="s">
        <v>280</v>
      </c>
      <c r="E607" s="6">
        <v>54240.87</v>
      </c>
      <c r="F607" t="s">
        <v>492</v>
      </c>
      <c r="G607" s="4" t="str">
        <f t="shared" si="56"/>
        <v>54240.87</v>
      </c>
      <c r="H607" t="str">
        <f t="shared" si="57"/>
        <v>54240.87</v>
      </c>
      <c r="I607" s="1">
        <v>45716</v>
      </c>
      <c r="J607" s="2">
        <f t="shared" si="58"/>
        <v>3.9756724900270549E-3</v>
      </c>
      <c r="K607" s="3" t="str">
        <f t="shared" si="59"/>
        <v/>
      </c>
      <c r="L607" t="str">
        <f t="shared" si="60"/>
        <v/>
      </c>
      <c r="M607" t="str">
        <f t="shared" si="61"/>
        <v>Check</v>
      </c>
      <c r="N607">
        <v>54026.080000000002</v>
      </c>
      <c r="O607" t="s">
        <v>463</v>
      </c>
      <c r="Q607" t="s">
        <v>16</v>
      </c>
    </row>
    <row r="608" spans="1:17" x14ac:dyDescent="0.3">
      <c r="A608">
        <v>100651921</v>
      </c>
      <c r="B608" t="s">
        <v>279</v>
      </c>
      <c r="C608" t="s">
        <v>590</v>
      </c>
      <c r="D608" t="s">
        <v>282</v>
      </c>
      <c r="E608" s="6">
        <v>55084.7</v>
      </c>
      <c r="F608" t="s">
        <v>492</v>
      </c>
      <c r="G608" s="4" t="str">
        <f t="shared" si="56"/>
        <v>55084.7</v>
      </c>
      <c r="H608" t="str">
        <f t="shared" si="57"/>
        <v>55084.7</v>
      </c>
      <c r="I608" s="1">
        <v>45716</v>
      </c>
      <c r="J608" s="2">
        <f t="shared" si="58"/>
        <v>4.6427019883589146E-3</v>
      </c>
      <c r="K608" s="3" t="str">
        <f t="shared" si="59"/>
        <v/>
      </c>
      <c r="L608" t="str">
        <f t="shared" si="60"/>
        <v/>
      </c>
      <c r="M608" t="str">
        <f t="shared" si="61"/>
        <v>Check</v>
      </c>
      <c r="N608">
        <v>54830.14</v>
      </c>
      <c r="O608" t="s">
        <v>464</v>
      </c>
      <c r="Q608" t="s">
        <v>16</v>
      </c>
    </row>
    <row r="609" spans="1:17" x14ac:dyDescent="0.3">
      <c r="A609">
        <v>100655835</v>
      </c>
      <c r="B609" t="s">
        <v>284</v>
      </c>
      <c r="C609" t="s">
        <v>19</v>
      </c>
      <c r="D609" t="s">
        <v>285</v>
      </c>
      <c r="E609" s="6">
        <v>906493.24</v>
      </c>
      <c r="F609" t="s">
        <v>492</v>
      </c>
      <c r="G609" s="4" t="str">
        <f t="shared" si="56"/>
        <v>906493.24</v>
      </c>
      <c r="H609" t="str">
        <f t="shared" si="57"/>
        <v>906493.24</v>
      </c>
      <c r="I609" s="1">
        <v>45716</v>
      </c>
      <c r="J609" s="2">
        <f t="shared" si="58"/>
        <v>-1.2413126076524612E-3</v>
      </c>
      <c r="K609" s="3" t="str">
        <f t="shared" si="59"/>
        <v/>
      </c>
      <c r="L609" t="str">
        <f t="shared" si="60"/>
        <v/>
      </c>
      <c r="M609" t="str">
        <f t="shared" si="61"/>
        <v/>
      </c>
      <c r="N609">
        <v>907619.88</v>
      </c>
      <c r="O609" t="s">
        <v>465</v>
      </c>
      <c r="Q609" t="s">
        <v>19</v>
      </c>
    </row>
    <row r="610" spans="1:17" x14ac:dyDescent="0.3">
      <c r="A610">
        <v>100663638</v>
      </c>
      <c r="B610" t="s">
        <v>287</v>
      </c>
      <c r="C610" t="s">
        <v>19</v>
      </c>
      <c r="D610" t="s">
        <v>288</v>
      </c>
      <c r="E610" s="6">
        <v>279160.64</v>
      </c>
      <c r="F610" t="s">
        <v>492</v>
      </c>
      <c r="G610" s="4" t="str">
        <f t="shared" si="56"/>
        <v>279160.64</v>
      </c>
      <c r="H610" t="str">
        <f t="shared" si="57"/>
        <v>279160.64</v>
      </c>
      <c r="I610" s="1">
        <v>45716</v>
      </c>
      <c r="J610" s="2">
        <f t="shared" si="58"/>
        <v>-1.4927141791606761E-3</v>
      </c>
      <c r="K610" s="3" t="str">
        <f t="shared" si="59"/>
        <v/>
      </c>
      <c r="L610" t="str">
        <f t="shared" si="60"/>
        <v/>
      </c>
      <c r="M610" t="str">
        <f t="shared" si="61"/>
        <v/>
      </c>
      <c r="N610">
        <v>279577.96999999997</v>
      </c>
      <c r="O610" t="s">
        <v>466</v>
      </c>
      <c r="Q610" t="s">
        <v>19</v>
      </c>
    </row>
    <row r="611" spans="1:17" x14ac:dyDescent="0.3">
      <c r="A611">
        <v>100663638</v>
      </c>
      <c r="B611" t="s">
        <v>287</v>
      </c>
      <c r="C611" t="s">
        <v>19</v>
      </c>
      <c r="D611" t="s">
        <v>290</v>
      </c>
      <c r="E611" s="6">
        <v>9661.25</v>
      </c>
      <c r="F611" t="s">
        <v>492</v>
      </c>
      <c r="G611" s="4" t="str">
        <f t="shared" si="56"/>
        <v>9661.25</v>
      </c>
      <c r="H611" t="str">
        <f t="shared" si="57"/>
        <v>9661.25</v>
      </c>
      <c r="I611" s="1">
        <v>45716</v>
      </c>
      <c r="J611" s="2">
        <f t="shared" si="58"/>
        <v>2.3676055125160123E-3</v>
      </c>
      <c r="K611" s="3" t="str">
        <f t="shared" si="59"/>
        <v/>
      </c>
      <c r="L611" t="str">
        <f t="shared" si="60"/>
        <v/>
      </c>
      <c r="M611" t="str">
        <f t="shared" si="61"/>
        <v/>
      </c>
      <c r="N611">
        <v>9638.43</v>
      </c>
      <c r="O611" t="s">
        <v>467</v>
      </c>
      <c r="Q611" t="s">
        <v>19</v>
      </c>
    </row>
    <row r="612" spans="1:17" x14ac:dyDescent="0.3">
      <c r="A612">
        <v>100664029</v>
      </c>
      <c r="B612" t="s">
        <v>292</v>
      </c>
      <c r="C612" t="s">
        <v>19</v>
      </c>
      <c r="D612" t="s">
        <v>293</v>
      </c>
      <c r="E612" s="6">
        <v>25236.58</v>
      </c>
      <c r="F612" t="s">
        <v>492</v>
      </c>
      <c r="G612" s="4" t="str">
        <f t="shared" si="56"/>
        <v>25236.58</v>
      </c>
      <c r="H612" t="str">
        <f t="shared" si="57"/>
        <v>25236.58</v>
      </c>
      <c r="I612" s="1">
        <v>45716</v>
      </c>
      <c r="J612" s="2">
        <f t="shared" si="58"/>
        <v>-5.5206783860287589E-4</v>
      </c>
      <c r="K612" s="3" t="str">
        <f t="shared" si="59"/>
        <v/>
      </c>
      <c r="L612" t="str">
        <f t="shared" si="60"/>
        <v/>
      </c>
      <c r="M612" t="str">
        <f t="shared" si="61"/>
        <v/>
      </c>
      <c r="N612">
        <v>25250.52</v>
      </c>
      <c r="O612" t="s">
        <v>468</v>
      </c>
      <c r="Q612" t="s">
        <v>19</v>
      </c>
    </row>
    <row r="613" spans="1:17" x14ac:dyDescent="0.3">
      <c r="A613">
        <v>100664029</v>
      </c>
      <c r="B613" t="s">
        <v>292</v>
      </c>
      <c r="C613" t="s">
        <v>19</v>
      </c>
      <c r="D613" t="s">
        <v>295</v>
      </c>
      <c r="E613" s="6">
        <v>16190.2</v>
      </c>
      <c r="F613" t="s">
        <v>492</v>
      </c>
      <c r="G613" s="4" t="str">
        <f t="shared" si="56"/>
        <v>16190.2</v>
      </c>
      <c r="H613" t="str">
        <f t="shared" si="57"/>
        <v>16190.2</v>
      </c>
      <c r="I613" s="1">
        <v>45716</v>
      </c>
      <c r="J613" s="2">
        <f t="shared" si="58"/>
        <v>2.2611379578340115E-4</v>
      </c>
      <c r="K613" s="3" t="str">
        <f t="shared" si="59"/>
        <v/>
      </c>
      <c r="L613" t="str">
        <f t="shared" si="60"/>
        <v/>
      </c>
      <c r="M613" t="str">
        <f t="shared" si="61"/>
        <v/>
      </c>
      <c r="N613">
        <v>16186.54</v>
      </c>
      <c r="O613" t="s">
        <v>469</v>
      </c>
      <c r="Q613" t="s">
        <v>19</v>
      </c>
    </row>
    <row r="614" spans="1:17" x14ac:dyDescent="0.3">
      <c r="A614">
        <v>100664292</v>
      </c>
      <c r="B614" t="s">
        <v>297</v>
      </c>
      <c r="C614" t="s">
        <v>590</v>
      </c>
      <c r="D614" t="s">
        <v>298</v>
      </c>
      <c r="E614" s="6">
        <v>1493.68</v>
      </c>
      <c r="F614" t="s">
        <v>492</v>
      </c>
      <c r="G614" s="4" t="str">
        <f t="shared" si="56"/>
        <v>1493.68</v>
      </c>
      <c r="H614" t="str">
        <f t="shared" si="57"/>
        <v>1493.68</v>
      </c>
      <c r="I614" s="1">
        <v>45716</v>
      </c>
      <c r="J614" s="2">
        <f t="shared" si="58"/>
        <v>-1.6175389345630944E-3</v>
      </c>
      <c r="K614" s="3" t="str">
        <f t="shared" si="59"/>
        <v/>
      </c>
      <c r="L614" t="str">
        <f t="shared" si="60"/>
        <v/>
      </c>
      <c r="M614" t="str">
        <f t="shared" si="61"/>
        <v>Check</v>
      </c>
      <c r="N614">
        <v>1496.1</v>
      </c>
      <c r="O614" t="s">
        <v>470</v>
      </c>
      <c r="Q614" t="s">
        <v>16</v>
      </c>
    </row>
    <row r="615" spans="1:17" x14ac:dyDescent="0.3">
      <c r="A615">
        <v>100664292</v>
      </c>
      <c r="B615" t="s">
        <v>297</v>
      </c>
      <c r="C615" t="s">
        <v>19</v>
      </c>
      <c r="D615" t="s">
        <v>300</v>
      </c>
      <c r="E615" s="6">
        <v>128979.37</v>
      </c>
      <c r="F615" t="s">
        <v>492</v>
      </c>
      <c r="G615" s="4" t="str">
        <f t="shared" si="56"/>
        <v>128979.37</v>
      </c>
      <c r="H615" t="str">
        <f t="shared" si="57"/>
        <v>128979.37</v>
      </c>
      <c r="I615" s="1">
        <v>45716</v>
      </c>
      <c r="J615" s="2">
        <f t="shared" si="58"/>
        <v>-1.3053246296205378E-3</v>
      </c>
      <c r="K615" s="3" t="str">
        <f t="shared" si="59"/>
        <v/>
      </c>
      <c r="L615" t="str">
        <f t="shared" si="60"/>
        <v/>
      </c>
      <c r="M615" t="str">
        <f t="shared" si="61"/>
        <v/>
      </c>
      <c r="N615">
        <v>129147.95</v>
      </c>
      <c r="O615" t="s">
        <v>471</v>
      </c>
      <c r="Q615" t="s">
        <v>19</v>
      </c>
    </row>
    <row r="616" spans="1:17" x14ac:dyDescent="0.3">
      <c r="A616">
        <v>100664348</v>
      </c>
      <c r="B616" t="s">
        <v>302</v>
      </c>
      <c r="C616" t="s">
        <v>19</v>
      </c>
      <c r="D616" t="s">
        <v>303</v>
      </c>
      <c r="E616" s="6">
        <v>21258.02</v>
      </c>
      <c r="F616" t="s">
        <v>492</v>
      </c>
      <c r="G616" s="4" t="str">
        <f t="shared" si="56"/>
        <v>21258.02</v>
      </c>
      <c r="H616" t="str">
        <f t="shared" si="57"/>
        <v>21258.02</v>
      </c>
      <c r="I616" s="1">
        <v>45716</v>
      </c>
      <c r="J616" s="2">
        <f t="shared" si="58"/>
        <v>-8.7748611273643859E-4</v>
      </c>
      <c r="K616" s="3" t="str">
        <f t="shared" si="59"/>
        <v/>
      </c>
      <c r="L616" t="str">
        <f t="shared" si="60"/>
        <v/>
      </c>
      <c r="M616" t="str">
        <f t="shared" si="61"/>
        <v/>
      </c>
      <c r="N616">
        <v>21276.69</v>
      </c>
      <c r="O616" t="s">
        <v>472</v>
      </c>
      <c r="Q616" t="s">
        <v>19</v>
      </c>
    </row>
    <row r="617" spans="1:17" x14ac:dyDescent="0.3">
      <c r="A617">
        <v>100664351</v>
      </c>
      <c r="B617" t="s">
        <v>305</v>
      </c>
      <c r="C617" t="s">
        <v>19</v>
      </c>
      <c r="D617" t="s">
        <v>306</v>
      </c>
      <c r="E617" s="6">
        <v>31986.66</v>
      </c>
      <c r="F617" t="s">
        <v>492</v>
      </c>
      <c r="G617" s="4" t="str">
        <f t="shared" si="56"/>
        <v>31986.66</v>
      </c>
      <c r="H617" t="str">
        <f t="shared" si="57"/>
        <v>31986.66</v>
      </c>
      <c r="I617" s="1">
        <v>45716</v>
      </c>
      <c r="J617" s="2">
        <f t="shared" si="58"/>
        <v>-2.8875083718555013E-2</v>
      </c>
      <c r="K617" s="3" t="str">
        <f t="shared" si="59"/>
        <v/>
      </c>
      <c r="L617" t="str">
        <f t="shared" si="60"/>
        <v/>
      </c>
      <c r="M617" t="str">
        <f t="shared" si="61"/>
        <v/>
      </c>
      <c r="N617">
        <v>32937.74</v>
      </c>
      <c r="O617" t="s">
        <v>473</v>
      </c>
      <c r="Q617" t="s">
        <v>19</v>
      </c>
    </row>
    <row r="618" spans="1:17" x14ac:dyDescent="0.3">
      <c r="A618">
        <v>100664601</v>
      </c>
      <c r="B618" t="s">
        <v>308</v>
      </c>
      <c r="C618" t="s">
        <v>623</v>
      </c>
      <c r="D618" t="s">
        <v>309</v>
      </c>
      <c r="E618" s="6">
        <v>176439.71</v>
      </c>
      <c r="F618" t="s">
        <v>492</v>
      </c>
      <c r="G618" s="4" t="str">
        <f t="shared" si="56"/>
        <v>176439.71</v>
      </c>
      <c r="H618" t="str">
        <f t="shared" si="57"/>
        <v>176439.71</v>
      </c>
      <c r="I618" s="1">
        <v>45716</v>
      </c>
      <c r="J618" s="2">
        <f t="shared" si="58"/>
        <v>1.2916253491951883E-2</v>
      </c>
      <c r="K618" s="3" t="str">
        <f t="shared" si="59"/>
        <v/>
      </c>
      <c r="L618" t="str">
        <f t="shared" si="60"/>
        <v/>
      </c>
      <c r="M618" t="str">
        <f t="shared" si="61"/>
        <v>Check</v>
      </c>
      <c r="N618">
        <v>174189.83</v>
      </c>
      <c r="O618" t="s">
        <v>310</v>
      </c>
      <c r="Q618" t="s">
        <v>164</v>
      </c>
    </row>
    <row r="619" spans="1:17" x14ac:dyDescent="0.3">
      <c r="A619">
        <v>100664601</v>
      </c>
      <c r="B619" t="s">
        <v>308</v>
      </c>
      <c r="C619" t="s">
        <v>611</v>
      </c>
      <c r="D619" t="s">
        <v>311</v>
      </c>
      <c r="E619" s="6">
        <v>54569.7</v>
      </c>
      <c r="F619" t="s">
        <v>492</v>
      </c>
      <c r="G619" s="4" t="str">
        <f t="shared" si="56"/>
        <v>54569.7</v>
      </c>
      <c r="H619" t="str">
        <f t="shared" si="57"/>
        <v>54569.7</v>
      </c>
      <c r="I619" s="1">
        <v>45716</v>
      </c>
      <c r="J619" s="2">
        <f t="shared" si="58"/>
        <v>1.282491730035849E-2</v>
      </c>
      <c r="K619" s="3" t="str">
        <f t="shared" si="59"/>
        <v/>
      </c>
      <c r="L619" t="str">
        <f t="shared" si="60"/>
        <v/>
      </c>
      <c r="M619" t="str">
        <f t="shared" si="61"/>
        <v>Check</v>
      </c>
      <c r="N619">
        <v>53878.71</v>
      </c>
      <c r="O619" t="s">
        <v>312</v>
      </c>
      <c r="Q619" t="s">
        <v>41</v>
      </c>
    </row>
    <row r="620" spans="1:17" x14ac:dyDescent="0.3">
      <c r="A620">
        <v>100664601</v>
      </c>
      <c r="B620" t="s">
        <v>308</v>
      </c>
      <c r="C620" t="s">
        <v>622</v>
      </c>
      <c r="D620" t="s">
        <v>630</v>
      </c>
      <c r="E620" s="6">
        <v>2563.71</v>
      </c>
      <c r="F620" t="s">
        <v>492</v>
      </c>
      <c r="G620" s="4" t="str">
        <f t="shared" si="56"/>
        <v>2563.71</v>
      </c>
      <c r="H620" t="str">
        <f t="shared" si="57"/>
        <v>2563.71</v>
      </c>
      <c r="I620" s="1">
        <v>45716</v>
      </c>
      <c r="J620" s="2">
        <f t="shared" si="58"/>
        <v>6.1063909110530955E-3</v>
      </c>
      <c r="K620" s="3" t="str">
        <f t="shared" si="59"/>
        <v/>
      </c>
      <c r="L620" t="str">
        <f t="shared" si="60"/>
        <v/>
      </c>
      <c r="M620" t="str">
        <f t="shared" si="61"/>
        <v/>
      </c>
      <c r="N620">
        <v>2548.15</v>
      </c>
      <c r="O620" t="s">
        <v>667</v>
      </c>
      <c r="Q620" t="s">
        <v>622</v>
      </c>
    </row>
    <row r="621" spans="1:17" x14ac:dyDescent="0.3">
      <c r="A621">
        <v>100664601</v>
      </c>
      <c r="B621" t="s">
        <v>308</v>
      </c>
      <c r="C621" t="s">
        <v>606</v>
      </c>
      <c r="D621" t="s">
        <v>631</v>
      </c>
      <c r="E621" s="6">
        <v>2543.2199999999998</v>
      </c>
      <c r="F621" t="s">
        <v>492</v>
      </c>
      <c r="G621" s="4" t="str">
        <f t="shared" si="56"/>
        <v>2543.22</v>
      </c>
      <c r="H621" t="str">
        <f t="shared" si="57"/>
        <v>2543.22</v>
      </c>
      <c r="I621" s="1">
        <v>45716</v>
      </c>
      <c r="J621" s="2">
        <f t="shared" si="58"/>
        <v>-1.2331327856235281E-3</v>
      </c>
      <c r="K621" s="3" t="str">
        <f t="shared" si="59"/>
        <v/>
      </c>
      <c r="L621" t="str">
        <f t="shared" si="60"/>
        <v/>
      </c>
      <c r="M621" t="str">
        <f t="shared" si="61"/>
        <v/>
      </c>
      <c r="N621">
        <v>2546.36</v>
      </c>
      <c r="O621" t="s">
        <v>668</v>
      </c>
      <c r="Q621" t="s">
        <v>606</v>
      </c>
    </row>
    <row r="622" spans="1:17" x14ac:dyDescent="0.3">
      <c r="A622">
        <v>100664737</v>
      </c>
      <c r="B622" t="s">
        <v>313</v>
      </c>
      <c r="C622" t="s">
        <v>19</v>
      </c>
      <c r="D622" t="s">
        <v>314</v>
      </c>
      <c r="E622" s="6">
        <v>17732.330000000002</v>
      </c>
      <c r="F622" t="s">
        <v>492</v>
      </c>
      <c r="G622" s="4" t="str">
        <f t="shared" si="56"/>
        <v>17732.33</v>
      </c>
      <c r="H622" t="str">
        <f t="shared" si="57"/>
        <v>17732.33</v>
      </c>
      <c r="I622" s="1">
        <v>45716</v>
      </c>
      <c r="J622" s="2">
        <f t="shared" si="58"/>
        <v>9.4751179454802324E-5</v>
      </c>
      <c r="K622" s="3" t="str">
        <f t="shared" si="59"/>
        <v/>
      </c>
      <c r="L622" t="str">
        <f t="shared" si="60"/>
        <v/>
      </c>
      <c r="M622" t="str">
        <f t="shared" si="61"/>
        <v/>
      </c>
      <c r="N622">
        <v>17730.650000000001</v>
      </c>
      <c r="O622" t="s">
        <v>474</v>
      </c>
      <c r="Q622" t="s">
        <v>19</v>
      </c>
    </row>
    <row r="623" spans="1:17" x14ac:dyDescent="0.3">
      <c r="A623">
        <v>100664737</v>
      </c>
      <c r="B623" t="s">
        <v>313</v>
      </c>
      <c r="C623" t="s">
        <v>19</v>
      </c>
      <c r="D623" t="s">
        <v>316</v>
      </c>
      <c r="E623" s="6">
        <v>8290.83</v>
      </c>
      <c r="F623" t="s">
        <v>492</v>
      </c>
      <c r="G623" s="4" t="str">
        <f t="shared" si="56"/>
        <v>8290.83</v>
      </c>
      <c r="H623" t="str">
        <f t="shared" si="57"/>
        <v>8290.83</v>
      </c>
      <c r="I623" s="1">
        <v>45716</v>
      </c>
      <c r="J623" s="2">
        <f t="shared" si="58"/>
        <v>1.6551630818895835E-3</v>
      </c>
      <c r="K623" s="3" t="str">
        <f t="shared" si="59"/>
        <v/>
      </c>
      <c r="L623" t="str">
        <f t="shared" si="60"/>
        <v/>
      </c>
      <c r="M623" t="str">
        <f t="shared" si="61"/>
        <v/>
      </c>
      <c r="N623">
        <v>8277.1299999999992</v>
      </c>
      <c r="O623" t="s">
        <v>475</v>
      </c>
      <c r="Q623" t="s">
        <v>19</v>
      </c>
    </row>
    <row r="624" spans="1:17" x14ac:dyDescent="0.3">
      <c r="A624">
        <v>100665510</v>
      </c>
      <c r="B624" t="s">
        <v>318</v>
      </c>
      <c r="C624" t="s">
        <v>590</v>
      </c>
      <c r="D624" t="s">
        <v>476</v>
      </c>
      <c r="E624" s="6">
        <v>7782.2</v>
      </c>
      <c r="F624" t="s">
        <v>492</v>
      </c>
      <c r="G624" s="4" t="str">
        <f t="shared" si="56"/>
        <v>7782.2</v>
      </c>
      <c r="H624" t="str">
        <f t="shared" si="57"/>
        <v>7782.2</v>
      </c>
      <c r="I624" s="1">
        <v>45716</v>
      </c>
      <c r="J624" s="2">
        <f t="shared" si="58"/>
        <v>-1.027881279712427E-4</v>
      </c>
      <c r="K624" s="3" t="str">
        <f t="shared" si="59"/>
        <v/>
      </c>
      <c r="L624" t="str">
        <f t="shared" si="60"/>
        <v/>
      </c>
      <c r="M624" t="str">
        <f t="shared" si="61"/>
        <v>Check</v>
      </c>
      <c r="N624">
        <v>7783</v>
      </c>
      <c r="O624" t="s">
        <v>477</v>
      </c>
      <c r="Q624" t="s">
        <v>16</v>
      </c>
    </row>
    <row r="625" spans="1:17" x14ac:dyDescent="0.3">
      <c r="A625">
        <v>100665510</v>
      </c>
      <c r="B625" t="s">
        <v>318</v>
      </c>
      <c r="C625" t="s">
        <v>19</v>
      </c>
      <c r="D625" t="s">
        <v>319</v>
      </c>
      <c r="E625" s="6">
        <v>82025.33</v>
      </c>
      <c r="F625" t="s">
        <v>492</v>
      </c>
      <c r="G625" s="4" t="str">
        <f t="shared" si="56"/>
        <v>82025.33</v>
      </c>
      <c r="H625" t="str">
        <f t="shared" si="57"/>
        <v>82025.33</v>
      </c>
      <c r="I625" s="1">
        <v>45716</v>
      </c>
      <c r="J625" s="2">
        <f t="shared" si="58"/>
        <v>-6.4438531927226762E-4</v>
      </c>
      <c r="K625" s="3" t="str">
        <f t="shared" si="59"/>
        <v/>
      </c>
      <c r="L625" t="str">
        <f t="shared" si="60"/>
        <v/>
      </c>
      <c r="M625" t="str">
        <f t="shared" si="61"/>
        <v/>
      </c>
      <c r="N625">
        <v>82078.22</v>
      </c>
      <c r="O625" t="s">
        <v>478</v>
      </c>
      <c r="Q625" t="s">
        <v>19</v>
      </c>
    </row>
    <row r="626" spans="1:17" x14ac:dyDescent="0.3">
      <c r="A626">
        <v>100665581</v>
      </c>
      <c r="B626" t="s">
        <v>321</v>
      </c>
      <c r="C626" t="s">
        <v>623</v>
      </c>
      <c r="D626" t="s">
        <v>322</v>
      </c>
      <c r="E626" s="6">
        <v>105278.74</v>
      </c>
      <c r="F626" t="s">
        <v>492</v>
      </c>
      <c r="G626" s="4" t="str">
        <f t="shared" si="56"/>
        <v>105278.74</v>
      </c>
      <c r="H626" t="str">
        <f t="shared" si="57"/>
        <v>105278.74</v>
      </c>
      <c r="I626" s="1">
        <v>45716</v>
      </c>
      <c r="J626" s="2">
        <f t="shared" si="58"/>
        <v>1.2920958218530997E-2</v>
      </c>
      <c r="K626" s="3" t="str">
        <f t="shared" si="59"/>
        <v/>
      </c>
      <c r="L626" t="str">
        <f t="shared" si="60"/>
        <v/>
      </c>
      <c r="M626" t="str">
        <f t="shared" si="61"/>
        <v>Check</v>
      </c>
      <c r="N626">
        <v>103935.79</v>
      </c>
      <c r="O626" t="s">
        <v>323</v>
      </c>
      <c r="Q626" t="s">
        <v>164</v>
      </c>
    </row>
    <row r="627" spans="1:17" x14ac:dyDescent="0.3">
      <c r="A627">
        <v>100665581</v>
      </c>
      <c r="B627" t="s">
        <v>321</v>
      </c>
      <c r="C627" t="s">
        <v>622</v>
      </c>
      <c r="D627" t="s">
        <v>632</v>
      </c>
      <c r="E627" s="6">
        <v>2563.75</v>
      </c>
      <c r="F627" t="s">
        <v>492</v>
      </c>
      <c r="G627" s="4" t="str">
        <f t="shared" si="56"/>
        <v>2563.75</v>
      </c>
      <c r="H627" t="str">
        <f t="shared" si="57"/>
        <v>2563.75</v>
      </c>
      <c r="I627" s="1">
        <v>45716</v>
      </c>
      <c r="J627" s="2">
        <f t="shared" si="58"/>
        <v>6.1062950564910561E-3</v>
      </c>
      <c r="K627" s="3" t="str">
        <f t="shared" si="59"/>
        <v/>
      </c>
      <c r="L627" t="str">
        <f t="shared" si="60"/>
        <v/>
      </c>
      <c r="M627" t="str">
        <f t="shared" si="61"/>
        <v/>
      </c>
      <c r="N627">
        <v>2548.19</v>
      </c>
      <c r="O627" t="s">
        <v>669</v>
      </c>
      <c r="Q627" t="s">
        <v>622</v>
      </c>
    </row>
    <row r="628" spans="1:17" x14ac:dyDescent="0.3">
      <c r="A628">
        <v>100665581</v>
      </c>
      <c r="B628" t="s">
        <v>321</v>
      </c>
      <c r="C628" t="s">
        <v>590</v>
      </c>
      <c r="D628" t="s">
        <v>639</v>
      </c>
      <c r="E628" s="6">
        <v>160669.5</v>
      </c>
      <c r="F628" t="s">
        <v>492</v>
      </c>
      <c r="G628" s="4" t="str">
        <f t="shared" si="56"/>
        <v>160669.5</v>
      </c>
      <c r="H628" t="str">
        <f t="shared" si="57"/>
        <v>160669.5</v>
      </c>
      <c r="I628" s="1">
        <v>45716</v>
      </c>
      <c r="J628" s="2">
        <f t="shared" si="58"/>
        <v>11.691584916659624</v>
      </c>
      <c r="K628" s="3" t="str">
        <f t="shared" si="59"/>
        <v>Check!</v>
      </c>
      <c r="L628" t="str">
        <f t="shared" si="60"/>
        <v/>
      </c>
      <c r="M628" t="str">
        <f t="shared" si="61"/>
        <v/>
      </c>
      <c r="N628">
        <v>12659.53</v>
      </c>
      <c r="O628" t="s">
        <v>684</v>
      </c>
      <c r="Q628" t="s">
        <v>590</v>
      </c>
    </row>
    <row r="629" spans="1:17" x14ac:dyDescent="0.3">
      <c r="A629">
        <v>100666150</v>
      </c>
      <c r="B629" t="s">
        <v>324</v>
      </c>
      <c r="C629" t="s">
        <v>19</v>
      </c>
      <c r="D629" t="s">
        <v>325</v>
      </c>
      <c r="E629" s="6">
        <v>136889.79999999999</v>
      </c>
      <c r="F629" t="s">
        <v>492</v>
      </c>
      <c r="G629" s="4" t="str">
        <f t="shared" si="56"/>
        <v>136889.8</v>
      </c>
      <c r="H629" t="str">
        <f t="shared" si="57"/>
        <v>136889.8</v>
      </c>
      <c r="I629" s="1">
        <v>45716</v>
      </c>
      <c r="J629" s="2">
        <f t="shared" si="58"/>
        <v>-1.4917468128327815E-3</v>
      </c>
      <c r="K629" s="3" t="str">
        <f t="shared" si="59"/>
        <v/>
      </c>
      <c r="L629" t="str">
        <f t="shared" si="60"/>
        <v/>
      </c>
      <c r="M629" t="str">
        <f t="shared" si="61"/>
        <v/>
      </c>
      <c r="N629">
        <v>137094.31</v>
      </c>
      <c r="O629" t="s">
        <v>479</v>
      </c>
      <c r="Q629" t="s">
        <v>19</v>
      </c>
    </row>
    <row r="630" spans="1:17" x14ac:dyDescent="0.3">
      <c r="A630">
        <v>100668166</v>
      </c>
      <c r="B630" t="s">
        <v>480</v>
      </c>
      <c r="C630" t="s">
        <v>590</v>
      </c>
      <c r="D630" t="s">
        <v>481</v>
      </c>
      <c r="E630" s="6">
        <v>18192.150000000001</v>
      </c>
      <c r="F630" t="s">
        <v>492</v>
      </c>
      <c r="G630" s="4" t="str">
        <f t="shared" si="56"/>
        <v>18192.15</v>
      </c>
      <c r="H630" t="str">
        <f t="shared" si="57"/>
        <v>18192.15</v>
      </c>
      <c r="I630" s="1">
        <v>45716</v>
      </c>
      <c r="J630" s="2">
        <f t="shared" si="58"/>
        <v>1.5282649183375847E-3</v>
      </c>
      <c r="K630" s="3" t="str">
        <f t="shared" si="59"/>
        <v/>
      </c>
      <c r="L630" t="str">
        <f t="shared" si="60"/>
        <v/>
      </c>
      <c r="M630" t="str">
        <f t="shared" si="61"/>
        <v>Check</v>
      </c>
      <c r="N630">
        <v>18164.39</v>
      </c>
      <c r="O630" t="s">
        <v>482</v>
      </c>
      <c r="Q630" t="s">
        <v>16</v>
      </c>
    </row>
    <row r="631" spans="1:17" x14ac:dyDescent="0.3">
      <c r="A631">
        <v>100668409</v>
      </c>
      <c r="B631" t="s">
        <v>327</v>
      </c>
      <c r="C631" t="s">
        <v>590</v>
      </c>
      <c r="D631" t="s">
        <v>328</v>
      </c>
      <c r="E631" s="6">
        <v>27518.39</v>
      </c>
      <c r="F631" t="s">
        <v>492</v>
      </c>
      <c r="G631" s="4" t="str">
        <f t="shared" si="56"/>
        <v>27518.39</v>
      </c>
      <c r="H631" t="str">
        <f t="shared" si="57"/>
        <v>27518.39</v>
      </c>
      <c r="I631" s="1">
        <v>45716</v>
      </c>
      <c r="J631" s="2">
        <f t="shared" si="58"/>
        <v>-1.3445373265328139E-5</v>
      </c>
      <c r="K631" s="3" t="str">
        <f t="shared" si="59"/>
        <v/>
      </c>
      <c r="L631" t="str">
        <f t="shared" si="60"/>
        <v/>
      </c>
      <c r="M631" t="str">
        <f t="shared" si="61"/>
        <v>Check</v>
      </c>
      <c r="N631">
        <v>27518.76</v>
      </c>
      <c r="O631" t="s">
        <v>483</v>
      </c>
      <c r="Q631" t="s">
        <v>16</v>
      </c>
    </row>
    <row r="632" spans="1:17" x14ac:dyDescent="0.3">
      <c r="A632">
        <v>100668534</v>
      </c>
      <c r="B632" t="s">
        <v>330</v>
      </c>
      <c r="C632" t="s">
        <v>590</v>
      </c>
      <c r="D632" t="s">
        <v>331</v>
      </c>
      <c r="E632" s="6">
        <v>55540.95</v>
      </c>
      <c r="F632" t="s">
        <v>492</v>
      </c>
      <c r="G632" s="4" t="str">
        <f t="shared" si="56"/>
        <v>55540.95</v>
      </c>
      <c r="H632" t="str">
        <f t="shared" si="57"/>
        <v>55540.95</v>
      </c>
      <c r="I632" s="1">
        <v>45716</v>
      </c>
      <c r="J632" s="2">
        <f t="shared" si="58"/>
        <v>-8.0955709131534138E-4</v>
      </c>
      <c r="K632" s="3" t="str">
        <f t="shared" si="59"/>
        <v/>
      </c>
      <c r="L632" t="str">
        <f t="shared" si="60"/>
        <v/>
      </c>
      <c r="M632" t="str">
        <f t="shared" si="61"/>
        <v>Check</v>
      </c>
      <c r="N632">
        <v>55585.95</v>
      </c>
      <c r="O632" t="s">
        <v>484</v>
      </c>
      <c r="Q632" t="s">
        <v>16</v>
      </c>
    </row>
    <row r="633" spans="1:17" x14ac:dyDescent="0.3">
      <c r="A633">
        <v>100669580</v>
      </c>
      <c r="B633" t="s">
        <v>333</v>
      </c>
      <c r="C633" t="s">
        <v>19</v>
      </c>
      <c r="D633" t="s">
        <v>334</v>
      </c>
      <c r="E633" s="6">
        <v>64569.65</v>
      </c>
      <c r="F633" t="s">
        <v>492</v>
      </c>
      <c r="G633" s="4" t="str">
        <f t="shared" si="56"/>
        <v>64569.65</v>
      </c>
      <c r="H633" t="str">
        <f t="shared" si="57"/>
        <v>64569.65</v>
      </c>
      <c r="I633" s="1">
        <v>45716</v>
      </c>
      <c r="J633" s="2">
        <f t="shared" si="58"/>
        <v>-1.6239740188896E-3</v>
      </c>
      <c r="K633" s="3" t="str">
        <f t="shared" si="59"/>
        <v/>
      </c>
      <c r="L633" t="str">
        <f t="shared" si="60"/>
        <v/>
      </c>
      <c r="M633" t="str">
        <f t="shared" si="61"/>
        <v/>
      </c>
      <c r="N633">
        <v>64674.68</v>
      </c>
      <c r="O633" t="s">
        <v>485</v>
      </c>
      <c r="Q633" t="s">
        <v>19</v>
      </c>
    </row>
    <row r="634" spans="1:17" x14ac:dyDescent="0.3">
      <c r="A634">
        <v>100670671</v>
      </c>
      <c r="B634" t="s">
        <v>336</v>
      </c>
      <c r="C634" t="s">
        <v>590</v>
      </c>
      <c r="D634" t="s">
        <v>337</v>
      </c>
      <c r="E634" s="6">
        <v>501785.14</v>
      </c>
      <c r="F634" t="s">
        <v>492</v>
      </c>
      <c r="G634" s="4" t="str">
        <f t="shared" si="56"/>
        <v>501785.14</v>
      </c>
      <c r="H634" t="str">
        <f t="shared" si="57"/>
        <v>501785.14</v>
      </c>
      <c r="I634" s="1">
        <v>45716</v>
      </c>
      <c r="J634" s="2">
        <f t="shared" si="58"/>
        <v>0.80857018777500811</v>
      </c>
      <c r="K634" s="3" t="str">
        <f t="shared" si="59"/>
        <v>Check!</v>
      </c>
      <c r="L634" t="str">
        <f t="shared" si="60"/>
        <v/>
      </c>
      <c r="M634" t="str">
        <f t="shared" si="61"/>
        <v>Check</v>
      </c>
      <c r="N634">
        <v>277448.53000000003</v>
      </c>
      <c r="O634" t="s">
        <v>486</v>
      </c>
      <c r="Q634" t="s">
        <v>16</v>
      </c>
    </row>
    <row r="635" spans="1:17" x14ac:dyDescent="0.3">
      <c r="A635">
        <v>100670671</v>
      </c>
      <c r="B635" t="s">
        <v>336</v>
      </c>
      <c r="C635" t="s">
        <v>611</v>
      </c>
      <c r="D635" t="s">
        <v>339</v>
      </c>
      <c r="E635" s="6">
        <v>10983.94</v>
      </c>
      <c r="F635" t="s">
        <v>492</v>
      </c>
      <c r="G635" s="4" t="str">
        <f t="shared" si="56"/>
        <v>10983.94</v>
      </c>
      <c r="H635" t="str">
        <f t="shared" si="57"/>
        <v>10983.94</v>
      </c>
      <c r="I635" s="1">
        <v>45716</v>
      </c>
      <c r="J635" s="2">
        <f t="shared" si="58"/>
        <v>1.437344735554069E-2</v>
      </c>
      <c r="K635" s="3" t="str">
        <f t="shared" si="59"/>
        <v/>
      </c>
      <c r="L635" t="str">
        <f t="shared" si="60"/>
        <v/>
      </c>
      <c r="M635" t="str">
        <f t="shared" si="61"/>
        <v>Check</v>
      </c>
      <c r="N635">
        <v>10828.3</v>
      </c>
      <c r="O635" t="s">
        <v>340</v>
      </c>
      <c r="Q635" t="s">
        <v>41</v>
      </c>
    </row>
    <row r="636" spans="1:17" x14ac:dyDescent="0.3">
      <c r="A636">
        <v>100670671</v>
      </c>
      <c r="B636" t="s">
        <v>336</v>
      </c>
      <c r="C636" t="s">
        <v>606</v>
      </c>
      <c r="D636" t="s">
        <v>633</v>
      </c>
      <c r="E636" s="6">
        <v>1281.54</v>
      </c>
      <c r="F636" t="s">
        <v>492</v>
      </c>
      <c r="G636" s="4" t="str">
        <f t="shared" si="56"/>
        <v>1281.54</v>
      </c>
      <c r="H636" t="str">
        <f t="shared" si="57"/>
        <v>1281.54</v>
      </c>
      <c r="I636" s="1">
        <v>45716</v>
      </c>
      <c r="J636" s="2">
        <f t="shared" si="58"/>
        <v>9.0548329186482326E-3</v>
      </c>
      <c r="K636" s="3" t="str">
        <f t="shared" si="59"/>
        <v/>
      </c>
      <c r="L636" t="str">
        <f t="shared" si="60"/>
        <v/>
      </c>
      <c r="M636" t="str">
        <f t="shared" si="61"/>
        <v/>
      </c>
      <c r="N636">
        <v>1270.04</v>
      </c>
      <c r="O636" t="s">
        <v>671</v>
      </c>
      <c r="Q636" t="s">
        <v>606</v>
      </c>
    </row>
    <row r="637" spans="1:17" x14ac:dyDescent="0.3">
      <c r="A637">
        <v>100670671</v>
      </c>
      <c r="B637" t="s">
        <v>336</v>
      </c>
      <c r="C637" t="s">
        <v>609</v>
      </c>
      <c r="D637" t="s">
        <v>634</v>
      </c>
      <c r="E637" s="6">
        <v>167.65</v>
      </c>
      <c r="F637" t="s">
        <v>492</v>
      </c>
      <c r="G637" s="4" t="str">
        <f t="shared" si="56"/>
        <v>167.65</v>
      </c>
      <c r="H637" t="str">
        <f t="shared" si="57"/>
        <v>167.65</v>
      </c>
      <c r="I637" s="1">
        <v>45716</v>
      </c>
      <c r="J637" s="2">
        <f t="shared" si="58"/>
        <v>0.18238239650186908</v>
      </c>
      <c r="K637" s="3" t="str">
        <f t="shared" si="59"/>
        <v>Check!</v>
      </c>
      <c r="L637" t="str">
        <f t="shared" si="60"/>
        <v/>
      </c>
      <c r="M637" t="str">
        <f t="shared" si="61"/>
        <v/>
      </c>
      <c r="N637">
        <v>141.79</v>
      </c>
      <c r="O637" t="s">
        <v>670</v>
      </c>
      <c r="Q637" t="s">
        <v>609</v>
      </c>
    </row>
    <row r="638" spans="1:17" x14ac:dyDescent="0.3">
      <c r="A638">
        <v>100675336</v>
      </c>
      <c r="B638" t="s">
        <v>347</v>
      </c>
      <c r="C638" t="s">
        <v>19</v>
      </c>
      <c r="D638" t="s">
        <v>348</v>
      </c>
      <c r="E638" s="6">
        <v>88963.62</v>
      </c>
      <c r="F638" t="s">
        <v>492</v>
      </c>
      <c r="G638" s="4" t="str">
        <f t="shared" si="56"/>
        <v>88963.62</v>
      </c>
      <c r="H638" t="str">
        <f t="shared" si="57"/>
        <v>88963.62</v>
      </c>
      <c r="I638" s="1">
        <v>45716</v>
      </c>
      <c r="J638" s="2">
        <f t="shared" si="58"/>
        <v>-1.1982663142113001E-3</v>
      </c>
      <c r="K638" s="3" t="str">
        <f t="shared" si="59"/>
        <v/>
      </c>
      <c r="L638" t="str">
        <f t="shared" si="60"/>
        <v/>
      </c>
      <c r="M638" t="str">
        <f t="shared" si="61"/>
        <v/>
      </c>
      <c r="N638">
        <v>89070.35</v>
      </c>
      <c r="O638" t="s">
        <v>487</v>
      </c>
      <c r="Q638" t="s">
        <v>19</v>
      </c>
    </row>
    <row r="639" spans="1:17" x14ac:dyDescent="0.3">
      <c r="A639">
        <v>100677278</v>
      </c>
      <c r="B639" t="s">
        <v>350</v>
      </c>
      <c r="C639" t="s">
        <v>19</v>
      </c>
      <c r="D639" t="s">
        <v>351</v>
      </c>
      <c r="E639" s="6">
        <v>55106.81</v>
      </c>
      <c r="F639" t="s">
        <v>492</v>
      </c>
      <c r="G639" s="4" t="str">
        <f t="shared" si="56"/>
        <v>55106.81</v>
      </c>
      <c r="H639" t="str">
        <f t="shared" si="57"/>
        <v>55106.81</v>
      </c>
      <c r="I639" s="1">
        <v>45716</v>
      </c>
      <c r="J639" s="2">
        <f t="shared" si="58"/>
        <v>-1.1453688598876623E-3</v>
      </c>
      <c r="K639" s="3" t="str">
        <f t="shared" si="59"/>
        <v/>
      </c>
      <c r="L639" t="str">
        <f t="shared" si="60"/>
        <v/>
      </c>
      <c r="M639" t="str">
        <f t="shared" si="61"/>
        <v/>
      </c>
      <c r="N639">
        <v>55170</v>
      </c>
      <c r="O639" t="s">
        <v>488</v>
      </c>
      <c r="Q639" t="s">
        <v>19</v>
      </c>
    </row>
    <row r="640" spans="1:17" x14ac:dyDescent="0.3">
      <c r="A640">
        <v>100677585</v>
      </c>
      <c r="B640" t="s">
        <v>353</v>
      </c>
      <c r="C640" t="s">
        <v>19</v>
      </c>
      <c r="D640" t="s">
        <v>354</v>
      </c>
      <c r="E640" s="6">
        <v>42900.959999999999</v>
      </c>
      <c r="F640" t="s">
        <v>492</v>
      </c>
      <c r="G640" s="4" t="str">
        <f t="shared" si="56"/>
        <v>42900.96</v>
      </c>
      <c r="H640" t="str">
        <f t="shared" si="57"/>
        <v>42900.96</v>
      </c>
      <c r="I640" s="1">
        <v>45716</v>
      </c>
      <c r="J640" s="2">
        <f t="shared" si="58"/>
        <v>-4.813425029158613E-4</v>
      </c>
      <c r="K640" s="3" t="str">
        <f t="shared" si="59"/>
        <v/>
      </c>
      <c r="L640" t="str">
        <f t="shared" si="60"/>
        <v/>
      </c>
      <c r="M640" t="str">
        <f t="shared" si="61"/>
        <v/>
      </c>
      <c r="N640">
        <v>42921.62</v>
      </c>
      <c r="O640" t="s">
        <v>489</v>
      </c>
      <c r="Q640" t="s">
        <v>19</v>
      </c>
    </row>
    <row r="641" spans="1:17" x14ac:dyDescent="0.3">
      <c r="A641">
        <v>100706842</v>
      </c>
      <c r="B641" t="s">
        <v>356</v>
      </c>
      <c r="C641" t="s">
        <v>19</v>
      </c>
      <c r="D641" t="s">
        <v>357</v>
      </c>
      <c r="E641" s="6">
        <v>17915.14</v>
      </c>
      <c r="F641" t="s">
        <v>492</v>
      </c>
      <c r="G641" s="4" t="str">
        <f t="shared" si="56"/>
        <v>17915.14</v>
      </c>
      <c r="H641" t="str">
        <f t="shared" si="57"/>
        <v>17915.14</v>
      </c>
      <c r="I641" s="1">
        <v>45716</v>
      </c>
      <c r="J641" s="2">
        <f t="shared" si="58"/>
        <v>-7.970136250846164E-4</v>
      </c>
      <c r="K641" s="3" t="str">
        <f t="shared" si="59"/>
        <v/>
      </c>
      <c r="L641" t="str">
        <f t="shared" si="60"/>
        <v/>
      </c>
      <c r="M641" t="str">
        <f t="shared" si="61"/>
        <v/>
      </c>
      <c r="N641">
        <v>17929.43</v>
      </c>
      <c r="O641" t="s">
        <v>490</v>
      </c>
      <c r="Q641" t="s">
        <v>19</v>
      </c>
    </row>
    <row r="642" spans="1:17" x14ac:dyDescent="0.3">
      <c r="A642">
        <v>100711105</v>
      </c>
      <c r="B642" t="s">
        <v>359</v>
      </c>
      <c r="C642" t="s">
        <v>590</v>
      </c>
      <c r="D642" t="s">
        <v>360</v>
      </c>
      <c r="E642" s="6">
        <v>3170.01</v>
      </c>
      <c r="F642" t="s">
        <v>492</v>
      </c>
      <c r="G642" s="4" t="str">
        <f t="shared" si="56"/>
        <v>3170.01</v>
      </c>
      <c r="H642" t="str">
        <f t="shared" si="57"/>
        <v>3170.01</v>
      </c>
      <c r="I642" s="1">
        <v>45716</v>
      </c>
      <c r="J642" s="2">
        <f t="shared" si="58"/>
        <v>-0.20330889652347206</v>
      </c>
      <c r="K642" s="3" t="str">
        <f t="shared" si="59"/>
        <v>Check!</v>
      </c>
      <c r="L642" t="str">
        <f t="shared" si="60"/>
        <v/>
      </c>
      <c r="M642" t="str">
        <f t="shared" si="61"/>
        <v>Check</v>
      </c>
      <c r="N642">
        <v>3978.97</v>
      </c>
      <c r="O642" t="s">
        <v>491</v>
      </c>
      <c r="Q642" t="s">
        <v>16</v>
      </c>
    </row>
    <row r="643" spans="1:17" x14ac:dyDescent="0.3">
      <c r="A643">
        <v>100786852</v>
      </c>
      <c r="B643" t="s">
        <v>636</v>
      </c>
      <c r="C643" t="s">
        <v>19</v>
      </c>
      <c r="D643" t="s">
        <v>637</v>
      </c>
      <c r="E643" s="6">
        <v>245308.82</v>
      </c>
      <c r="F643" t="s">
        <v>492</v>
      </c>
      <c r="G643" s="4" t="str">
        <f t="shared" ref="G643:G706" si="62">SUBSTITUTE(E643,"R","")</f>
        <v>245308.82</v>
      </c>
      <c r="H643" t="str">
        <f t="shared" ref="H643:H706" si="63">SUBSTITUTE(G643,",","")</f>
        <v>245308.82</v>
      </c>
      <c r="I643" s="1">
        <v>45716</v>
      </c>
      <c r="J643" s="2">
        <f t="shared" ref="J643:J706" si="64">(H643-N643)/N643</f>
        <v>-1.2495941831740251E-3</v>
      </c>
      <c r="K643" s="3" t="str">
        <f t="shared" ref="K643:K706" si="65">IF(ABS(J643)&gt;0.1,"Check!","")</f>
        <v/>
      </c>
      <c r="L643" t="str">
        <f t="shared" ref="L643:L706" si="66">IF(LEFT(O643,10)&lt;&gt;LEFT(D643,10),"Check","")</f>
        <v/>
      </c>
      <c r="M643" t="str">
        <f t="shared" ref="M643:M706" si="67">IF(Q643&lt;&gt;C643,"Check","")</f>
        <v/>
      </c>
      <c r="N643">
        <v>245615.74</v>
      </c>
      <c r="O643" t="s">
        <v>685</v>
      </c>
      <c r="Q643" t="s">
        <v>19</v>
      </c>
    </row>
    <row r="644" spans="1:17" x14ac:dyDescent="0.3">
      <c r="A644">
        <v>100799345</v>
      </c>
      <c r="B644" t="s">
        <v>640</v>
      </c>
      <c r="C644" t="s">
        <v>590</v>
      </c>
      <c r="D644" t="s">
        <v>641</v>
      </c>
      <c r="E644" s="6">
        <v>385846.5</v>
      </c>
      <c r="F644" t="s">
        <v>492</v>
      </c>
      <c r="G644" s="4" t="str">
        <f t="shared" si="62"/>
        <v>385846.5</v>
      </c>
      <c r="H644" t="str">
        <f t="shared" si="63"/>
        <v>385846.5</v>
      </c>
      <c r="I644" s="1">
        <v>45716</v>
      </c>
      <c r="J644" s="2">
        <f t="shared" si="64"/>
        <v>3.3392416981236899</v>
      </c>
      <c r="K644" s="3" t="str">
        <f t="shared" si="65"/>
        <v>Check!</v>
      </c>
      <c r="L644" t="str">
        <f t="shared" si="66"/>
        <v/>
      </c>
      <c r="M644" t="str">
        <f t="shared" si="67"/>
        <v/>
      </c>
      <c r="N644">
        <v>88920.26</v>
      </c>
      <c r="O644" t="s">
        <v>686</v>
      </c>
      <c r="Q644" t="s">
        <v>590</v>
      </c>
    </row>
    <row r="645" spans="1:17" s="7" customFormat="1" x14ac:dyDescent="0.3">
      <c r="A645" s="7">
        <v>32490</v>
      </c>
      <c r="B645" s="7" t="s">
        <v>15</v>
      </c>
      <c r="C645" s="7" t="s">
        <v>19</v>
      </c>
      <c r="D645" s="7" t="s">
        <v>20</v>
      </c>
      <c r="E645" s="8">
        <v>5582.51</v>
      </c>
      <c r="F645" s="7" t="s">
        <v>493</v>
      </c>
      <c r="G645" s="4" t="str">
        <f t="shared" si="62"/>
        <v>5582.51</v>
      </c>
      <c r="H645" t="str">
        <f t="shared" si="63"/>
        <v>5582.51</v>
      </c>
      <c r="I645" s="1">
        <v>45716</v>
      </c>
      <c r="J645" s="2">
        <f t="shared" si="64"/>
        <v>5.2299125740330889E-2</v>
      </c>
      <c r="K645" s="3" t="str">
        <f t="shared" si="65"/>
        <v/>
      </c>
      <c r="L645" t="str">
        <f t="shared" si="66"/>
        <v/>
      </c>
      <c r="M645" t="str">
        <f t="shared" si="67"/>
        <v/>
      </c>
      <c r="N645" s="7">
        <v>5305.06</v>
      </c>
      <c r="O645" s="7" t="s">
        <v>494</v>
      </c>
      <c r="Q645" s="7" t="s">
        <v>19</v>
      </c>
    </row>
    <row r="646" spans="1:17" x14ac:dyDescent="0.3">
      <c r="A646">
        <v>32490</v>
      </c>
      <c r="B646" t="s">
        <v>15</v>
      </c>
      <c r="C646" t="s">
        <v>19</v>
      </c>
      <c r="D646" t="s">
        <v>22</v>
      </c>
      <c r="E646" s="6">
        <v>20648.330000000002</v>
      </c>
      <c r="F646" t="s">
        <v>493</v>
      </c>
      <c r="G646" s="4" t="str">
        <f t="shared" si="62"/>
        <v>20648.33</v>
      </c>
      <c r="H646" t="str">
        <f t="shared" si="63"/>
        <v>20648.33</v>
      </c>
      <c r="I646" s="1">
        <v>45716</v>
      </c>
      <c r="J646" s="2">
        <f t="shared" si="64"/>
        <v>4.5504649960530941E-2</v>
      </c>
      <c r="K646" s="3" t="str">
        <f t="shared" si="65"/>
        <v/>
      </c>
      <c r="L646" t="str">
        <f t="shared" si="66"/>
        <v/>
      </c>
      <c r="M646" t="str">
        <f t="shared" si="67"/>
        <v/>
      </c>
      <c r="N646">
        <v>19749.63</v>
      </c>
      <c r="O646" t="s">
        <v>495</v>
      </c>
      <c r="Q646" t="s">
        <v>19</v>
      </c>
    </row>
    <row r="647" spans="1:17" x14ac:dyDescent="0.3">
      <c r="A647">
        <v>33672</v>
      </c>
      <c r="B647" t="s">
        <v>24</v>
      </c>
      <c r="C647" t="s">
        <v>19</v>
      </c>
      <c r="D647" t="s">
        <v>25</v>
      </c>
      <c r="E647" s="6">
        <v>52125.58</v>
      </c>
      <c r="F647" t="s">
        <v>493</v>
      </c>
      <c r="G647" s="4" t="str">
        <f t="shared" si="62"/>
        <v>52125.58</v>
      </c>
      <c r="H647" t="str">
        <f t="shared" si="63"/>
        <v>52125.58</v>
      </c>
      <c r="I647" s="1">
        <v>45716</v>
      </c>
      <c r="J647" s="2">
        <f t="shared" si="64"/>
        <v>5.2317090650683129E-2</v>
      </c>
      <c r="K647" s="3" t="str">
        <f t="shared" si="65"/>
        <v/>
      </c>
      <c r="L647" t="str">
        <f t="shared" si="66"/>
        <v/>
      </c>
      <c r="M647" t="str">
        <f t="shared" si="67"/>
        <v/>
      </c>
      <c r="N647">
        <v>49534.1</v>
      </c>
      <c r="O647" t="s">
        <v>496</v>
      </c>
      <c r="Q647" t="s">
        <v>19</v>
      </c>
    </row>
    <row r="648" spans="1:17" x14ac:dyDescent="0.3">
      <c r="A648">
        <v>34171</v>
      </c>
      <c r="B648" t="s">
        <v>27</v>
      </c>
      <c r="C648" t="s">
        <v>19</v>
      </c>
      <c r="D648" t="s">
        <v>28</v>
      </c>
      <c r="E648" s="6">
        <v>3286.86</v>
      </c>
      <c r="F648" t="s">
        <v>493</v>
      </c>
      <c r="G648" s="4" t="str">
        <f t="shared" si="62"/>
        <v>3286.86</v>
      </c>
      <c r="H648" t="str">
        <f t="shared" si="63"/>
        <v>3286.86</v>
      </c>
      <c r="I648" s="1">
        <v>45716</v>
      </c>
      <c r="J648" s="2">
        <f t="shared" si="64"/>
        <v>5.3291716871330844E-2</v>
      </c>
      <c r="K648" s="3" t="str">
        <f t="shared" si="65"/>
        <v/>
      </c>
      <c r="L648" t="str">
        <f t="shared" si="66"/>
        <v/>
      </c>
      <c r="M648" t="str">
        <f t="shared" si="67"/>
        <v/>
      </c>
      <c r="N648">
        <v>3120.56</v>
      </c>
      <c r="O648" t="s">
        <v>497</v>
      </c>
      <c r="Q648" t="s">
        <v>19</v>
      </c>
    </row>
    <row r="649" spans="1:17" x14ac:dyDescent="0.3">
      <c r="A649">
        <v>34173</v>
      </c>
      <c r="B649" t="s">
        <v>30</v>
      </c>
      <c r="C649" t="s">
        <v>19</v>
      </c>
      <c r="D649" t="s">
        <v>31</v>
      </c>
      <c r="E649" s="6">
        <v>19102.990000000002</v>
      </c>
      <c r="F649" t="s">
        <v>493</v>
      </c>
      <c r="G649" s="4" t="str">
        <f t="shared" si="62"/>
        <v>19102.99</v>
      </c>
      <c r="H649" t="str">
        <f t="shared" si="63"/>
        <v>19102.99</v>
      </c>
      <c r="I649" s="1">
        <v>45716</v>
      </c>
      <c r="J649" s="2">
        <f t="shared" si="64"/>
        <v>4.011096410273176E-2</v>
      </c>
      <c r="K649" s="3" t="str">
        <f t="shared" si="65"/>
        <v/>
      </c>
      <c r="L649" t="str">
        <f t="shared" si="66"/>
        <v/>
      </c>
      <c r="M649" t="str">
        <f t="shared" si="67"/>
        <v/>
      </c>
      <c r="N649">
        <v>18366.3</v>
      </c>
      <c r="O649" t="s">
        <v>498</v>
      </c>
      <c r="Q649" t="s">
        <v>19</v>
      </c>
    </row>
    <row r="650" spans="1:17" x14ac:dyDescent="0.3">
      <c r="A650">
        <v>34199</v>
      </c>
      <c r="B650" t="s">
        <v>36</v>
      </c>
      <c r="C650" t="s">
        <v>19</v>
      </c>
      <c r="D650" t="s">
        <v>39</v>
      </c>
      <c r="E650" s="6">
        <v>2986.86</v>
      </c>
      <c r="F650" t="s">
        <v>493</v>
      </c>
      <c r="G650" s="4" t="str">
        <f t="shared" si="62"/>
        <v>2986.86</v>
      </c>
      <c r="H650" t="str">
        <f t="shared" si="63"/>
        <v>2986.86</v>
      </c>
      <c r="I650" s="1">
        <v>45716</v>
      </c>
      <c r="J650" s="2">
        <f t="shared" si="64"/>
        <v>5.4488582604888987E-2</v>
      </c>
      <c r="K650" s="3" t="str">
        <f t="shared" si="65"/>
        <v/>
      </c>
      <c r="L650" t="str">
        <f t="shared" si="66"/>
        <v/>
      </c>
      <c r="M650" t="str">
        <f t="shared" si="67"/>
        <v/>
      </c>
      <c r="N650">
        <v>2832.52</v>
      </c>
      <c r="O650" t="s">
        <v>499</v>
      </c>
      <c r="Q650" t="s">
        <v>19</v>
      </c>
    </row>
    <row r="651" spans="1:17" x14ac:dyDescent="0.3">
      <c r="A651">
        <v>34202</v>
      </c>
      <c r="B651" t="s">
        <v>46</v>
      </c>
      <c r="C651" t="s">
        <v>19</v>
      </c>
      <c r="D651" t="s">
        <v>49</v>
      </c>
      <c r="E651" s="6">
        <v>114892.46</v>
      </c>
      <c r="F651" t="s">
        <v>493</v>
      </c>
      <c r="G651" s="4" t="str">
        <f t="shared" si="62"/>
        <v>114892.46</v>
      </c>
      <c r="H651" t="str">
        <f t="shared" si="63"/>
        <v>114892.46</v>
      </c>
      <c r="I651" s="1">
        <v>45716</v>
      </c>
      <c r="J651" s="2">
        <f t="shared" si="64"/>
        <v>5.2242554803775057E-2</v>
      </c>
      <c r="K651" s="3" t="str">
        <f t="shared" si="65"/>
        <v/>
      </c>
      <c r="L651" t="str">
        <f t="shared" si="66"/>
        <v/>
      </c>
      <c r="M651" t="str">
        <f t="shared" si="67"/>
        <v/>
      </c>
      <c r="N651">
        <v>109188.19</v>
      </c>
      <c r="O651" t="s">
        <v>501</v>
      </c>
      <c r="Q651" t="s">
        <v>19</v>
      </c>
    </row>
    <row r="652" spans="1:17" x14ac:dyDescent="0.3">
      <c r="A652">
        <v>34202</v>
      </c>
      <c r="B652" t="s">
        <v>46</v>
      </c>
      <c r="C652" t="s">
        <v>19</v>
      </c>
      <c r="D652" t="s">
        <v>47</v>
      </c>
      <c r="E652" s="6">
        <v>21998.560000000001</v>
      </c>
      <c r="F652" t="s">
        <v>493</v>
      </c>
      <c r="G652" s="4" t="str">
        <f t="shared" si="62"/>
        <v>21998.56</v>
      </c>
      <c r="H652" t="str">
        <f t="shared" si="63"/>
        <v>21998.56</v>
      </c>
      <c r="I652" s="1">
        <v>45716</v>
      </c>
      <c r="J652" s="2">
        <f t="shared" si="64"/>
        <v>5.2582320914122356E-2</v>
      </c>
      <c r="K652" s="3" t="str">
        <f t="shared" si="65"/>
        <v/>
      </c>
      <c r="L652" t="str">
        <f t="shared" si="66"/>
        <v/>
      </c>
      <c r="M652" t="str">
        <f t="shared" si="67"/>
        <v/>
      </c>
      <c r="N652">
        <v>20899.61</v>
      </c>
      <c r="O652" t="s">
        <v>500</v>
      </c>
      <c r="Q652" t="s">
        <v>19</v>
      </c>
    </row>
    <row r="653" spans="1:17" x14ac:dyDescent="0.3">
      <c r="A653">
        <v>34209</v>
      </c>
      <c r="B653" t="s">
        <v>51</v>
      </c>
      <c r="C653" t="s">
        <v>19</v>
      </c>
      <c r="D653" t="s">
        <v>52</v>
      </c>
      <c r="E653" s="6">
        <v>39144.11</v>
      </c>
      <c r="F653" t="s">
        <v>493</v>
      </c>
      <c r="G653" s="4" t="str">
        <f t="shared" si="62"/>
        <v>39144.11</v>
      </c>
      <c r="H653" t="str">
        <f t="shared" si="63"/>
        <v>39144.11</v>
      </c>
      <c r="I653" s="1">
        <v>45716</v>
      </c>
      <c r="J653" s="2">
        <f t="shared" si="64"/>
        <v>4.461232513120339E-2</v>
      </c>
      <c r="K653" s="3" t="str">
        <f t="shared" si="65"/>
        <v/>
      </c>
      <c r="L653" t="str">
        <f t="shared" si="66"/>
        <v/>
      </c>
      <c r="M653" t="str">
        <f t="shared" si="67"/>
        <v/>
      </c>
      <c r="N653">
        <v>37472.379999999997</v>
      </c>
      <c r="O653" t="s">
        <v>502</v>
      </c>
      <c r="Q653" t="s">
        <v>19</v>
      </c>
    </row>
    <row r="654" spans="1:17" x14ac:dyDescent="0.3">
      <c r="A654">
        <v>34209</v>
      </c>
      <c r="B654" t="s">
        <v>51</v>
      </c>
      <c r="C654" t="s">
        <v>19</v>
      </c>
      <c r="D654" t="s">
        <v>54</v>
      </c>
      <c r="E654" s="6">
        <v>50464.37</v>
      </c>
      <c r="F654" t="s">
        <v>493</v>
      </c>
      <c r="G654" s="4" t="str">
        <f t="shared" si="62"/>
        <v>50464.37</v>
      </c>
      <c r="H654" t="str">
        <f t="shared" si="63"/>
        <v>50464.37</v>
      </c>
      <c r="I654" s="1">
        <v>45716</v>
      </c>
      <c r="J654" s="2">
        <f t="shared" si="64"/>
        <v>4.4434933261088883E-2</v>
      </c>
      <c r="K654" s="3" t="str">
        <f t="shared" si="65"/>
        <v/>
      </c>
      <c r="L654" t="str">
        <f t="shared" si="66"/>
        <v/>
      </c>
      <c r="M654" t="str">
        <f t="shared" si="67"/>
        <v/>
      </c>
      <c r="N654">
        <v>48317.39</v>
      </c>
      <c r="O654" t="s">
        <v>503</v>
      </c>
      <c r="Q654" t="s">
        <v>19</v>
      </c>
    </row>
    <row r="655" spans="1:17" x14ac:dyDescent="0.3">
      <c r="A655">
        <v>34216</v>
      </c>
      <c r="B655" t="s">
        <v>59</v>
      </c>
      <c r="C655" t="s">
        <v>19</v>
      </c>
      <c r="D655" t="s">
        <v>60</v>
      </c>
      <c r="E655" s="6">
        <v>26177.16</v>
      </c>
      <c r="F655" t="s">
        <v>493</v>
      </c>
      <c r="G655" s="4" t="str">
        <f t="shared" si="62"/>
        <v>26177.16</v>
      </c>
      <c r="H655" t="str">
        <f t="shared" si="63"/>
        <v>26177.16</v>
      </c>
      <c r="I655" s="1">
        <v>45716</v>
      </c>
      <c r="J655" s="2">
        <f t="shared" si="64"/>
        <v>4.2351206937126032E-2</v>
      </c>
      <c r="K655" s="3" t="str">
        <f t="shared" si="65"/>
        <v/>
      </c>
      <c r="L655" t="str">
        <f t="shared" si="66"/>
        <v/>
      </c>
      <c r="M655" t="str">
        <f t="shared" si="67"/>
        <v/>
      </c>
      <c r="N655">
        <v>25113.57</v>
      </c>
      <c r="O655" t="s">
        <v>504</v>
      </c>
      <c r="Q655" t="s">
        <v>19</v>
      </c>
    </row>
    <row r="656" spans="1:17" x14ac:dyDescent="0.3">
      <c r="A656">
        <v>34395</v>
      </c>
      <c r="B656" t="s">
        <v>69</v>
      </c>
      <c r="C656" t="s">
        <v>19</v>
      </c>
      <c r="D656" t="s">
        <v>74</v>
      </c>
      <c r="E656" s="6">
        <v>8553.01</v>
      </c>
      <c r="F656" t="s">
        <v>493</v>
      </c>
      <c r="G656" s="4" t="str">
        <f t="shared" si="62"/>
        <v>8553.01</v>
      </c>
      <c r="H656" t="str">
        <f t="shared" si="63"/>
        <v>8553.01</v>
      </c>
      <c r="I656" s="1">
        <v>45716</v>
      </c>
      <c r="J656" s="2">
        <f t="shared" si="64"/>
        <v>5.4242974803215681E-2</v>
      </c>
      <c r="K656" s="3" t="str">
        <f t="shared" si="65"/>
        <v/>
      </c>
      <c r="L656" t="str">
        <f t="shared" si="66"/>
        <v/>
      </c>
      <c r="M656" t="str">
        <f t="shared" si="67"/>
        <v/>
      </c>
      <c r="N656">
        <v>8112.94</v>
      </c>
      <c r="O656" t="s">
        <v>506</v>
      </c>
      <c r="Q656" t="s">
        <v>19</v>
      </c>
    </row>
    <row r="657" spans="1:17" x14ac:dyDescent="0.3">
      <c r="A657">
        <v>34395</v>
      </c>
      <c r="B657" t="s">
        <v>69</v>
      </c>
      <c r="C657" t="s">
        <v>19</v>
      </c>
      <c r="D657" t="s">
        <v>72</v>
      </c>
      <c r="E657" s="6">
        <v>5151.33</v>
      </c>
      <c r="F657" t="s">
        <v>493</v>
      </c>
      <c r="G657" s="4" t="str">
        <f t="shared" si="62"/>
        <v>5151.33</v>
      </c>
      <c r="H657" t="str">
        <f t="shared" si="63"/>
        <v>5151.33</v>
      </c>
      <c r="I657" s="1">
        <v>45716</v>
      </c>
      <c r="J657" s="2">
        <f t="shared" si="64"/>
        <v>5.573886739244497E-2</v>
      </c>
      <c r="K657" s="3" t="str">
        <f t="shared" si="65"/>
        <v/>
      </c>
      <c r="L657" t="str">
        <f t="shared" si="66"/>
        <v/>
      </c>
      <c r="M657" t="str">
        <f t="shared" si="67"/>
        <v/>
      </c>
      <c r="N657">
        <v>4879.3599999999997</v>
      </c>
      <c r="O657" t="s">
        <v>507</v>
      </c>
      <c r="Q657" t="s">
        <v>19</v>
      </c>
    </row>
    <row r="658" spans="1:17" x14ac:dyDescent="0.3">
      <c r="A658">
        <v>34395</v>
      </c>
      <c r="B658" t="s">
        <v>69</v>
      </c>
      <c r="C658" t="s">
        <v>19</v>
      </c>
      <c r="D658" t="s">
        <v>70</v>
      </c>
      <c r="E658" s="6">
        <v>80312.509999999995</v>
      </c>
      <c r="F658" t="s">
        <v>493</v>
      </c>
      <c r="G658" s="4" t="str">
        <f t="shared" si="62"/>
        <v>80312.51</v>
      </c>
      <c r="H658" t="str">
        <f t="shared" si="63"/>
        <v>80312.51</v>
      </c>
      <c r="I658" s="1">
        <v>45716</v>
      </c>
      <c r="J658" s="2">
        <f t="shared" si="64"/>
        <v>4.7602258033420698E-2</v>
      </c>
      <c r="K658" s="3" t="str">
        <f t="shared" si="65"/>
        <v/>
      </c>
      <c r="L658" t="str">
        <f t="shared" si="66"/>
        <v/>
      </c>
      <c r="M658" t="str">
        <f t="shared" si="67"/>
        <v/>
      </c>
      <c r="N658">
        <v>76663.17</v>
      </c>
      <c r="O658" t="s">
        <v>505</v>
      </c>
      <c r="Q658" t="s">
        <v>19</v>
      </c>
    </row>
    <row r="659" spans="1:17" x14ac:dyDescent="0.3">
      <c r="A659">
        <v>36048</v>
      </c>
      <c r="B659" t="s">
        <v>76</v>
      </c>
      <c r="C659" t="s">
        <v>19</v>
      </c>
      <c r="D659" t="s">
        <v>77</v>
      </c>
      <c r="E659" s="6">
        <v>5059.91</v>
      </c>
      <c r="F659" t="s">
        <v>493</v>
      </c>
      <c r="G659" s="4" t="str">
        <f t="shared" si="62"/>
        <v>5059.91</v>
      </c>
      <c r="H659" t="str">
        <f t="shared" si="63"/>
        <v>5059.91</v>
      </c>
      <c r="I659" s="1">
        <v>45716</v>
      </c>
      <c r="J659" s="2">
        <f t="shared" si="64"/>
        <v>5.3061946534303177E-2</v>
      </c>
      <c r="K659" s="3" t="str">
        <f t="shared" si="65"/>
        <v/>
      </c>
      <c r="L659" t="str">
        <f t="shared" si="66"/>
        <v/>
      </c>
      <c r="M659" t="str">
        <f t="shared" si="67"/>
        <v/>
      </c>
      <c r="N659">
        <v>4804.95</v>
      </c>
      <c r="O659" t="s">
        <v>508</v>
      </c>
      <c r="Q659" t="s">
        <v>19</v>
      </c>
    </row>
    <row r="660" spans="1:17" x14ac:dyDescent="0.3">
      <c r="A660">
        <v>36048</v>
      </c>
      <c r="B660" t="s">
        <v>76</v>
      </c>
      <c r="C660" t="s">
        <v>19</v>
      </c>
      <c r="D660" t="s">
        <v>79</v>
      </c>
      <c r="E660" s="6">
        <v>15164.39</v>
      </c>
      <c r="F660" t="s">
        <v>493</v>
      </c>
      <c r="G660" s="4" t="str">
        <f t="shared" si="62"/>
        <v>15164.39</v>
      </c>
      <c r="H660" t="str">
        <f t="shared" si="63"/>
        <v>15164.39</v>
      </c>
      <c r="I660" s="1">
        <v>45716</v>
      </c>
      <c r="J660" s="2">
        <f t="shared" si="64"/>
        <v>4.5719755140714101E-2</v>
      </c>
      <c r="K660" s="3" t="str">
        <f t="shared" si="65"/>
        <v/>
      </c>
      <c r="L660" t="str">
        <f t="shared" si="66"/>
        <v/>
      </c>
      <c r="M660" t="str">
        <f t="shared" si="67"/>
        <v/>
      </c>
      <c r="N660">
        <v>14501.39</v>
      </c>
      <c r="O660" t="s">
        <v>509</v>
      </c>
      <c r="Q660" t="s">
        <v>19</v>
      </c>
    </row>
    <row r="661" spans="1:17" x14ac:dyDescent="0.3">
      <c r="A661">
        <v>36059</v>
      </c>
      <c r="B661" t="s">
        <v>81</v>
      </c>
      <c r="C661" t="s">
        <v>19</v>
      </c>
      <c r="D661" t="s">
        <v>82</v>
      </c>
      <c r="E661" s="6">
        <v>31113.06</v>
      </c>
      <c r="F661" t="s">
        <v>493</v>
      </c>
      <c r="G661" s="4" t="str">
        <f t="shared" si="62"/>
        <v>31113.06</v>
      </c>
      <c r="H661" t="str">
        <f t="shared" si="63"/>
        <v>31113.06</v>
      </c>
      <c r="I661" s="1">
        <v>45716</v>
      </c>
      <c r="J661" s="2">
        <f t="shared" si="64"/>
        <v>5.271338864920485E-2</v>
      </c>
      <c r="K661" s="3" t="str">
        <f t="shared" si="65"/>
        <v/>
      </c>
      <c r="L661" t="str">
        <f t="shared" si="66"/>
        <v/>
      </c>
      <c r="M661" t="str">
        <f t="shared" si="67"/>
        <v/>
      </c>
      <c r="N661">
        <v>29555.11</v>
      </c>
      <c r="O661" t="s">
        <v>510</v>
      </c>
      <c r="Q661" t="s">
        <v>19</v>
      </c>
    </row>
    <row r="662" spans="1:17" x14ac:dyDescent="0.3">
      <c r="A662">
        <v>36059</v>
      </c>
      <c r="B662" t="s">
        <v>81</v>
      </c>
      <c r="C662" t="s">
        <v>19</v>
      </c>
      <c r="D662" t="s">
        <v>84</v>
      </c>
      <c r="E662" s="6">
        <v>20103.330000000002</v>
      </c>
      <c r="F662" t="s">
        <v>493</v>
      </c>
      <c r="G662" s="4" t="str">
        <f t="shared" si="62"/>
        <v>20103.33</v>
      </c>
      <c r="H662" t="str">
        <f t="shared" si="63"/>
        <v>20103.33</v>
      </c>
      <c r="I662" s="1">
        <v>45716</v>
      </c>
      <c r="J662" s="2">
        <f t="shared" si="64"/>
        <v>5.3424950402907755E-2</v>
      </c>
      <c r="K662" s="3" t="str">
        <f t="shared" si="65"/>
        <v/>
      </c>
      <c r="L662" t="str">
        <f t="shared" si="66"/>
        <v/>
      </c>
      <c r="M662" t="str">
        <f t="shared" si="67"/>
        <v/>
      </c>
      <c r="N662">
        <v>19083.78</v>
      </c>
      <c r="O662" t="s">
        <v>511</v>
      </c>
      <c r="Q662" t="s">
        <v>19</v>
      </c>
    </row>
    <row r="663" spans="1:17" x14ac:dyDescent="0.3">
      <c r="A663">
        <v>36060</v>
      </c>
      <c r="B663" t="s">
        <v>86</v>
      </c>
      <c r="C663" t="s">
        <v>19</v>
      </c>
      <c r="D663" t="s">
        <v>87</v>
      </c>
      <c r="E663" s="6">
        <v>43052.21</v>
      </c>
      <c r="F663" t="s">
        <v>493</v>
      </c>
      <c r="G663" s="4" t="str">
        <f t="shared" si="62"/>
        <v>43052.21</v>
      </c>
      <c r="H663" t="str">
        <f t="shared" si="63"/>
        <v>43052.21</v>
      </c>
      <c r="I663" s="1">
        <v>45716</v>
      </c>
      <c r="J663" s="2">
        <f t="shared" si="64"/>
        <v>5.2785753079759856E-2</v>
      </c>
      <c r="K663" s="3" t="str">
        <f t="shared" si="65"/>
        <v/>
      </c>
      <c r="L663" t="str">
        <f t="shared" si="66"/>
        <v/>
      </c>
      <c r="M663" t="str">
        <f t="shared" si="67"/>
        <v/>
      </c>
      <c r="N663">
        <v>40893.61</v>
      </c>
      <c r="O663" t="s">
        <v>512</v>
      </c>
      <c r="Q663" t="s">
        <v>19</v>
      </c>
    </row>
    <row r="664" spans="1:17" x14ac:dyDescent="0.3">
      <c r="A664">
        <v>36060</v>
      </c>
      <c r="B664" t="s">
        <v>86</v>
      </c>
      <c r="C664" t="s">
        <v>19</v>
      </c>
      <c r="D664" t="s">
        <v>89</v>
      </c>
      <c r="E664" s="6">
        <v>7476.11</v>
      </c>
      <c r="F664" t="s">
        <v>493</v>
      </c>
      <c r="G664" s="4" t="str">
        <f t="shared" si="62"/>
        <v>7476.11</v>
      </c>
      <c r="H664" t="str">
        <f t="shared" si="63"/>
        <v>7476.11</v>
      </c>
      <c r="I664" s="1">
        <v>45716</v>
      </c>
      <c r="J664" s="2">
        <f t="shared" si="64"/>
        <v>5.6389394436091887E-2</v>
      </c>
      <c r="K664" s="3" t="str">
        <f t="shared" si="65"/>
        <v/>
      </c>
      <c r="L664" t="str">
        <f t="shared" si="66"/>
        <v/>
      </c>
      <c r="M664" t="str">
        <f t="shared" si="67"/>
        <v/>
      </c>
      <c r="N664">
        <v>7077.04</v>
      </c>
      <c r="O664" t="s">
        <v>513</v>
      </c>
      <c r="Q664" t="s">
        <v>19</v>
      </c>
    </row>
    <row r="665" spans="1:17" x14ac:dyDescent="0.3">
      <c r="A665">
        <v>36355</v>
      </c>
      <c r="B665" t="s">
        <v>94</v>
      </c>
      <c r="C665" t="s">
        <v>19</v>
      </c>
      <c r="D665" t="s">
        <v>95</v>
      </c>
      <c r="E665" s="6">
        <v>470.17</v>
      </c>
      <c r="F665" t="s">
        <v>493</v>
      </c>
      <c r="G665" s="4" t="str">
        <f t="shared" si="62"/>
        <v>470.17</v>
      </c>
      <c r="H665" t="str">
        <f t="shared" si="63"/>
        <v>470.17</v>
      </c>
      <c r="I665" s="1">
        <v>45716</v>
      </c>
      <c r="J665" s="2">
        <f t="shared" si="64"/>
        <v>3.4272641281154537E-2</v>
      </c>
      <c r="K665" s="3" t="str">
        <f t="shared" si="65"/>
        <v/>
      </c>
      <c r="L665" t="str">
        <f t="shared" si="66"/>
        <v/>
      </c>
      <c r="M665" t="str">
        <f t="shared" si="67"/>
        <v/>
      </c>
      <c r="N665">
        <v>454.59</v>
      </c>
      <c r="O665" t="s">
        <v>514</v>
      </c>
      <c r="Q665" t="s">
        <v>19</v>
      </c>
    </row>
    <row r="666" spans="1:17" x14ac:dyDescent="0.3">
      <c r="A666">
        <v>37040</v>
      </c>
      <c r="B666" t="s">
        <v>596</v>
      </c>
      <c r="C666" t="s">
        <v>19</v>
      </c>
      <c r="D666" t="s">
        <v>97</v>
      </c>
      <c r="E666" s="6">
        <v>22593.86</v>
      </c>
      <c r="F666" t="s">
        <v>493</v>
      </c>
      <c r="G666" s="4" t="str">
        <f t="shared" si="62"/>
        <v>22593.86</v>
      </c>
      <c r="H666" t="str">
        <f t="shared" si="63"/>
        <v>22593.86</v>
      </c>
      <c r="I666" s="1">
        <v>45716</v>
      </c>
      <c r="J666" s="2">
        <f t="shared" si="64"/>
        <v>5.3267882449466689E-2</v>
      </c>
      <c r="K666" s="3" t="str">
        <f t="shared" si="65"/>
        <v/>
      </c>
      <c r="L666" t="str">
        <f t="shared" si="66"/>
        <v/>
      </c>
      <c r="M666" t="str">
        <f t="shared" si="67"/>
        <v/>
      </c>
      <c r="N666">
        <v>21451.200000000001</v>
      </c>
      <c r="O666" t="s">
        <v>515</v>
      </c>
      <c r="Q666" t="s">
        <v>19</v>
      </c>
    </row>
    <row r="667" spans="1:17" x14ac:dyDescent="0.3">
      <c r="A667">
        <v>37041</v>
      </c>
      <c r="B667" t="s">
        <v>99</v>
      </c>
      <c r="C667" t="s">
        <v>19</v>
      </c>
      <c r="D667" t="s">
        <v>100</v>
      </c>
      <c r="E667" s="6">
        <v>4143.3999999999996</v>
      </c>
      <c r="F667" t="s">
        <v>493</v>
      </c>
      <c r="G667" s="4" t="str">
        <f t="shared" si="62"/>
        <v>4143.4</v>
      </c>
      <c r="H667" t="str">
        <f t="shared" si="63"/>
        <v>4143.4</v>
      </c>
      <c r="I667" s="1">
        <v>45716</v>
      </c>
      <c r="J667" s="2">
        <f t="shared" si="64"/>
        <v>5.8153224591323514E-2</v>
      </c>
      <c r="K667" s="3" t="str">
        <f t="shared" si="65"/>
        <v/>
      </c>
      <c r="L667" t="str">
        <f t="shared" si="66"/>
        <v/>
      </c>
      <c r="M667" t="str">
        <f t="shared" si="67"/>
        <v/>
      </c>
      <c r="N667">
        <v>3915.69</v>
      </c>
      <c r="O667" t="s">
        <v>516</v>
      </c>
      <c r="Q667" t="s">
        <v>19</v>
      </c>
    </row>
    <row r="668" spans="1:17" x14ac:dyDescent="0.3">
      <c r="A668">
        <v>38586</v>
      </c>
      <c r="B668" t="s">
        <v>102</v>
      </c>
      <c r="C668" t="s">
        <v>19</v>
      </c>
      <c r="D668" t="s">
        <v>103</v>
      </c>
      <c r="E668" s="6">
        <v>2916.72</v>
      </c>
      <c r="F668" t="s">
        <v>493</v>
      </c>
      <c r="G668" s="4" t="str">
        <f t="shared" si="62"/>
        <v>2916.72</v>
      </c>
      <c r="H668" t="str">
        <f t="shared" si="63"/>
        <v>2916.72</v>
      </c>
      <c r="I668" s="1">
        <v>45716</v>
      </c>
      <c r="J668" s="2">
        <f t="shared" si="64"/>
        <v>6.0667881260704951E-2</v>
      </c>
      <c r="K668" s="3" t="str">
        <f t="shared" si="65"/>
        <v/>
      </c>
      <c r="L668" t="str">
        <f t="shared" si="66"/>
        <v/>
      </c>
      <c r="M668" t="str">
        <f t="shared" si="67"/>
        <v/>
      </c>
      <c r="N668">
        <v>2749.89</v>
      </c>
      <c r="O668" t="s">
        <v>517</v>
      </c>
      <c r="Q668" t="s">
        <v>19</v>
      </c>
    </row>
    <row r="669" spans="1:17" x14ac:dyDescent="0.3">
      <c r="A669">
        <v>38842</v>
      </c>
      <c r="B669" t="s">
        <v>105</v>
      </c>
      <c r="C669" t="s">
        <v>19</v>
      </c>
      <c r="D669" t="s">
        <v>106</v>
      </c>
      <c r="E669" s="6">
        <v>2149.35</v>
      </c>
      <c r="F669" t="s">
        <v>493</v>
      </c>
      <c r="G669" s="4" t="str">
        <f t="shared" si="62"/>
        <v>2149.35</v>
      </c>
      <c r="H669" t="str">
        <f t="shared" si="63"/>
        <v>2149.35</v>
      </c>
      <c r="I669" s="1">
        <v>45716</v>
      </c>
      <c r="J669" s="2">
        <f t="shared" si="64"/>
        <v>5.9153111156008679E-2</v>
      </c>
      <c r="K669" s="3" t="str">
        <f t="shared" si="65"/>
        <v/>
      </c>
      <c r="L669" t="str">
        <f t="shared" si="66"/>
        <v/>
      </c>
      <c r="M669" t="str">
        <f t="shared" si="67"/>
        <v/>
      </c>
      <c r="N669">
        <v>2029.31</v>
      </c>
      <c r="O669" t="s">
        <v>518</v>
      </c>
      <c r="Q669" t="s">
        <v>19</v>
      </c>
    </row>
    <row r="670" spans="1:17" x14ac:dyDescent="0.3">
      <c r="A670">
        <v>38851</v>
      </c>
      <c r="B670" t="s">
        <v>108</v>
      </c>
      <c r="C670" t="s">
        <v>19</v>
      </c>
      <c r="D670" t="s">
        <v>109</v>
      </c>
      <c r="E670" s="6">
        <v>177.23</v>
      </c>
      <c r="F670" t="s">
        <v>493</v>
      </c>
      <c r="G670" s="4" t="str">
        <f t="shared" si="62"/>
        <v>177.23</v>
      </c>
      <c r="H670" t="str">
        <f t="shared" si="63"/>
        <v>177.23</v>
      </c>
      <c r="I670" s="1">
        <v>45716</v>
      </c>
      <c r="J670" s="2">
        <f t="shared" si="64"/>
        <v>1.9676658420113846E-2</v>
      </c>
      <c r="K670" s="3" t="str">
        <f t="shared" si="65"/>
        <v/>
      </c>
      <c r="L670" t="str">
        <f t="shared" si="66"/>
        <v/>
      </c>
      <c r="M670" t="str">
        <f t="shared" si="67"/>
        <v/>
      </c>
      <c r="N670">
        <v>173.81</v>
      </c>
      <c r="O670" t="s">
        <v>519</v>
      </c>
      <c r="Q670" t="s">
        <v>19</v>
      </c>
    </row>
    <row r="671" spans="1:17" x14ac:dyDescent="0.3">
      <c r="A671">
        <v>38887</v>
      </c>
      <c r="B671" t="s">
        <v>111</v>
      </c>
      <c r="C671" t="s">
        <v>19</v>
      </c>
      <c r="D671" t="s">
        <v>112</v>
      </c>
      <c r="E671" s="6">
        <v>1088.94</v>
      </c>
      <c r="F671" t="s">
        <v>493</v>
      </c>
      <c r="G671" s="4" t="str">
        <f t="shared" si="62"/>
        <v>1088.94</v>
      </c>
      <c r="H671" t="str">
        <f t="shared" si="63"/>
        <v>1088.94</v>
      </c>
      <c r="I671" s="1">
        <v>45716</v>
      </c>
      <c r="J671" s="2">
        <f t="shared" si="64"/>
        <v>6.5843178325682553E-2</v>
      </c>
      <c r="K671" s="3" t="str">
        <f t="shared" si="65"/>
        <v/>
      </c>
      <c r="L671" t="str">
        <f t="shared" si="66"/>
        <v/>
      </c>
      <c r="M671" t="str">
        <f t="shared" si="67"/>
        <v/>
      </c>
      <c r="N671">
        <v>1021.67</v>
      </c>
      <c r="O671" t="s">
        <v>520</v>
      </c>
      <c r="Q671" t="s">
        <v>19</v>
      </c>
    </row>
    <row r="672" spans="1:17" x14ac:dyDescent="0.3">
      <c r="A672">
        <v>46589</v>
      </c>
      <c r="B672" t="s">
        <v>638</v>
      </c>
      <c r="C672" t="s">
        <v>19</v>
      </c>
      <c r="D672" t="s">
        <v>118</v>
      </c>
      <c r="E672" s="6">
        <v>53374.59</v>
      </c>
      <c r="F672" t="s">
        <v>493</v>
      </c>
      <c r="G672" s="4" t="str">
        <f t="shared" si="62"/>
        <v>53374.59</v>
      </c>
      <c r="H672" t="str">
        <f t="shared" si="63"/>
        <v>53374.59</v>
      </c>
      <c r="I672" s="1">
        <v>45716</v>
      </c>
      <c r="J672" s="2">
        <f t="shared" si="64"/>
        <v>4.7611691966233466E-2</v>
      </c>
      <c r="K672" s="3" t="str">
        <f t="shared" si="65"/>
        <v/>
      </c>
      <c r="L672" t="str">
        <f t="shared" si="66"/>
        <v/>
      </c>
      <c r="M672" t="str">
        <f t="shared" si="67"/>
        <v/>
      </c>
      <c r="N672">
        <v>50948.83</v>
      </c>
      <c r="O672" t="s">
        <v>521</v>
      </c>
      <c r="Q672" t="s">
        <v>19</v>
      </c>
    </row>
    <row r="673" spans="1:17" x14ac:dyDescent="0.3">
      <c r="A673">
        <v>46589</v>
      </c>
      <c r="B673" t="s">
        <v>638</v>
      </c>
      <c r="C673" t="s">
        <v>19</v>
      </c>
      <c r="D673" t="s">
        <v>120</v>
      </c>
      <c r="E673" s="6">
        <v>2515.89</v>
      </c>
      <c r="F673" t="s">
        <v>493</v>
      </c>
      <c r="G673" s="4" t="str">
        <f t="shared" si="62"/>
        <v>2515.89</v>
      </c>
      <c r="H673" t="str">
        <f t="shared" si="63"/>
        <v>2515.89</v>
      </c>
      <c r="I673" s="1">
        <v>45716</v>
      </c>
      <c r="J673" s="2">
        <f t="shared" si="64"/>
        <v>6.1924378899028375E-2</v>
      </c>
      <c r="K673" s="3" t="str">
        <f t="shared" si="65"/>
        <v/>
      </c>
      <c r="L673" t="str">
        <f t="shared" si="66"/>
        <v/>
      </c>
      <c r="M673" t="str">
        <f t="shared" si="67"/>
        <v/>
      </c>
      <c r="N673">
        <v>2369.1799999999998</v>
      </c>
      <c r="O673" t="s">
        <v>522</v>
      </c>
      <c r="Q673" t="s">
        <v>19</v>
      </c>
    </row>
    <row r="674" spans="1:17" x14ac:dyDescent="0.3">
      <c r="A674">
        <v>54985</v>
      </c>
      <c r="B674" t="s">
        <v>122</v>
      </c>
      <c r="C674" t="s">
        <v>19</v>
      </c>
      <c r="D674" t="s">
        <v>123</v>
      </c>
      <c r="E674" s="6">
        <v>1097.18</v>
      </c>
      <c r="F674" t="s">
        <v>493</v>
      </c>
      <c r="G674" s="4" t="str">
        <f t="shared" si="62"/>
        <v>1097.18</v>
      </c>
      <c r="H674" t="str">
        <f t="shared" si="63"/>
        <v>1097.18</v>
      </c>
      <c r="I674" s="1">
        <v>45716</v>
      </c>
      <c r="J674" s="2">
        <f t="shared" si="64"/>
        <v>6.0364156486779064E-2</v>
      </c>
      <c r="K674" s="3" t="str">
        <f t="shared" si="65"/>
        <v/>
      </c>
      <c r="L674" t="str">
        <f t="shared" si="66"/>
        <v/>
      </c>
      <c r="M674" t="str">
        <f t="shared" si="67"/>
        <v/>
      </c>
      <c r="N674">
        <v>1034.72</v>
      </c>
      <c r="O674" t="s">
        <v>523</v>
      </c>
      <c r="Q674" t="s">
        <v>19</v>
      </c>
    </row>
    <row r="675" spans="1:17" x14ac:dyDescent="0.3">
      <c r="A675">
        <v>69046</v>
      </c>
      <c r="B675" t="s">
        <v>131</v>
      </c>
      <c r="C675" t="s">
        <v>19</v>
      </c>
      <c r="D675" t="s">
        <v>132</v>
      </c>
      <c r="E675" s="6">
        <v>40246.28</v>
      </c>
      <c r="F675" t="s">
        <v>493</v>
      </c>
      <c r="G675" s="4" t="str">
        <f t="shared" si="62"/>
        <v>40246.28</v>
      </c>
      <c r="H675" t="str">
        <f t="shared" si="63"/>
        <v>40246.28</v>
      </c>
      <c r="I675" s="1">
        <v>45716</v>
      </c>
      <c r="J675" s="2">
        <f t="shared" si="64"/>
        <v>5.3523412631931659E-2</v>
      </c>
      <c r="K675" s="3" t="str">
        <f t="shared" si="65"/>
        <v/>
      </c>
      <c r="L675" t="str">
        <f t="shared" si="66"/>
        <v/>
      </c>
      <c r="M675" t="str">
        <f t="shared" si="67"/>
        <v/>
      </c>
      <c r="N675">
        <v>38201.599999999999</v>
      </c>
      <c r="O675" t="s">
        <v>524</v>
      </c>
      <c r="Q675" t="s">
        <v>19</v>
      </c>
    </row>
    <row r="676" spans="1:17" x14ac:dyDescent="0.3">
      <c r="A676">
        <v>72002</v>
      </c>
      <c r="B676" t="s">
        <v>134</v>
      </c>
      <c r="C676" t="s">
        <v>19</v>
      </c>
      <c r="D676" t="s">
        <v>137</v>
      </c>
      <c r="E676" s="6">
        <v>43357.68</v>
      </c>
      <c r="F676" t="s">
        <v>493</v>
      </c>
      <c r="G676" s="4" t="str">
        <f t="shared" si="62"/>
        <v>43357.68</v>
      </c>
      <c r="H676" t="str">
        <f t="shared" si="63"/>
        <v>43357.68</v>
      </c>
      <c r="I676" s="1">
        <v>45716</v>
      </c>
      <c r="J676" s="2">
        <f t="shared" si="64"/>
        <v>5.2776652748680743E-2</v>
      </c>
      <c r="K676" s="3" t="str">
        <f t="shared" si="65"/>
        <v/>
      </c>
      <c r="L676" t="str">
        <f t="shared" si="66"/>
        <v/>
      </c>
      <c r="M676" t="str">
        <f t="shared" si="67"/>
        <v/>
      </c>
      <c r="N676">
        <v>41184.120000000003</v>
      </c>
      <c r="O676" t="s">
        <v>525</v>
      </c>
      <c r="Q676" t="s">
        <v>19</v>
      </c>
    </row>
    <row r="677" spans="1:17" x14ac:dyDescent="0.3">
      <c r="A677">
        <v>72002</v>
      </c>
      <c r="B677" t="s">
        <v>134</v>
      </c>
      <c r="C677" t="s">
        <v>19</v>
      </c>
      <c r="D677" t="s">
        <v>139</v>
      </c>
      <c r="E677" s="6">
        <v>6334.18</v>
      </c>
      <c r="F677" t="s">
        <v>493</v>
      </c>
      <c r="G677" s="4" t="str">
        <f t="shared" si="62"/>
        <v>6334.18</v>
      </c>
      <c r="H677" t="str">
        <f t="shared" si="63"/>
        <v>6334.18</v>
      </c>
      <c r="I677" s="1">
        <v>45716</v>
      </c>
      <c r="J677" s="2">
        <f t="shared" si="64"/>
        <v>5.7376132423666258E-2</v>
      </c>
      <c r="K677" s="3" t="str">
        <f t="shared" si="65"/>
        <v/>
      </c>
      <c r="L677" t="str">
        <f t="shared" si="66"/>
        <v/>
      </c>
      <c r="M677" t="str">
        <f t="shared" si="67"/>
        <v/>
      </c>
      <c r="N677">
        <v>5990.47</v>
      </c>
      <c r="O677" t="s">
        <v>526</v>
      </c>
      <c r="Q677" t="s">
        <v>19</v>
      </c>
    </row>
    <row r="678" spans="1:17" x14ac:dyDescent="0.3">
      <c r="A678">
        <v>80212</v>
      </c>
      <c r="B678" t="s">
        <v>141</v>
      </c>
      <c r="C678" t="s">
        <v>590</v>
      </c>
      <c r="D678" t="s">
        <v>142</v>
      </c>
      <c r="E678" s="6">
        <v>311.95</v>
      </c>
      <c r="F678" t="s">
        <v>493</v>
      </c>
      <c r="G678" s="4" t="str">
        <f t="shared" si="62"/>
        <v>311.95</v>
      </c>
      <c r="H678" t="str">
        <f t="shared" si="63"/>
        <v>311.95</v>
      </c>
      <c r="I678" s="1">
        <v>45716</v>
      </c>
      <c r="J678" s="2">
        <f t="shared" si="64"/>
        <v>5.6526451263293365E-2</v>
      </c>
      <c r="K678" s="3" t="str">
        <f t="shared" si="65"/>
        <v/>
      </c>
      <c r="L678" t="str">
        <f t="shared" si="66"/>
        <v/>
      </c>
      <c r="M678" t="str">
        <f t="shared" si="67"/>
        <v>Check</v>
      </c>
      <c r="N678">
        <v>295.26</v>
      </c>
      <c r="O678" t="s">
        <v>527</v>
      </c>
      <c r="Q678" t="s">
        <v>16</v>
      </c>
    </row>
    <row r="679" spans="1:17" x14ac:dyDescent="0.3">
      <c r="A679">
        <v>81381</v>
      </c>
      <c r="B679" t="s">
        <v>593</v>
      </c>
      <c r="C679" t="s">
        <v>19</v>
      </c>
      <c r="D679" t="s">
        <v>146</v>
      </c>
      <c r="E679" s="6">
        <v>2977.19</v>
      </c>
      <c r="F679" t="s">
        <v>493</v>
      </c>
      <c r="G679" s="4" t="str">
        <f t="shared" si="62"/>
        <v>2977.19</v>
      </c>
      <c r="H679" t="str">
        <f t="shared" si="63"/>
        <v>2977.19</v>
      </c>
      <c r="I679" s="1">
        <v>45716</v>
      </c>
      <c r="J679" s="2">
        <f t="shared" si="64"/>
        <v>5.5037776234283506E-2</v>
      </c>
      <c r="K679" s="3" t="str">
        <f t="shared" si="65"/>
        <v/>
      </c>
      <c r="L679" t="str">
        <f t="shared" si="66"/>
        <v/>
      </c>
      <c r="M679" t="str">
        <f t="shared" si="67"/>
        <v/>
      </c>
      <c r="N679">
        <v>2821.88</v>
      </c>
      <c r="O679" t="s">
        <v>528</v>
      </c>
      <c r="Q679" t="s">
        <v>19</v>
      </c>
    </row>
    <row r="680" spans="1:17" x14ac:dyDescent="0.3">
      <c r="A680">
        <v>81381</v>
      </c>
      <c r="B680" t="s">
        <v>593</v>
      </c>
      <c r="C680" t="s">
        <v>19</v>
      </c>
      <c r="D680" t="s">
        <v>148</v>
      </c>
      <c r="E680" s="6">
        <v>100199.01</v>
      </c>
      <c r="F680" t="s">
        <v>493</v>
      </c>
      <c r="G680" s="4" t="str">
        <f t="shared" si="62"/>
        <v>100199.01</v>
      </c>
      <c r="H680" t="str">
        <f t="shared" si="63"/>
        <v>100199.01</v>
      </c>
      <c r="I680" s="1">
        <v>45716</v>
      </c>
      <c r="J680" s="2">
        <f t="shared" si="64"/>
        <v>5.24976741357275E-2</v>
      </c>
      <c r="K680" s="3" t="str">
        <f t="shared" si="65"/>
        <v/>
      </c>
      <c r="L680" t="str">
        <f t="shared" si="66"/>
        <v/>
      </c>
      <c r="M680" t="str">
        <f t="shared" si="67"/>
        <v/>
      </c>
      <c r="N680">
        <v>95201.17</v>
      </c>
      <c r="O680" t="s">
        <v>529</v>
      </c>
      <c r="Q680" t="s">
        <v>19</v>
      </c>
    </row>
    <row r="681" spans="1:17" x14ac:dyDescent="0.3">
      <c r="A681">
        <v>113590</v>
      </c>
      <c r="B681" t="s">
        <v>150</v>
      </c>
      <c r="C681" t="s">
        <v>19</v>
      </c>
      <c r="D681" t="s">
        <v>151</v>
      </c>
      <c r="E681" s="6">
        <v>11781.52</v>
      </c>
      <c r="F681" t="s">
        <v>493</v>
      </c>
      <c r="G681" s="4" t="str">
        <f t="shared" si="62"/>
        <v>11781.52</v>
      </c>
      <c r="H681" t="str">
        <f t="shared" si="63"/>
        <v>11781.52</v>
      </c>
      <c r="I681" s="1">
        <v>45716</v>
      </c>
      <c r="J681" s="2">
        <f t="shared" si="64"/>
        <v>5.2647003112859914E-2</v>
      </c>
      <c r="K681" s="3" t="str">
        <f t="shared" si="65"/>
        <v/>
      </c>
      <c r="L681" t="str">
        <f t="shared" si="66"/>
        <v/>
      </c>
      <c r="M681" t="str">
        <f t="shared" si="67"/>
        <v/>
      </c>
      <c r="N681">
        <v>11192.28</v>
      </c>
      <c r="O681" t="s">
        <v>530</v>
      </c>
      <c r="Q681" t="s">
        <v>19</v>
      </c>
    </row>
    <row r="682" spans="1:17" x14ac:dyDescent="0.3">
      <c r="A682">
        <v>113590</v>
      </c>
      <c r="B682" t="s">
        <v>150</v>
      </c>
      <c r="C682" t="s">
        <v>19</v>
      </c>
      <c r="D682" t="s">
        <v>153</v>
      </c>
      <c r="E682" s="6">
        <v>3072.06</v>
      </c>
      <c r="F682" t="s">
        <v>493</v>
      </c>
      <c r="G682" s="4" t="str">
        <f t="shared" si="62"/>
        <v>3072.06</v>
      </c>
      <c r="H682" t="str">
        <f t="shared" si="63"/>
        <v>3072.06</v>
      </c>
      <c r="I682" s="1">
        <v>45716</v>
      </c>
      <c r="J682" s="2">
        <f t="shared" si="64"/>
        <v>5.419817989650394E-2</v>
      </c>
      <c r="K682" s="3" t="str">
        <f t="shared" si="65"/>
        <v/>
      </c>
      <c r="L682" t="str">
        <f t="shared" si="66"/>
        <v/>
      </c>
      <c r="M682" t="str">
        <f t="shared" si="67"/>
        <v/>
      </c>
      <c r="N682">
        <v>2914.12</v>
      </c>
      <c r="O682" t="s">
        <v>531</v>
      </c>
      <c r="Q682" t="s">
        <v>19</v>
      </c>
    </row>
    <row r="683" spans="1:17" x14ac:dyDescent="0.3">
      <c r="A683">
        <v>130912</v>
      </c>
      <c r="B683" t="s">
        <v>604</v>
      </c>
      <c r="C683" t="s">
        <v>590</v>
      </c>
      <c r="D683" t="s">
        <v>605</v>
      </c>
      <c r="E683" s="6">
        <v>11075.63</v>
      </c>
      <c r="F683" t="s">
        <v>493</v>
      </c>
      <c r="G683" s="4" t="str">
        <f t="shared" si="62"/>
        <v>11075.63</v>
      </c>
      <c r="H683" t="str">
        <f t="shared" si="63"/>
        <v>11075.63</v>
      </c>
      <c r="I683" s="1">
        <v>45716</v>
      </c>
      <c r="J683" s="2">
        <f t="shared" si="64"/>
        <v>5.2419381659202742E-2</v>
      </c>
      <c r="K683" s="3" t="str">
        <f t="shared" si="65"/>
        <v/>
      </c>
      <c r="L683" t="str">
        <f t="shared" si="66"/>
        <v/>
      </c>
      <c r="M683" t="str">
        <f t="shared" si="67"/>
        <v/>
      </c>
      <c r="N683">
        <v>10523.97</v>
      </c>
      <c r="O683" t="s">
        <v>687</v>
      </c>
      <c r="Q683" t="s">
        <v>590</v>
      </c>
    </row>
    <row r="684" spans="1:17" x14ac:dyDescent="0.3">
      <c r="A684">
        <v>100202693</v>
      </c>
      <c r="B684" t="s">
        <v>594</v>
      </c>
      <c r="C684" t="s">
        <v>590</v>
      </c>
      <c r="D684" t="s">
        <v>599</v>
      </c>
      <c r="E684" s="6">
        <v>35522.28</v>
      </c>
      <c r="F684" t="s">
        <v>493</v>
      </c>
      <c r="G684" s="4" t="str">
        <f t="shared" si="62"/>
        <v>35522.28</v>
      </c>
      <c r="H684" t="str">
        <f t="shared" si="63"/>
        <v>35522.28</v>
      </c>
      <c r="I684" s="1">
        <v>45716</v>
      </c>
      <c r="J684" s="2">
        <f t="shared" si="64"/>
        <v>5.0876058426378545E-2</v>
      </c>
      <c r="K684" s="3" t="str">
        <f t="shared" si="65"/>
        <v/>
      </c>
      <c r="L684" t="str">
        <f t="shared" si="66"/>
        <v/>
      </c>
      <c r="M684" t="str">
        <f t="shared" si="67"/>
        <v/>
      </c>
      <c r="N684">
        <v>33802.54</v>
      </c>
      <c r="O684" t="s">
        <v>688</v>
      </c>
      <c r="Q684" t="s">
        <v>590</v>
      </c>
    </row>
    <row r="685" spans="1:17" x14ac:dyDescent="0.3">
      <c r="A685">
        <v>100202693</v>
      </c>
      <c r="B685" t="s">
        <v>594</v>
      </c>
      <c r="C685" t="s">
        <v>19</v>
      </c>
      <c r="D685" t="s">
        <v>597</v>
      </c>
      <c r="E685" s="6">
        <v>27691.03</v>
      </c>
      <c r="F685" t="s">
        <v>493</v>
      </c>
      <c r="G685" s="4" t="str">
        <f t="shared" si="62"/>
        <v>27691.03</v>
      </c>
      <c r="H685" t="str">
        <f t="shared" si="63"/>
        <v>27691.03</v>
      </c>
      <c r="I685" s="1">
        <v>45716</v>
      </c>
      <c r="J685" s="2">
        <f t="shared" si="64"/>
        <v>5.2188748572720468E-2</v>
      </c>
      <c r="K685" s="3" t="str">
        <f t="shared" si="65"/>
        <v/>
      </c>
      <c r="L685" t="str">
        <f t="shared" si="66"/>
        <v/>
      </c>
      <c r="M685" t="str">
        <f t="shared" si="67"/>
        <v/>
      </c>
      <c r="N685">
        <v>26317.55</v>
      </c>
      <c r="O685" t="s">
        <v>689</v>
      </c>
      <c r="Q685" t="s">
        <v>19</v>
      </c>
    </row>
    <row r="686" spans="1:17" x14ac:dyDescent="0.3">
      <c r="A686">
        <v>100202693</v>
      </c>
      <c r="B686" t="s">
        <v>594</v>
      </c>
      <c r="C686" t="s">
        <v>19</v>
      </c>
      <c r="D686" t="s">
        <v>598</v>
      </c>
      <c r="E686" s="6">
        <v>107963.3</v>
      </c>
      <c r="F686" t="s">
        <v>493</v>
      </c>
      <c r="G686" s="4" t="str">
        <f t="shared" si="62"/>
        <v>107963.3</v>
      </c>
      <c r="H686" t="str">
        <f t="shared" si="63"/>
        <v>107963.3</v>
      </c>
      <c r="I686" s="1">
        <v>45716</v>
      </c>
      <c r="J686" s="2">
        <f t="shared" si="64"/>
        <v>5.2459854748212409E-2</v>
      </c>
      <c r="K686" s="3" t="str">
        <f t="shared" si="65"/>
        <v/>
      </c>
      <c r="L686" t="str">
        <f t="shared" si="66"/>
        <v/>
      </c>
      <c r="M686" t="str">
        <f t="shared" si="67"/>
        <v/>
      </c>
      <c r="N686">
        <v>102581.87</v>
      </c>
      <c r="O686" t="s">
        <v>690</v>
      </c>
      <c r="Q686" t="s">
        <v>19</v>
      </c>
    </row>
    <row r="687" spans="1:17" x14ac:dyDescent="0.3">
      <c r="A687">
        <v>100220898</v>
      </c>
      <c r="B687" t="s">
        <v>166</v>
      </c>
      <c r="C687" t="s">
        <v>19</v>
      </c>
      <c r="D687" t="s">
        <v>167</v>
      </c>
      <c r="E687" s="6">
        <v>32571.77</v>
      </c>
      <c r="F687" t="s">
        <v>493</v>
      </c>
      <c r="G687" s="4" t="str">
        <f t="shared" si="62"/>
        <v>32571.77</v>
      </c>
      <c r="H687" t="str">
        <f t="shared" si="63"/>
        <v>32571.77</v>
      </c>
      <c r="I687" s="1">
        <v>45716</v>
      </c>
      <c r="J687" s="2">
        <f t="shared" si="64"/>
        <v>5.2211332769513938E-2</v>
      </c>
      <c r="K687" s="3" t="str">
        <f t="shared" si="65"/>
        <v/>
      </c>
      <c r="L687" t="str">
        <f t="shared" si="66"/>
        <v/>
      </c>
      <c r="M687" t="str">
        <f t="shared" si="67"/>
        <v/>
      </c>
      <c r="N687">
        <v>30955.54</v>
      </c>
      <c r="O687" t="s">
        <v>532</v>
      </c>
      <c r="Q687" t="s">
        <v>19</v>
      </c>
    </row>
    <row r="688" spans="1:17" x14ac:dyDescent="0.3">
      <c r="A688">
        <v>100220898</v>
      </c>
      <c r="B688" t="s">
        <v>166</v>
      </c>
      <c r="C688" t="s">
        <v>19</v>
      </c>
      <c r="D688" t="s">
        <v>169</v>
      </c>
      <c r="E688" s="6">
        <v>24045.77</v>
      </c>
      <c r="F688" t="s">
        <v>493</v>
      </c>
      <c r="G688" s="4" t="str">
        <f t="shared" si="62"/>
        <v>24045.77</v>
      </c>
      <c r="H688" t="str">
        <f t="shared" si="63"/>
        <v>24045.77</v>
      </c>
      <c r="I688" s="1">
        <v>45716</v>
      </c>
      <c r="J688" s="2">
        <f t="shared" si="64"/>
        <v>3.8901499996975612E-2</v>
      </c>
      <c r="K688" s="3" t="str">
        <f t="shared" si="65"/>
        <v/>
      </c>
      <c r="L688" t="str">
        <f t="shared" si="66"/>
        <v/>
      </c>
      <c r="M688" t="str">
        <f t="shared" si="67"/>
        <v/>
      </c>
      <c r="N688">
        <v>23145.38</v>
      </c>
      <c r="O688" t="s">
        <v>533</v>
      </c>
      <c r="Q688" t="s">
        <v>19</v>
      </c>
    </row>
    <row r="689" spans="1:17" x14ac:dyDescent="0.3">
      <c r="A689">
        <v>100247003</v>
      </c>
      <c r="B689" t="s">
        <v>105</v>
      </c>
      <c r="C689" t="s">
        <v>19</v>
      </c>
      <c r="D689" t="s">
        <v>171</v>
      </c>
      <c r="E689" s="6">
        <v>12041.27</v>
      </c>
      <c r="F689" t="s">
        <v>493</v>
      </c>
      <c r="G689" s="4" t="str">
        <f t="shared" si="62"/>
        <v>12041.27</v>
      </c>
      <c r="H689" t="str">
        <f t="shared" si="63"/>
        <v>12041.27</v>
      </c>
      <c r="I689" s="1">
        <v>45716</v>
      </c>
      <c r="J689" s="2">
        <f t="shared" si="64"/>
        <v>4.2223787893475875E-2</v>
      </c>
      <c r="K689" s="3" t="str">
        <f t="shared" si="65"/>
        <v/>
      </c>
      <c r="L689" t="str">
        <f t="shared" si="66"/>
        <v/>
      </c>
      <c r="M689" t="str">
        <f t="shared" si="67"/>
        <v/>
      </c>
      <c r="N689">
        <v>11553.44</v>
      </c>
      <c r="O689" t="s">
        <v>534</v>
      </c>
      <c r="Q689" t="s">
        <v>19</v>
      </c>
    </row>
    <row r="690" spans="1:17" x14ac:dyDescent="0.3">
      <c r="A690">
        <v>100249944</v>
      </c>
      <c r="B690" t="s">
        <v>173</v>
      </c>
      <c r="C690" t="s">
        <v>19</v>
      </c>
      <c r="D690" t="s">
        <v>174</v>
      </c>
      <c r="E690" s="6">
        <v>26353.15</v>
      </c>
      <c r="F690" t="s">
        <v>493</v>
      </c>
      <c r="G690" s="4" t="str">
        <f t="shared" si="62"/>
        <v>26353.15</v>
      </c>
      <c r="H690" t="str">
        <f t="shared" si="63"/>
        <v>26353.15</v>
      </c>
      <c r="I690" s="1">
        <v>45716</v>
      </c>
      <c r="J690" s="2">
        <f t="shared" si="64"/>
        <v>5.2624115911417718E-2</v>
      </c>
      <c r="K690" s="3" t="str">
        <f t="shared" si="65"/>
        <v/>
      </c>
      <c r="L690" t="str">
        <f t="shared" si="66"/>
        <v/>
      </c>
      <c r="M690" t="str">
        <f t="shared" si="67"/>
        <v/>
      </c>
      <c r="N690">
        <v>25035.67</v>
      </c>
      <c r="O690" t="s">
        <v>535</v>
      </c>
      <c r="Q690" t="s">
        <v>19</v>
      </c>
    </row>
    <row r="691" spans="1:17" x14ac:dyDescent="0.3">
      <c r="A691">
        <v>100250182</v>
      </c>
      <c r="B691" t="s">
        <v>176</v>
      </c>
      <c r="C691" t="s">
        <v>19</v>
      </c>
      <c r="D691" t="s">
        <v>177</v>
      </c>
      <c r="E691" s="6">
        <v>51162.75</v>
      </c>
      <c r="F691" t="s">
        <v>493</v>
      </c>
      <c r="G691" s="4" t="str">
        <f t="shared" si="62"/>
        <v>51162.75</v>
      </c>
      <c r="H691" t="str">
        <f t="shared" si="63"/>
        <v>51162.75</v>
      </c>
      <c r="I691" s="1">
        <v>45716</v>
      </c>
      <c r="J691" s="2">
        <f t="shared" si="64"/>
        <v>5.2317699768671198E-2</v>
      </c>
      <c r="K691" s="3" t="str">
        <f t="shared" si="65"/>
        <v/>
      </c>
      <c r="L691" t="str">
        <f t="shared" si="66"/>
        <v/>
      </c>
      <c r="M691" t="str">
        <f t="shared" si="67"/>
        <v/>
      </c>
      <c r="N691">
        <v>48619.11</v>
      </c>
      <c r="O691" t="s">
        <v>536</v>
      </c>
      <c r="Q691" t="s">
        <v>19</v>
      </c>
    </row>
    <row r="692" spans="1:17" x14ac:dyDescent="0.3">
      <c r="A692">
        <v>100273792</v>
      </c>
      <c r="B692" t="s">
        <v>182</v>
      </c>
      <c r="C692" t="s">
        <v>19</v>
      </c>
      <c r="D692" t="s">
        <v>183</v>
      </c>
      <c r="E692" s="6">
        <v>27889.62</v>
      </c>
      <c r="F692" t="s">
        <v>493</v>
      </c>
      <c r="G692" s="4" t="str">
        <f t="shared" si="62"/>
        <v>27889.62</v>
      </c>
      <c r="H692" t="str">
        <f t="shared" si="63"/>
        <v>27889.62</v>
      </c>
      <c r="I692" s="1">
        <v>45716</v>
      </c>
      <c r="J692" s="2">
        <f t="shared" si="64"/>
        <v>4.1237525233273585E-2</v>
      </c>
      <c r="K692" s="3" t="str">
        <f t="shared" si="65"/>
        <v/>
      </c>
      <c r="L692" t="str">
        <f t="shared" si="66"/>
        <v/>
      </c>
      <c r="M692" t="str">
        <f t="shared" si="67"/>
        <v/>
      </c>
      <c r="N692">
        <v>26785.07</v>
      </c>
      <c r="O692" t="s">
        <v>537</v>
      </c>
      <c r="Q692" t="s">
        <v>19</v>
      </c>
    </row>
    <row r="693" spans="1:17" x14ac:dyDescent="0.3">
      <c r="A693">
        <v>100273792</v>
      </c>
      <c r="B693" t="s">
        <v>182</v>
      </c>
      <c r="C693" t="s">
        <v>19</v>
      </c>
      <c r="D693" t="s">
        <v>185</v>
      </c>
      <c r="E693" s="6">
        <v>38339.51</v>
      </c>
      <c r="F693" t="s">
        <v>493</v>
      </c>
      <c r="G693" s="4" t="str">
        <f t="shared" si="62"/>
        <v>38339.51</v>
      </c>
      <c r="H693" t="str">
        <f t="shared" si="63"/>
        <v>38339.51</v>
      </c>
      <c r="I693" s="1">
        <v>45716</v>
      </c>
      <c r="J693" s="2">
        <f t="shared" si="64"/>
        <v>4.0604448545876533E-2</v>
      </c>
      <c r="K693" s="3" t="str">
        <f t="shared" si="65"/>
        <v/>
      </c>
      <c r="L693" t="str">
        <f t="shared" si="66"/>
        <v/>
      </c>
      <c r="M693" t="str">
        <f t="shared" si="67"/>
        <v/>
      </c>
      <c r="N693">
        <v>36843.5</v>
      </c>
      <c r="O693" t="s">
        <v>538</v>
      </c>
      <c r="Q693" t="s">
        <v>19</v>
      </c>
    </row>
    <row r="694" spans="1:17" x14ac:dyDescent="0.3">
      <c r="A694">
        <v>100278188</v>
      </c>
      <c r="B694" t="s">
        <v>187</v>
      </c>
      <c r="C694" t="s">
        <v>19</v>
      </c>
      <c r="D694" t="s">
        <v>192</v>
      </c>
      <c r="E694" s="6">
        <v>10635.36</v>
      </c>
      <c r="F694" t="s">
        <v>493</v>
      </c>
      <c r="G694" s="4" t="str">
        <f t="shared" si="62"/>
        <v>10635.36</v>
      </c>
      <c r="H694" t="str">
        <f t="shared" si="63"/>
        <v>10635.36</v>
      </c>
      <c r="I694" s="1">
        <v>45716</v>
      </c>
      <c r="J694" s="2">
        <f t="shared" si="64"/>
        <v>5.4871287246556905E-2</v>
      </c>
      <c r="K694" s="3" t="str">
        <f t="shared" si="65"/>
        <v/>
      </c>
      <c r="L694" t="str">
        <f t="shared" si="66"/>
        <v/>
      </c>
      <c r="M694" t="str">
        <f t="shared" si="67"/>
        <v/>
      </c>
      <c r="N694">
        <v>10082.14</v>
      </c>
      <c r="O694" t="s">
        <v>540</v>
      </c>
      <c r="Q694" t="s">
        <v>19</v>
      </c>
    </row>
    <row r="695" spans="1:17" x14ac:dyDescent="0.3">
      <c r="A695">
        <v>100278188</v>
      </c>
      <c r="B695" t="s">
        <v>187</v>
      </c>
      <c r="C695" t="s">
        <v>19</v>
      </c>
      <c r="D695" t="s">
        <v>194</v>
      </c>
      <c r="E695" s="6">
        <v>19451.830000000002</v>
      </c>
      <c r="F695" t="s">
        <v>493</v>
      </c>
      <c r="G695" s="4" t="str">
        <f t="shared" si="62"/>
        <v>19451.83</v>
      </c>
      <c r="H695" t="str">
        <f t="shared" si="63"/>
        <v>19451.83</v>
      </c>
      <c r="I695" s="1">
        <v>45716</v>
      </c>
      <c r="J695" s="2">
        <f t="shared" si="64"/>
        <v>5.3025824585109071E-2</v>
      </c>
      <c r="K695" s="3" t="str">
        <f t="shared" si="65"/>
        <v/>
      </c>
      <c r="L695" t="str">
        <f t="shared" si="66"/>
        <v/>
      </c>
      <c r="M695" t="str">
        <f t="shared" si="67"/>
        <v/>
      </c>
      <c r="N695">
        <v>18472.32</v>
      </c>
      <c r="O695" t="s">
        <v>541</v>
      </c>
      <c r="Q695" t="s">
        <v>19</v>
      </c>
    </row>
    <row r="696" spans="1:17" x14ac:dyDescent="0.3">
      <c r="A696">
        <v>100278188</v>
      </c>
      <c r="B696" t="s">
        <v>187</v>
      </c>
      <c r="C696" t="s">
        <v>19</v>
      </c>
      <c r="D696" t="s">
        <v>190</v>
      </c>
      <c r="E696" s="6">
        <v>5941.11</v>
      </c>
      <c r="F696" t="s">
        <v>493</v>
      </c>
      <c r="G696" s="4" t="str">
        <f t="shared" si="62"/>
        <v>5941.11</v>
      </c>
      <c r="H696" t="str">
        <f t="shared" si="63"/>
        <v>5941.11</v>
      </c>
      <c r="I696" s="1">
        <v>45716</v>
      </c>
      <c r="J696" s="2">
        <f t="shared" si="64"/>
        <v>5.3922733868592823E-2</v>
      </c>
      <c r="K696" s="3" t="str">
        <f t="shared" si="65"/>
        <v/>
      </c>
      <c r="L696" t="str">
        <f t="shared" si="66"/>
        <v/>
      </c>
      <c r="M696" t="str">
        <f t="shared" si="67"/>
        <v/>
      </c>
      <c r="N696">
        <v>5637.14</v>
      </c>
      <c r="O696" t="s">
        <v>539</v>
      </c>
      <c r="Q696" t="s">
        <v>19</v>
      </c>
    </row>
    <row r="697" spans="1:17" x14ac:dyDescent="0.3">
      <c r="A697">
        <v>100325823</v>
      </c>
      <c r="B697" t="s">
        <v>202</v>
      </c>
      <c r="C697" t="s">
        <v>19</v>
      </c>
      <c r="D697" t="s">
        <v>203</v>
      </c>
      <c r="E697" s="6">
        <v>26040.69</v>
      </c>
      <c r="F697" t="s">
        <v>493</v>
      </c>
      <c r="G697" s="4" t="str">
        <f t="shared" si="62"/>
        <v>26040.69</v>
      </c>
      <c r="H697" t="str">
        <f t="shared" si="63"/>
        <v>26040.69</v>
      </c>
      <c r="I697" s="1">
        <v>45716</v>
      </c>
      <c r="J697" s="2">
        <f t="shared" si="64"/>
        <v>5.2545868806301549E-2</v>
      </c>
      <c r="K697" s="3" t="str">
        <f t="shared" si="65"/>
        <v/>
      </c>
      <c r="L697" t="str">
        <f t="shared" si="66"/>
        <v/>
      </c>
      <c r="M697" t="str">
        <f t="shared" si="67"/>
        <v/>
      </c>
      <c r="N697">
        <v>24740.67</v>
      </c>
      <c r="O697" t="s">
        <v>542</v>
      </c>
      <c r="Q697" t="s">
        <v>19</v>
      </c>
    </row>
    <row r="698" spans="1:17" x14ac:dyDescent="0.3">
      <c r="A698">
        <v>100376880</v>
      </c>
      <c r="B698" t="s">
        <v>205</v>
      </c>
      <c r="C698" t="s">
        <v>19</v>
      </c>
      <c r="D698" t="s">
        <v>208</v>
      </c>
      <c r="E698" s="6">
        <v>1953.56</v>
      </c>
      <c r="F698" t="s">
        <v>493</v>
      </c>
      <c r="G698" s="4" t="str">
        <f t="shared" si="62"/>
        <v>1953.56</v>
      </c>
      <c r="H698" t="str">
        <f t="shared" si="63"/>
        <v>1953.56</v>
      </c>
      <c r="I698" s="1">
        <v>45716</v>
      </c>
      <c r="J698" s="2">
        <f t="shared" si="64"/>
        <v>5.0097830527424829E-2</v>
      </c>
      <c r="K698" s="3" t="str">
        <f t="shared" si="65"/>
        <v/>
      </c>
      <c r="L698" t="str">
        <f t="shared" si="66"/>
        <v/>
      </c>
      <c r="M698" t="str">
        <f t="shared" si="67"/>
        <v/>
      </c>
      <c r="N698">
        <v>1860.36</v>
      </c>
      <c r="O698" t="s">
        <v>543</v>
      </c>
      <c r="Q698" t="s">
        <v>19</v>
      </c>
    </row>
    <row r="699" spans="1:17" x14ac:dyDescent="0.3">
      <c r="A699">
        <v>100388471</v>
      </c>
      <c r="B699" t="s">
        <v>210</v>
      </c>
      <c r="C699" t="s">
        <v>19</v>
      </c>
      <c r="D699" t="s">
        <v>211</v>
      </c>
      <c r="E699" s="6">
        <v>34067.019999999997</v>
      </c>
      <c r="F699" t="s">
        <v>493</v>
      </c>
      <c r="G699" s="4" t="str">
        <f t="shared" si="62"/>
        <v>34067.02</v>
      </c>
      <c r="H699" t="str">
        <f t="shared" si="63"/>
        <v>34067.02</v>
      </c>
      <c r="I699" s="1">
        <v>45716</v>
      </c>
      <c r="J699" s="2">
        <f t="shared" si="64"/>
        <v>6.2215747814739625E-3</v>
      </c>
      <c r="K699" s="3" t="str">
        <f t="shared" si="65"/>
        <v/>
      </c>
      <c r="L699" t="str">
        <f t="shared" si="66"/>
        <v/>
      </c>
      <c r="M699" t="str">
        <f t="shared" si="67"/>
        <v/>
      </c>
      <c r="N699">
        <v>33856.379999999997</v>
      </c>
      <c r="O699" t="s">
        <v>544</v>
      </c>
      <c r="Q699" t="s">
        <v>19</v>
      </c>
    </row>
    <row r="700" spans="1:17" x14ac:dyDescent="0.3">
      <c r="A700">
        <v>100388471</v>
      </c>
      <c r="B700" t="s">
        <v>210</v>
      </c>
      <c r="C700" t="s">
        <v>19</v>
      </c>
      <c r="D700" t="s">
        <v>213</v>
      </c>
      <c r="E700" s="6">
        <v>3573.05</v>
      </c>
      <c r="F700" t="s">
        <v>493</v>
      </c>
      <c r="G700" s="4" t="str">
        <f t="shared" si="62"/>
        <v>3573.05</v>
      </c>
      <c r="H700" t="str">
        <f t="shared" si="63"/>
        <v>3573.05</v>
      </c>
      <c r="I700" s="1">
        <v>45716</v>
      </c>
      <c r="J700" s="2">
        <f t="shared" si="64"/>
        <v>5.1113464536816401E-2</v>
      </c>
      <c r="K700" s="3" t="str">
        <f t="shared" si="65"/>
        <v/>
      </c>
      <c r="L700" t="str">
        <f t="shared" si="66"/>
        <v/>
      </c>
      <c r="M700" t="str">
        <f t="shared" si="67"/>
        <v/>
      </c>
      <c r="N700">
        <v>3399.3</v>
      </c>
      <c r="O700" t="s">
        <v>545</v>
      </c>
      <c r="Q700" t="s">
        <v>19</v>
      </c>
    </row>
    <row r="701" spans="1:17" x14ac:dyDescent="0.3">
      <c r="A701">
        <v>100408912</v>
      </c>
      <c r="B701" t="s">
        <v>215</v>
      </c>
      <c r="C701" t="s">
        <v>19</v>
      </c>
      <c r="D701" t="s">
        <v>216</v>
      </c>
      <c r="E701" s="6">
        <v>93785.82</v>
      </c>
      <c r="F701" t="s">
        <v>493</v>
      </c>
      <c r="G701" s="4" t="str">
        <f t="shared" si="62"/>
        <v>93785.82</v>
      </c>
      <c r="H701" t="str">
        <f t="shared" si="63"/>
        <v>93785.82</v>
      </c>
      <c r="I701" s="1">
        <v>45716</v>
      </c>
      <c r="J701" s="2">
        <f t="shared" si="64"/>
        <v>5.2434774246102114E-2</v>
      </c>
      <c r="K701" s="3" t="str">
        <f t="shared" si="65"/>
        <v/>
      </c>
      <c r="L701" t="str">
        <f t="shared" si="66"/>
        <v/>
      </c>
      <c r="M701" t="str">
        <f t="shared" si="67"/>
        <v/>
      </c>
      <c r="N701">
        <v>89113.19</v>
      </c>
      <c r="O701" t="s">
        <v>546</v>
      </c>
      <c r="Q701" t="s">
        <v>19</v>
      </c>
    </row>
    <row r="702" spans="1:17" x14ac:dyDescent="0.3">
      <c r="A702">
        <v>100421069</v>
      </c>
      <c r="B702" t="s">
        <v>218</v>
      </c>
      <c r="C702" t="s">
        <v>19</v>
      </c>
      <c r="D702" t="s">
        <v>220</v>
      </c>
      <c r="E702" s="6">
        <v>16408.169999999998</v>
      </c>
      <c r="F702" t="s">
        <v>493</v>
      </c>
      <c r="G702" s="4" t="str">
        <f t="shared" si="62"/>
        <v>16408.17</v>
      </c>
      <c r="H702" t="str">
        <f t="shared" si="63"/>
        <v>16408.17</v>
      </c>
      <c r="I702" s="1">
        <v>45716</v>
      </c>
      <c r="J702" s="2">
        <f t="shared" si="64"/>
        <v>5.2447357331296095E-2</v>
      </c>
      <c r="K702" s="3" t="str">
        <f t="shared" si="65"/>
        <v/>
      </c>
      <c r="L702" t="str">
        <f t="shared" si="66"/>
        <v/>
      </c>
      <c r="M702" t="str">
        <f t="shared" si="67"/>
        <v/>
      </c>
      <c r="N702">
        <v>15590.49</v>
      </c>
      <c r="O702" t="s">
        <v>547</v>
      </c>
      <c r="Q702" t="s">
        <v>19</v>
      </c>
    </row>
    <row r="703" spans="1:17" x14ac:dyDescent="0.3">
      <c r="A703">
        <v>100421069</v>
      </c>
      <c r="B703" t="s">
        <v>218</v>
      </c>
      <c r="C703" t="s">
        <v>19</v>
      </c>
      <c r="D703" t="s">
        <v>222</v>
      </c>
      <c r="E703" s="6">
        <v>7127.48</v>
      </c>
      <c r="F703" t="s">
        <v>493</v>
      </c>
      <c r="G703" s="4" t="str">
        <f t="shared" si="62"/>
        <v>7127.48</v>
      </c>
      <c r="H703" t="str">
        <f t="shared" si="63"/>
        <v>7127.48</v>
      </c>
      <c r="I703" s="1">
        <v>45716</v>
      </c>
      <c r="J703" s="2">
        <f t="shared" si="64"/>
        <v>4.3023466813395229E-2</v>
      </c>
      <c r="K703" s="3" t="str">
        <f t="shared" si="65"/>
        <v/>
      </c>
      <c r="L703" t="str">
        <f t="shared" si="66"/>
        <v/>
      </c>
      <c r="M703" t="str">
        <f t="shared" si="67"/>
        <v/>
      </c>
      <c r="N703">
        <v>6833.48</v>
      </c>
      <c r="O703" t="s">
        <v>548</v>
      </c>
      <c r="Q703" t="s">
        <v>19</v>
      </c>
    </row>
    <row r="704" spans="1:17" x14ac:dyDescent="0.3">
      <c r="A704">
        <v>100421069</v>
      </c>
      <c r="B704" t="s">
        <v>218</v>
      </c>
      <c r="C704" t="s">
        <v>19</v>
      </c>
      <c r="D704" t="s">
        <v>224</v>
      </c>
      <c r="E704" s="6">
        <v>8949.32</v>
      </c>
      <c r="F704" t="s">
        <v>493</v>
      </c>
      <c r="G704" s="4" t="str">
        <f t="shared" si="62"/>
        <v>8949.32</v>
      </c>
      <c r="H704" t="str">
        <f t="shared" si="63"/>
        <v>8949.32</v>
      </c>
      <c r="I704" s="1">
        <v>45716</v>
      </c>
      <c r="J704" s="2">
        <f t="shared" si="64"/>
        <v>5.2665504529746207E-2</v>
      </c>
      <c r="K704" s="3" t="str">
        <f t="shared" si="65"/>
        <v/>
      </c>
      <c r="L704" t="str">
        <f t="shared" si="66"/>
        <v/>
      </c>
      <c r="M704" t="str">
        <f t="shared" si="67"/>
        <v/>
      </c>
      <c r="N704">
        <v>8501.58</v>
      </c>
      <c r="O704" t="s">
        <v>549</v>
      </c>
      <c r="Q704" t="s">
        <v>19</v>
      </c>
    </row>
    <row r="705" spans="1:17" x14ac:dyDescent="0.3">
      <c r="A705">
        <v>100489695</v>
      </c>
      <c r="B705" t="s">
        <v>229</v>
      </c>
      <c r="C705" t="s">
        <v>590</v>
      </c>
      <c r="D705" t="s">
        <v>230</v>
      </c>
      <c r="E705" s="6">
        <v>333758.05</v>
      </c>
      <c r="F705" t="s">
        <v>493</v>
      </c>
      <c r="G705" s="4" t="str">
        <f t="shared" si="62"/>
        <v>333758.05</v>
      </c>
      <c r="H705" t="str">
        <f t="shared" si="63"/>
        <v>333758.05</v>
      </c>
      <c r="I705" s="1">
        <v>45716</v>
      </c>
      <c r="J705" s="2">
        <f t="shared" si="64"/>
        <v>-0.14105341139491859</v>
      </c>
      <c r="K705" s="3" t="str">
        <f t="shared" si="65"/>
        <v>Check!</v>
      </c>
      <c r="L705" t="str">
        <f t="shared" si="66"/>
        <v/>
      </c>
      <c r="M705" t="str">
        <f t="shared" si="67"/>
        <v>Check</v>
      </c>
      <c r="N705">
        <v>388566.71</v>
      </c>
      <c r="O705" t="s">
        <v>550</v>
      </c>
      <c r="Q705" t="s">
        <v>16</v>
      </c>
    </row>
    <row r="706" spans="1:17" x14ac:dyDescent="0.3">
      <c r="A706">
        <v>100492707</v>
      </c>
      <c r="B706" t="s">
        <v>232</v>
      </c>
      <c r="C706" t="s">
        <v>19</v>
      </c>
      <c r="D706" t="s">
        <v>233</v>
      </c>
      <c r="E706" s="6">
        <v>8224.91</v>
      </c>
      <c r="F706" t="s">
        <v>493</v>
      </c>
      <c r="G706" s="4" t="str">
        <f t="shared" si="62"/>
        <v>8224.91</v>
      </c>
      <c r="H706" t="str">
        <f t="shared" si="63"/>
        <v>8224.91</v>
      </c>
      <c r="I706" s="1">
        <v>45716</v>
      </c>
      <c r="J706" s="2">
        <f t="shared" si="64"/>
        <v>5.2855862775217595E-2</v>
      </c>
      <c r="K706" s="3" t="str">
        <f t="shared" si="65"/>
        <v/>
      </c>
      <c r="L706" t="str">
        <f t="shared" si="66"/>
        <v/>
      </c>
      <c r="M706" t="str">
        <f t="shared" si="67"/>
        <v/>
      </c>
      <c r="N706">
        <v>7812</v>
      </c>
      <c r="O706" t="s">
        <v>551</v>
      </c>
      <c r="Q706" t="s">
        <v>19</v>
      </c>
    </row>
    <row r="707" spans="1:17" x14ac:dyDescent="0.3">
      <c r="A707">
        <v>100492707</v>
      </c>
      <c r="B707" t="s">
        <v>232</v>
      </c>
      <c r="C707" t="s">
        <v>19</v>
      </c>
      <c r="D707" t="s">
        <v>624</v>
      </c>
      <c r="E707" s="6">
        <v>117230.57</v>
      </c>
      <c r="F707" t="s">
        <v>493</v>
      </c>
      <c r="G707" s="4" t="str">
        <f t="shared" ref="G707:G770" si="68">SUBSTITUTE(E707,"R","")</f>
        <v>117230.57</v>
      </c>
      <c r="H707" t="str">
        <f t="shared" ref="H707:H770" si="69">SUBSTITUTE(G707,",","")</f>
        <v>117230.57</v>
      </c>
      <c r="I707" s="1">
        <v>45716</v>
      </c>
      <c r="J707" s="2">
        <f t="shared" ref="J707:J770" si="70">(H707-N707)/N707</f>
        <v>5.2302586283814637E-2</v>
      </c>
      <c r="K707" s="3" t="str">
        <f t="shared" ref="K707:K770" si="71">IF(ABS(J707)&gt;0.1,"Check!","")</f>
        <v/>
      </c>
      <c r="L707" t="str">
        <f t="shared" ref="L707:L770" si="72">IF(LEFT(O707,10)&lt;&gt;LEFT(D707,10),"Check","")</f>
        <v/>
      </c>
      <c r="M707" t="str">
        <f t="shared" ref="M707:M770" si="73">IF(Q707&lt;&gt;C707,"Check","")</f>
        <v/>
      </c>
      <c r="N707">
        <v>111403.86</v>
      </c>
      <c r="O707" t="s">
        <v>691</v>
      </c>
      <c r="Q707" t="s">
        <v>19</v>
      </c>
    </row>
    <row r="708" spans="1:17" x14ac:dyDescent="0.3">
      <c r="A708">
        <v>100564770</v>
      </c>
      <c r="B708" t="s">
        <v>241</v>
      </c>
      <c r="C708" t="s">
        <v>19</v>
      </c>
      <c r="D708" t="s">
        <v>242</v>
      </c>
      <c r="E708" s="6">
        <v>21509.27</v>
      </c>
      <c r="F708" t="s">
        <v>493</v>
      </c>
      <c r="G708" s="4" t="str">
        <f t="shared" si="68"/>
        <v>21509.27</v>
      </c>
      <c r="H708" t="str">
        <f t="shared" si="69"/>
        <v>21509.27</v>
      </c>
      <c r="I708" s="1">
        <v>45716</v>
      </c>
      <c r="J708" s="2">
        <f t="shared" si="70"/>
        <v>4.8869415958375489E-2</v>
      </c>
      <c r="K708" s="3" t="str">
        <f t="shared" si="71"/>
        <v/>
      </c>
      <c r="L708" t="str">
        <f t="shared" si="72"/>
        <v/>
      </c>
      <c r="M708" t="str">
        <f t="shared" si="73"/>
        <v/>
      </c>
      <c r="N708">
        <v>20507.099999999999</v>
      </c>
      <c r="O708" t="s">
        <v>552</v>
      </c>
      <c r="Q708" t="s">
        <v>19</v>
      </c>
    </row>
    <row r="709" spans="1:17" x14ac:dyDescent="0.3">
      <c r="A709">
        <v>100596689</v>
      </c>
      <c r="B709" t="s">
        <v>250</v>
      </c>
      <c r="C709" t="s">
        <v>590</v>
      </c>
      <c r="D709" t="s">
        <v>251</v>
      </c>
      <c r="E709" s="6">
        <v>591.88</v>
      </c>
      <c r="F709" t="s">
        <v>493</v>
      </c>
      <c r="G709" s="4" t="str">
        <f t="shared" si="68"/>
        <v>591.88</v>
      </c>
      <c r="H709" t="str">
        <f t="shared" si="69"/>
        <v>591.88</v>
      </c>
      <c r="I709" s="1">
        <v>45716</v>
      </c>
      <c r="J709" s="2">
        <f t="shared" si="70"/>
        <v>5.6117623967310903E-2</v>
      </c>
      <c r="K709" s="3" t="str">
        <f t="shared" si="71"/>
        <v/>
      </c>
      <c r="L709" t="str">
        <f t="shared" si="72"/>
        <v/>
      </c>
      <c r="M709" t="str">
        <f t="shared" si="73"/>
        <v>Check</v>
      </c>
      <c r="N709">
        <v>560.42999999999995</v>
      </c>
      <c r="O709" t="s">
        <v>553</v>
      </c>
      <c r="Q709" t="s">
        <v>16</v>
      </c>
    </row>
    <row r="710" spans="1:17" x14ac:dyDescent="0.3">
      <c r="A710">
        <v>100628990</v>
      </c>
      <c r="B710" t="s">
        <v>256</v>
      </c>
      <c r="C710" t="s">
        <v>19</v>
      </c>
      <c r="D710" t="s">
        <v>257</v>
      </c>
      <c r="E710" s="6">
        <v>6020.59</v>
      </c>
      <c r="F710" t="s">
        <v>493</v>
      </c>
      <c r="G710" s="4" t="str">
        <f t="shared" si="68"/>
        <v>6020.59</v>
      </c>
      <c r="H710" t="str">
        <f t="shared" si="69"/>
        <v>6020.59</v>
      </c>
      <c r="I710" s="1">
        <v>45716</v>
      </c>
      <c r="J710" s="2">
        <f t="shared" si="70"/>
        <v>5.6761116406100549E-2</v>
      </c>
      <c r="K710" s="3" t="str">
        <f t="shared" si="71"/>
        <v/>
      </c>
      <c r="L710" t="str">
        <f t="shared" si="72"/>
        <v/>
      </c>
      <c r="M710" t="str">
        <f t="shared" si="73"/>
        <v/>
      </c>
      <c r="N710">
        <v>5697.21</v>
      </c>
      <c r="O710" t="s">
        <v>554</v>
      </c>
      <c r="Q710" t="s">
        <v>19</v>
      </c>
    </row>
    <row r="711" spans="1:17" x14ac:dyDescent="0.3">
      <c r="A711">
        <v>100630706</v>
      </c>
      <c r="B711" t="s">
        <v>262</v>
      </c>
      <c r="C711" t="s">
        <v>590</v>
      </c>
      <c r="D711" t="s">
        <v>263</v>
      </c>
      <c r="E711" s="6">
        <v>1542.48</v>
      </c>
      <c r="F711" t="s">
        <v>493</v>
      </c>
      <c r="G711" s="4" t="str">
        <f t="shared" si="68"/>
        <v>1542.48</v>
      </c>
      <c r="H711" t="str">
        <f t="shared" si="69"/>
        <v>1542.48</v>
      </c>
      <c r="I711" s="1">
        <v>45716</v>
      </c>
      <c r="J711" s="2">
        <f t="shared" si="70"/>
        <v>5.7231764657500447E-2</v>
      </c>
      <c r="K711" s="3" t="str">
        <f t="shared" si="71"/>
        <v/>
      </c>
      <c r="L711" t="str">
        <f t="shared" si="72"/>
        <v/>
      </c>
      <c r="M711" t="str">
        <f t="shared" si="73"/>
        <v>Check</v>
      </c>
      <c r="N711">
        <v>1458.98</v>
      </c>
      <c r="O711" t="s">
        <v>555</v>
      </c>
      <c r="Q711" t="s">
        <v>16</v>
      </c>
    </row>
    <row r="712" spans="1:17" x14ac:dyDescent="0.3">
      <c r="A712">
        <v>100641153</v>
      </c>
      <c r="B712" t="s">
        <v>273</v>
      </c>
      <c r="C712" t="s">
        <v>19</v>
      </c>
      <c r="D712" t="s">
        <v>274</v>
      </c>
      <c r="E712" s="6">
        <v>90220.88</v>
      </c>
      <c r="F712" t="s">
        <v>493</v>
      </c>
      <c r="G712" s="4" t="str">
        <f t="shared" si="68"/>
        <v>90220.88</v>
      </c>
      <c r="H712" t="str">
        <f t="shared" si="69"/>
        <v>90220.88</v>
      </c>
      <c r="I712" s="1">
        <v>45716</v>
      </c>
      <c r="J712" s="2">
        <f t="shared" si="70"/>
        <v>5.2329372848370845E-2</v>
      </c>
      <c r="K712" s="3" t="str">
        <f t="shared" si="71"/>
        <v/>
      </c>
      <c r="L712" t="str">
        <f t="shared" si="72"/>
        <v/>
      </c>
      <c r="M712" t="str">
        <f t="shared" si="73"/>
        <v/>
      </c>
      <c r="N712">
        <v>85734.45</v>
      </c>
      <c r="O712" t="s">
        <v>591</v>
      </c>
      <c r="Q712" t="s">
        <v>19</v>
      </c>
    </row>
    <row r="713" spans="1:17" x14ac:dyDescent="0.3">
      <c r="A713">
        <v>100651921</v>
      </c>
      <c r="B713" t="s">
        <v>279</v>
      </c>
      <c r="C713" t="s">
        <v>590</v>
      </c>
      <c r="D713" t="s">
        <v>280</v>
      </c>
      <c r="E713" s="6">
        <v>8224.74</v>
      </c>
      <c r="F713" t="s">
        <v>493</v>
      </c>
      <c r="G713" s="4" t="str">
        <f t="shared" si="68"/>
        <v>8224.74</v>
      </c>
      <c r="H713" t="str">
        <f t="shared" si="69"/>
        <v>8224.74</v>
      </c>
      <c r="I713" s="1">
        <v>45716</v>
      </c>
      <c r="J713" s="2">
        <f t="shared" si="70"/>
        <v>5.7197137186751207E-2</v>
      </c>
      <c r="K713" s="3" t="str">
        <f t="shared" si="71"/>
        <v/>
      </c>
      <c r="L713" t="str">
        <f t="shared" si="72"/>
        <v/>
      </c>
      <c r="M713" t="str">
        <f t="shared" si="73"/>
        <v>Check</v>
      </c>
      <c r="N713">
        <v>7779.76</v>
      </c>
      <c r="O713" t="s">
        <v>556</v>
      </c>
      <c r="Q713" t="s">
        <v>16</v>
      </c>
    </row>
    <row r="714" spans="1:17" x14ac:dyDescent="0.3">
      <c r="A714">
        <v>100651921</v>
      </c>
      <c r="B714" t="s">
        <v>279</v>
      </c>
      <c r="C714" t="s">
        <v>590</v>
      </c>
      <c r="D714" t="s">
        <v>282</v>
      </c>
      <c r="E714" s="6">
        <v>9299.5400000000009</v>
      </c>
      <c r="F714" t="s">
        <v>493</v>
      </c>
      <c r="G714" s="4" t="str">
        <f t="shared" si="68"/>
        <v>9299.54</v>
      </c>
      <c r="H714" t="str">
        <f t="shared" si="69"/>
        <v>9299.54</v>
      </c>
      <c r="I714" s="1">
        <v>45716</v>
      </c>
      <c r="J714" s="2">
        <f t="shared" si="70"/>
        <v>5.7933242247980438E-2</v>
      </c>
      <c r="K714" s="3" t="str">
        <f t="shared" si="71"/>
        <v/>
      </c>
      <c r="L714" t="str">
        <f t="shared" si="72"/>
        <v/>
      </c>
      <c r="M714" t="str">
        <f t="shared" si="73"/>
        <v>Check</v>
      </c>
      <c r="N714">
        <v>8790.2900000000009</v>
      </c>
      <c r="O714" t="s">
        <v>557</v>
      </c>
      <c r="Q714" t="s">
        <v>16</v>
      </c>
    </row>
    <row r="715" spans="1:17" x14ac:dyDescent="0.3">
      <c r="A715">
        <v>100655835</v>
      </c>
      <c r="B715" t="s">
        <v>284</v>
      </c>
      <c r="C715" t="s">
        <v>19</v>
      </c>
      <c r="D715" t="s">
        <v>285</v>
      </c>
      <c r="E715" s="6">
        <v>486309.6</v>
      </c>
      <c r="F715" t="s">
        <v>493</v>
      </c>
      <c r="G715" s="4" t="str">
        <f t="shared" si="68"/>
        <v>486309.6</v>
      </c>
      <c r="H715" t="str">
        <f t="shared" si="69"/>
        <v>486309.6</v>
      </c>
      <c r="I715" s="1">
        <v>45716</v>
      </c>
      <c r="J715" s="2">
        <f t="shared" si="70"/>
        <v>5.2520880591320131E-2</v>
      </c>
      <c r="K715" s="3" t="str">
        <f t="shared" si="71"/>
        <v/>
      </c>
      <c r="L715" t="str">
        <f t="shared" si="72"/>
        <v/>
      </c>
      <c r="M715" t="str">
        <f t="shared" si="73"/>
        <v/>
      </c>
      <c r="N715">
        <v>462042.71</v>
      </c>
      <c r="O715" t="s">
        <v>558</v>
      </c>
      <c r="Q715" t="s">
        <v>19</v>
      </c>
    </row>
    <row r="716" spans="1:17" x14ac:dyDescent="0.3">
      <c r="A716">
        <v>100663638</v>
      </c>
      <c r="B716" t="s">
        <v>287</v>
      </c>
      <c r="C716" t="s">
        <v>19</v>
      </c>
      <c r="D716" t="s">
        <v>288</v>
      </c>
      <c r="E716" s="6">
        <v>106456.84</v>
      </c>
      <c r="F716" t="s">
        <v>493</v>
      </c>
      <c r="G716" s="4" t="str">
        <f t="shared" si="68"/>
        <v>106456.84</v>
      </c>
      <c r="H716" t="str">
        <f t="shared" si="69"/>
        <v>106456.84</v>
      </c>
      <c r="I716" s="1">
        <v>45716</v>
      </c>
      <c r="J716" s="2">
        <f t="shared" si="70"/>
        <v>5.2334485439522765E-2</v>
      </c>
      <c r="K716" s="3" t="str">
        <f t="shared" si="71"/>
        <v/>
      </c>
      <c r="L716" t="str">
        <f t="shared" si="72"/>
        <v/>
      </c>
      <c r="M716" t="str">
        <f t="shared" si="73"/>
        <v/>
      </c>
      <c r="N716">
        <v>101162.55</v>
      </c>
      <c r="O716" t="s">
        <v>559</v>
      </c>
      <c r="Q716" t="s">
        <v>19</v>
      </c>
    </row>
    <row r="717" spans="1:17" x14ac:dyDescent="0.3">
      <c r="A717">
        <v>100663638</v>
      </c>
      <c r="B717" t="s">
        <v>287</v>
      </c>
      <c r="C717" t="s">
        <v>19</v>
      </c>
      <c r="D717" t="s">
        <v>290</v>
      </c>
      <c r="E717" s="6">
        <v>3711.29</v>
      </c>
      <c r="F717" t="s">
        <v>493</v>
      </c>
      <c r="G717" s="4" t="str">
        <f t="shared" si="68"/>
        <v>3711.29</v>
      </c>
      <c r="H717" t="str">
        <f t="shared" si="69"/>
        <v>3711.29</v>
      </c>
      <c r="I717" s="1">
        <v>45716</v>
      </c>
      <c r="J717" s="2">
        <f t="shared" si="70"/>
        <v>5.6357431353517645E-2</v>
      </c>
      <c r="K717" s="3" t="str">
        <f t="shared" si="71"/>
        <v/>
      </c>
      <c r="L717" t="str">
        <f t="shared" si="72"/>
        <v/>
      </c>
      <c r="M717" t="str">
        <f t="shared" si="73"/>
        <v/>
      </c>
      <c r="N717">
        <v>3513.29</v>
      </c>
      <c r="O717" t="s">
        <v>560</v>
      </c>
      <c r="Q717" t="s">
        <v>19</v>
      </c>
    </row>
    <row r="718" spans="1:17" x14ac:dyDescent="0.3">
      <c r="A718">
        <v>100664029</v>
      </c>
      <c r="B718" t="s">
        <v>292</v>
      </c>
      <c r="C718" t="s">
        <v>19</v>
      </c>
      <c r="D718" t="s">
        <v>293</v>
      </c>
      <c r="E718" s="6">
        <v>12046.2</v>
      </c>
      <c r="F718" t="s">
        <v>493</v>
      </c>
      <c r="G718" s="4" t="str">
        <f t="shared" si="68"/>
        <v>12046.2</v>
      </c>
      <c r="H718" t="str">
        <f t="shared" si="69"/>
        <v>12046.2</v>
      </c>
      <c r="I718" s="1">
        <v>45716</v>
      </c>
      <c r="J718" s="2">
        <f t="shared" si="70"/>
        <v>5.3291503158248293E-2</v>
      </c>
      <c r="K718" s="3" t="str">
        <f t="shared" si="71"/>
        <v/>
      </c>
      <c r="L718" t="str">
        <f t="shared" si="72"/>
        <v/>
      </c>
      <c r="M718" t="str">
        <f t="shared" si="73"/>
        <v/>
      </c>
      <c r="N718">
        <v>11436.72</v>
      </c>
      <c r="O718" t="s">
        <v>561</v>
      </c>
      <c r="Q718" t="s">
        <v>19</v>
      </c>
    </row>
    <row r="719" spans="1:17" x14ac:dyDescent="0.3">
      <c r="A719">
        <v>100664029</v>
      </c>
      <c r="B719" t="s">
        <v>292</v>
      </c>
      <c r="C719" t="s">
        <v>19</v>
      </c>
      <c r="D719" t="s">
        <v>295</v>
      </c>
      <c r="E719" s="6">
        <v>7748.16</v>
      </c>
      <c r="F719" t="s">
        <v>493</v>
      </c>
      <c r="G719" s="4" t="str">
        <f t="shared" si="68"/>
        <v>7748.16</v>
      </c>
      <c r="H719" t="str">
        <f t="shared" si="69"/>
        <v>7748.16</v>
      </c>
      <c r="I719" s="1">
        <v>45716</v>
      </c>
      <c r="J719" s="2">
        <f t="shared" si="70"/>
        <v>5.4116930009060718E-2</v>
      </c>
      <c r="K719" s="3" t="str">
        <f t="shared" si="71"/>
        <v/>
      </c>
      <c r="L719" t="str">
        <f t="shared" si="72"/>
        <v/>
      </c>
      <c r="M719" t="str">
        <f t="shared" si="73"/>
        <v/>
      </c>
      <c r="N719">
        <v>7350.38</v>
      </c>
      <c r="O719" t="s">
        <v>562</v>
      </c>
      <c r="Q719" t="s">
        <v>19</v>
      </c>
    </row>
    <row r="720" spans="1:17" x14ac:dyDescent="0.3">
      <c r="A720">
        <v>100664292</v>
      </c>
      <c r="B720" t="s">
        <v>297</v>
      </c>
      <c r="C720" t="s">
        <v>590</v>
      </c>
      <c r="D720" t="s">
        <v>298</v>
      </c>
      <c r="E720" s="6">
        <v>207.06</v>
      </c>
      <c r="F720" t="s">
        <v>493</v>
      </c>
      <c r="G720" s="4" t="str">
        <f t="shared" si="68"/>
        <v>207.06</v>
      </c>
      <c r="H720" t="str">
        <f t="shared" si="69"/>
        <v>207.06</v>
      </c>
      <c r="I720" s="1">
        <v>45716</v>
      </c>
      <c r="J720" s="2">
        <f t="shared" si="70"/>
        <v>5.1439597826638879E-2</v>
      </c>
      <c r="K720" s="3" t="str">
        <f t="shared" si="71"/>
        <v/>
      </c>
      <c r="L720" t="str">
        <f t="shared" si="72"/>
        <v/>
      </c>
      <c r="M720" t="str">
        <f t="shared" si="73"/>
        <v>Check</v>
      </c>
      <c r="N720">
        <v>196.93</v>
      </c>
      <c r="O720" t="s">
        <v>563</v>
      </c>
      <c r="Q720" t="s">
        <v>16</v>
      </c>
    </row>
    <row r="721" spans="1:17" x14ac:dyDescent="0.3">
      <c r="A721">
        <v>100664292</v>
      </c>
      <c r="B721" t="s">
        <v>297</v>
      </c>
      <c r="C721" t="s">
        <v>19</v>
      </c>
      <c r="D721" t="s">
        <v>300</v>
      </c>
      <c r="E721" s="6">
        <v>37498.870000000003</v>
      </c>
      <c r="F721" t="s">
        <v>493</v>
      </c>
      <c r="G721" s="4" t="str">
        <f t="shared" si="68"/>
        <v>37498.87</v>
      </c>
      <c r="H721" t="str">
        <f t="shared" si="69"/>
        <v>37498.87</v>
      </c>
      <c r="I721" s="1">
        <v>45716</v>
      </c>
      <c r="J721" s="2">
        <f t="shared" si="70"/>
        <v>5.2463962547993917E-2</v>
      </c>
      <c r="K721" s="3" t="str">
        <f t="shared" si="71"/>
        <v/>
      </c>
      <c r="L721" t="str">
        <f t="shared" si="72"/>
        <v/>
      </c>
      <c r="M721" t="str">
        <f t="shared" si="73"/>
        <v/>
      </c>
      <c r="N721">
        <v>35629.599999999999</v>
      </c>
      <c r="O721" t="s">
        <v>564</v>
      </c>
      <c r="Q721" t="s">
        <v>19</v>
      </c>
    </row>
    <row r="722" spans="1:17" x14ac:dyDescent="0.3">
      <c r="A722">
        <v>100664348</v>
      </c>
      <c r="B722" t="s">
        <v>302</v>
      </c>
      <c r="C722" t="s">
        <v>19</v>
      </c>
      <c r="D722" t="s">
        <v>303</v>
      </c>
      <c r="E722" s="6">
        <v>20329.900000000001</v>
      </c>
      <c r="F722" t="s">
        <v>493</v>
      </c>
      <c r="G722" s="4" t="str">
        <f t="shared" si="68"/>
        <v>20329.9</v>
      </c>
      <c r="H722" t="str">
        <f t="shared" si="69"/>
        <v>20329.9</v>
      </c>
      <c r="I722" s="1">
        <v>45716</v>
      </c>
      <c r="J722" s="2">
        <f t="shared" si="70"/>
        <v>5.2940972346309068E-2</v>
      </c>
      <c r="K722" s="3" t="str">
        <f t="shared" si="71"/>
        <v/>
      </c>
      <c r="L722" t="str">
        <f t="shared" si="72"/>
        <v/>
      </c>
      <c r="M722" t="str">
        <f t="shared" si="73"/>
        <v/>
      </c>
      <c r="N722">
        <v>19307.73</v>
      </c>
      <c r="O722" t="s">
        <v>565</v>
      </c>
      <c r="Q722" t="s">
        <v>19</v>
      </c>
    </row>
    <row r="723" spans="1:17" x14ac:dyDescent="0.3">
      <c r="A723">
        <v>100664351</v>
      </c>
      <c r="B723" t="s">
        <v>305</v>
      </c>
      <c r="C723" t="s">
        <v>19</v>
      </c>
      <c r="D723" t="s">
        <v>306</v>
      </c>
      <c r="E723" s="6">
        <v>8769.34</v>
      </c>
      <c r="F723" t="s">
        <v>493</v>
      </c>
      <c r="G723" s="4" t="str">
        <f t="shared" si="68"/>
        <v>8769.34</v>
      </c>
      <c r="H723" t="str">
        <f t="shared" si="69"/>
        <v>8769.34</v>
      </c>
      <c r="I723" s="1">
        <v>45716</v>
      </c>
      <c r="J723" s="2">
        <f t="shared" si="70"/>
        <v>2.3376041395583802E-2</v>
      </c>
      <c r="K723" s="3" t="str">
        <f t="shared" si="71"/>
        <v/>
      </c>
      <c r="L723" t="str">
        <f t="shared" si="72"/>
        <v/>
      </c>
      <c r="M723" t="str">
        <f t="shared" si="73"/>
        <v/>
      </c>
      <c r="N723">
        <v>8569.0300000000007</v>
      </c>
      <c r="O723" t="s">
        <v>566</v>
      </c>
      <c r="Q723" t="s">
        <v>19</v>
      </c>
    </row>
    <row r="724" spans="1:17" x14ac:dyDescent="0.3">
      <c r="A724">
        <v>100664737</v>
      </c>
      <c r="B724" t="s">
        <v>313</v>
      </c>
      <c r="C724" t="s">
        <v>19</v>
      </c>
      <c r="D724" t="s">
        <v>314</v>
      </c>
      <c r="E724" s="6">
        <v>14008.37</v>
      </c>
      <c r="F724" t="s">
        <v>493</v>
      </c>
      <c r="G724" s="4" t="str">
        <f t="shared" si="68"/>
        <v>14008.37</v>
      </c>
      <c r="H724" t="str">
        <f t="shared" si="69"/>
        <v>14008.37</v>
      </c>
      <c r="I724" s="1">
        <v>45716</v>
      </c>
      <c r="J724" s="2">
        <f t="shared" si="70"/>
        <v>5.3960637024430561E-2</v>
      </c>
      <c r="K724" s="3" t="str">
        <f t="shared" si="71"/>
        <v/>
      </c>
      <c r="L724" t="str">
        <f t="shared" si="72"/>
        <v/>
      </c>
      <c r="M724" t="str">
        <f t="shared" si="73"/>
        <v/>
      </c>
      <c r="N724">
        <v>13291.17</v>
      </c>
      <c r="O724" t="s">
        <v>567</v>
      </c>
      <c r="Q724" t="s">
        <v>19</v>
      </c>
    </row>
    <row r="725" spans="1:17" x14ac:dyDescent="0.3">
      <c r="A725">
        <v>100664737</v>
      </c>
      <c r="B725" t="s">
        <v>313</v>
      </c>
      <c r="C725" t="s">
        <v>19</v>
      </c>
      <c r="D725" t="s">
        <v>316</v>
      </c>
      <c r="E725" s="6">
        <v>6550.32</v>
      </c>
      <c r="F725" t="s">
        <v>493</v>
      </c>
      <c r="G725" s="4" t="str">
        <f t="shared" si="68"/>
        <v>6550.32</v>
      </c>
      <c r="H725" t="str">
        <f t="shared" si="69"/>
        <v>6550.32</v>
      </c>
      <c r="I725" s="1">
        <v>45716</v>
      </c>
      <c r="J725" s="2">
        <f t="shared" si="70"/>
        <v>5.5616167704235581E-2</v>
      </c>
      <c r="K725" s="3" t="str">
        <f t="shared" si="71"/>
        <v/>
      </c>
      <c r="L725" t="str">
        <f t="shared" si="72"/>
        <v/>
      </c>
      <c r="M725" t="str">
        <f t="shared" si="73"/>
        <v/>
      </c>
      <c r="N725">
        <v>6205.21</v>
      </c>
      <c r="O725" t="s">
        <v>568</v>
      </c>
      <c r="Q725" t="s">
        <v>19</v>
      </c>
    </row>
    <row r="726" spans="1:17" x14ac:dyDescent="0.3">
      <c r="A726">
        <v>100665510</v>
      </c>
      <c r="B726" t="s">
        <v>318</v>
      </c>
      <c r="C726" t="s">
        <v>19</v>
      </c>
      <c r="D726" t="s">
        <v>319</v>
      </c>
      <c r="E726" s="6">
        <v>22437.11</v>
      </c>
      <c r="F726" t="s">
        <v>493</v>
      </c>
      <c r="G726" s="4" t="str">
        <f t="shared" si="68"/>
        <v>22437.11</v>
      </c>
      <c r="H726" t="str">
        <f t="shared" si="69"/>
        <v>22437.11</v>
      </c>
      <c r="I726" s="1">
        <v>45716</v>
      </c>
      <c r="J726" s="2">
        <f t="shared" si="70"/>
        <v>5.3161463782585294E-2</v>
      </c>
      <c r="K726" s="3" t="str">
        <f t="shared" si="71"/>
        <v/>
      </c>
      <c r="L726" t="str">
        <f t="shared" si="72"/>
        <v/>
      </c>
      <c r="M726" t="str">
        <f t="shared" si="73"/>
        <v/>
      </c>
      <c r="N726">
        <v>21304.53</v>
      </c>
      <c r="O726" t="s">
        <v>569</v>
      </c>
      <c r="Q726" t="s">
        <v>19</v>
      </c>
    </row>
    <row r="727" spans="1:17" x14ac:dyDescent="0.3">
      <c r="A727">
        <v>100665581</v>
      </c>
      <c r="B727" t="s">
        <v>321</v>
      </c>
      <c r="C727" t="s">
        <v>590</v>
      </c>
      <c r="D727" t="s">
        <v>639</v>
      </c>
      <c r="E727" s="6">
        <v>41262.79</v>
      </c>
      <c r="F727" t="s">
        <v>493</v>
      </c>
      <c r="G727" s="4" t="str">
        <f t="shared" si="68"/>
        <v>41262.79</v>
      </c>
      <c r="H727" t="str">
        <f t="shared" si="69"/>
        <v>41262.79</v>
      </c>
      <c r="I727" s="1">
        <v>45716</v>
      </c>
      <c r="J727" s="2">
        <f t="shared" si="70"/>
        <v>2.259425112938632</v>
      </c>
      <c r="K727" s="3" t="str">
        <f t="shared" si="71"/>
        <v>Check!</v>
      </c>
      <c r="L727" t="str">
        <f t="shared" si="72"/>
        <v/>
      </c>
      <c r="M727" t="str">
        <f t="shared" si="73"/>
        <v/>
      </c>
      <c r="N727">
        <v>12659.53</v>
      </c>
      <c r="O727" t="s">
        <v>692</v>
      </c>
      <c r="Q727" t="s">
        <v>590</v>
      </c>
    </row>
    <row r="728" spans="1:17" x14ac:dyDescent="0.3">
      <c r="A728">
        <v>100666150</v>
      </c>
      <c r="B728" t="s">
        <v>324</v>
      </c>
      <c r="C728" t="s">
        <v>19</v>
      </c>
      <c r="D728" t="s">
        <v>325</v>
      </c>
      <c r="E728" s="6">
        <v>58818.720000000001</v>
      </c>
      <c r="F728" t="s">
        <v>493</v>
      </c>
      <c r="G728" s="4" t="str">
        <f t="shared" si="68"/>
        <v>58818.72</v>
      </c>
      <c r="H728" t="str">
        <f t="shared" si="69"/>
        <v>58818.72</v>
      </c>
      <c r="I728" s="1">
        <v>45716</v>
      </c>
      <c r="J728" s="2">
        <f t="shared" si="70"/>
        <v>5.2305102842609488E-2</v>
      </c>
      <c r="K728" s="3" t="str">
        <f t="shared" si="71"/>
        <v/>
      </c>
      <c r="L728" t="str">
        <f t="shared" si="72"/>
        <v/>
      </c>
      <c r="M728" t="str">
        <f t="shared" si="73"/>
        <v/>
      </c>
      <c r="N728">
        <v>55895.12</v>
      </c>
      <c r="O728" t="s">
        <v>570</v>
      </c>
      <c r="Q728" t="s">
        <v>19</v>
      </c>
    </row>
    <row r="729" spans="1:17" x14ac:dyDescent="0.3">
      <c r="A729">
        <v>100668409</v>
      </c>
      <c r="B729" t="s">
        <v>327</v>
      </c>
      <c r="C729" t="s">
        <v>590</v>
      </c>
      <c r="D729" t="s">
        <v>328</v>
      </c>
      <c r="E729" s="6">
        <v>4856.49</v>
      </c>
      <c r="F729" t="s">
        <v>493</v>
      </c>
      <c r="G729" s="4" t="str">
        <f t="shared" si="68"/>
        <v>4856.49</v>
      </c>
      <c r="H729" t="str">
        <f t="shared" si="69"/>
        <v>4856.49</v>
      </c>
      <c r="I729" s="1">
        <v>45716</v>
      </c>
      <c r="J729" s="2">
        <f t="shared" si="70"/>
        <v>5.2160763302879554E-2</v>
      </c>
      <c r="K729" s="3" t="str">
        <f t="shared" si="71"/>
        <v/>
      </c>
      <c r="L729" t="str">
        <f t="shared" si="72"/>
        <v/>
      </c>
      <c r="M729" t="str">
        <f t="shared" si="73"/>
        <v>Check</v>
      </c>
      <c r="N729">
        <v>4615.7299999999996</v>
      </c>
      <c r="O729" t="s">
        <v>571</v>
      </c>
      <c r="Q729" t="s">
        <v>16</v>
      </c>
    </row>
    <row r="730" spans="1:17" x14ac:dyDescent="0.3">
      <c r="A730">
        <v>100668534</v>
      </c>
      <c r="B730" t="s">
        <v>330</v>
      </c>
      <c r="C730" t="s">
        <v>590</v>
      </c>
      <c r="D730" t="s">
        <v>331</v>
      </c>
      <c r="E730" s="6">
        <v>9200.77</v>
      </c>
      <c r="F730" t="s">
        <v>493</v>
      </c>
      <c r="G730" s="4" t="str">
        <f t="shared" si="68"/>
        <v>9200.77</v>
      </c>
      <c r="H730" t="str">
        <f t="shared" si="69"/>
        <v>9200.77</v>
      </c>
      <c r="I730" s="1">
        <v>45716</v>
      </c>
      <c r="J730" s="2">
        <f t="shared" si="70"/>
        <v>5.1329134462884445E-2</v>
      </c>
      <c r="K730" s="3" t="str">
        <f t="shared" si="71"/>
        <v/>
      </c>
      <c r="L730" t="str">
        <f t="shared" si="72"/>
        <v/>
      </c>
      <c r="M730" t="str">
        <f t="shared" si="73"/>
        <v>Check</v>
      </c>
      <c r="N730">
        <v>8751.56</v>
      </c>
      <c r="O730" t="s">
        <v>572</v>
      </c>
      <c r="Q730" t="s">
        <v>16</v>
      </c>
    </row>
    <row r="731" spans="1:17" x14ac:dyDescent="0.3">
      <c r="A731">
        <v>100669580</v>
      </c>
      <c r="B731" t="s">
        <v>333</v>
      </c>
      <c r="C731" t="s">
        <v>19</v>
      </c>
      <c r="D731" t="s">
        <v>334</v>
      </c>
      <c r="E731" s="6">
        <v>30622.720000000001</v>
      </c>
      <c r="F731" t="s">
        <v>493</v>
      </c>
      <c r="G731" s="4" t="str">
        <f t="shared" si="68"/>
        <v>30622.72</v>
      </c>
      <c r="H731" t="str">
        <f t="shared" si="69"/>
        <v>30622.72</v>
      </c>
      <c r="I731" s="1">
        <v>45716</v>
      </c>
      <c r="J731" s="2">
        <f t="shared" si="70"/>
        <v>5.215829624592902E-2</v>
      </c>
      <c r="K731" s="3" t="str">
        <f t="shared" si="71"/>
        <v/>
      </c>
      <c r="L731" t="str">
        <f t="shared" si="72"/>
        <v/>
      </c>
      <c r="M731" t="str">
        <f t="shared" si="73"/>
        <v/>
      </c>
      <c r="N731">
        <v>29104.67</v>
      </c>
      <c r="O731" t="s">
        <v>573</v>
      </c>
      <c r="Q731" t="s">
        <v>19</v>
      </c>
    </row>
    <row r="732" spans="1:17" x14ac:dyDescent="0.3">
      <c r="A732">
        <v>100670671</v>
      </c>
      <c r="B732" t="s">
        <v>336</v>
      </c>
      <c r="C732" t="s">
        <v>590</v>
      </c>
      <c r="D732" t="s">
        <v>337</v>
      </c>
      <c r="E732" s="6">
        <v>99088.639999999999</v>
      </c>
      <c r="F732" t="s">
        <v>493</v>
      </c>
      <c r="G732" s="4" t="str">
        <f t="shared" si="68"/>
        <v>99088.64</v>
      </c>
      <c r="H732" t="str">
        <f t="shared" si="69"/>
        <v>99088.64</v>
      </c>
      <c r="I732" s="1">
        <v>45716</v>
      </c>
      <c r="J732" s="2">
        <f t="shared" si="70"/>
        <v>0.98076657058214423</v>
      </c>
      <c r="K732" s="3" t="str">
        <f t="shared" si="71"/>
        <v>Check!</v>
      </c>
      <c r="L732" t="str">
        <f t="shared" si="72"/>
        <v/>
      </c>
      <c r="M732" t="str">
        <f t="shared" si="73"/>
        <v>Check</v>
      </c>
      <c r="N732">
        <v>50025.4</v>
      </c>
      <c r="O732" t="s">
        <v>574</v>
      </c>
      <c r="Q732" t="s">
        <v>16</v>
      </c>
    </row>
    <row r="733" spans="1:17" x14ac:dyDescent="0.3">
      <c r="A733">
        <v>100675336</v>
      </c>
      <c r="B733" t="s">
        <v>347</v>
      </c>
      <c r="C733" t="s">
        <v>19</v>
      </c>
      <c r="D733" t="s">
        <v>348</v>
      </c>
      <c r="E733" s="6">
        <v>42463.17</v>
      </c>
      <c r="F733" t="s">
        <v>493</v>
      </c>
      <c r="G733" s="4" t="str">
        <f t="shared" si="68"/>
        <v>42463.17</v>
      </c>
      <c r="H733" t="str">
        <f t="shared" si="69"/>
        <v>42463.17</v>
      </c>
      <c r="I733" s="1">
        <v>45716</v>
      </c>
      <c r="J733" s="2">
        <f t="shared" si="70"/>
        <v>5.2565082632336689E-2</v>
      </c>
      <c r="K733" s="3" t="str">
        <f t="shared" si="71"/>
        <v/>
      </c>
      <c r="L733" t="str">
        <f t="shared" si="72"/>
        <v/>
      </c>
      <c r="M733" t="str">
        <f t="shared" si="73"/>
        <v/>
      </c>
      <c r="N733">
        <v>40342.559999999998</v>
      </c>
      <c r="O733" t="s">
        <v>575</v>
      </c>
      <c r="Q733" t="s">
        <v>19</v>
      </c>
    </row>
    <row r="734" spans="1:17" x14ac:dyDescent="0.3">
      <c r="A734">
        <v>100677278</v>
      </c>
      <c r="B734" t="s">
        <v>350</v>
      </c>
      <c r="C734" t="s">
        <v>19</v>
      </c>
      <c r="D734" t="s">
        <v>351</v>
      </c>
      <c r="E734" s="6">
        <v>43322.83</v>
      </c>
      <c r="F734" t="s">
        <v>493</v>
      </c>
      <c r="G734" s="4" t="str">
        <f t="shared" si="68"/>
        <v>43322.83</v>
      </c>
      <c r="H734" t="str">
        <f t="shared" si="69"/>
        <v>43322.83</v>
      </c>
      <c r="I734" s="1">
        <v>45716</v>
      </c>
      <c r="J734" s="2">
        <f t="shared" si="70"/>
        <v>5.2658652048334691E-2</v>
      </c>
      <c r="K734" s="3" t="str">
        <f t="shared" si="71"/>
        <v/>
      </c>
      <c r="L734" t="str">
        <f t="shared" si="72"/>
        <v/>
      </c>
      <c r="M734" t="str">
        <f t="shared" si="73"/>
        <v/>
      </c>
      <c r="N734">
        <v>41155.629999999997</v>
      </c>
      <c r="O734" t="s">
        <v>576</v>
      </c>
      <c r="Q734" t="s">
        <v>19</v>
      </c>
    </row>
    <row r="735" spans="1:17" x14ac:dyDescent="0.3">
      <c r="A735">
        <v>100677585</v>
      </c>
      <c r="B735" t="s">
        <v>353</v>
      </c>
      <c r="C735" t="s">
        <v>19</v>
      </c>
      <c r="D735" t="s">
        <v>354</v>
      </c>
      <c r="E735" s="6">
        <v>5758.47</v>
      </c>
      <c r="F735" t="s">
        <v>493</v>
      </c>
      <c r="G735" s="4" t="str">
        <f t="shared" si="68"/>
        <v>5758.47</v>
      </c>
      <c r="H735" t="str">
        <f t="shared" si="69"/>
        <v>5758.47</v>
      </c>
      <c r="I735" s="1">
        <v>45716</v>
      </c>
      <c r="J735" s="2">
        <f t="shared" si="70"/>
        <v>5.3379943146272202E-2</v>
      </c>
      <c r="K735" s="3" t="str">
        <f t="shared" si="71"/>
        <v/>
      </c>
      <c r="L735" t="str">
        <f t="shared" si="72"/>
        <v/>
      </c>
      <c r="M735" t="str">
        <f t="shared" si="73"/>
        <v/>
      </c>
      <c r="N735">
        <v>5466.66</v>
      </c>
      <c r="O735" t="s">
        <v>577</v>
      </c>
      <c r="Q735" t="s">
        <v>19</v>
      </c>
    </row>
    <row r="736" spans="1:17" x14ac:dyDescent="0.3">
      <c r="A736">
        <v>100706842</v>
      </c>
      <c r="B736" t="s">
        <v>356</v>
      </c>
      <c r="C736" t="s">
        <v>19</v>
      </c>
      <c r="D736" t="s">
        <v>357</v>
      </c>
      <c r="E736" s="6">
        <v>17404.87</v>
      </c>
      <c r="F736" t="s">
        <v>493</v>
      </c>
      <c r="G736" s="4" t="str">
        <f t="shared" si="68"/>
        <v>17404.87</v>
      </c>
      <c r="H736" t="str">
        <f t="shared" si="69"/>
        <v>17404.87</v>
      </c>
      <c r="I736" s="1">
        <v>45716</v>
      </c>
      <c r="J736" s="2">
        <f t="shared" si="70"/>
        <v>5.3029395500345342E-2</v>
      </c>
      <c r="K736" s="3" t="str">
        <f t="shared" si="71"/>
        <v/>
      </c>
      <c r="L736" t="str">
        <f t="shared" si="72"/>
        <v/>
      </c>
      <c r="M736" t="str">
        <f t="shared" si="73"/>
        <v/>
      </c>
      <c r="N736">
        <v>16528.38</v>
      </c>
      <c r="O736" t="s">
        <v>578</v>
      </c>
      <c r="Q736" t="s">
        <v>19</v>
      </c>
    </row>
    <row r="737" spans="1:17" x14ac:dyDescent="0.3">
      <c r="A737">
        <v>100711105</v>
      </c>
      <c r="B737" t="s">
        <v>359</v>
      </c>
      <c r="C737" t="s">
        <v>590</v>
      </c>
      <c r="D737" t="s">
        <v>360</v>
      </c>
      <c r="E737" s="6">
        <v>2874</v>
      </c>
      <c r="F737" t="s">
        <v>493</v>
      </c>
      <c r="G737" s="4" t="str">
        <f t="shared" si="68"/>
        <v>2874</v>
      </c>
      <c r="H737" t="str">
        <f t="shared" si="69"/>
        <v>2874</v>
      </c>
      <c r="I737" s="1">
        <v>45716</v>
      </c>
      <c r="J737" s="2">
        <f t="shared" si="70"/>
        <v>-0.15036273657697286</v>
      </c>
      <c r="K737" s="3" t="str">
        <f t="shared" si="71"/>
        <v>Check!</v>
      </c>
      <c r="L737" t="str">
        <f t="shared" si="72"/>
        <v/>
      </c>
      <c r="M737" t="str">
        <f t="shared" si="73"/>
        <v>Check</v>
      </c>
      <c r="N737">
        <v>3382.62</v>
      </c>
      <c r="O737" t="s">
        <v>579</v>
      </c>
      <c r="Q737" t="s">
        <v>16</v>
      </c>
    </row>
    <row r="738" spans="1:17" x14ac:dyDescent="0.3">
      <c r="A738">
        <v>100786852</v>
      </c>
      <c r="B738" t="s">
        <v>636</v>
      </c>
      <c r="C738" t="s">
        <v>19</v>
      </c>
      <c r="D738" t="s">
        <v>637</v>
      </c>
      <c r="E738" s="6">
        <v>58292.160000000003</v>
      </c>
      <c r="F738" t="s">
        <v>493</v>
      </c>
      <c r="G738" s="4" t="str">
        <f t="shared" si="68"/>
        <v>58292.16</v>
      </c>
      <c r="H738" t="str">
        <f t="shared" si="69"/>
        <v>58292.16</v>
      </c>
      <c r="I738" s="1">
        <v>45716</v>
      </c>
      <c r="J738" s="2">
        <f t="shared" si="70"/>
        <v>5.2481473022246934E-2</v>
      </c>
      <c r="K738" s="3" t="str">
        <f t="shared" si="71"/>
        <v/>
      </c>
      <c r="L738" t="str">
        <f t="shared" si="72"/>
        <v/>
      </c>
      <c r="M738" t="str">
        <f t="shared" si="73"/>
        <v/>
      </c>
      <c r="N738">
        <v>55385.45</v>
      </c>
      <c r="O738" t="s">
        <v>693</v>
      </c>
      <c r="Q738" t="s">
        <v>19</v>
      </c>
    </row>
    <row r="739" spans="1:17" x14ac:dyDescent="0.3">
      <c r="A739">
        <v>100799345</v>
      </c>
      <c r="B739" t="s">
        <v>640</v>
      </c>
      <c r="C739" t="s">
        <v>590</v>
      </c>
      <c r="D739" t="s">
        <v>641</v>
      </c>
      <c r="E739" s="6">
        <v>91997.79</v>
      </c>
      <c r="F739" t="s">
        <v>493</v>
      </c>
      <c r="G739" s="4" t="str">
        <f t="shared" si="68"/>
        <v>91997.79</v>
      </c>
      <c r="H739" t="str">
        <f t="shared" si="69"/>
        <v>91997.79</v>
      </c>
      <c r="I739" s="1">
        <v>45716</v>
      </c>
      <c r="J739" s="2">
        <f t="shared" si="70"/>
        <v>3.4609997766538232E-2</v>
      </c>
      <c r="K739" s="3" t="str">
        <f t="shared" si="71"/>
        <v/>
      </c>
      <c r="L739" t="str">
        <f t="shared" si="72"/>
        <v/>
      </c>
      <c r="M739" t="str">
        <f t="shared" si="73"/>
        <v/>
      </c>
      <c r="N739">
        <v>88920.26</v>
      </c>
      <c r="O739" t="s">
        <v>694</v>
      </c>
      <c r="Q739" t="s">
        <v>590</v>
      </c>
    </row>
    <row r="740" spans="1:17" s="7" customFormat="1" x14ac:dyDescent="0.3">
      <c r="A740" s="7">
        <v>32490</v>
      </c>
      <c r="B740" s="7" t="s">
        <v>15</v>
      </c>
      <c r="C740" s="7" t="s">
        <v>19</v>
      </c>
      <c r="D740" s="7" t="s">
        <v>20</v>
      </c>
      <c r="E740" s="8">
        <v>7048</v>
      </c>
      <c r="F740" s="7" t="s">
        <v>580</v>
      </c>
      <c r="G740" s="4" t="str">
        <f t="shared" si="68"/>
        <v>7048</v>
      </c>
      <c r="H740" t="str">
        <f t="shared" si="69"/>
        <v>7048</v>
      </c>
      <c r="I740" s="1">
        <v>45716</v>
      </c>
      <c r="J740" s="2">
        <f t="shared" si="70"/>
        <v>2.1786909297564955E-2</v>
      </c>
      <c r="K740" s="3" t="str">
        <f t="shared" si="71"/>
        <v/>
      </c>
      <c r="L740" t="str">
        <f t="shared" si="72"/>
        <v/>
      </c>
      <c r="M740" t="str">
        <f t="shared" si="73"/>
        <v/>
      </c>
      <c r="N740" s="7">
        <v>6897.72</v>
      </c>
      <c r="O740" s="7" t="s">
        <v>494</v>
      </c>
      <c r="Q740" s="7" t="s">
        <v>19</v>
      </c>
    </row>
    <row r="741" spans="1:17" x14ac:dyDescent="0.3">
      <c r="A741">
        <v>32490</v>
      </c>
      <c r="B741" t="s">
        <v>15</v>
      </c>
      <c r="C741" t="s">
        <v>19</v>
      </c>
      <c r="D741" t="s">
        <v>22</v>
      </c>
      <c r="E741" s="6">
        <v>26087.18</v>
      </c>
      <c r="F741" t="s">
        <v>580</v>
      </c>
      <c r="G741" s="4" t="str">
        <f t="shared" si="68"/>
        <v>26087.18</v>
      </c>
      <c r="H741" t="str">
        <f t="shared" si="69"/>
        <v>26087.18</v>
      </c>
      <c r="I741" s="1">
        <v>45716</v>
      </c>
      <c r="J741" s="2">
        <f t="shared" si="70"/>
        <v>1.535931024389936E-2</v>
      </c>
      <c r="K741" s="3" t="str">
        <f t="shared" si="71"/>
        <v/>
      </c>
      <c r="L741" t="str">
        <f t="shared" si="72"/>
        <v/>
      </c>
      <c r="M741" t="str">
        <f t="shared" si="73"/>
        <v/>
      </c>
      <c r="N741">
        <v>25692.560000000001</v>
      </c>
      <c r="O741" t="s">
        <v>495</v>
      </c>
      <c r="Q741" t="s">
        <v>19</v>
      </c>
    </row>
    <row r="742" spans="1:17" x14ac:dyDescent="0.3">
      <c r="A742">
        <v>33672</v>
      </c>
      <c r="B742" t="s">
        <v>24</v>
      </c>
      <c r="C742" t="s">
        <v>19</v>
      </c>
      <c r="D742" t="s">
        <v>25</v>
      </c>
      <c r="E742" s="6">
        <v>66130.240000000005</v>
      </c>
      <c r="F742" t="s">
        <v>580</v>
      </c>
      <c r="G742" s="4" t="str">
        <f t="shared" si="68"/>
        <v>66130.24</v>
      </c>
      <c r="H742" t="str">
        <f t="shared" si="69"/>
        <v>66130.24</v>
      </c>
      <c r="I742" s="1">
        <v>45716</v>
      </c>
      <c r="J742" s="2">
        <f t="shared" si="70"/>
        <v>5.9429977844387789E-3</v>
      </c>
      <c r="K742" s="3" t="str">
        <f t="shared" si="71"/>
        <v/>
      </c>
      <c r="L742" t="str">
        <f t="shared" si="72"/>
        <v/>
      </c>
      <c r="M742" t="str">
        <f t="shared" si="73"/>
        <v/>
      </c>
      <c r="N742">
        <v>65739.55</v>
      </c>
      <c r="O742" t="s">
        <v>496</v>
      </c>
      <c r="Q742" t="s">
        <v>19</v>
      </c>
    </row>
    <row r="743" spans="1:17" x14ac:dyDescent="0.3">
      <c r="A743">
        <v>34171</v>
      </c>
      <c r="B743" t="s">
        <v>27</v>
      </c>
      <c r="C743" t="s">
        <v>19</v>
      </c>
      <c r="D743" t="s">
        <v>28</v>
      </c>
      <c r="E743" s="6">
        <v>4168.12</v>
      </c>
      <c r="F743" t="s">
        <v>580</v>
      </c>
      <c r="G743" s="4" t="str">
        <f t="shared" si="68"/>
        <v>4168.12</v>
      </c>
      <c r="H743" t="str">
        <f t="shared" si="69"/>
        <v>4168.12</v>
      </c>
      <c r="I743" s="1">
        <v>45716</v>
      </c>
      <c r="J743" s="2">
        <f t="shared" si="70"/>
        <v>6.7825431638341488E-3</v>
      </c>
      <c r="K743" s="3" t="str">
        <f t="shared" si="71"/>
        <v/>
      </c>
      <c r="L743" t="str">
        <f t="shared" si="72"/>
        <v/>
      </c>
      <c r="M743" t="str">
        <f t="shared" si="73"/>
        <v/>
      </c>
      <c r="N743">
        <v>4140.04</v>
      </c>
      <c r="O743" t="s">
        <v>497</v>
      </c>
      <c r="Q743" t="s">
        <v>19</v>
      </c>
    </row>
    <row r="744" spans="1:17" x14ac:dyDescent="0.3">
      <c r="A744">
        <v>34173</v>
      </c>
      <c r="B744" t="s">
        <v>30</v>
      </c>
      <c r="C744" t="s">
        <v>19</v>
      </c>
      <c r="D744" t="s">
        <v>31</v>
      </c>
      <c r="E744" s="6">
        <v>24137.1</v>
      </c>
      <c r="F744" t="s">
        <v>580</v>
      </c>
      <c r="G744" s="4" t="str">
        <f t="shared" si="68"/>
        <v>24137.1</v>
      </c>
      <c r="H744" t="str">
        <f t="shared" si="69"/>
        <v>24137.1</v>
      </c>
      <c r="I744" s="1">
        <v>45716</v>
      </c>
      <c r="J744" s="2">
        <f t="shared" si="70"/>
        <v>1.0144086285207037E-2</v>
      </c>
      <c r="K744" s="3" t="str">
        <f t="shared" si="71"/>
        <v/>
      </c>
      <c r="L744" t="str">
        <f t="shared" si="72"/>
        <v/>
      </c>
      <c r="M744" t="str">
        <f t="shared" si="73"/>
        <v/>
      </c>
      <c r="N744">
        <v>23894.71</v>
      </c>
      <c r="O744" t="s">
        <v>498</v>
      </c>
      <c r="Q744" t="s">
        <v>19</v>
      </c>
    </row>
    <row r="745" spans="1:17" x14ac:dyDescent="0.3">
      <c r="A745">
        <v>34199</v>
      </c>
      <c r="B745" t="s">
        <v>36</v>
      </c>
      <c r="C745" t="s">
        <v>19</v>
      </c>
      <c r="D745" t="s">
        <v>39</v>
      </c>
      <c r="E745" s="6">
        <v>3787.66</v>
      </c>
      <c r="F745" t="s">
        <v>580</v>
      </c>
      <c r="G745" s="4" t="str">
        <f t="shared" si="68"/>
        <v>3787.66</v>
      </c>
      <c r="H745" t="str">
        <f t="shared" si="69"/>
        <v>3787.66</v>
      </c>
      <c r="I745" s="1">
        <v>45716</v>
      </c>
      <c r="J745" s="2">
        <f t="shared" si="70"/>
        <v>8.0024696680584383E-3</v>
      </c>
      <c r="K745" s="3" t="str">
        <f t="shared" si="71"/>
        <v/>
      </c>
      <c r="L745" t="str">
        <f t="shared" si="72"/>
        <v/>
      </c>
      <c r="M745" t="str">
        <f t="shared" si="73"/>
        <v/>
      </c>
      <c r="N745">
        <v>3757.59</v>
      </c>
      <c r="O745" t="s">
        <v>499</v>
      </c>
      <c r="Q745" t="s">
        <v>19</v>
      </c>
    </row>
    <row r="746" spans="1:17" x14ac:dyDescent="0.3">
      <c r="A746">
        <v>34202</v>
      </c>
      <c r="B746" t="s">
        <v>46</v>
      </c>
      <c r="C746" t="s">
        <v>19</v>
      </c>
      <c r="D746" t="s">
        <v>49</v>
      </c>
      <c r="E746" s="6">
        <v>145759.54999999999</v>
      </c>
      <c r="F746" t="s">
        <v>580</v>
      </c>
      <c r="G746" s="4" t="str">
        <f t="shared" si="68"/>
        <v>145759.55</v>
      </c>
      <c r="H746" t="str">
        <f t="shared" si="69"/>
        <v>145759.55</v>
      </c>
      <c r="I746" s="1">
        <v>45716</v>
      </c>
      <c r="J746" s="2">
        <f t="shared" si="70"/>
        <v>5.86892099039468E-3</v>
      </c>
      <c r="K746" s="3" t="str">
        <f t="shared" si="71"/>
        <v/>
      </c>
      <c r="L746" t="str">
        <f t="shared" si="72"/>
        <v/>
      </c>
      <c r="M746" t="str">
        <f t="shared" si="73"/>
        <v/>
      </c>
      <c r="N746">
        <v>144909.09</v>
      </c>
      <c r="O746" t="s">
        <v>501</v>
      </c>
      <c r="Q746" t="s">
        <v>19</v>
      </c>
    </row>
    <row r="747" spans="1:17" x14ac:dyDescent="0.3">
      <c r="A747">
        <v>34202</v>
      </c>
      <c r="B747" t="s">
        <v>46</v>
      </c>
      <c r="C747" t="s">
        <v>19</v>
      </c>
      <c r="D747" t="s">
        <v>47</v>
      </c>
      <c r="E747" s="6">
        <v>27905.42</v>
      </c>
      <c r="F747" t="s">
        <v>580</v>
      </c>
      <c r="G747" s="4" t="str">
        <f t="shared" si="68"/>
        <v>27905.42</v>
      </c>
      <c r="H747" t="str">
        <f t="shared" si="69"/>
        <v>27905.42</v>
      </c>
      <c r="I747" s="1">
        <v>45716</v>
      </c>
      <c r="J747" s="2">
        <f t="shared" si="70"/>
        <v>6.1873914231793002E-3</v>
      </c>
      <c r="K747" s="3" t="str">
        <f t="shared" si="71"/>
        <v/>
      </c>
      <c r="L747" t="str">
        <f t="shared" si="72"/>
        <v/>
      </c>
      <c r="M747" t="str">
        <f t="shared" si="73"/>
        <v/>
      </c>
      <c r="N747">
        <v>27733.82</v>
      </c>
      <c r="O747" t="s">
        <v>500</v>
      </c>
      <c r="Q747" t="s">
        <v>19</v>
      </c>
    </row>
    <row r="748" spans="1:17" x14ac:dyDescent="0.3">
      <c r="A748">
        <v>34209</v>
      </c>
      <c r="B748" t="s">
        <v>51</v>
      </c>
      <c r="C748" t="s">
        <v>19</v>
      </c>
      <c r="D748" t="s">
        <v>52</v>
      </c>
      <c r="E748" s="6">
        <v>49477.440000000002</v>
      </c>
      <c r="F748" t="s">
        <v>580</v>
      </c>
      <c r="G748" s="4" t="str">
        <f t="shared" si="68"/>
        <v>49477.44</v>
      </c>
      <c r="H748" t="str">
        <f t="shared" si="69"/>
        <v>49477.44</v>
      </c>
      <c r="I748" s="1">
        <v>45716</v>
      </c>
      <c r="J748" s="2">
        <f t="shared" si="70"/>
        <v>1.4498150105925027E-2</v>
      </c>
      <c r="K748" s="3" t="str">
        <f t="shared" si="71"/>
        <v/>
      </c>
      <c r="L748" t="str">
        <f t="shared" si="72"/>
        <v/>
      </c>
      <c r="M748" t="str">
        <f t="shared" si="73"/>
        <v/>
      </c>
      <c r="N748">
        <v>48770.36</v>
      </c>
      <c r="O748" t="s">
        <v>502</v>
      </c>
      <c r="Q748" t="s">
        <v>19</v>
      </c>
    </row>
    <row r="749" spans="1:17" x14ac:dyDescent="0.3">
      <c r="A749">
        <v>34209</v>
      </c>
      <c r="B749" t="s">
        <v>51</v>
      </c>
      <c r="C749" t="s">
        <v>19</v>
      </c>
      <c r="D749" t="s">
        <v>54</v>
      </c>
      <c r="E749" s="6">
        <v>63481.05</v>
      </c>
      <c r="F749" t="s">
        <v>580</v>
      </c>
      <c r="G749" s="4" t="str">
        <f t="shared" si="68"/>
        <v>63481.05</v>
      </c>
      <c r="H749" t="str">
        <f t="shared" si="69"/>
        <v>63481.05</v>
      </c>
      <c r="I749" s="1">
        <v>45716</v>
      </c>
      <c r="J749" s="2">
        <f t="shared" si="70"/>
        <v>1.438767184622213E-2</v>
      </c>
      <c r="K749" s="3" t="str">
        <f t="shared" si="71"/>
        <v/>
      </c>
      <c r="L749" t="str">
        <f t="shared" si="72"/>
        <v/>
      </c>
      <c r="M749" t="str">
        <f t="shared" si="73"/>
        <v/>
      </c>
      <c r="N749">
        <v>62580.66</v>
      </c>
      <c r="O749" t="s">
        <v>503</v>
      </c>
      <c r="Q749" t="s">
        <v>19</v>
      </c>
    </row>
    <row r="750" spans="1:17" x14ac:dyDescent="0.3">
      <c r="A750">
        <v>34216</v>
      </c>
      <c r="B750" t="s">
        <v>59</v>
      </c>
      <c r="C750" t="s">
        <v>19</v>
      </c>
      <c r="D750" t="s">
        <v>60</v>
      </c>
      <c r="E750" s="6">
        <v>33065.43</v>
      </c>
      <c r="F750" t="s">
        <v>580</v>
      </c>
      <c r="G750" s="4" t="str">
        <f t="shared" si="68"/>
        <v>33065.43</v>
      </c>
      <c r="H750" t="str">
        <f t="shared" si="69"/>
        <v>33065.43</v>
      </c>
      <c r="I750" s="1">
        <v>45716</v>
      </c>
      <c r="J750" s="2">
        <f t="shared" si="70"/>
        <v>1.230982125225985E-2</v>
      </c>
      <c r="K750" s="3" t="str">
        <f t="shared" si="71"/>
        <v/>
      </c>
      <c r="L750" t="str">
        <f t="shared" si="72"/>
        <v/>
      </c>
      <c r="M750" t="str">
        <f t="shared" si="73"/>
        <v/>
      </c>
      <c r="N750">
        <v>32663.35</v>
      </c>
      <c r="O750" t="s">
        <v>504</v>
      </c>
      <c r="Q750" t="s">
        <v>19</v>
      </c>
    </row>
    <row r="751" spans="1:17" x14ac:dyDescent="0.3">
      <c r="A751">
        <v>34395</v>
      </c>
      <c r="B751" t="s">
        <v>69</v>
      </c>
      <c r="C751" t="s">
        <v>19</v>
      </c>
      <c r="D751" t="s">
        <v>74</v>
      </c>
      <c r="E751" s="6">
        <v>10838.97</v>
      </c>
      <c r="F751" t="s">
        <v>580</v>
      </c>
      <c r="G751" s="4" t="str">
        <f t="shared" si="68"/>
        <v>10838.97</v>
      </c>
      <c r="H751" t="str">
        <f t="shared" si="69"/>
        <v>10838.97</v>
      </c>
      <c r="I751" s="1">
        <v>45716</v>
      </c>
      <c r="J751" s="2">
        <f t="shared" si="70"/>
        <v>7.7663024478774306E-3</v>
      </c>
      <c r="K751" s="3" t="str">
        <f t="shared" si="71"/>
        <v/>
      </c>
      <c r="L751" t="str">
        <f t="shared" si="72"/>
        <v/>
      </c>
      <c r="M751" t="str">
        <f t="shared" si="73"/>
        <v/>
      </c>
      <c r="N751">
        <v>10755.44</v>
      </c>
      <c r="O751" t="s">
        <v>506</v>
      </c>
      <c r="Q751" t="s">
        <v>19</v>
      </c>
    </row>
    <row r="752" spans="1:17" x14ac:dyDescent="0.3">
      <c r="A752">
        <v>34395</v>
      </c>
      <c r="B752" t="s">
        <v>69</v>
      </c>
      <c r="C752" t="s">
        <v>19</v>
      </c>
      <c r="D752" t="s">
        <v>72</v>
      </c>
      <c r="E752" s="6">
        <v>6530.68</v>
      </c>
      <c r="F752" t="s">
        <v>580</v>
      </c>
      <c r="G752" s="4" t="str">
        <f t="shared" si="68"/>
        <v>6530.68</v>
      </c>
      <c r="H752" t="str">
        <f t="shared" si="69"/>
        <v>6530.68</v>
      </c>
      <c r="I752" s="1">
        <v>45716</v>
      </c>
      <c r="J752" s="2">
        <f t="shared" si="70"/>
        <v>9.1899351125987652E-3</v>
      </c>
      <c r="K752" s="3" t="str">
        <f t="shared" si="71"/>
        <v/>
      </c>
      <c r="L752" t="str">
        <f t="shared" si="72"/>
        <v/>
      </c>
      <c r="M752" t="str">
        <f t="shared" si="73"/>
        <v/>
      </c>
      <c r="N752">
        <v>6471.21</v>
      </c>
      <c r="O752" t="s">
        <v>507</v>
      </c>
      <c r="Q752" t="s">
        <v>19</v>
      </c>
    </row>
    <row r="753" spans="1:17" x14ac:dyDescent="0.3">
      <c r="A753">
        <v>34395</v>
      </c>
      <c r="B753" t="s">
        <v>69</v>
      </c>
      <c r="C753" t="s">
        <v>19</v>
      </c>
      <c r="D753" t="s">
        <v>70</v>
      </c>
      <c r="E753" s="6">
        <v>101505.12</v>
      </c>
      <c r="F753" t="s">
        <v>580</v>
      </c>
      <c r="G753" s="4" t="str">
        <f t="shared" si="68"/>
        <v>101505.12</v>
      </c>
      <c r="H753" t="str">
        <f t="shared" si="69"/>
        <v>101505.12</v>
      </c>
      <c r="I753" s="1">
        <v>45716</v>
      </c>
      <c r="J753" s="2">
        <f t="shared" si="70"/>
        <v>1.7390180023874782E-2</v>
      </c>
      <c r="K753" s="3" t="str">
        <f t="shared" si="71"/>
        <v/>
      </c>
      <c r="L753" t="str">
        <f t="shared" si="72"/>
        <v/>
      </c>
      <c r="M753" t="str">
        <f t="shared" si="73"/>
        <v/>
      </c>
      <c r="N753">
        <v>99770.1</v>
      </c>
      <c r="O753" t="s">
        <v>505</v>
      </c>
      <c r="Q753" t="s">
        <v>19</v>
      </c>
    </row>
    <row r="754" spans="1:17" x14ac:dyDescent="0.3">
      <c r="A754">
        <v>36048</v>
      </c>
      <c r="B754" t="s">
        <v>76</v>
      </c>
      <c r="C754" t="s">
        <v>19</v>
      </c>
      <c r="D754" t="s">
        <v>77</v>
      </c>
      <c r="E754" s="6">
        <v>6387.16</v>
      </c>
      <c r="F754" t="s">
        <v>580</v>
      </c>
      <c r="G754" s="4" t="str">
        <f t="shared" si="68"/>
        <v>6387.16</v>
      </c>
      <c r="H754" t="str">
        <f t="shared" si="69"/>
        <v>6387.16</v>
      </c>
      <c r="I754" s="1">
        <v>45716</v>
      </c>
      <c r="J754" s="2">
        <f t="shared" si="70"/>
        <v>2.2524758022944166E-2</v>
      </c>
      <c r="K754" s="3" t="str">
        <f t="shared" si="71"/>
        <v/>
      </c>
      <c r="L754" t="str">
        <f t="shared" si="72"/>
        <v/>
      </c>
      <c r="M754" t="str">
        <f t="shared" si="73"/>
        <v/>
      </c>
      <c r="N754">
        <v>6246.46</v>
      </c>
      <c r="O754" t="s">
        <v>508</v>
      </c>
      <c r="Q754" t="s">
        <v>19</v>
      </c>
    </row>
    <row r="755" spans="1:17" x14ac:dyDescent="0.3">
      <c r="A755">
        <v>36048</v>
      </c>
      <c r="B755" t="s">
        <v>76</v>
      </c>
      <c r="C755" t="s">
        <v>19</v>
      </c>
      <c r="D755" t="s">
        <v>79</v>
      </c>
      <c r="E755" s="6">
        <v>19151.560000000001</v>
      </c>
      <c r="F755" t="s">
        <v>580</v>
      </c>
      <c r="G755" s="4" t="str">
        <f t="shared" si="68"/>
        <v>19151.56</v>
      </c>
      <c r="H755" t="str">
        <f t="shared" si="69"/>
        <v>19151.56</v>
      </c>
      <c r="I755" s="1">
        <v>45716</v>
      </c>
      <c r="J755" s="2">
        <f t="shared" si="70"/>
        <v>1.556794524121893E-2</v>
      </c>
      <c r="K755" s="3" t="str">
        <f t="shared" si="71"/>
        <v/>
      </c>
      <c r="L755" t="str">
        <f t="shared" si="72"/>
        <v/>
      </c>
      <c r="M755" t="str">
        <f t="shared" si="73"/>
        <v/>
      </c>
      <c r="N755">
        <v>18857.98</v>
      </c>
      <c r="O755" t="s">
        <v>509</v>
      </c>
      <c r="Q755" t="s">
        <v>19</v>
      </c>
    </row>
    <row r="756" spans="1:17" x14ac:dyDescent="0.3">
      <c r="A756">
        <v>36059</v>
      </c>
      <c r="B756" t="s">
        <v>81</v>
      </c>
      <c r="C756" t="s">
        <v>19</v>
      </c>
      <c r="D756" t="s">
        <v>82</v>
      </c>
      <c r="E756" s="6">
        <v>39451.01</v>
      </c>
      <c r="F756" t="s">
        <v>580</v>
      </c>
      <c r="G756" s="4" t="str">
        <f t="shared" si="68"/>
        <v>39451.01</v>
      </c>
      <c r="H756" t="str">
        <f t="shared" si="69"/>
        <v>39451.01</v>
      </c>
      <c r="I756" s="1">
        <v>45716</v>
      </c>
      <c r="J756" s="2">
        <f t="shared" si="70"/>
        <v>6.3134669098422851E-3</v>
      </c>
      <c r="K756" s="3" t="str">
        <f t="shared" si="71"/>
        <v/>
      </c>
      <c r="L756" t="str">
        <f t="shared" si="72"/>
        <v/>
      </c>
      <c r="M756" t="str">
        <f t="shared" si="73"/>
        <v/>
      </c>
      <c r="N756">
        <v>39203.5</v>
      </c>
      <c r="O756" t="s">
        <v>510</v>
      </c>
      <c r="Q756" t="s">
        <v>19</v>
      </c>
    </row>
    <row r="757" spans="1:17" x14ac:dyDescent="0.3">
      <c r="A757">
        <v>36059</v>
      </c>
      <c r="B757" t="s">
        <v>81</v>
      </c>
      <c r="C757" t="s">
        <v>19</v>
      </c>
      <c r="D757" t="s">
        <v>84</v>
      </c>
      <c r="E757" s="6">
        <v>25476.94</v>
      </c>
      <c r="F757" t="s">
        <v>580</v>
      </c>
      <c r="G757" s="4" t="str">
        <f t="shared" si="68"/>
        <v>25476.94</v>
      </c>
      <c r="H757" t="str">
        <f t="shared" si="69"/>
        <v>25476.94</v>
      </c>
      <c r="I757" s="1">
        <v>45716</v>
      </c>
      <c r="J757" s="2">
        <f t="shared" si="70"/>
        <v>6.9904917296702987E-3</v>
      </c>
      <c r="K757" s="3" t="str">
        <f t="shared" si="71"/>
        <v/>
      </c>
      <c r="L757" t="str">
        <f t="shared" si="72"/>
        <v/>
      </c>
      <c r="M757" t="str">
        <f t="shared" si="73"/>
        <v/>
      </c>
      <c r="N757">
        <v>25300.080000000002</v>
      </c>
      <c r="O757" t="s">
        <v>511</v>
      </c>
      <c r="Q757" t="s">
        <v>19</v>
      </c>
    </row>
    <row r="758" spans="1:17" x14ac:dyDescent="0.3">
      <c r="A758">
        <v>36060</v>
      </c>
      <c r="B758" t="s">
        <v>86</v>
      </c>
      <c r="C758" t="s">
        <v>19</v>
      </c>
      <c r="D758" t="s">
        <v>87</v>
      </c>
      <c r="E758" s="6">
        <v>54586.3</v>
      </c>
      <c r="F758" t="s">
        <v>580</v>
      </c>
      <c r="G758" s="4" t="str">
        <f t="shared" si="68"/>
        <v>54586.3</v>
      </c>
      <c r="H758" t="str">
        <f t="shared" si="69"/>
        <v>54586.3</v>
      </c>
      <c r="I758" s="1">
        <v>45716</v>
      </c>
      <c r="J758" s="2">
        <f t="shared" si="70"/>
        <v>6.3812472598727106E-3</v>
      </c>
      <c r="K758" s="3" t="str">
        <f t="shared" si="71"/>
        <v/>
      </c>
      <c r="L758" t="str">
        <f t="shared" si="72"/>
        <v/>
      </c>
      <c r="M758" t="str">
        <f t="shared" si="73"/>
        <v/>
      </c>
      <c r="N758">
        <v>54240.18</v>
      </c>
      <c r="O758" t="s">
        <v>512</v>
      </c>
      <c r="Q758" t="s">
        <v>19</v>
      </c>
    </row>
    <row r="759" spans="1:17" x14ac:dyDescent="0.3">
      <c r="A759">
        <v>36060</v>
      </c>
      <c r="B759" t="s">
        <v>86</v>
      </c>
      <c r="C759" t="s">
        <v>19</v>
      </c>
      <c r="D759" t="s">
        <v>89</v>
      </c>
      <c r="E759" s="6">
        <v>9438.23</v>
      </c>
      <c r="F759" t="s">
        <v>580</v>
      </c>
      <c r="G759" s="4" t="str">
        <f t="shared" si="68"/>
        <v>9438.23</v>
      </c>
      <c r="H759" t="str">
        <f t="shared" si="69"/>
        <v>9438.23</v>
      </c>
      <c r="I759" s="1">
        <v>45716</v>
      </c>
      <c r="J759" s="2">
        <f t="shared" si="70"/>
        <v>9.80788653793482E-3</v>
      </c>
      <c r="K759" s="3" t="str">
        <f t="shared" si="71"/>
        <v/>
      </c>
      <c r="L759" t="str">
        <f t="shared" si="72"/>
        <v/>
      </c>
      <c r="M759" t="str">
        <f t="shared" si="73"/>
        <v/>
      </c>
      <c r="N759">
        <v>9346.56</v>
      </c>
      <c r="O759" t="s">
        <v>513</v>
      </c>
      <c r="Q759" t="s">
        <v>19</v>
      </c>
    </row>
    <row r="760" spans="1:17" x14ac:dyDescent="0.3">
      <c r="A760">
        <v>36355</v>
      </c>
      <c r="B760" t="s">
        <v>94</v>
      </c>
      <c r="C760" t="s">
        <v>19</v>
      </c>
      <c r="D760" t="s">
        <v>95</v>
      </c>
      <c r="E760" s="6">
        <v>594.89</v>
      </c>
      <c r="F760" t="s">
        <v>580</v>
      </c>
      <c r="G760" s="4" t="str">
        <f t="shared" si="68"/>
        <v>594.89</v>
      </c>
      <c r="H760" t="str">
        <f t="shared" si="69"/>
        <v>594.89</v>
      </c>
      <c r="I760" s="1">
        <v>45716</v>
      </c>
      <c r="J760" s="2">
        <f t="shared" si="70"/>
        <v>-1.1449366878261136E-2</v>
      </c>
      <c r="K760" s="3" t="str">
        <f t="shared" si="71"/>
        <v/>
      </c>
      <c r="L760" t="str">
        <f t="shared" si="72"/>
        <v/>
      </c>
      <c r="M760" t="str">
        <f t="shared" si="73"/>
        <v/>
      </c>
      <c r="N760">
        <v>601.78</v>
      </c>
      <c r="O760" t="s">
        <v>514</v>
      </c>
      <c r="Q760" t="s">
        <v>19</v>
      </c>
    </row>
    <row r="761" spans="1:17" x14ac:dyDescent="0.3">
      <c r="A761">
        <v>37040</v>
      </c>
      <c r="B761" t="s">
        <v>596</v>
      </c>
      <c r="C761" t="s">
        <v>19</v>
      </c>
      <c r="D761" t="s">
        <v>97</v>
      </c>
      <c r="E761" s="6">
        <v>28643.62</v>
      </c>
      <c r="F761" t="s">
        <v>580</v>
      </c>
      <c r="G761" s="4" t="str">
        <f t="shared" si="68"/>
        <v>28643.62</v>
      </c>
      <c r="H761" t="str">
        <f t="shared" si="69"/>
        <v>28643.62</v>
      </c>
      <c r="I761" s="1">
        <v>45716</v>
      </c>
      <c r="J761" s="2">
        <f t="shared" si="70"/>
        <v>6.8413676548797469E-3</v>
      </c>
      <c r="K761" s="3" t="str">
        <f t="shared" si="71"/>
        <v/>
      </c>
      <c r="L761" t="str">
        <f t="shared" si="72"/>
        <v/>
      </c>
      <c r="M761" t="str">
        <f t="shared" si="73"/>
        <v/>
      </c>
      <c r="N761">
        <v>28448.99</v>
      </c>
      <c r="O761" t="s">
        <v>515</v>
      </c>
      <c r="Q761" t="s">
        <v>19</v>
      </c>
    </row>
    <row r="762" spans="1:17" x14ac:dyDescent="0.3">
      <c r="A762">
        <v>37041</v>
      </c>
      <c r="B762" t="s">
        <v>99</v>
      </c>
      <c r="C762" t="s">
        <v>19</v>
      </c>
      <c r="D762" t="s">
        <v>100</v>
      </c>
      <c r="E762" s="6">
        <v>5250.37</v>
      </c>
      <c r="F762" t="s">
        <v>580</v>
      </c>
      <c r="G762" s="4" t="str">
        <f t="shared" si="68"/>
        <v>5250.37</v>
      </c>
      <c r="H762" t="str">
        <f t="shared" si="69"/>
        <v>5250.37</v>
      </c>
      <c r="I762" s="1">
        <v>45716</v>
      </c>
      <c r="J762" s="2">
        <f t="shared" si="70"/>
        <v>1.1495559365788829E-2</v>
      </c>
      <c r="K762" s="3" t="str">
        <f t="shared" si="71"/>
        <v/>
      </c>
      <c r="L762" t="str">
        <f t="shared" si="72"/>
        <v/>
      </c>
      <c r="M762" t="str">
        <f t="shared" si="73"/>
        <v/>
      </c>
      <c r="N762">
        <v>5190.7</v>
      </c>
      <c r="O762" t="s">
        <v>516</v>
      </c>
      <c r="Q762" t="s">
        <v>19</v>
      </c>
    </row>
    <row r="763" spans="1:17" x14ac:dyDescent="0.3">
      <c r="A763">
        <v>38586</v>
      </c>
      <c r="B763" t="s">
        <v>102</v>
      </c>
      <c r="C763" t="s">
        <v>19</v>
      </c>
      <c r="D763" t="s">
        <v>103</v>
      </c>
      <c r="E763" s="6">
        <v>3694.69</v>
      </c>
      <c r="F763" t="s">
        <v>580</v>
      </c>
      <c r="G763" s="4" t="str">
        <f t="shared" si="68"/>
        <v>3694.69</v>
      </c>
      <c r="H763" t="str">
        <f t="shared" si="69"/>
        <v>3694.69</v>
      </c>
      <c r="I763" s="1">
        <v>45716</v>
      </c>
      <c r="J763" s="2">
        <f t="shared" si="70"/>
        <v>1.3893843679851624E-2</v>
      </c>
      <c r="K763" s="3" t="str">
        <f t="shared" si="71"/>
        <v/>
      </c>
      <c r="L763" t="str">
        <f t="shared" si="72"/>
        <v/>
      </c>
      <c r="M763" t="str">
        <f t="shared" si="73"/>
        <v/>
      </c>
      <c r="N763">
        <v>3644.06</v>
      </c>
      <c r="O763" t="s">
        <v>517</v>
      </c>
      <c r="Q763" t="s">
        <v>19</v>
      </c>
    </row>
    <row r="764" spans="1:17" x14ac:dyDescent="0.3">
      <c r="A764">
        <v>38842</v>
      </c>
      <c r="B764" t="s">
        <v>105</v>
      </c>
      <c r="C764" t="s">
        <v>19</v>
      </c>
      <c r="D764" t="s">
        <v>106</v>
      </c>
      <c r="E764" s="6">
        <v>2721.15</v>
      </c>
      <c r="F764" t="s">
        <v>580</v>
      </c>
      <c r="G764" s="4" t="str">
        <f t="shared" si="68"/>
        <v>2721.15</v>
      </c>
      <c r="H764" t="str">
        <f t="shared" si="69"/>
        <v>2721.15</v>
      </c>
      <c r="I764" s="1">
        <v>45716</v>
      </c>
      <c r="J764" s="2">
        <f t="shared" si="70"/>
        <v>1.2453119418978545E-2</v>
      </c>
      <c r="K764" s="3" t="str">
        <f t="shared" si="71"/>
        <v/>
      </c>
      <c r="L764" t="str">
        <f t="shared" si="72"/>
        <v/>
      </c>
      <c r="M764" t="str">
        <f t="shared" si="73"/>
        <v/>
      </c>
      <c r="N764">
        <v>2687.68</v>
      </c>
      <c r="O764" t="s">
        <v>518</v>
      </c>
      <c r="Q764" t="s">
        <v>19</v>
      </c>
    </row>
    <row r="765" spans="1:17" x14ac:dyDescent="0.3">
      <c r="A765">
        <v>38851</v>
      </c>
      <c r="B765" t="s">
        <v>108</v>
      </c>
      <c r="C765" t="s">
        <v>19</v>
      </c>
      <c r="D765" t="s">
        <v>109</v>
      </c>
      <c r="E765" s="6">
        <v>225.06</v>
      </c>
      <c r="F765" t="s">
        <v>580</v>
      </c>
      <c r="G765" s="4" t="str">
        <f t="shared" si="68"/>
        <v>225.06</v>
      </c>
      <c r="H765" t="str">
        <f t="shared" si="69"/>
        <v>225.06</v>
      </c>
      <c r="I765" s="1">
        <v>45716</v>
      </c>
      <c r="J765" s="2">
        <f t="shared" si="70"/>
        <v>-2.5334545926984517E-2</v>
      </c>
      <c r="K765" s="3" t="str">
        <f t="shared" si="71"/>
        <v/>
      </c>
      <c r="L765" t="str">
        <f t="shared" si="72"/>
        <v/>
      </c>
      <c r="M765" t="str">
        <f t="shared" si="73"/>
        <v/>
      </c>
      <c r="N765">
        <v>230.91</v>
      </c>
      <c r="O765" t="s">
        <v>519</v>
      </c>
      <c r="Q765" t="s">
        <v>19</v>
      </c>
    </row>
    <row r="766" spans="1:17" x14ac:dyDescent="0.3">
      <c r="A766">
        <v>38887</v>
      </c>
      <c r="B766" t="s">
        <v>111</v>
      </c>
      <c r="C766" t="s">
        <v>19</v>
      </c>
      <c r="D766" t="s">
        <v>112</v>
      </c>
      <c r="E766" s="6">
        <v>1373.23</v>
      </c>
      <c r="F766" t="s">
        <v>580</v>
      </c>
      <c r="G766" s="4" t="str">
        <f t="shared" si="68"/>
        <v>1373.23</v>
      </c>
      <c r="H766" t="str">
        <f t="shared" si="69"/>
        <v>1373.23</v>
      </c>
      <c r="I766" s="1">
        <v>45716</v>
      </c>
      <c r="J766" s="2">
        <f t="shared" si="70"/>
        <v>1.8127492993668386E-2</v>
      </c>
      <c r="K766" s="3" t="str">
        <f t="shared" si="71"/>
        <v/>
      </c>
      <c r="L766" t="str">
        <f t="shared" si="72"/>
        <v/>
      </c>
      <c r="M766" t="str">
        <f t="shared" si="73"/>
        <v/>
      </c>
      <c r="N766">
        <v>1348.78</v>
      </c>
      <c r="O766" t="s">
        <v>520</v>
      </c>
      <c r="Q766" t="s">
        <v>19</v>
      </c>
    </row>
    <row r="767" spans="1:17" x14ac:dyDescent="0.3">
      <c r="A767">
        <v>46589</v>
      </c>
      <c r="B767" t="s">
        <v>638</v>
      </c>
      <c r="C767" t="s">
        <v>19</v>
      </c>
      <c r="D767" t="s">
        <v>118</v>
      </c>
      <c r="E767" s="6">
        <v>67437.97</v>
      </c>
      <c r="F767" t="s">
        <v>580</v>
      </c>
      <c r="G767" s="4" t="str">
        <f t="shared" si="68"/>
        <v>67437.97</v>
      </c>
      <c r="H767" t="str">
        <f t="shared" si="69"/>
        <v>67437.97</v>
      </c>
      <c r="I767" s="1">
        <v>45716</v>
      </c>
      <c r="J767" s="2">
        <f t="shared" si="70"/>
        <v>1.7400577932303402E-2</v>
      </c>
      <c r="K767" s="3" t="str">
        <f t="shared" si="71"/>
        <v/>
      </c>
      <c r="L767" t="str">
        <f t="shared" si="72"/>
        <v/>
      </c>
      <c r="M767" t="str">
        <f t="shared" si="73"/>
        <v/>
      </c>
      <c r="N767">
        <v>66284.58</v>
      </c>
      <c r="O767" t="s">
        <v>521</v>
      </c>
      <c r="Q767" t="s">
        <v>19</v>
      </c>
    </row>
    <row r="768" spans="1:17" x14ac:dyDescent="0.3">
      <c r="A768">
        <v>46589</v>
      </c>
      <c r="B768" t="s">
        <v>638</v>
      </c>
      <c r="C768" t="s">
        <v>19</v>
      </c>
      <c r="D768" t="s">
        <v>120</v>
      </c>
      <c r="E768" s="6">
        <v>3186.19</v>
      </c>
      <c r="F768" t="s">
        <v>580</v>
      </c>
      <c r="G768" s="4" t="str">
        <f t="shared" si="68"/>
        <v>3186.19</v>
      </c>
      <c r="H768" t="str">
        <f t="shared" si="69"/>
        <v>3186.19</v>
      </c>
      <c r="I768" s="1">
        <v>45716</v>
      </c>
      <c r="J768" s="2">
        <f t="shared" si="70"/>
        <v>1.5072255071872752E-2</v>
      </c>
      <c r="K768" s="3" t="str">
        <f t="shared" si="71"/>
        <v/>
      </c>
      <c r="L768" t="str">
        <f t="shared" si="72"/>
        <v/>
      </c>
      <c r="M768" t="str">
        <f t="shared" si="73"/>
        <v/>
      </c>
      <c r="N768">
        <v>3138.88</v>
      </c>
      <c r="O768" t="s">
        <v>522</v>
      </c>
      <c r="Q768" t="s">
        <v>19</v>
      </c>
    </row>
    <row r="769" spans="1:17" x14ac:dyDescent="0.3">
      <c r="A769">
        <v>54985</v>
      </c>
      <c r="B769" t="s">
        <v>122</v>
      </c>
      <c r="C769" t="s">
        <v>19</v>
      </c>
      <c r="D769" t="s">
        <v>123</v>
      </c>
      <c r="E769" s="6">
        <v>1385.26</v>
      </c>
      <c r="F769" t="s">
        <v>580</v>
      </c>
      <c r="G769" s="4" t="str">
        <f t="shared" si="68"/>
        <v>1385.26</v>
      </c>
      <c r="H769" t="str">
        <f t="shared" si="69"/>
        <v>1385.26</v>
      </c>
      <c r="I769" s="1">
        <v>45716</v>
      </c>
      <c r="J769" s="2">
        <f t="shared" si="70"/>
        <v>1.317983675141159E-2</v>
      </c>
      <c r="K769" s="3" t="str">
        <f t="shared" si="71"/>
        <v/>
      </c>
      <c r="L769" t="str">
        <f t="shared" si="72"/>
        <v/>
      </c>
      <c r="M769" t="str">
        <f t="shared" si="73"/>
        <v/>
      </c>
      <c r="N769">
        <v>1367.24</v>
      </c>
      <c r="O769" t="s">
        <v>523</v>
      </c>
      <c r="Q769" t="s">
        <v>19</v>
      </c>
    </row>
    <row r="770" spans="1:17" x14ac:dyDescent="0.3">
      <c r="A770">
        <v>69046</v>
      </c>
      <c r="B770" t="s">
        <v>131</v>
      </c>
      <c r="C770" t="s">
        <v>19</v>
      </c>
      <c r="D770" t="s">
        <v>132</v>
      </c>
      <c r="E770" s="6">
        <v>51118.99</v>
      </c>
      <c r="F770" t="s">
        <v>580</v>
      </c>
      <c r="G770" s="4" t="str">
        <f t="shared" si="68"/>
        <v>51118.99</v>
      </c>
      <c r="H770" t="str">
        <f t="shared" si="69"/>
        <v>51118.99</v>
      </c>
      <c r="I770" s="1">
        <v>45716</v>
      </c>
      <c r="J770" s="2">
        <f t="shared" si="70"/>
        <v>7.1026569555779915E-3</v>
      </c>
      <c r="K770" s="3" t="str">
        <f t="shared" si="71"/>
        <v/>
      </c>
      <c r="L770" t="str">
        <f t="shared" si="72"/>
        <v/>
      </c>
      <c r="M770" t="str">
        <f t="shared" si="73"/>
        <v/>
      </c>
      <c r="N770">
        <v>50758.47</v>
      </c>
      <c r="O770" t="s">
        <v>524</v>
      </c>
      <c r="Q770" t="s">
        <v>19</v>
      </c>
    </row>
    <row r="771" spans="1:17" x14ac:dyDescent="0.3">
      <c r="A771">
        <v>72002</v>
      </c>
      <c r="B771" t="s">
        <v>134</v>
      </c>
      <c r="C771" t="s">
        <v>19</v>
      </c>
      <c r="D771" t="s">
        <v>137</v>
      </c>
      <c r="E771" s="6">
        <v>54976.97</v>
      </c>
      <c r="F771" t="s">
        <v>580</v>
      </c>
      <c r="G771" s="4" t="str">
        <f t="shared" ref="G771:G834" si="74">SUBSTITUTE(E771,"R","")</f>
        <v>54976.97</v>
      </c>
      <c r="H771" t="str">
        <f t="shared" ref="H771:H834" si="75">SUBSTITUTE(G771,",","")</f>
        <v>54976.97</v>
      </c>
      <c r="I771" s="1">
        <v>45716</v>
      </c>
      <c r="J771" s="2">
        <f t="shared" ref="J771:J834" si="76">(H771-N771)/N771</f>
        <v>6.3739308060570352E-3</v>
      </c>
      <c r="K771" s="3" t="str">
        <f t="shared" ref="K771:K834" si="77">IF(ABS(J771)&gt;0.1,"Check!","")</f>
        <v/>
      </c>
      <c r="L771" t="str">
        <f t="shared" ref="L771:L834" si="78">IF(LEFT(O771,10)&lt;&gt;LEFT(D771,10),"Check","")</f>
        <v/>
      </c>
      <c r="M771" t="str">
        <f t="shared" ref="M771:M834" si="79">IF(Q771&lt;&gt;C771,"Check","")</f>
        <v/>
      </c>
      <c r="N771">
        <v>54628.77</v>
      </c>
      <c r="O771" t="s">
        <v>525</v>
      </c>
      <c r="Q771" t="s">
        <v>19</v>
      </c>
    </row>
    <row r="772" spans="1:17" x14ac:dyDescent="0.3">
      <c r="A772">
        <v>72002</v>
      </c>
      <c r="B772" t="s">
        <v>134</v>
      </c>
      <c r="C772" t="s">
        <v>19</v>
      </c>
      <c r="D772" t="s">
        <v>139</v>
      </c>
      <c r="E772" s="6">
        <v>8042.54</v>
      </c>
      <c r="F772" t="s">
        <v>580</v>
      </c>
      <c r="G772" s="4" t="str">
        <f t="shared" si="74"/>
        <v>8042.54</v>
      </c>
      <c r="H772" t="str">
        <f t="shared" si="75"/>
        <v>8042.54</v>
      </c>
      <c r="I772" s="1">
        <v>45716</v>
      </c>
      <c r="J772" s="2">
        <f t="shared" si="76"/>
        <v>1.0780770062186083E-2</v>
      </c>
      <c r="K772" s="3" t="str">
        <f t="shared" si="77"/>
        <v/>
      </c>
      <c r="L772" t="str">
        <f t="shared" si="78"/>
        <v/>
      </c>
      <c r="M772" t="str">
        <f t="shared" si="79"/>
        <v/>
      </c>
      <c r="N772">
        <v>7956.76</v>
      </c>
      <c r="O772" t="s">
        <v>526</v>
      </c>
      <c r="Q772" t="s">
        <v>19</v>
      </c>
    </row>
    <row r="773" spans="1:17" x14ac:dyDescent="0.3">
      <c r="A773">
        <v>80212</v>
      </c>
      <c r="B773" t="s">
        <v>141</v>
      </c>
      <c r="C773" t="s">
        <v>590</v>
      </c>
      <c r="D773" t="s">
        <v>142</v>
      </c>
      <c r="E773" s="6">
        <v>395.87</v>
      </c>
      <c r="F773" t="s">
        <v>580</v>
      </c>
      <c r="G773" s="4" t="str">
        <f t="shared" si="74"/>
        <v>395.87</v>
      </c>
      <c r="H773" t="str">
        <f t="shared" si="75"/>
        <v>395.87</v>
      </c>
      <c r="I773" s="1">
        <v>45716</v>
      </c>
      <c r="J773" s="2">
        <f t="shared" si="76"/>
        <v>1.1549763638686551E-2</v>
      </c>
      <c r="K773" s="3" t="str">
        <f t="shared" si="77"/>
        <v/>
      </c>
      <c r="L773" t="str">
        <f t="shared" si="78"/>
        <v/>
      </c>
      <c r="M773" t="str">
        <f t="shared" si="79"/>
        <v>Check</v>
      </c>
      <c r="N773">
        <v>391.35</v>
      </c>
      <c r="O773" t="s">
        <v>527</v>
      </c>
      <c r="Q773" t="s">
        <v>16</v>
      </c>
    </row>
    <row r="774" spans="1:17" x14ac:dyDescent="0.3">
      <c r="A774">
        <v>81381</v>
      </c>
      <c r="B774" t="s">
        <v>593</v>
      </c>
      <c r="C774" t="s">
        <v>19</v>
      </c>
      <c r="D774" t="s">
        <v>146</v>
      </c>
      <c r="E774" s="6">
        <v>3773.93</v>
      </c>
      <c r="F774" t="s">
        <v>580</v>
      </c>
      <c r="G774" s="4" t="str">
        <f t="shared" si="74"/>
        <v>3773.93</v>
      </c>
      <c r="H774" t="str">
        <f t="shared" si="75"/>
        <v>3773.93</v>
      </c>
      <c r="I774" s="1">
        <v>45716</v>
      </c>
      <c r="J774" s="2">
        <f t="shared" si="76"/>
        <v>8.5220895554296242E-3</v>
      </c>
      <c r="K774" s="3" t="str">
        <f t="shared" si="77"/>
        <v/>
      </c>
      <c r="L774" t="str">
        <f t="shared" si="78"/>
        <v/>
      </c>
      <c r="M774" t="str">
        <f t="shared" si="79"/>
        <v/>
      </c>
      <c r="N774">
        <v>3742.04</v>
      </c>
      <c r="O774" t="s">
        <v>528</v>
      </c>
      <c r="Q774" t="s">
        <v>19</v>
      </c>
    </row>
    <row r="775" spans="1:17" x14ac:dyDescent="0.3">
      <c r="A775">
        <v>81381</v>
      </c>
      <c r="B775" t="s">
        <v>593</v>
      </c>
      <c r="C775" t="s">
        <v>19</v>
      </c>
      <c r="D775" t="s">
        <v>148</v>
      </c>
      <c r="E775" s="6">
        <v>127114.35</v>
      </c>
      <c r="F775" t="s">
        <v>580</v>
      </c>
      <c r="G775" s="4" t="str">
        <f t="shared" si="74"/>
        <v>127114.35</v>
      </c>
      <c r="H775" t="str">
        <f t="shared" si="75"/>
        <v>127114.35</v>
      </c>
      <c r="I775" s="1">
        <v>45716</v>
      </c>
      <c r="J775" s="2">
        <f t="shared" si="76"/>
        <v>6.117548912095031E-3</v>
      </c>
      <c r="K775" s="3" t="str">
        <f t="shared" si="77"/>
        <v/>
      </c>
      <c r="L775" t="str">
        <f t="shared" si="78"/>
        <v/>
      </c>
      <c r="M775" t="str">
        <f t="shared" si="79"/>
        <v/>
      </c>
      <c r="N775">
        <v>126341.45</v>
      </c>
      <c r="O775" t="s">
        <v>529</v>
      </c>
      <c r="Q775" t="s">
        <v>19</v>
      </c>
    </row>
    <row r="776" spans="1:17" x14ac:dyDescent="0.3">
      <c r="A776">
        <v>113590</v>
      </c>
      <c r="B776" t="s">
        <v>150</v>
      </c>
      <c r="C776" t="s">
        <v>19</v>
      </c>
      <c r="D776" t="s">
        <v>151</v>
      </c>
      <c r="E776" s="6">
        <v>14945.44</v>
      </c>
      <c r="F776" t="s">
        <v>580</v>
      </c>
      <c r="G776" s="4" t="str">
        <f t="shared" si="74"/>
        <v>14945.44</v>
      </c>
      <c r="H776" t="str">
        <f t="shared" si="75"/>
        <v>14945.44</v>
      </c>
      <c r="I776" s="1">
        <v>45716</v>
      </c>
      <c r="J776" s="2">
        <f t="shared" si="76"/>
        <v>6.2521124276052097E-3</v>
      </c>
      <c r="K776" s="3" t="str">
        <f t="shared" si="77"/>
        <v/>
      </c>
      <c r="L776" t="str">
        <f t="shared" si="78"/>
        <v/>
      </c>
      <c r="M776" t="str">
        <f t="shared" si="79"/>
        <v/>
      </c>
      <c r="N776">
        <v>14852.58</v>
      </c>
      <c r="O776" t="s">
        <v>530</v>
      </c>
      <c r="Q776" t="s">
        <v>19</v>
      </c>
    </row>
    <row r="777" spans="1:17" x14ac:dyDescent="0.3">
      <c r="A777">
        <v>113590</v>
      </c>
      <c r="B777" t="s">
        <v>150</v>
      </c>
      <c r="C777" t="s">
        <v>19</v>
      </c>
      <c r="D777" t="s">
        <v>153</v>
      </c>
      <c r="E777" s="6">
        <v>3894.25</v>
      </c>
      <c r="F777" t="s">
        <v>580</v>
      </c>
      <c r="G777" s="4" t="str">
        <f t="shared" si="74"/>
        <v>3894.25</v>
      </c>
      <c r="H777" t="str">
        <f t="shared" si="75"/>
        <v>3894.25</v>
      </c>
      <c r="I777" s="1">
        <v>45716</v>
      </c>
      <c r="J777" s="2">
        <f t="shared" si="76"/>
        <v>7.7243556567642866E-3</v>
      </c>
      <c r="K777" s="3" t="str">
        <f t="shared" si="77"/>
        <v/>
      </c>
      <c r="L777" t="str">
        <f t="shared" si="78"/>
        <v/>
      </c>
      <c r="M777" t="str">
        <f t="shared" si="79"/>
        <v/>
      </c>
      <c r="N777">
        <v>3864.4</v>
      </c>
      <c r="O777" t="s">
        <v>531</v>
      </c>
      <c r="Q777" t="s">
        <v>19</v>
      </c>
    </row>
    <row r="778" spans="1:17" x14ac:dyDescent="0.3">
      <c r="A778">
        <v>130912</v>
      </c>
      <c r="B778" t="s">
        <v>604</v>
      </c>
      <c r="C778" t="s">
        <v>590</v>
      </c>
      <c r="D778" t="s">
        <v>605</v>
      </c>
      <c r="E778" s="6">
        <v>13839.46</v>
      </c>
      <c r="F778" t="s">
        <v>580</v>
      </c>
      <c r="G778" s="4" t="str">
        <f t="shared" si="74"/>
        <v>13839.46</v>
      </c>
      <c r="H778" t="str">
        <f t="shared" si="75"/>
        <v>13839.46</v>
      </c>
      <c r="I778" s="1">
        <v>45716</v>
      </c>
      <c r="J778" s="2">
        <f t="shared" si="76"/>
        <v>7.6428028998528049E-3</v>
      </c>
      <c r="K778" s="3" t="str">
        <f t="shared" si="77"/>
        <v/>
      </c>
      <c r="L778" t="str">
        <f t="shared" si="78"/>
        <v/>
      </c>
      <c r="M778" t="str">
        <f t="shared" si="79"/>
        <v/>
      </c>
      <c r="N778">
        <v>13734.49</v>
      </c>
      <c r="O778" t="s">
        <v>687</v>
      </c>
      <c r="Q778" t="s">
        <v>590</v>
      </c>
    </row>
    <row r="779" spans="1:17" x14ac:dyDescent="0.3">
      <c r="A779">
        <v>100202693</v>
      </c>
      <c r="B779" t="s">
        <v>594</v>
      </c>
      <c r="C779" t="s">
        <v>590</v>
      </c>
      <c r="D779" t="s">
        <v>599</v>
      </c>
      <c r="E779" s="6">
        <v>44265.66</v>
      </c>
      <c r="F779" t="s">
        <v>580</v>
      </c>
      <c r="G779" s="4" t="str">
        <f t="shared" si="74"/>
        <v>44265.66</v>
      </c>
      <c r="H779" t="str">
        <f t="shared" si="75"/>
        <v>44265.66</v>
      </c>
      <c r="I779" s="1">
        <v>45716</v>
      </c>
      <c r="J779" s="2">
        <f t="shared" si="76"/>
        <v>6.1756190677950259E-3</v>
      </c>
      <c r="K779" s="3" t="str">
        <f t="shared" si="77"/>
        <v/>
      </c>
      <c r="L779" t="str">
        <f t="shared" si="78"/>
        <v/>
      </c>
      <c r="M779" t="str">
        <f t="shared" si="79"/>
        <v/>
      </c>
      <c r="N779">
        <v>43993.97</v>
      </c>
      <c r="O779" t="s">
        <v>688</v>
      </c>
      <c r="Q779" t="s">
        <v>590</v>
      </c>
    </row>
    <row r="780" spans="1:17" x14ac:dyDescent="0.3">
      <c r="A780">
        <v>100202693</v>
      </c>
      <c r="B780" t="s">
        <v>594</v>
      </c>
      <c r="C780" t="s">
        <v>19</v>
      </c>
      <c r="D780" t="s">
        <v>597</v>
      </c>
      <c r="E780" s="6">
        <v>35169.49</v>
      </c>
      <c r="F780" t="s">
        <v>580</v>
      </c>
      <c r="G780" s="4" t="str">
        <f t="shared" si="74"/>
        <v>35169.49</v>
      </c>
      <c r="H780" t="str">
        <f t="shared" si="75"/>
        <v>35169.49</v>
      </c>
      <c r="I780" s="1">
        <v>45716</v>
      </c>
      <c r="J780" s="2">
        <f t="shared" si="76"/>
        <v>5.8147632411556576E-3</v>
      </c>
      <c r="K780" s="3" t="str">
        <f t="shared" si="77"/>
        <v/>
      </c>
      <c r="L780" t="str">
        <f t="shared" si="78"/>
        <v/>
      </c>
      <c r="M780" t="str">
        <f t="shared" si="79"/>
        <v/>
      </c>
      <c r="N780">
        <v>34966.17</v>
      </c>
      <c r="O780" t="s">
        <v>689</v>
      </c>
      <c r="Q780" t="s">
        <v>19</v>
      </c>
    </row>
    <row r="781" spans="1:17" x14ac:dyDescent="0.3">
      <c r="A781">
        <v>100202693</v>
      </c>
      <c r="B781" t="s">
        <v>594</v>
      </c>
      <c r="C781" t="s">
        <v>19</v>
      </c>
      <c r="D781" t="s">
        <v>598</v>
      </c>
      <c r="E781" s="6">
        <v>137121.07</v>
      </c>
      <c r="F781" t="s">
        <v>580</v>
      </c>
      <c r="G781" s="4" t="str">
        <f t="shared" si="74"/>
        <v>137121.07</v>
      </c>
      <c r="H781" t="str">
        <f t="shared" si="75"/>
        <v>137121.07</v>
      </c>
      <c r="I781" s="1">
        <v>45716</v>
      </c>
      <c r="J781" s="2">
        <f t="shared" si="76"/>
        <v>6.0748485378315968E-3</v>
      </c>
      <c r="K781" s="3" t="str">
        <f t="shared" si="77"/>
        <v/>
      </c>
      <c r="L781" t="str">
        <f t="shared" si="78"/>
        <v/>
      </c>
      <c r="M781" t="str">
        <f t="shared" si="79"/>
        <v/>
      </c>
      <c r="N781">
        <v>136293.10999999999</v>
      </c>
      <c r="O781" t="s">
        <v>690</v>
      </c>
      <c r="Q781" t="s">
        <v>19</v>
      </c>
    </row>
    <row r="782" spans="1:17" x14ac:dyDescent="0.3">
      <c r="A782">
        <v>100220898</v>
      </c>
      <c r="B782" t="s">
        <v>166</v>
      </c>
      <c r="C782" t="s">
        <v>19</v>
      </c>
      <c r="D782" t="s">
        <v>167</v>
      </c>
      <c r="E782" s="6">
        <v>41316.339999999997</v>
      </c>
      <c r="F782" t="s">
        <v>580</v>
      </c>
      <c r="G782" s="4" t="str">
        <f t="shared" si="74"/>
        <v>41316.34</v>
      </c>
      <c r="H782" t="str">
        <f t="shared" si="75"/>
        <v>41316.34</v>
      </c>
      <c r="I782" s="1">
        <v>45716</v>
      </c>
      <c r="J782" s="2">
        <f t="shared" si="76"/>
        <v>5.8376372894021911E-3</v>
      </c>
      <c r="K782" s="3" t="str">
        <f t="shared" si="77"/>
        <v/>
      </c>
      <c r="L782" t="str">
        <f t="shared" si="78"/>
        <v/>
      </c>
      <c r="M782" t="str">
        <f t="shared" si="79"/>
        <v/>
      </c>
      <c r="N782">
        <v>41076.550000000003</v>
      </c>
      <c r="O782" t="s">
        <v>532</v>
      </c>
      <c r="Q782" t="s">
        <v>19</v>
      </c>
    </row>
    <row r="783" spans="1:17" x14ac:dyDescent="0.3">
      <c r="A783">
        <v>100220898</v>
      </c>
      <c r="B783" t="s">
        <v>166</v>
      </c>
      <c r="C783" t="s">
        <v>19</v>
      </c>
      <c r="D783" t="s">
        <v>169</v>
      </c>
      <c r="E783" s="6">
        <v>30380.53</v>
      </c>
      <c r="F783" t="s">
        <v>580</v>
      </c>
      <c r="G783" s="4" t="str">
        <f t="shared" si="74"/>
        <v>30380.53</v>
      </c>
      <c r="H783" t="str">
        <f t="shared" si="75"/>
        <v>30380.53</v>
      </c>
      <c r="I783" s="1">
        <v>45716</v>
      </c>
      <c r="J783" s="2">
        <f t="shared" si="76"/>
        <v>8.7471930389024528E-3</v>
      </c>
      <c r="K783" s="3" t="str">
        <f t="shared" si="77"/>
        <v/>
      </c>
      <c r="L783" t="str">
        <f t="shared" si="78"/>
        <v/>
      </c>
      <c r="M783" t="str">
        <f t="shared" si="79"/>
        <v/>
      </c>
      <c r="N783">
        <v>30117.09</v>
      </c>
      <c r="O783" t="s">
        <v>533</v>
      </c>
      <c r="Q783" t="s">
        <v>19</v>
      </c>
    </row>
    <row r="784" spans="1:17" x14ac:dyDescent="0.3">
      <c r="A784">
        <v>100247003</v>
      </c>
      <c r="B784" t="s">
        <v>105</v>
      </c>
      <c r="C784" t="s">
        <v>19</v>
      </c>
      <c r="D784" t="s">
        <v>171</v>
      </c>
      <c r="E784" s="6">
        <v>15218.95</v>
      </c>
      <c r="F784" t="s">
        <v>580</v>
      </c>
      <c r="G784" s="4" t="str">
        <f t="shared" si="74"/>
        <v>15218.95</v>
      </c>
      <c r="H784" t="str">
        <f t="shared" si="75"/>
        <v>15218.95</v>
      </c>
      <c r="I784" s="1">
        <v>45716</v>
      </c>
      <c r="J784" s="2">
        <f t="shared" si="76"/>
        <v>1.218698684664719E-2</v>
      </c>
      <c r="K784" s="3" t="str">
        <f t="shared" si="77"/>
        <v/>
      </c>
      <c r="L784" t="str">
        <f t="shared" si="78"/>
        <v/>
      </c>
      <c r="M784" t="str">
        <f t="shared" si="79"/>
        <v/>
      </c>
      <c r="N784">
        <v>15035.71</v>
      </c>
      <c r="O784" t="s">
        <v>534</v>
      </c>
      <c r="Q784" t="s">
        <v>19</v>
      </c>
    </row>
    <row r="785" spans="1:17" x14ac:dyDescent="0.3">
      <c r="A785">
        <v>100249944</v>
      </c>
      <c r="B785" t="s">
        <v>173</v>
      </c>
      <c r="C785" t="s">
        <v>19</v>
      </c>
      <c r="D785" t="s">
        <v>174</v>
      </c>
      <c r="E785" s="6">
        <v>33426.76</v>
      </c>
      <c r="F785" t="s">
        <v>580</v>
      </c>
      <c r="G785" s="4" t="str">
        <f t="shared" si="74"/>
        <v>33426.76</v>
      </c>
      <c r="H785" t="str">
        <f t="shared" si="75"/>
        <v>33426.76</v>
      </c>
      <c r="I785" s="1">
        <v>45716</v>
      </c>
      <c r="J785" s="2">
        <f t="shared" si="76"/>
        <v>6.2312310504350418E-3</v>
      </c>
      <c r="K785" s="3" t="str">
        <f t="shared" si="77"/>
        <v/>
      </c>
      <c r="L785" t="str">
        <f t="shared" si="78"/>
        <v/>
      </c>
      <c r="M785" t="str">
        <f t="shared" si="79"/>
        <v/>
      </c>
      <c r="N785">
        <v>33219.760000000002</v>
      </c>
      <c r="O785" t="s">
        <v>535</v>
      </c>
      <c r="Q785" t="s">
        <v>19</v>
      </c>
    </row>
    <row r="786" spans="1:17" x14ac:dyDescent="0.3">
      <c r="A786">
        <v>100250182</v>
      </c>
      <c r="B786" t="s">
        <v>176</v>
      </c>
      <c r="C786" t="s">
        <v>19</v>
      </c>
      <c r="D786" t="s">
        <v>177</v>
      </c>
      <c r="E786" s="6">
        <v>64901.279999999999</v>
      </c>
      <c r="F786" t="s">
        <v>580</v>
      </c>
      <c r="G786" s="4" t="str">
        <f t="shared" si="74"/>
        <v>64901.28</v>
      </c>
      <c r="H786" t="str">
        <f t="shared" si="75"/>
        <v>64901.28</v>
      </c>
      <c r="I786" s="1">
        <v>45716</v>
      </c>
      <c r="J786" s="2">
        <f t="shared" si="76"/>
        <v>5.941135469699336E-3</v>
      </c>
      <c r="K786" s="3" t="str">
        <f t="shared" si="77"/>
        <v/>
      </c>
      <c r="L786" t="str">
        <f t="shared" si="78"/>
        <v/>
      </c>
      <c r="M786" t="str">
        <f t="shared" si="79"/>
        <v/>
      </c>
      <c r="N786">
        <v>64517.97</v>
      </c>
      <c r="O786" t="s">
        <v>536</v>
      </c>
      <c r="Q786" t="s">
        <v>19</v>
      </c>
    </row>
    <row r="787" spans="1:17" x14ac:dyDescent="0.3">
      <c r="A787">
        <v>100273792</v>
      </c>
      <c r="B787" t="s">
        <v>182</v>
      </c>
      <c r="C787" t="s">
        <v>19</v>
      </c>
      <c r="D787" t="s">
        <v>183</v>
      </c>
      <c r="E787" s="6">
        <v>35064.239999999998</v>
      </c>
      <c r="F787" t="s">
        <v>580</v>
      </c>
      <c r="G787" s="4" t="str">
        <f t="shared" si="74"/>
        <v>35064.24</v>
      </c>
      <c r="H787" t="str">
        <f t="shared" si="75"/>
        <v>35064.24</v>
      </c>
      <c r="I787" s="1">
        <v>45716</v>
      </c>
      <c r="J787" s="2">
        <f t="shared" si="76"/>
        <v>1.1232960939288947E-2</v>
      </c>
      <c r="K787" s="3" t="str">
        <f t="shared" si="77"/>
        <v/>
      </c>
      <c r="L787" t="str">
        <f t="shared" si="78"/>
        <v/>
      </c>
      <c r="M787" t="str">
        <f t="shared" si="79"/>
        <v/>
      </c>
      <c r="N787">
        <v>34674.74</v>
      </c>
      <c r="O787" t="s">
        <v>537</v>
      </c>
      <c r="Q787" t="s">
        <v>19</v>
      </c>
    </row>
    <row r="788" spans="1:17" x14ac:dyDescent="0.3">
      <c r="A788">
        <v>100273792</v>
      </c>
      <c r="B788" t="s">
        <v>182</v>
      </c>
      <c r="C788" t="s">
        <v>19</v>
      </c>
      <c r="D788" t="s">
        <v>185</v>
      </c>
      <c r="E788" s="6">
        <v>48417.02</v>
      </c>
      <c r="F788" t="s">
        <v>580</v>
      </c>
      <c r="G788" s="4" t="str">
        <f t="shared" si="74"/>
        <v>48417.02</v>
      </c>
      <c r="H788" t="str">
        <f t="shared" si="75"/>
        <v>48417.02</v>
      </c>
      <c r="I788" s="1">
        <v>45716</v>
      </c>
      <c r="J788" s="2">
        <f t="shared" si="76"/>
        <v>1.0619252166692725E-2</v>
      </c>
      <c r="K788" s="3" t="str">
        <f t="shared" si="77"/>
        <v/>
      </c>
      <c r="L788" t="str">
        <f t="shared" si="78"/>
        <v/>
      </c>
      <c r="M788" t="str">
        <f t="shared" si="79"/>
        <v/>
      </c>
      <c r="N788">
        <v>47908.27</v>
      </c>
      <c r="O788" t="s">
        <v>538</v>
      </c>
      <c r="Q788" t="s">
        <v>19</v>
      </c>
    </row>
    <row r="789" spans="1:17" x14ac:dyDescent="0.3">
      <c r="A789">
        <v>100278188</v>
      </c>
      <c r="B789" t="s">
        <v>187</v>
      </c>
      <c r="C789" t="s">
        <v>19</v>
      </c>
      <c r="D789" t="s">
        <v>192</v>
      </c>
      <c r="E789" s="6">
        <v>13506.5</v>
      </c>
      <c r="F789" t="s">
        <v>580</v>
      </c>
      <c r="G789" s="4" t="str">
        <f t="shared" si="74"/>
        <v>13506.5</v>
      </c>
      <c r="H789" t="str">
        <f t="shared" si="75"/>
        <v>13506.5</v>
      </c>
      <c r="I789" s="1">
        <v>45716</v>
      </c>
      <c r="J789" s="2">
        <f t="shared" si="76"/>
        <v>8.3962717746101333E-3</v>
      </c>
      <c r="K789" s="3" t="str">
        <f t="shared" si="77"/>
        <v/>
      </c>
      <c r="L789" t="str">
        <f t="shared" si="78"/>
        <v/>
      </c>
      <c r="M789" t="str">
        <f t="shared" si="79"/>
        <v/>
      </c>
      <c r="N789">
        <v>13394.04</v>
      </c>
      <c r="O789" t="s">
        <v>540</v>
      </c>
      <c r="Q789" t="s">
        <v>19</v>
      </c>
    </row>
    <row r="790" spans="1:17" x14ac:dyDescent="0.3">
      <c r="A790">
        <v>100278188</v>
      </c>
      <c r="B790" t="s">
        <v>187</v>
      </c>
      <c r="C790" t="s">
        <v>19</v>
      </c>
      <c r="D790" t="s">
        <v>194</v>
      </c>
      <c r="E790" s="6">
        <v>24669.47</v>
      </c>
      <c r="F790" t="s">
        <v>580</v>
      </c>
      <c r="G790" s="4" t="str">
        <f t="shared" si="74"/>
        <v>24669.47</v>
      </c>
      <c r="H790" t="str">
        <f t="shared" si="75"/>
        <v>24669.47</v>
      </c>
      <c r="I790" s="1">
        <v>45716</v>
      </c>
      <c r="J790" s="2">
        <f t="shared" si="76"/>
        <v>6.6106401887426128E-3</v>
      </c>
      <c r="K790" s="3" t="str">
        <f t="shared" si="77"/>
        <v/>
      </c>
      <c r="L790" t="str">
        <f t="shared" si="78"/>
        <v/>
      </c>
      <c r="M790" t="str">
        <f t="shared" si="79"/>
        <v/>
      </c>
      <c r="N790">
        <v>24507.46</v>
      </c>
      <c r="O790" t="s">
        <v>541</v>
      </c>
      <c r="Q790" t="s">
        <v>19</v>
      </c>
    </row>
    <row r="791" spans="1:17" x14ac:dyDescent="0.3">
      <c r="A791">
        <v>100278188</v>
      </c>
      <c r="B791" t="s">
        <v>187</v>
      </c>
      <c r="C791" t="s">
        <v>19</v>
      </c>
      <c r="D791" t="s">
        <v>190</v>
      </c>
      <c r="E791" s="6">
        <v>7529.54</v>
      </c>
      <c r="F791" t="s">
        <v>580</v>
      </c>
      <c r="G791" s="4" t="str">
        <f t="shared" si="74"/>
        <v>7529.54</v>
      </c>
      <c r="H791" t="str">
        <f t="shared" si="75"/>
        <v>7529.54</v>
      </c>
      <c r="I791" s="1">
        <v>45716</v>
      </c>
      <c r="J791" s="2">
        <f t="shared" si="76"/>
        <v>7.3367493009753098E-3</v>
      </c>
      <c r="K791" s="3" t="str">
        <f t="shared" si="77"/>
        <v/>
      </c>
      <c r="L791" t="str">
        <f t="shared" si="78"/>
        <v/>
      </c>
      <c r="M791" t="str">
        <f t="shared" si="79"/>
        <v/>
      </c>
      <c r="N791">
        <v>7474.7</v>
      </c>
      <c r="O791" t="s">
        <v>539</v>
      </c>
      <c r="Q791" t="s">
        <v>19</v>
      </c>
    </row>
    <row r="792" spans="1:17" x14ac:dyDescent="0.3">
      <c r="A792">
        <v>100325823</v>
      </c>
      <c r="B792" t="s">
        <v>202</v>
      </c>
      <c r="C792" t="s">
        <v>19</v>
      </c>
      <c r="D792" t="s">
        <v>203</v>
      </c>
      <c r="E792" s="6">
        <v>33030.14</v>
      </c>
      <c r="F792" t="s">
        <v>580</v>
      </c>
      <c r="G792" s="4" t="str">
        <f t="shared" si="74"/>
        <v>33030.14</v>
      </c>
      <c r="H792" t="str">
        <f t="shared" si="75"/>
        <v>33030.14</v>
      </c>
      <c r="I792" s="1">
        <v>45716</v>
      </c>
      <c r="J792" s="2">
        <f t="shared" si="76"/>
        <v>6.153257540634346E-3</v>
      </c>
      <c r="K792" s="3" t="str">
        <f t="shared" si="77"/>
        <v/>
      </c>
      <c r="L792" t="str">
        <f t="shared" si="78"/>
        <v/>
      </c>
      <c r="M792" t="str">
        <f t="shared" si="79"/>
        <v/>
      </c>
      <c r="N792">
        <v>32828.14</v>
      </c>
      <c r="O792" t="s">
        <v>542</v>
      </c>
      <c r="Q792" t="s">
        <v>19</v>
      </c>
    </row>
    <row r="793" spans="1:17" x14ac:dyDescent="0.3">
      <c r="A793">
        <v>100376880</v>
      </c>
      <c r="B793" t="s">
        <v>205</v>
      </c>
      <c r="C793" t="s">
        <v>19</v>
      </c>
      <c r="D793" t="s">
        <v>208</v>
      </c>
      <c r="E793" s="6">
        <v>2416</v>
      </c>
      <c r="F793" t="s">
        <v>580</v>
      </c>
      <c r="G793" s="4" t="str">
        <f t="shared" si="74"/>
        <v>2416</v>
      </c>
      <c r="H793" t="str">
        <f t="shared" si="75"/>
        <v>2416</v>
      </c>
      <c r="I793" s="1">
        <v>45716</v>
      </c>
      <c r="J793" s="2">
        <f t="shared" si="76"/>
        <v>-1.5091601373001437E-2</v>
      </c>
      <c r="K793" s="3" t="str">
        <f t="shared" si="77"/>
        <v/>
      </c>
      <c r="L793" t="str">
        <f t="shared" si="78"/>
        <v/>
      </c>
      <c r="M793" t="str">
        <f t="shared" si="79"/>
        <v/>
      </c>
      <c r="N793">
        <v>2453.02</v>
      </c>
      <c r="O793" t="s">
        <v>543</v>
      </c>
      <c r="Q793" t="s">
        <v>19</v>
      </c>
    </row>
    <row r="794" spans="1:17" x14ac:dyDescent="0.3">
      <c r="A794">
        <v>100388471</v>
      </c>
      <c r="B794" t="s">
        <v>210</v>
      </c>
      <c r="C794" t="s">
        <v>19</v>
      </c>
      <c r="D794" t="s">
        <v>211</v>
      </c>
      <c r="E794" s="6">
        <v>42950.15</v>
      </c>
      <c r="F794" t="s">
        <v>580</v>
      </c>
      <c r="G794" s="4" t="str">
        <f t="shared" si="74"/>
        <v>42950.15</v>
      </c>
      <c r="H794" t="str">
        <f t="shared" si="75"/>
        <v>42950.15</v>
      </c>
      <c r="I794" s="1">
        <v>45716</v>
      </c>
      <c r="J794" s="2">
        <f t="shared" si="76"/>
        <v>-2.2935124483772478E-2</v>
      </c>
      <c r="K794" s="3" t="str">
        <f t="shared" si="77"/>
        <v/>
      </c>
      <c r="L794" t="str">
        <f t="shared" si="78"/>
        <v/>
      </c>
      <c r="M794" t="str">
        <f t="shared" si="79"/>
        <v/>
      </c>
      <c r="N794">
        <v>43958.34</v>
      </c>
      <c r="O794" t="s">
        <v>544</v>
      </c>
      <c r="Q794" t="s">
        <v>19</v>
      </c>
    </row>
    <row r="795" spans="1:17" x14ac:dyDescent="0.3">
      <c r="A795">
        <v>100388471</v>
      </c>
      <c r="B795" t="s">
        <v>210</v>
      </c>
      <c r="C795" t="s">
        <v>19</v>
      </c>
      <c r="D795" t="s">
        <v>213</v>
      </c>
      <c r="E795" s="6">
        <v>4509.13</v>
      </c>
      <c r="F795" t="s">
        <v>580</v>
      </c>
      <c r="G795" s="4" t="str">
        <f t="shared" si="74"/>
        <v>4509.13</v>
      </c>
      <c r="H795" t="str">
        <f t="shared" si="75"/>
        <v>4509.13</v>
      </c>
      <c r="I795" s="1">
        <v>45716</v>
      </c>
      <c r="J795" s="2">
        <f t="shared" si="76"/>
        <v>1.9915948139368703E-2</v>
      </c>
      <c r="K795" s="3" t="str">
        <f t="shared" si="77"/>
        <v/>
      </c>
      <c r="L795" t="str">
        <f t="shared" si="78"/>
        <v/>
      </c>
      <c r="M795" t="str">
        <f t="shared" si="79"/>
        <v/>
      </c>
      <c r="N795">
        <v>4421.08</v>
      </c>
      <c r="O795" t="s">
        <v>545</v>
      </c>
      <c r="Q795" t="s">
        <v>19</v>
      </c>
    </row>
    <row r="796" spans="1:17" x14ac:dyDescent="0.3">
      <c r="A796">
        <v>100408912</v>
      </c>
      <c r="B796" t="s">
        <v>215</v>
      </c>
      <c r="C796" t="s">
        <v>19</v>
      </c>
      <c r="D796" t="s">
        <v>216</v>
      </c>
      <c r="E796" s="6">
        <v>118959.99</v>
      </c>
      <c r="F796" t="s">
        <v>580</v>
      </c>
      <c r="G796" s="4" t="str">
        <f t="shared" si="74"/>
        <v>118959.99</v>
      </c>
      <c r="H796" t="str">
        <f t="shared" si="75"/>
        <v>118959.99</v>
      </c>
      <c r="I796" s="1">
        <v>45716</v>
      </c>
      <c r="J796" s="2">
        <f t="shared" si="76"/>
        <v>6.0769726755696045E-3</v>
      </c>
      <c r="K796" s="3" t="str">
        <f t="shared" si="77"/>
        <v/>
      </c>
      <c r="L796" t="str">
        <f t="shared" si="78"/>
        <v/>
      </c>
      <c r="M796" t="str">
        <f t="shared" si="79"/>
        <v/>
      </c>
      <c r="N796">
        <v>118241.44</v>
      </c>
      <c r="O796" t="s">
        <v>546</v>
      </c>
      <c r="Q796" t="s">
        <v>19</v>
      </c>
    </row>
    <row r="797" spans="1:17" x14ac:dyDescent="0.3">
      <c r="A797">
        <v>100421069</v>
      </c>
      <c r="B797" t="s">
        <v>218</v>
      </c>
      <c r="C797" t="s">
        <v>19</v>
      </c>
      <c r="D797" t="s">
        <v>220</v>
      </c>
      <c r="E797" s="6">
        <v>20812.78</v>
      </c>
      <c r="F797" t="s">
        <v>580</v>
      </c>
      <c r="G797" s="4" t="str">
        <f t="shared" si="74"/>
        <v>20812.78</v>
      </c>
      <c r="H797" t="str">
        <f t="shared" si="75"/>
        <v>20812.78</v>
      </c>
      <c r="I797" s="1">
        <v>45716</v>
      </c>
      <c r="J797" s="2">
        <f t="shared" si="76"/>
        <v>6.0344335878777756E-3</v>
      </c>
      <c r="K797" s="3" t="str">
        <f t="shared" si="77"/>
        <v/>
      </c>
      <c r="L797" t="str">
        <f t="shared" si="78"/>
        <v/>
      </c>
      <c r="M797" t="str">
        <f t="shared" si="79"/>
        <v/>
      </c>
      <c r="N797">
        <v>20687.939999999999</v>
      </c>
      <c r="O797" t="s">
        <v>547</v>
      </c>
      <c r="Q797" t="s">
        <v>19</v>
      </c>
    </row>
    <row r="798" spans="1:17" x14ac:dyDescent="0.3">
      <c r="A798">
        <v>100421069</v>
      </c>
      <c r="B798" t="s">
        <v>218</v>
      </c>
      <c r="C798" t="s">
        <v>19</v>
      </c>
      <c r="D798" t="s">
        <v>222</v>
      </c>
      <c r="E798" s="6">
        <v>9006.48</v>
      </c>
      <c r="F798" t="s">
        <v>580</v>
      </c>
      <c r="G798" s="4" t="str">
        <f t="shared" si="74"/>
        <v>9006.48</v>
      </c>
      <c r="H798" t="str">
        <f t="shared" si="75"/>
        <v>9006.48</v>
      </c>
      <c r="I798" s="1">
        <v>45716</v>
      </c>
      <c r="J798" s="2">
        <f t="shared" si="76"/>
        <v>1.2959932517924877E-2</v>
      </c>
      <c r="K798" s="3" t="str">
        <f t="shared" si="77"/>
        <v/>
      </c>
      <c r="L798" t="str">
        <f t="shared" si="78"/>
        <v/>
      </c>
      <c r="M798" t="str">
        <f t="shared" si="79"/>
        <v/>
      </c>
      <c r="N798">
        <v>8891.25</v>
      </c>
      <c r="O798" t="s">
        <v>548</v>
      </c>
      <c r="Q798" t="s">
        <v>19</v>
      </c>
    </row>
    <row r="799" spans="1:17" x14ac:dyDescent="0.3">
      <c r="A799">
        <v>100421069</v>
      </c>
      <c r="B799" t="s">
        <v>218</v>
      </c>
      <c r="C799" t="s">
        <v>19</v>
      </c>
      <c r="D799" t="s">
        <v>224</v>
      </c>
      <c r="E799" s="6">
        <v>11349.1</v>
      </c>
      <c r="F799" t="s">
        <v>580</v>
      </c>
      <c r="G799" s="4" t="str">
        <f t="shared" si="74"/>
        <v>11349.1</v>
      </c>
      <c r="H799" t="str">
        <f t="shared" si="75"/>
        <v>11349.1</v>
      </c>
      <c r="I799" s="1">
        <v>45716</v>
      </c>
      <c r="J799" s="2">
        <f t="shared" si="76"/>
        <v>6.2382854822436353E-3</v>
      </c>
      <c r="K799" s="3" t="str">
        <f t="shared" si="77"/>
        <v/>
      </c>
      <c r="L799" t="str">
        <f t="shared" si="78"/>
        <v/>
      </c>
      <c r="M799" t="str">
        <f t="shared" si="79"/>
        <v/>
      </c>
      <c r="N799">
        <v>11278.74</v>
      </c>
      <c r="O799" t="s">
        <v>549</v>
      </c>
      <c r="Q799" t="s">
        <v>19</v>
      </c>
    </row>
    <row r="800" spans="1:17" x14ac:dyDescent="0.3">
      <c r="A800">
        <v>100489695</v>
      </c>
      <c r="B800" t="s">
        <v>229</v>
      </c>
      <c r="C800" t="s">
        <v>590</v>
      </c>
      <c r="D800" t="s">
        <v>230</v>
      </c>
      <c r="E800" s="6">
        <v>422121.23</v>
      </c>
      <c r="F800" t="s">
        <v>580</v>
      </c>
      <c r="G800" s="4" t="str">
        <f t="shared" si="74"/>
        <v>422121.23</v>
      </c>
      <c r="H800" t="str">
        <f t="shared" si="75"/>
        <v>422121.23</v>
      </c>
      <c r="I800" s="1">
        <v>45716</v>
      </c>
      <c r="J800" s="2">
        <f t="shared" si="76"/>
        <v>-0.16570972198323977</v>
      </c>
      <c r="K800" s="3" t="str">
        <f t="shared" si="77"/>
        <v>Check!</v>
      </c>
      <c r="L800" t="str">
        <f t="shared" si="78"/>
        <v/>
      </c>
      <c r="M800" t="str">
        <f t="shared" si="79"/>
        <v>Check</v>
      </c>
      <c r="N800">
        <v>505964.46</v>
      </c>
      <c r="O800" t="s">
        <v>550</v>
      </c>
      <c r="Q800" t="s">
        <v>16</v>
      </c>
    </row>
    <row r="801" spans="1:17" x14ac:dyDescent="0.3">
      <c r="A801">
        <v>100492707</v>
      </c>
      <c r="B801" t="s">
        <v>232</v>
      </c>
      <c r="C801" t="s">
        <v>19</v>
      </c>
      <c r="D801" t="s">
        <v>233</v>
      </c>
      <c r="E801" s="6">
        <v>10429.129999999999</v>
      </c>
      <c r="F801" t="s">
        <v>580</v>
      </c>
      <c r="G801" s="4" t="str">
        <f t="shared" si="74"/>
        <v>10429.13</v>
      </c>
      <c r="H801" t="str">
        <f t="shared" si="75"/>
        <v>10429.13</v>
      </c>
      <c r="I801" s="1">
        <v>45716</v>
      </c>
      <c r="J801" s="2">
        <f t="shared" si="76"/>
        <v>6.4493403974021143E-3</v>
      </c>
      <c r="K801" s="3" t="str">
        <f t="shared" si="77"/>
        <v/>
      </c>
      <c r="L801" t="str">
        <f t="shared" si="78"/>
        <v/>
      </c>
      <c r="M801" t="str">
        <f t="shared" si="79"/>
        <v/>
      </c>
      <c r="N801">
        <v>10362.299999999999</v>
      </c>
      <c r="O801" t="s">
        <v>551</v>
      </c>
      <c r="Q801" t="s">
        <v>19</v>
      </c>
    </row>
    <row r="802" spans="1:17" x14ac:dyDescent="0.3">
      <c r="A802">
        <v>100492707</v>
      </c>
      <c r="B802" t="s">
        <v>232</v>
      </c>
      <c r="C802" t="s">
        <v>19</v>
      </c>
      <c r="D802" t="s">
        <v>624</v>
      </c>
      <c r="E802" s="6">
        <v>149616.75</v>
      </c>
      <c r="F802" t="s">
        <v>580</v>
      </c>
      <c r="G802" s="4" t="str">
        <f t="shared" si="74"/>
        <v>149616.75</v>
      </c>
      <c r="H802" t="str">
        <f t="shared" si="75"/>
        <v>149616.75</v>
      </c>
      <c r="I802" s="1">
        <v>45716</v>
      </c>
      <c r="J802" s="2">
        <f t="shared" si="76"/>
        <v>5.9334013517397637E-3</v>
      </c>
      <c r="K802" s="3" t="str">
        <f t="shared" si="77"/>
        <v/>
      </c>
      <c r="L802" t="str">
        <f t="shared" si="78"/>
        <v/>
      </c>
      <c r="M802" t="str">
        <f t="shared" si="79"/>
        <v/>
      </c>
      <c r="N802">
        <v>148734.25</v>
      </c>
      <c r="O802" t="s">
        <v>691</v>
      </c>
      <c r="Q802" t="s">
        <v>19</v>
      </c>
    </row>
    <row r="803" spans="1:17" x14ac:dyDescent="0.3">
      <c r="A803">
        <v>100564770</v>
      </c>
      <c r="B803" t="s">
        <v>241</v>
      </c>
      <c r="C803" t="s">
        <v>19</v>
      </c>
      <c r="D803" t="s">
        <v>242</v>
      </c>
      <c r="E803" s="6">
        <v>27161.599999999999</v>
      </c>
      <c r="F803" t="s">
        <v>580</v>
      </c>
      <c r="G803" s="4" t="str">
        <f t="shared" si="74"/>
        <v>27161.6</v>
      </c>
      <c r="H803" t="str">
        <f t="shared" si="75"/>
        <v>27161.6</v>
      </c>
      <c r="I803" s="1">
        <v>45716</v>
      </c>
      <c r="J803" s="2">
        <f t="shared" si="76"/>
        <v>1.8615641879437643E-2</v>
      </c>
      <c r="K803" s="3" t="str">
        <f t="shared" si="77"/>
        <v/>
      </c>
      <c r="L803" t="str">
        <f t="shared" si="78"/>
        <v/>
      </c>
      <c r="M803" t="str">
        <f t="shared" si="79"/>
        <v/>
      </c>
      <c r="N803">
        <v>26665.21</v>
      </c>
      <c r="O803" t="s">
        <v>552</v>
      </c>
      <c r="Q803" t="s">
        <v>19</v>
      </c>
    </row>
    <row r="804" spans="1:17" x14ac:dyDescent="0.3">
      <c r="A804">
        <v>100596689</v>
      </c>
      <c r="B804" t="s">
        <v>250</v>
      </c>
      <c r="C804" t="s">
        <v>590</v>
      </c>
      <c r="D804" t="s">
        <v>251</v>
      </c>
      <c r="E804" s="6">
        <v>749.59</v>
      </c>
      <c r="F804" t="s">
        <v>580</v>
      </c>
      <c r="G804" s="4" t="str">
        <f t="shared" si="74"/>
        <v>749.59</v>
      </c>
      <c r="H804" t="str">
        <f t="shared" si="75"/>
        <v>749.59</v>
      </c>
      <c r="I804" s="1">
        <v>45716</v>
      </c>
      <c r="J804" s="2">
        <f t="shared" si="76"/>
        <v>1.1128497045889875E-2</v>
      </c>
      <c r="K804" s="3" t="str">
        <f t="shared" si="77"/>
        <v/>
      </c>
      <c r="L804" t="str">
        <f t="shared" si="78"/>
        <v/>
      </c>
      <c r="M804" t="str">
        <f t="shared" si="79"/>
        <v>Check</v>
      </c>
      <c r="N804">
        <v>741.34</v>
      </c>
      <c r="O804" t="s">
        <v>553</v>
      </c>
      <c r="Q804" t="s">
        <v>16</v>
      </c>
    </row>
    <row r="805" spans="1:17" x14ac:dyDescent="0.3">
      <c r="A805">
        <v>100628990</v>
      </c>
      <c r="B805" t="s">
        <v>256</v>
      </c>
      <c r="C805" t="s">
        <v>19</v>
      </c>
      <c r="D805" t="s">
        <v>257</v>
      </c>
      <c r="E805" s="6">
        <v>7629.38</v>
      </c>
      <c r="F805" t="s">
        <v>580</v>
      </c>
      <c r="G805" s="4" t="str">
        <f t="shared" si="74"/>
        <v>7629.38</v>
      </c>
      <c r="H805" t="str">
        <f t="shared" si="75"/>
        <v>7629.38</v>
      </c>
      <c r="I805" s="1">
        <v>45716</v>
      </c>
      <c r="J805" s="2">
        <f t="shared" si="76"/>
        <v>9.8491456617299418E-3</v>
      </c>
      <c r="K805" s="3" t="str">
        <f t="shared" si="77"/>
        <v/>
      </c>
      <c r="L805" t="str">
        <f t="shared" si="78"/>
        <v/>
      </c>
      <c r="M805" t="str">
        <f t="shared" si="79"/>
        <v/>
      </c>
      <c r="N805">
        <v>7554.97</v>
      </c>
      <c r="O805" t="s">
        <v>554</v>
      </c>
      <c r="Q805" t="s">
        <v>19</v>
      </c>
    </row>
    <row r="806" spans="1:17" x14ac:dyDescent="0.3">
      <c r="A806">
        <v>100630706</v>
      </c>
      <c r="B806" t="s">
        <v>262</v>
      </c>
      <c r="C806" t="s">
        <v>590</v>
      </c>
      <c r="D806" t="s">
        <v>263</v>
      </c>
      <c r="E806" s="6">
        <v>1950.69</v>
      </c>
      <c r="F806" t="s">
        <v>580</v>
      </c>
      <c r="G806" s="4" t="str">
        <f t="shared" si="74"/>
        <v>1950.69</v>
      </c>
      <c r="H806" t="str">
        <f t="shared" si="75"/>
        <v>1950.69</v>
      </c>
      <c r="I806" s="1">
        <v>45716</v>
      </c>
      <c r="J806" s="2">
        <f t="shared" si="76"/>
        <v>1.2220181201158168E-2</v>
      </c>
      <c r="K806" s="3" t="str">
        <f t="shared" si="77"/>
        <v/>
      </c>
      <c r="L806" t="str">
        <f t="shared" si="78"/>
        <v/>
      </c>
      <c r="M806" t="str">
        <f t="shared" si="79"/>
        <v>Check</v>
      </c>
      <c r="N806">
        <v>1927.14</v>
      </c>
      <c r="O806" t="s">
        <v>555</v>
      </c>
      <c r="Q806" t="s">
        <v>16</v>
      </c>
    </row>
    <row r="807" spans="1:17" x14ac:dyDescent="0.3">
      <c r="A807">
        <v>100641153</v>
      </c>
      <c r="B807" t="s">
        <v>273</v>
      </c>
      <c r="C807" t="s">
        <v>19</v>
      </c>
      <c r="D807" t="s">
        <v>274</v>
      </c>
      <c r="E807" s="6">
        <v>114465.49</v>
      </c>
      <c r="F807" t="s">
        <v>580</v>
      </c>
      <c r="G807" s="4" t="str">
        <f t="shared" si="74"/>
        <v>114465.49</v>
      </c>
      <c r="H807" t="str">
        <f t="shared" si="75"/>
        <v>114465.49</v>
      </c>
      <c r="I807" s="1">
        <v>45716</v>
      </c>
      <c r="J807" s="2">
        <f t="shared" si="76"/>
        <v>5.9402642861317431E-3</v>
      </c>
      <c r="K807" s="3" t="str">
        <f t="shared" si="77"/>
        <v/>
      </c>
      <c r="L807" t="str">
        <f t="shared" si="78"/>
        <v/>
      </c>
      <c r="M807" t="str">
        <f t="shared" si="79"/>
        <v/>
      </c>
      <c r="N807">
        <v>113789.55</v>
      </c>
      <c r="O807" t="s">
        <v>591</v>
      </c>
      <c r="Q807" t="s">
        <v>19</v>
      </c>
    </row>
    <row r="808" spans="1:17" x14ac:dyDescent="0.3">
      <c r="A808">
        <v>100651921</v>
      </c>
      <c r="B808" t="s">
        <v>279</v>
      </c>
      <c r="C808" t="s">
        <v>590</v>
      </c>
      <c r="D808" t="s">
        <v>280</v>
      </c>
      <c r="E808" s="6">
        <v>10435.81</v>
      </c>
      <c r="F808" t="s">
        <v>580</v>
      </c>
      <c r="G808" s="4" t="str">
        <f t="shared" si="74"/>
        <v>10435.81</v>
      </c>
      <c r="H808" t="str">
        <f t="shared" si="75"/>
        <v>10435.81</v>
      </c>
      <c r="I808" s="1">
        <v>45716</v>
      </c>
      <c r="J808" s="2">
        <f t="shared" si="76"/>
        <v>1.2466880301455957E-2</v>
      </c>
      <c r="K808" s="3" t="str">
        <f t="shared" si="77"/>
        <v/>
      </c>
      <c r="L808" t="str">
        <f t="shared" si="78"/>
        <v/>
      </c>
      <c r="M808" t="str">
        <f t="shared" si="79"/>
        <v>Check</v>
      </c>
      <c r="N808">
        <v>10307.31</v>
      </c>
      <c r="O808" t="s">
        <v>556</v>
      </c>
      <c r="Q808" t="s">
        <v>16</v>
      </c>
    </row>
    <row r="809" spans="1:17" x14ac:dyDescent="0.3">
      <c r="A809">
        <v>100651921</v>
      </c>
      <c r="B809" t="s">
        <v>279</v>
      </c>
      <c r="C809" t="s">
        <v>590</v>
      </c>
      <c r="D809" t="s">
        <v>282</v>
      </c>
      <c r="E809" s="6">
        <v>11794.98</v>
      </c>
      <c r="F809" t="s">
        <v>580</v>
      </c>
      <c r="G809" s="4" t="str">
        <f t="shared" si="74"/>
        <v>11794.98</v>
      </c>
      <c r="H809" t="str">
        <f t="shared" si="75"/>
        <v>11794.98</v>
      </c>
      <c r="I809" s="1">
        <v>45716</v>
      </c>
      <c r="J809" s="2">
        <f t="shared" si="76"/>
        <v>1.3249146317891852E-2</v>
      </c>
      <c r="K809" s="3" t="str">
        <f t="shared" si="77"/>
        <v/>
      </c>
      <c r="L809" t="str">
        <f t="shared" si="78"/>
        <v/>
      </c>
      <c r="M809" t="str">
        <f t="shared" si="79"/>
        <v>Check</v>
      </c>
      <c r="N809">
        <v>11640.75</v>
      </c>
      <c r="O809" t="s">
        <v>557</v>
      </c>
      <c r="Q809" t="s">
        <v>16</v>
      </c>
    </row>
    <row r="810" spans="1:17" x14ac:dyDescent="0.3">
      <c r="A810">
        <v>100655835</v>
      </c>
      <c r="B810" t="s">
        <v>284</v>
      </c>
      <c r="C810" t="s">
        <v>19</v>
      </c>
      <c r="D810" t="s">
        <v>285</v>
      </c>
      <c r="E810" s="6">
        <v>616777.56999999995</v>
      </c>
      <c r="F810" t="s">
        <v>580</v>
      </c>
      <c r="G810" s="4" t="str">
        <f t="shared" si="74"/>
        <v>616777.57</v>
      </c>
      <c r="H810" t="str">
        <f t="shared" si="75"/>
        <v>616777.57</v>
      </c>
      <c r="I810" s="1">
        <v>45716</v>
      </c>
      <c r="J810" s="2">
        <f t="shared" si="76"/>
        <v>6.1386969566753552E-3</v>
      </c>
      <c r="K810" s="3" t="str">
        <f t="shared" si="77"/>
        <v/>
      </c>
      <c r="L810" t="str">
        <f t="shared" si="78"/>
        <v/>
      </c>
      <c r="M810" t="str">
        <f t="shared" si="79"/>
        <v/>
      </c>
      <c r="N810">
        <v>613014.46</v>
      </c>
      <c r="O810" t="s">
        <v>558</v>
      </c>
      <c r="Q810" t="s">
        <v>19</v>
      </c>
    </row>
    <row r="811" spans="1:17" x14ac:dyDescent="0.3">
      <c r="A811">
        <v>100663638</v>
      </c>
      <c r="B811" t="s">
        <v>287</v>
      </c>
      <c r="C811" t="s">
        <v>19</v>
      </c>
      <c r="D811" t="s">
        <v>288</v>
      </c>
      <c r="E811" s="6">
        <v>135050.34</v>
      </c>
      <c r="F811" t="s">
        <v>580</v>
      </c>
      <c r="G811" s="4" t="str">
        <f t="shared" si="74"/>
        <v>135050.34</v>
      </c>
      <c r="H811" t="str">
        <f t="shared" si="75"/>
        <v>135050.34</v>
      </c>
      <c r="I811" s="1">
        <v>45716</v>
      </c>
      <c r="J811" s="2">
        <f t="shared" si="76"/>
        <v>5.950998950402033E-3</v>
      </c>
      <c r="K811" s="3" t="str">
        <f t="shared" si="77"/>
        <v/>
      </c>
      <c r="L811" t="str">
        <f t="shared" si="78"/>
        <v/>
      </c>
      <c r="M811" t="str">
        <f t="shared" si="79"/>
        <v/>
      </c>
      <c r="N811">
        <v>134251.41</v>
      </c>
      <c r="O811" t="s">
        <v>559</v>
      </c>
      <c r="Q811" t="s">
        <v>19</v>
      </c>
    </row>
    <row r="812" spans="1:17" x14ac:dyDescent="0.3">
      <c r="A812">
        <v>100663638</v>
      </c>
      <c r="B812" t="s">
        <v>287</v>
      </c>
      <c r="C812" t="s">
        <v>19</v>
      </c>
      <c r="D812" t="s">
        <v>290</v>
      </c>
      <c r="E812" s="6">
        <v>4704.45</v>
      </c>
      <c r="F812" t="s">
        <v>580</v>
      </c>
      <c r="G812" s="4" t="str">
        <f t="shared" si="74"/>
        <v>4704.45</v>
      </c>
      <c r="H812" t="str">
        <f t="shared" si="75"/>
        <v>4704.45</v>
      </c>
      <c r="I812" s="1">
        <v>45716</v>
      </c>
      <c r="J812" s="2">
        <f t="shared" si="76"/>
        <v>9.7791534034929965E-3</v>
      </c>
      <c r="K812" s="3" t="str">
        <f t="shared" si="77"/>
        <v/>
      </c>
      <c r="L812" t="str">
        <f t="shared" si="78"/>
        <v/>
      </c>
      <c r="M812" t="str">
        <f t="shared" si="79"/>
        <v/>
      </c>
      <c r="N812">
        <v>4658.8900000000003</v>
      </c>
      <c r="O812" t="s">
        <v>560</v>
      </c>
      <c r="Q812" t="s">
        <v>19</v>
      </c>
    </row>
    <row r="813" spans="1:17" x14ac:dyDescent="0.3">
      <c r="A813">
        <v>100664029</v>
      </c>
      <c r="B813" t="s">
        <v>292</v>
      </c>
      <c r="C813" t="s">
        <v>19</v>
      </c>
      <c r="D813" t="s">
        <v>293</v>
      </c>
      <c r="E813" s="6">
        <v>15275.39</v>
      </c>
      <c r="F813" t="s">
        <v>580</v>
      </c>
      <c r="G813" s="4" t="str">
        <f t="shared" si="74"/>
        <v>15275.39</v>
      </c>
      <c r="H813" t="str">
        <f t="shared" si="75"/>
        <v>15275.39</v>
      </c>
      <c r="I813" s="1">
        <v>45716</v>
      </c>
      <c r="J813" s="2">
        <f t="shared" si="76"/>
        <v>6.8623082561259669E-3</v>
      </c>
      <c r="K813" s="3" t="str">
        <f t="shared" si="77"/>
        <v/>
      </c>
      <c r="L813" t="str">
        <f t="shared" si="78"/>
        <v/>
      </c>
      <c r="M813" t="str">
        <f t="shared" si="79"/>
        <v/>
      </c>
      <c r="N813">
        <v>15171.28</v>
      </c>
      <c r="O813" t="s">
        <v>561</v>
      </c>
      <c r="Q813" t="s">
        <v>19</v>
      </c>
    </row>
    <row r="814" spans="1:17" x14ac:dyDescent="0.3">
      <c r="A814">
        <v>100664029</v>
      </c>
      <c r="B814" t="s">
        <v>292</v>
      </c>
      <c r="C814" t="s">
        <v>19</v>
      </c>
      <c r="D814" t="s">
        <v>295</v>
      </c>
      <c r="E814" s="6">
        <v>9820.35</v>
      </c>
      <c r="F814" t="s">
        <v>580</v>
      </c>
      <c r="G814" s="4" t="str">
        <f t="shared" si="74"/>
        <v>9820.35</v>
      </c>
      <c r="H814" t="str">
        <f t="shared" si="75"/>
        <v>9820.35</v>
      </c>
      <c r="I814" s="1">
        <v>45716</v>
      </c>
      <c r="J814" s="2">
        <f t="shared" si="76"/>
        <v>7.6473811336553168E-3</v>
      </c>
      <c r="K814" s="3" t="str">
        <f t="shared" si="77"/>
        <v/>
      </c>
      <c r="L814" t="str">
        <f t="shared" si="78"/>
        <v/>
      </c>
      <c r="M814" t="str">
        <f t="shared" si="79"/>
        <v/>
      </c>
      <c r="N814">
        <v>9745.82</v>
      </c>
      <c r="O814" t="s">
        <v>562</v>
      </c>
      <c r="Q814" t="s">
        <v>19</v>
      </c>
    </row>
    <row r="815" spans="1:17" x14ac:dyDescent="0.3">
      <c r="A815">
        <v>100664292</v>
      </c>
      <c r="B815" t="s">
        <v>297</v>
      </c>
      <c r="C815" t="s">
        <v>590</v>
      </c>
      <c r="D815" t="s">
        <v>298</v>
      </c>
      <c r="E815" s="6">
        <v>262.98</v>
      </c>
      <c r="F815" t="s">
        <v>580</v>
      </c>
      <c r="G815" s="4" t="str">
        <f t="shared" si="74"/>
        <v>262.98</v>
      </c>
      <c r="H815" t="str">
        <f t="shared" si="75"/>
        <v>262.98</v>
      </c>
      <c r="I815" s="1">
        <v>45716</v>
      </c>
      <c r="J815" s="2">
        <f t="shared" si="76"/>
        <v>6.7376158027715747E-3</v>
      </c>
      <c r="K815" s="3" t="str">
        <f t="shared" si="77"/>
        <v/>
      </c>
      <c r="L815" t="str">
        <f t="shared" si="78"/>
        <v/>
      </c>
      <c r="M815" t="str">
        <f t="shared" si="79"/>
        <v>Check</v>
      </c>
      <c r="N815">
        <v>261.22000000000003</v>
      </c>
      <c r="O815" t="s">
        <v>563</v>
      </c>
      <c r="Q815" t="s">
        <v>16</v>
      </c>
    </row>
    <row r="816" spans="1:17" x14ac:dyDescent="0.3">
      <c r="A816">
        <v>100664292</v>
      </c>
      <c r="B816" t="s">
        <v>297</v>
      </c>
      <c r="C816" t="s">
        <v>19</v>
      </c>
      <c r="D816" t="s">
        <v>300</v>
      </c>
      <c r="E816" s="6">
        <v>47571.16</v>
      </c>
      <c r="F816" t="s">
        <v>580</v>
      </c>
      <c r="G816" s="4" t="str">
        <f t="shared" si="74"/>
        <v>47571.16</v>
      </c>
      <c r="H816" t="str">
        <f t="shared" si="75"/>
        <v>47571.16</v>
      </c>
      <c r="I816" s="1">
        <v>45716</v>
      </c>
      <c r="J816" s="2">
        <f t="shared" si="76"/>
        <v>6.0796862512211116E-3</v>
      </c>
      <c r="K816" s="3" t="str">
        <f t="shared" si="77"/>
        <v/>
      </c>
      <c r="L816" t="str">
        <f t="shared" si="78"/>
        <v/>
      </c>
      <c r="M816" t="str">
        <f t="shared" si="79"/>
        <v/>
      </c>
      <c r="N816">
        <v>47283.69</v>
      </c>
      <c r="O816" t="s">
        <v>564</v>
      </c>
      <c r="Q816" t="s">
        <v>19</v>
      </c>
    </row>
    <row r="817" spans="1:17" x14ac:dyDescent="0.3">
      <c r="A817">
        <v>100664348</v>
      </c>
      <c r="B817" t="s">
        <v>302</v>
      </c>
      <c r="C817" t="s">
        <v>19</v>
      </c>
      <c r="D817" t="s">
        <v>303</v>
      </c>
      <c r="E817" s="6">
        <v>25786.98</v>
      </c>
      <c r="F817" t="s">
        <v>580</v>
      </c>
      <c r="G817" s="4" t="str">
        <f t="shared" si="74"/>
        <v>25786.98</v>
      </c>
      <c r="H817" t="str">
        <f t="shared" si="75"/>
        <v>25786.98</v>
      </c>
      <c r="I817" s="1">
        <v>45716</v>
      </c>
      <c r="J817" s="2">
        <f t="shared" si="76"/>
        <v>6.5293504607781836E-3</v>
      </c>
      <c r="K817" s="3" t="str">
        <f t="shared" si="77"/>
        <v/>
      </c>
      <c r="L817" t="str">
        <f t="shared" si="78"/>
        <v/>
      </c>
      <c r="M817" t="str">
        <f t="shared" si="79"/>
        <v/>
      </c>
      <c r="N817">
        <v>25619.7</v>
      </c>
      <c r="O817" t="s">
        <v>565</v>
      </c>
      <c r="Q817" t="s">
        <v>19</v>
      </c>
    </row>
    <row r="818" spans="1:17" x14ac:dyDescent="0.3">
      <c r="A818">
        <v>100664351</v>
      </c>
      <c r="B818" t="s">
        <v>305</v>
      </c>
      <c r="C818" t="s">
        <v>19</v>
      </c>
      <c r="D818" t="s">
        <v>306</v>
      </c>
      <c r="E818" s="6">
        <v>11113.97</v>
      </c>
      <c r="F818" t="s">
        <v>580</v>
      </c>
      <c r="G818" s="4" t="str">
        <f t="shared" si="74"/>
        <v>11113.97</v>
      </c>
      <c r="H818" t="str">
        <f t="shared" si="75"/>
        <v>11113.97</v>
      </c>
      <c r="I818" s="1">
        <v>45716</v>
      </c>
      <c r="J818" s="2">
        <f t="shared" si="76"/>
        <v>-2.1880574763324279E-2</v>
      </c>
      <c r="K818" s="3" t="str">
        <f t="shared" si="77"/>
        <v/>
      </c>
      <c r="L818" t="str">
        <f t="shared" si="78"/>
        <v/>
      </c>
      <c r="M818" t="str">
        <f t="shared" si="79"/>
        <v/>
      </c>
      <c r="N818">
        <v>11362.59</v>
      </c>
      <c r="O818" t="s">
        <v>566</v>
      </c>
      <c r="Q818" t="s">
        <v>19</v>
      </c>
    </row>
    <row r="819" spans="1:17" x14ac:dyDescent="0.3">
      <c r="A819">
        <v>100664737</v>
      </c>
      <c r="B819" t="s">
        <v>313</v>
      </c>
      <c r="C819" t="s">
        <v>19</v>
      </c>
      <c r="D819" t="s">
        <v>314</v>
      </c>
      <c r="E819" s="6">
        <v>17766.97</v>
      </c>
      <c r="F819" t="s">
        <v>580</v>
      </c>
      <c r="G819" s="4" t="str">
        <f t="shared" si="74"/>
        <v>17766.97</v>
      </c>
      <c r="H819" t="str">
        <f t="shared" si="75"/>
        <v>17766.97</v>
      </c>
      <c r="I819" s="1">
        <v>45716</v>
      </c>
      <c r="J819" s="2">
        <f t="shared" si="76"/>
        <v>7.5142646840335369E-3</v>
      </c>
      <c r="K819" s="3" t="str">
        <f t="shared" si="77"/>
        <v/>
      </c>
      <c r="L819" t="str">
        <f t="shared" si="78"/>
        <v/>
      </c>
      <c r="M819" t="str">
        <f t="shared" si="79"/>
        <v/>
      </c>
      <c r="N819">
        <v>17634.46</v>
      </c>
      <c r="O819" t="s">
        <v>567</v>
      </c>
      <c r="Q819" t="s">
        <v>19</v>
      </c>
    </row>
    <row r="820" spans="1:17" x14ac:dyDescent="0.3">
      <c r="A820">
        <v>100664737</v>
      </c>
      <c r="B820" t="s">
        <v>313</v>
      </c>
      <c r="C820" t="s">
        <v>19</v>
      </c>
      <c r="D820" t="s">
        <v>316</v>
      </c>
      <c r="E820" s="6">
        <v>8301.44</v>
      </c>
      <c r="F820" t="s">
        <v>580</v>
      </c>
      <c r="G820" s="4" t="str">
        <f t="shared" si="74"/>
        <v>8301.44</v>
      </c>
      <c r="H820" t="str">
        <f t="shared" si="75"/>
        <v>8301.44</v>
      </c>
      <c r="I820" s="1">
        <v>45716</v>
      </c>
      <c r="J820" s="2">
        <f t="shared" si="76"/>
        <v>9.0727865026500269E-3</v>
      </c>
      <c r="K820" s="3" t="str">
        <f t="shared" si="77"/>
        <v/>
      </c>
      <c r="L820" t="str">
        <f t="shared" si="78"/>
        <v/>
      </c>
      <c r="M820" t="str">
        <f t="shared" si="79"/>
        <v/>
      </c>
      <c r="N820">
        <v>8226.7999999999993</v>
      </c>
      <c r="O820" t="s">
        <v>568</v>
      </c>
      <c r="Q820" t="s">
        <v>19</v>
      </c>
    </row>
    <row r="821" spans="1:17" x14ac:dyDescent="0.3">
      <c r="A821">
        <v>100665510</v>
      </c>
      <c r="B821" t="s">
        <v>318</v>
      </c>
      <c r="C821" t="s">
        <v>19</v>
      </c>
      <c r="D821" t="s">
        <v>319</v>
      </c>
      <c r="E821" s="6">
        <v>28456.71</v>
      </c>
      <c r="F821" t="s">
        <v>580</v>
      </c>
      <c r="G821" s="4" t="str">
        <f t="shared" si="74"/>
        <v>28456.71</v>
      </c>
      <c r="H821" t="str">
        <f t="shared" si="75"/>
        <v>28456.71</v>
      </c>
      <c r="I821" s="1">
        <v>45716</v>
      </c>
      <c r="J821" s="2">
        <f t="shared" si="76"/>
        <v>6.7729761647420559E-3</v>
      </c>
      <c r="K821" s="3" t="str">
        <f t="shared" si="77"/>
        <v/>
      </c>
      <c r="L821" t="str">
        <f t="shared" si="78"/>
        <v/>
      </c>
      <c r="M821" t="str">
        <f t="shared" si="79"/>
        <v/>
      </c>
      <c r="N821">
        <v>28265.27</v>
      </c>
      <c r="O821" t="s">
        <v>569</v>
      </c>
      <c r="Q821" t="s">
        <v>19</v>
      </c>
    </row>
    <row r="822" spans="1:17" x14ac:dyDescent="0.3">
      <c r="A822">
        <v>100665581</v>
      </c>
      <c r="B822" t="s">
        <v>321</v>
      </c>
      <c r="C822" t="s">
        <v>590</v>
      </c>
      <c r="D822" t="s">
        <v>639</v>
      </c>
      <c r="E822" s="6">
        <v>54146.7</v>
      </c>
      <c r="F822" t="s">
        <v>580</v>
      </c>
      <c r="G822" s="4" t="str">
        <f t="shared" si="74"/>
        <v>54146.7</v>
      </c>
      <c r="H822" t="str">
        <f t="shared" si="75"/>
        <v>54146.7</v>
      </c>
      <c r="I822" s="1">
        <v>45716</v>
      </c>
      <c r="J822" s="2">
        <f t="shared" si="76"/>
        <v>3.277149309650516</v>
      </c>
      <c r="K822" s="3" t="str">
        <f t="shared" si="77"/>
        <v>Check!</v>
      </c>
      <c r="L822" t="str">
        <f t="shared" si="78"/>
        <v/>
      </c>
      <c r="M822" t="str">
        <f t="shared" si="79"/>
        <v/>
      </c>
      <c r="N822">
        <v>12659.53</v>
      </c>
      <c r="O822" t="s">
        <v>692</v>
      </c>
      <c r="Q822" t="s">
        <v>590</v>
      </c>
    </row>
    <row r="823" spans="1:17" x14ac:dyDescent="0.3">
      <c r="A823">
        <v>100666150</v>
      </c>
      <c r="B823" t="s">
        <v>324</v>
      </c>
      <c r="C823" t="s">
        <v>19</v>
      </c>
      <c r="D823" t="s">
        <v>325</v>
      </c>
      <c r="E823" s="6">
        <v>74595.210000000006</v>
      </c>
      <c r="F823" t="s">
        <v>580</v>
      </c>
      <c r="G823" s="4" t="str">
        <f t="shared" si="74"/>
        <v>74595.21</v>
      </c>
      <c r="H823" t="str">
        <f t="shared" si="75"/>
        <v>74595.21</v>
      </c>
      <c r="I823" s="1">
        <v>45716</v>
      </c>
      <c r="J823" s="2">
        <f t="shared" si="76"/>
        <v>5.9245478476621077E-3</v>
      </c>
      <c r="K823" s="3" t="str">
        <f t="shared" si="77"/>
        <v/>
      </c>
      <c r="L823" t="str">
        <f t="shared" si="78"/>
        <v/>
      </c>
      <c r="M823" t="str">
        <f t="shared" si="79"/>
        <v/>
      </c>
      <c r="N823">
        <v>74155.87</v>
      </c>
      <c r="O823" t="s">
        <v>570</v>
      </c>
      <c r="Q823" t="s">
        <v>19</v>
      </c>
    </row>
    <row r="824" spans="1:17" x14ac:dyDescent="0.3">
      <c r="A824">
        <v>100668409</v>
      </c>
      <c r="B824" t="s">
        <v>327</v>
      </c>
      <c r="C824" t="s">
        <v>590</v>
      </c>
      <c r="D824" t="s">
        <v>328</v>
      </c>
      <c r="E824" s="6">
        <v>6159.24</v>
      </c>
      <c r="F824" t="s">
        <v>580</v>
      </c>
      <c r="G824" s="4" t="str">
        <f t="shared" si="74"/>
        <v>6159.24</v>
      </c>
      <c r="H824" t="str">
        <f t="shared" si="75"/>
        <v>6159.24</v>
      </c>
      <c r="I824" s="1">
        <v>45716</v>
      </c>
      <c r="J824" s="2">
        <f t="shared" si="76"/>
        <v>7.4010588829880328E-3</v>
      </c>
      <c r="K824" s="3" t="str">
        <f t="shared" si="77"/>
        <v/>
      </c>
      <c r="L824" t="str">
        <f t="shared" si="78"/>
        <v/>
      </c>
      <c r="M824" t="str">
        <f t="shared" si="79"/>
        <v>Check</v>
      </c>
      <c r="N824">
        <v>6113.99</v>
      </c>
      <c r="O824" t="s">
        <v>571</v>
      </c>
      <c r="Q824" t="s">
        <v>16</v>
      </c>
    </row>
    <row r="825" spans="1:17" x14ac:dyDescent="0.3">
      <c r="A825">
        <v>100668534</v>
      </c>
      <c r="B825" t="s">
        <v>330</v>
      </c>
      <c r="C825" t="s">
        <v>590</v>
      </c>
      <c r="D825" t="s">
        <v>331</v>
      </c>
      <c r="E825" s="6">
        <v>11671.22</v>
      </c>
      <c r="F825" t="s">
        <v>580</v>
      </c>
      <c r="G825" s="4" t="str">
        <f t="shared" si="74"/>
        <v>11671.22</v>
      </c>
      <c r="H825" t="str">
        <f t="shared" si="75"/>
        <v>11671.22</v>
      </c>
      <c r="I825" s="1">
        <v>45716</v>
      </c>
      <c r="J825" s="2">
        <f t="shared" si="76"/>
        <v>6.6021715150150258E-3</v>
      </c>
      <c r="K825" s="3" t="str">
        <f t="shared" si="77"/>
        <v/>
      </c>
      <c r="L825" t="str">
        <f t="shared" si="78"/>
        <v/>
      </c>
      <c r="M825" t="str">
        <f t="shared" si="79"/>
        <v>Check</v>
      </c>
      <c r="N825">
        <v>11594.67</v>
      </c>
      <c r="O825" t="s">
        <v>572</v>
      </c>
      <c r="Q825" t="s">
        <v>16</v>
      </c>
    </row>
    <row r="826" spans="1:17" x14ac:dyDescent="0.3">
      <c r="A826">
        <v>100669580</v>
      </c>
      <c r="B826" t="s">
        <v>333</v>
      </c>
      <c r="C826" t="s">
        <v>19</v>
      </c>
      <c r="D826" t="s">
        <v>334</v>
      </c>
      <c r="E826" s="6">
        <v>38842.449999999997</v>
      </c>
      <c r="F826" t="s">
        <v>580</v>
      </c>
      <c r="G826" s="4" t="str">
        <f t="shared" si="74"/>
        <v>38842.45</v>
      </c>
      <c r="H826" t="str">
        <f t="shared" si="75"/>
        <v>38842.45</v>
      </c>
      <c r="I826" s="1">
        <v>45716</v>
      </c>
      <c r="J826" s="2">
        <f t="shared" si="76"/>
        <v>5.7844494402504729E-3</v>
      </c>
      <c r="K826" s="3" t="str">
        <f t="shared" si="77"/>
        <v/>
      </c>
      <c r="L826" t="str">
        <f t="shared" si="78"/>
        <v/>
      </c>
      <c r="M826" t="str">
        <f t="shared" si="79"/>
        <v/>
      </c>
      <c r="N826">
        <v>38619.06</v>
      </c>
      <c r="O826" t="s">
        <v>573</v>
      </c>
      <c r="Q826" t="s">
        <v>19</v>
      </c>
    </row>
    <row r="827" spans="1:17" x14ac:dyDescent="0.3">
      <c r="A827">
        <v>100670671</v>
      </c>
      <c r="B827" t="s">
        <v>336</v>
      </c>
      <c r="C827" t="s">
        <v>590</v>
      </c>
      <c r="D827" t="s">
        <v>337</v>
      </c>
      <c r="E827" s="6">
        <v>126990.06</v>
      </c>
      <c r="F827" t="s">
        <v>580</v>
      </c>
      <c r="G827" s="4" t="str">
        <f t="shared" si="74"/>
        <v>126990.06</v>
      </c>
      <c r="H827" t="str">
        <f t="shared" si="75"/>
        <v>126990.06</v>
      </c>
      <c r="I827" s="1">
        <v>45716</v>
      </c>
      <c r="J827" s="2">
        <f t="shared" si="76"/>
        <v>0.91562331191337909</v>
      </c>
      <c r="K827" s="3" t="str">
        <f t="shared" si="77"/>
        <v>Check!</v>
      </c>
      <c r="L827" t="str">
        <f t="shared" si="78"/>
        <v/>
      </c>
      <c r="M827" t="str">
        <f t="shared" si="79"/>
        <v>Check</v>
      </c>
      <c r="N827">
        <v>66291.77</v>
      </c>
      <c r="O827" t="s">
        <v>574</v>
      </c>
      <c r="Q827" t="s">
        <v>16</v>
      </c>
    </row>
    <row r="828" spans="1:17" x14ac:dyDescent="0.3">
      <c r="A828">
        <v>100675336</v>
      </c>
      <c r="B828" t="s">
        <v>347</v>
      </c>
      <c r="C828" t="s">
        <v>19</v>
      </c>
      <c r="D828" t="s">
        <v>348</v>
      </c>
      <c r="E828" s="6">
        <v>53889.4</v>
      </c>
      <c r="F828" t="s">
        <v>580</v>
      </c>
      <c r="G828" s="4" t="str">
        <f t="shared" si="74"/>
        <v>53889.4</v>
      </c>
      <c r="H828" t="str">
        <f t="shared" si="75"/>
        <v>53889.4</v>
      </c>
      <c r="I828" s="1">
        <v>45716</v>
      </c>
      <c r="J828" s="2">
        <f t="shared" si="76"/>
        <v>6.1647649088242933E-3</v>
      </c>
      <c r="K828" s="3" t="str">
        <f t="shared" si="77"/>
        <v/>
      </c>
      <c r="L828" t="str">
        <f t="shared" si="78"/>
        <v/>
      </c>
      <c r="M828" t="str">
        <f t="shared" si="79"/>
        <v/>
      </c>
      <c r="N828">
        <v>53559.22</v>
      </c>
      <c r="O828" t="s">
        <v>575</v>
      </c>
      <c r="Q828" t="s">
        <v>19</v>
      </c>
    </row>
    <row r="829" spans="1:17" x14ac:dyDescent="0.3">
      <c r="A829">
        <v>100677278</v>
      </c>
      <c r="B829" t="s">
        <v>350</v>
      </c>
      <c r="C829" t="s">
        <v>19</v>
      </c>
      <c r="D829" t="s">
        <v>351</v>
      </c>
      <c r="E829" s="6">
        <v>54950.94</v>
      </c>
      <c r="F829" t="s">
        <v>580</v>
      </c>
      <c r="G829" s="4" t="str">
        <f t="shared" si="74"/>
        <v>54950.94</v>
      </c>
      <c r="H829" t="str">
        <f t="shared" si="75"/>
        <v>54950.94</v>
      </c>
      <c r="I829" s="1">
        <v>45716</v>
      </c>
      <c r="J829" s="2">
        <f t="shared" si="76"/>
        <v>6.2623422969418059E-3</v>
      </c>
      <c r="K829" s="3" t="str">
        <f t="shared" si="77"/>
        <v/>
      </c>
      <c r="L829" t="str">
        <f t="shared" si="78"/>
        <v/>
      </c>
      <c r="M829" t="str">
        <f t="shared" si="79"/>
        <v/>
      </c>
      <c r="N829">
        <v>54608.959999999999</v>
      </c>
      <c r="O829" t="s">
        <v>576</v>
      </c>
      <c r="Q829" t="s">
        <v>19</v>
      </c>
    </row>
    <row r="830" spans="1:17" x14ac:dyDescent="0.3">
      <c r="A830">
        <v>100677585</v>
      </c>
      <c r="B830" t="s">
        <v>353</v>
      </c>
      <c r="C830" t="s">
        <v>19</v>
      </c>
      <c r="D830" t="s">
        <v>354</v>
      </c>
      <c r="E830" s="6">
        <v>7302.26</v>
      </c>
      <c r="F830" t="s">
        <v>580</v>
      </c>
      <c r="G830" s="4" t="str">
        <f t="shared" si="74"/>
        <v>7302.26</v>
      </c>
      <c r="H830" t="str">
        <f t="shared" si="75"/>
        <v>7302.26</v>
      </c>
      <c r="I830" s="1">
        <v>45716</v>
      </c>
      <c r="J830" s="2">
        <f t="shared" si="76"/>
        <v>6.9429984652319681E-3</v>
      </c>
      <c r="K830" s="3" t="str">
        <f t="shared" si="77"/>
        <v/>
      </c>
      <c r="L830" t="str">
        <f t="shared" si="78"/>
        <v/>
      </c>
      <c r="M830" t="str">
        <f t="shared" si="79"/>
        <v/>
      </c>
      <c r="N830">
        <v>7251.91</v>
      </c>
      <c r="O830" t="s">
        <v>577</v>
      </c>
      <c r="Q830" t="s">
        <v>19</v>
      </c>
    </row>
    <row r="831" spans="1:17" x14ac:dyDescent="0.3">
      <c r="A831">
        <v>100706842</v>
      </c>
      <c r="B831" t="s">
        <v>356</v>
      </c>
      <c r="C831" t="s">
        <v>19</v>
      </c>
      <c r="D831" t="s">
        <v>357</v>
      </c>
      <c r="E831" s="6">
        <v>22068.34</v>
      </c>
      <c r="F831" t="s">
        <v>580</v>
      </c>
      <c r="G831" s="4" t="str">
        <f t="shared" si="74"/>
        <v>22068.34</v>
      </c>
      <c r="H831" t="str">
        <f t="shared" si="75"/>
        <v>22068.34</v>
      </c>
      <c r="I831" s="1">
        <v>45716</v>
      </c>
      <c r="J831" s="2">
        <f t="shared" si="76"/>
        <v>6.6130374176220962E-3</v>
      </c>
      <c r="K831" s="3" t="str">
        <f t="shared" si="77"/>
        <v/>
      </c>
      <c r="L831" t="str">
        <f t="shared" si="78"/>
        <v/>
      </c>
      <c r="M831" t="str">
        <f t="shared" si="79"/>
        <v/>
      </c>
      <c r="N831">
        <v>21923.360000000001</v>
      </c>
      <c r="O831" t="s">
        <v>578</v>
      </c>
      <c r="Q831" t="s">
        <v>19</v>
      </c>
    </row>
    <row r="832" spans="1:17" x14ac:dyDescent="0.3">
      <c r="A832">
        <v>100711105</v>
      </c>
      <c r="B832" t="s">
        <v>359</v>
      </c>
      <c r="C832" t="s">
        <v>590</v>
      </c>
      <c r="D832" t="s">
        <v>360</v>
      </c>
      <c r="E832" s="6">
        <v>3635.2</v>
      </c>
      <c r="F832" t="s">
        <v>580</v>
      </c>
      <c r="G832" s="4" t="str">
        <f t="shared" si="74"/>
        <v>3635.2</v>
      </c>
      <c r="H832" t="str">
        <f t="shared" si="75"/>
        <v>3635.2</v>
      </c>
      <c r="I832" s="1">
        <v>45716</v>
      </c>
      <c r="J832" s="2">
        <f t="shared" si="76"/>
        <v>-0.18827971659457984</v>
      </c>
      <c r="K832" s="3" t="str">
        <f t="shared" si="77"/>
        <v>Check!</v>
      </c>
      <c r="L832" t="str">
        <f t="shared" si="78"/>
        <v/>
      </c>
      <c r="M832" t="str">
        <f t="shared" si="79"/>
        <v>Check</v>
      </c>
      <c r="N832">
        <v>4478.3900000000003</v>
      </c>
      <c r="O832" t="s">
        <v>579</v>
      </c>
      <c r="Q832" t="s">
        <v>16</v>
      </c>
    </row>
    <row r="833" spans="1:17" x14ac:dyDescent="0.3">
      <c r="A833">
        <v>100786852</v>
      </c>
      <c r="B833" t="s">
        <v>636</v>
      </c>
      <c r="C833" t="s">
        <v>19</v>
      </c>
      <c r="D833" t="s">
        <v>637</v>
      </c>
      <c r="E833" s="6">
        <v>74269.02</v>
      </c>
      <c r="F833" t="s">
        <v>580</v>
      </c>
      <c r="G833" s="4" t="str">
        <f t="shared" si="74"/>
        <v>74269.02</v>
      </c>
      <c r="H833" t="str">
        <f t="shared" si="75"/>
        <v>74269.02</v>
      </c>
      <c r="I833" s="1">
        <v>45716</v>
      </c>
      <c r="J833" s="2">
        <f t="shared" si="76"/>
        <v>6.0987157475559358E-3</v>
      </c>
      <c r="K833" s="3" t="str">
        <f t="shared" si="77"/>
        <v/>
      </c>
      <c r="L833" t="str">
        <f t="shared" si="78"/>
        <v/>
      </c>
      <c r="M833" t="str">
        <f t="shared" si="79"/>
        <v/>
      </c>
      <c r="N833">
        <v>73818.820000000007</v>
      </c>
      <c r="O833" t="s">
        <v>693</v>
      </c>
      <c r="Q833" t="s">
        <v>19</v>
      </c>
    </row>
    <row r="834" spans="1:17" x14ac:dyDescent="0.3">
      <c r="A834">
        <v>100799345</v>
      </c>
      <c r="B834" t="s">
        <v>640</v>
      </c>
      <c r="C834" t="s">
        <v>590</v>
      </c>
      <c r="D834" t="s">
        <v>641</v>
      </c>
      <c r="E834" s="6">
        <v>120427.42</v>
      </c>
      <c r="F834" t="s">
        <v>580</v>
      </c>
      <c r="G834" s="4" t="str">
        <f t="shared" si="74"/>
        <v>120427.42</v>
      </c>
      <c r="H834" t="str">
        <f t="shared" si="75"/>
        <v>120427.42</v>
      </c>
      <c r="I834" s="1">
        <v>45716</v>
      </c>
      <c r="J834" s="2">
        <f t="shared" si="76"/>
        <v>0.35433049790902554</v>
      </c>
      <c r="K834" s="3" t="str">
        <f t="shared" si="77"/>
        <v>Check!</v>
      </c>
      <c r="L834" t="str">
        <f t="shared" si="78"/>
        <v/>
      </c>
      <c r="M834" t="str">
        <f t="shared" si="79"/>
        <v/>
      </c>
      <c r="N834">
        <v>88920.26</v>
      </c>
      <c r="O834" t="s">
        <v>694</v>
      </c>
      <c r="Q834" t="s">
        <v>590</v>
      </c>
    </row>
    <row r="835" spans="1:17" s="7" customFormat="1" x14ac:dyDescent="0.3">
      <c r="A835" s="7">
        <v>32490</v>
      </c>
      <c r="B835" s="7" t="s">
        <v>15</v>
      </c>
      <c r="C835" s="7" t="s">
        <v>19</v>
      </c>
      <c r="D835" s="7" t="s">
        <v>20</v>
      </c>
      <c r="E835" s="8">
        <v>5814.33</v>
      </c>
      <c r="F835" s="7" t="s">
        <v>601</v>
      </c>
      <c r="G835" s="4" t="str">
        <f t="shared" ref="G835:G898" si="80">SUBSTITUTE(E835,"R","")</f>
        <v>5814.33</v>
      </c>
      <c r="H835" t="str">
        <f t="shared" ref="H835:H898" si="81">SUBSTITUTE(G835,",","")</f>
        <v>5814.33</v>
      </c>
      <c r="I835" s="1">
        <v>45716</v>
      </c>
      <c r="J835" s="2">
        <f t="shared" ref="J835:J898" si="82">(H835-N835)/N835</f>
        <v>2.8076894514051702E-2</v>
      </c>
      <c r="K835" s="3" t="str">
        <f t="shared" ref="K835:K898" si="83">IF(ABS(J835)&gt;0.1,"Check!","")</f>
        <v/>
      </c>
      <c r="L835" t="str">
        <f t="shared" ref="L835:L898" si="84">IF(LEFT(O835,10)&lt;&gt;LEFT(D835,10),"Check","")</f>
        <v/>
      </c>
      <c r="M835" t="str">
        <f t="shared" ref="M835:M898" si="85">IF(Q835&lt;&gt;C835,"Check","")</f>
        <v/>
      </c>
      <c r="N835" s="7">
        <v>5655.54</v>
      </c>
      <c r="O835" s="7" t="s">
        <v>494</v>
      </c>
      <c r="Q835" s="7" t="s">
        <v>19</v>
      </c>
    </row>
    <row r="836" spans="1:17" x14ac:dyDescent="0.3">
      <c r="A836">
        <v>32490</v>
      </c>
      <c r="B836" t="s">
        <v>15</v>
      </c>
      <c r="C836" t="s">
        <v>19</v>
      </c>
      <c r="D836" t="s">
        <v>22</v>
      </c>
      <c r="E836" s="6">
        <v>20448.7</v>
      </c>
      <c r="F836" t="s">
        <v>601</v>
      </c>
      <c r="G836" s="4" t="str">
        <f t="shared" si="80"/>
        <v>20448.7</v>
      </c>
      <c r="H836" t="str">
        <f t="shared" si="81"/>
        <v>20448.7</v>
      </c>
      <c r="I836" s="1">
        <v>45716</v>
      </c>
      <c r="J836" s="2">
        <f t="shared" si="82"/>
        <v>2.271317798441173E-2</v>
      </c>
      <c r="K836" s="3" t="str">
        <f t="shared" si="83"/>
        <v/>
      </c>
      <c r="L836" t="str">
        <f t="shared" si="84"/>
        <v/>
      </c>
      <c r="M836" t="str">
        <f t="shared" si="85"/>
        <v/>
      </c>
      <c r="N836">
        <v>19994.560000000001</v>
      </c>
      <c r="O836" t="s">
        <v>495</v>
      </c>
      <c r="Q836" t="s">
        <v>19</v>
      </c>
    </row>
    <row r="837" spans="1:17" x14ac:dyDescent="0.3">
      <c r="A837">
        <v>33672</v>
      </c>
      <c r="B837" t="s">
        <v>24</v>
      </c>
      <c r="C837" t="s">
        <v>19</v>
      </c>
      <c r="D837" t="s">
        <v>25</v>
      </c>
      <c r="E837" s="6">
        <v>51604.21</v>
      </c>
      <c r="F837" t="s">
        <v>601</v>
      </c>
      <c r="G837" s="4" t="str">
        <f t="shared" si="80"/>
        <v>51604.21</v>
      </c>
      <c r="H837" t="str">
        <f t="shared" si="81"/>
        <v>51604.21</v>
      </c>
      <c r="I837" s="1">
        <v>45716</v>
      </c>
      <c r="J837" s="2">
        <f t="shared" si="82"/>
        <v>1.3375663844370713E-2</v>
      </c>
      <c r="K837" s="3" t="str">
        <f t="shared" si="83"/>
        <v/>
      </c>
      <c r="L837" t="str">
        <f t="shared" si="84"/>
        <v/>
      </c>
      <c r="M837" t="str">
        <f t="shared" si="85"/>
        <v/>
      </c>
      <c r="N837">
        <v>50923.08</v>
      </c>
      <c r="O837" t="s">
        <v>496</v>
      </c>
      <c r="Q837" t="s">
        <v>19</v>
      </c>
    </row>
    <row r="838" spans="1:17" x14ac:dyDescent="0.3">
      <c r="A838">
        <v>34171</v>
      </c>
      <c r="B838" t="s">
        <v>27</v>
      </c>
      <c r="C838" t="s">
        <v>19</v>
      </c>
      <c r="D838" t="s">
        <v>28</v>
      </c>
      <c r="E838" s="6">
        <v>3246.67</v>
      </c>
      <c r="F838" t="s">
        <v>601</v>
      </c>
      <c r="G838" s="4" t="str">
        <f t="shared" si="80"/>
        <v>3246.67</v>
      </c>
      <c r="H838" t="str">
        <f t="shared" si="81"/>
        <v>3246.67</v>
      </c>
      <c r="I838" s="1">
        <v>45716</v>
      </c>
      <c r="J838" s="2">
        <f t="shared" si="82"/>
        <v>1.3738536908267164E-2</v>
      </c>
      <c r="K838" s="3" t="str">
        <f t="shared" si="83"/>
        <v/>
      </c>
      <c r="L838" t="str">
        <f t="shared" si="84"/>
        <v/>
      </c>
      <c r="M838" t="str">
        <f t="shared" si="85"/>
        <v/>
      </c>
      <c r="N838">
        <v>3202.67</v>
      </c>
      <c r="O838" t="s">
        <v>497</v>
      </c>
      <c r="Q838" t="s">
        <v>19</v>
      </c>
    </row>
    <row r="839" spans="1:17" x14ac:dyDescent="0.3">
      <c r="A839">
        <v>34173</v>
      </c>
      <c r="B839" t="s">
        <v>30</v>
      </c>
      <c r="C839" t="s">
        <v>19</v>
      </c>
      <c r="D839" t="s">
        <v>31</v>
      </c>
      <c r="E839" s="6">
        <v>18936.34</v>
      </c>
      <c r="F839" t="s">
        <v>601</v>
      </c>
      <c r="G839" s="4" t="str">
        <f t="shared" si="80"/>
        <v>18936.34</v>
      </c>
      <c r="H839" t="str">
        <f t="shared" si="81"/>
        <v>18936.34</v>
      </c>
      <c r="I839" s="1">
        <v>45716</v>
      </c>
      <c r="J839" s="2">
        <f t="shared" si="82"/>
        <v>1.7510036017360064E-2</v>
      </c>
      <c r="K839" s="3" t="str">
        <f t="shared" si="83"/>
        <v/>
      </c>
      <c r="L839" t="str">
        <f t="shared" si="84"/>
        <v/>
      </c>
      <c r="M839" t="str">
        <f t="shared" si="85"/>
        <v/>
      </c>
      <c r="N839">
        <v>18610.47</v>
      </c>
      <c r="O839" t="s">
        <v>498</v>
      </c>
      <c r="Q839" t="s">
        <v>19</v>
      </c>
    </row>
    <row r="840" spans="1:17" x14ac:dyDescent="0.3">
      <c r="A840">
        <v>34199</v>
      </c>
      <c r="B840" t="s">
        <v>36</v>
      </c>
      <c r="C840" t="s">
        <v>19</v>
      </c>
      <c r="D840" t="s">
        <v>39</v>
      </c>
      <c r="E840" s="6">
        <v>2950.94</v>
      </c>
      <c r="F840" t="s">
        <v>601</v>
      </c>
      <c r="G840" s="4" t="str">
        <f t="shared" si="80"/>
        <v>2950.94</v>
      </c>
      <c r="H840" t="str">
        <f t="shared" si="81"/>
        <v>2950.94</v>
      </c>
      <c r="I840" s="1">
        <v>45716</v>
      </c>
      <c r="J840" s="2">
        <f t="shared" si="82"/>
        <v>1.5373710542071196E-2</v>
      </c>
      <c r="K840" s="3" t="str">
        <f t="shared" si="83"/>
        <v/>
      </c>
      <c r="L840" t="str">
        <f t="shared" si="84"/>
        <v/>
      </c>
      <c r="M840" t="str">
        <f t="shared" si="85"/>
        <v/>
      </c>
      <c r="N840">
        <v>2906.26</v>
      </c>
      <c r="O840" t="s">
        <v>499</v>
      </c>
      <c r="Q840" t="s">
        <v>19</v>
      </c>
    </row>
    <row r="841" spans="1:17" x14ac:dyDescent="0.3">
      <c r="A841">
        <v>34202</v>
      </c>
      <c r="B841" t="s">
        <v>46</v>
      </c>
      <c r="C841" t="s">
        <v>19</v>
      </c>
      <c r="D841" t="s">
        <v>49</v>
      </c>
      <c r="E841" s="6">
        <v>113757.79</v>
      </c>
      <c r="F841" t="s">
        <v>601</v>
      </c>
      <c r="G841" s="4" t="str">
        <f t="shared" si="80"/>
        <v>113757.79</v>
      </c>
      <c r="H841" t="str">
        <f t="shared" si="81"/>
        <v>113757.79</v>
      </c>
      <c r="I841" s="1">
        <v>45716</v>
      </c>
      <c r="J841" s="2">
        <f t="shared" si="82"/>
        <v>1.3328612213448008E-2</v>
      </c>
      <c r="K841" s="3" t="str">
        <f t="shared" si="83"/>
        <v/>
      </c>
      <c r="L841" t="str">
        <f t="shared" si="84"/>
        <v/>
      </c>
      <c r="M841" t="str">
        <f t="shared" si="85"/>
        <v/>
      </c>
      <c r="N841">
        <v>112261.5</v>
      </c>
      <c r="O841" t="s">
        <v>501</v>
      </c>
      <c r="Q841" t="s">
        <v>19</v>
      </c>
    </row>
    <row r="842" spans="1:17" x14ac:dyDescent="0.3">
      <c r="A842">
        <v>34202</v>
      </c>
      <c r="B842" t="s">
        <v>46</v>
      </c>
      <c r="C842" t="s">
        <v>19</v>
      </c>
      <c r="D842" t="s">
        <v>47</v>
      </c>
      <c r="E842" s="6">
        <v>21771.51</v>
      </c>
      <c r="F842" t="s">
        <v>601</v>
      </c>
      <c r="G842" s="4" t="str">
        <f t="shared" si="80"/>
        <v>21771.51</v>
      </c>
      <c r="H842" t="str">
        <f t="shared" si="81"/>
        <v>21771.51</v>
      </c>
      <c r="I842" s="1">
        <v>45716</v>
      </c>
      <c r="J842" s="2">
        <f t="shared" si="82"/>
        <v>1.3561319931229689E-2</v>
      </c>
      <c r="K842" s="3" t="str">
        <f t="shared" si="83"/>
        <v/>
      </c>
      <c r="L842" t="str">
        <f t="shared" si="84"/>
        <v/>
      </c>
      <c r="M842" t="str">
        <f t="shared" si="85"/>
        <v/>
      </c>
      <c r="N842">
        <v>21480.21</v>
      </c>
      <c r="O842" t="s">
        <v>500</v>
      </c>
      <c r="Q842" t="s">
        <v>19</v>
      </c>
    </row>
    <row r="843" spans="1:17" x14ac:dyDescent="0.3">
      <c r="A843">
        <v>34209</v>
      </c>
      <c r="B843" t="s">
        <v>51</v>
      </c>
      <c r="C843" t="s">
        <v>19</v>
      </c>
      <c r="D843" t="s">
        <v>52</v>
      </c>
      <c r="E843" s="6">
        <v>38845.24</v>
      </c>
      <c r="F843" t="s">
        <v>601</v>
      </c>
      <c r="G843" s="4" t="str">
        <f t="shared" si="80"/>
        <v>38845.24</v>
      </c>
      <c r="H843" t="str">
        <f t="shared" si="81"/>
        <v>38845.24</v>
      </c>
      <c r="I843" s="1">
        <v>45716</v>
      </c>
      <c r="J843" s="2">
        <f t="shared" si="82"/>
        <v>2.1854315436810066E-2</v>
      </c>
      <c r="K843" s="3" t="str">
        <f t="shared" si="83"/>
        <v/>
      </c>
      <c r="L843" t="str">
        <f t="shared" si="84"/>
        <v/>
      </c>
      <c r="M843" t="str">
        <f t="shared" si="85"/>
        <v/>
      </c>
      <c r="N843">
        <v>38014.46</v>
      </c>
      <c r="O843" t="s">
        <v>502</v>
      </c>
      <c r="Q843" t="s">
        <v>19</v>
      </c>
    </row>
    <row r="844" spans="1:17" x14ac:dyDescent="0.3">
      <c r="A844">
        <v>34209</v>
      </c>
      <c r="B844" t="s">
        <v>51</v>
      </c>
      <c r="C844" t="s">
        <v>19</v>
      </c>
      <c r="D844" t="s">
        <v>54</v>
      </c>
      <c r="E844" s="6">
        <v>50049.13</v>
      </c>
      <c r="F844" t="s">
        <v>601</v>
      </c>
      <c r="G844" s="4" t="str">
        <f t="shared" si="80"/>
        <v>50049.13</v>
      </c>
      <c r="H844" t="str">
        <f t="shared" si="81"/>
        <v>50049.13</v>
      </c>
      <c r="I844" s="1">
        <v>45716</v>
      </c>
      <c r="J844" s="2">
        <f t="shared" si="82"/>
        <v>2.1720460180279042E-2</v>
      </c>
      <c r="K844" s="3" t="str">
        <f t="shared" si="83"/>
        <v/>
      </c>
      <c r="L844" t="str">
        <f t="shared" si="84"/>
        <v/>
      </c>
      <c r="M844" t="str">
        <f t="shared" si="85"/>
        <v/>
      </c>
      <c r="N844">
        <v>48985.15</v>
      </c>
      <c r="O844" t="s">
        <v>503</v>
      </c>
      <c r="Q844" t="s">
        <v>19</v>
      </c>
    </row>
    <row r="845" spans="1:17" x14ac:dyDescent="0.3">
      <c r="A845">
        <v>34216</v>
      </c>
      <c r="B845" t="s">
        <v>59</v>
      </c>
      <c r="C845" t="s">
        <v>19</v>
      </c>
      <c r="D845" t="s">
        <v>60</v>
      </c>
      <c r="E845" s="6">
        <v>25858.66</v>
      </c>
      <c r="F845" t="s">
        <v>601</v>
      </c>
      <c r="G845" s="4" t="str">
        <f t="shared" si="80"/>
        <v>25858.66</v>
      </c>
      <c r="H845" t="str">
        <f t="shared" si="81"/>
        <v>25858.66</v>
      </c>
      <c r="I845" s="1">
        <v>45716</v>
      </c>
      <c r="J845" s="2">
        <f t="shared" si="82"/>
        <v>1.9670084539210164E-2</v>
      </c>
      <c r="K845" s="3" t="str">
        <f t="shared" si="83"/>
        <v/>
      </c>
      <c r="L845" t="str">
        <f t="shared" si="84"/>
        <v/>
      </c>
      <c r="M845" t="str">
        <f t="shared" si="85"/>
        <v/>
      </c>
      <c r="N845">
        <v>25359.83</v>
      </c>
      <c r="O845" t="s">
        <v>504</v>
      </c>
      <c r="Q845" t="s">
        <v>19</v>
      </c>
    </row>
    <row r="846" spans="1:17" x14ac:dyDescent="0.3">
      <c r="A846">
        <v>34395</v>
      </c>
      <c r="B846" t="s">
        <v>69</v>
      </c>
      <c r="C846" t="s">
        <v>19</v>
      </c>
      <c r="D846" t="s">
        <v>74</v>
      </c>
      <c r="E846" s="6">
        <v>8455.7099999999991</v>
      </c>
      <c r="F846" t="s">
        <v>601</v>
      </c>
      <c r="G846" s="4" t="str">
        <f t="shared" si="80"/>
        <v>8455.71</v>
      </c>
      <c r="H846" t="str">
        <f t="shared" si="81"/>
        <v>8455.71</v>
      </c>
      <c r="I846" s="1">
        <v>45716</v>
      </c>
      <c r="J846" s="2">
        <f t="shared" si="82"/>
        <v>1.5135107879812299E-2</v>
      </c>
      <c r="K846" s="3" t="str">
        <f t="shared" si="83"/>
        <v/>
      </c>
      <c r="L846" t="str">
        <f t="shared" si="84"/>
        <v/>
      </c>
      <c r="M846" t="str">
        <f t="shared" si="85"/>
        <v/>
      </c>
      <c r="N846">
        <v>8329.64</v>
      </c>
      <c r="O846" t="s">
        <v>506</v>
      </c>
      <c r="Q846" t="s">
        <v>19</v>
      </c>
    </row>
    <row r="847" spans="1:17" x14ac:dyDescent="0.3">
      <c r="A847">
        <v>34395</v>
      </c>
      <c r="B847" t="s">
        <v>69</v>
      </c>
      <c r="C847" t="s">
        <v>19</v>
      </c>
      <c r="D847" t="s">
        <v>72</v>
      </c>
      <c r="E847" s="6">
        <v>5090.75</v>
      </c>
      <c r="F847" t="s">
        <v>601</v>
      </c>
      <c r="G847" s="4" t="str">
        <f t="shared" si="80"/>
        <v>5090.75</v>
      </c>
      <c r="H847" t="str">
        <f t="shared" si="81"/>
        <v>5090.75</v>
      </c>
      <c r="I847" s="1">
        <v>45716</v>
      </c>
      <c r="J847" s="2">
        <f t="shared" si="82"/>
        <v>1.6558070062282479E-2</v>
      </c>
      <c r="K847" s="3" t="str">
        <f t="shared" si="83"/>
        <v/>
      </c>
      <c r="L847" t="str">
        <f t="shared" si="84"/>
        <v/>
      </c>
      <c r="M847" t="str">
        <f t="shared" si="85"/>
        <v/>
      </c>
      <c r="N847">
        <v>5007.83</v>
      </c>
      <c r="O847" t="s">
        <v>507</v>
      </c>
      <c r="Q847" t="s">
        <v>19</v>
      </c>
    </row>
    <row r="848" spans="1:17" x14ac:dyDescent="0.3">
      <c r="A848">
        <v>34395</v>
      </c>
      <c r="B848" t="s">
        <v>69</v>
      </c>
      <c r="C848" t="s">
        <v>19</v>
      </c>
      <c r="D848" t="s">
        <v>70</v>
      </c>
      <c r="E848" s="6">
        <v>79662.73</v>
      </c>
      <c r="F848" t="s">
        <v>601</v>
      </c>
      <c r="G848" s="4" t="str">
        <f t="shared" si="80"/>
        <v>79662.73</v>
      </c>
      <c r="H848" t="str">
        <f t="shared" si="81"/>
        <v>79662.73</v>
      </c>
      <c r="I848" s="1">
        <v>45716</v>
      </c>
      <c r="J848" s="2">
        <f t="shared" si="82"/>
        <v>2.4741131810046835E-2</v>
      </c>
      <c r="K848" s="3" t="str">
        <f t="shared" si="83"/>
        <v/>
      </c>
      <c r="L848" t="str">
        <f t="shared" si="84"/>
        <v/>
      </c>
      <c r="M848" t="str">
        <f t="shared" si="85"/>
        <v/>
      </c>
      <c r="N848">
        <v>77739.37</v>
      </c>
      <c r="O848" t="s">
        <v>505</v>
      </c>
      <c r="Q848" t="s">
        <v>19</v>
      </c>
    </row>
    <row r="849" spans="1:17" x14ac:dyDescent="0.3">
      <c r="A849">
        <v>36048</v>
      </c>
      <c r="B849" t="s">
        <v>76</v>
      </c>
      <c r="C849" t="s">
        <v>19</v>
      </c>
      <c r="D849" t="s">
        <v>77</v>
      </c>
      <c r="E849" s="6">
        <v>5380.62</v>
      </c>
      <c r="F849" t="s">
        <v>601</v>
      </c>
      <c r="G849" s="4" t="str">
        <f t="shared" si="80"/>
        <v>5380.62</v>
      </c>
      <c r="H849" t="str">
        <f t="shared" si="81"/>
        <v>5380.62</v>
      </c>
      <c r="I849" s="1">
        <v>45716</v>
      </c>
      <c r="J849" s="2">
        <f t="shared" si="82"/>
        <v>2.8787432648956127E-2</v>
      </c>
      <c r="K849" s="3" t="str">
        <f t="shared" si="83"/>
        <v/>
      </c>
      <c r="L849" t="str">
        <f t="shared" si="84"/>
        <v/>
      </c>
      <c r="M849" t="str">
        <f t="shared" si="85"/>
        <v/>
      </c>
      <c r="N849">
        <v>5230.0600000000004</v>
      </c>
      <c r="O849" t="s">
        <v>508</v>
      </c>
      <c r="Q849" t="s">
        <v>19</v>
      </c>
    </row>
    <row r="850" spans="1:17" x14ac:dyDescent="0.3">
      <c r="A850">
        <v>36048</v>
      </c>
      <c r="B850" t="s">
        <v>76</v>
      </c>
      <c r="C850" t="s">
        <v>19</v>
      </c>
      <c r="D850" t="s">
        <v>79</v>
      </c>
      <c r="E850" s="6">
        <v>15008.93</v>
      </c>
      <c r="F850" t="s">
        <v>601</v>
      </c>
      <c r="G850" s="4" t="str">
        <f t="shared" si="80"/>
        <v>15008.93</v>
      </c>
      <c r="H850" t="str">
        <f t="shared" si="81"/>
        <v>15008.93</v>
      </c>
      <c r="I850" s="1">
        <v>45716</v>
      </c>
      <c r="J850" s="2">
        <f t="shared" si="82"/>
        <v>2.2920923461522174E-2</v>
      </c>
      <c r="K850" s="3" t="str">
        <f t="shared" si="83"/>
        <v/>
      </c>
      <c r="L850" t="str">
        <f t="shared" si="84"/>
        <v/>
      </c>
      <c r="M850" t="str">
        <f t="shared" si="85"/>
        <v/>
      </c>
      <c r="N850">
        <v>14672.62</v>
      </c>
      <c r="O850" t="s">
        <v>509</v>
      </c>
      <c r="Q850" t="s">
        <v>19</v>
      </c>
    </row>
    <row r="851" spans="1:17" x14ac:dyDescent="0.3">
      <c r="A851">
        <v>36059</v>
      </c>
      <c r="B851" t="s">
        <v>81</v>
      </c>
      <c r="C851" t="s">
        <v>19</v>
      </c>
      <c r="D851" t="s">
        <v>82</v>
      </c>
      <c r="E851" s="6">
        <v>30781.34</v>
      </c>
      <c r="F851" t="s">
        <v>601</v>
      </c>
      <c r="G851" s="4" t="str">
        <f t="shared" si="80"/>
        <v>30781.34</v>
      </c>
      <c r="H851" t="str">
        <f t="shared" si="81"/>
        <v>30781.34</v>
      </c>
      <c r="I851" s="1">
        <v>45716</v>
      </c>
      <c r="J851" s="2">
        <f t="shared" si="82"/>
        <v>1.3686810756731374E-2</v>
      </c>
      <c r="K851" s="3" t="str">
        <f t="shared" si="83"/>
        <v/>
      </c>
      <c r="L851" t="str">
        <f t="shared" si="84"/>
        <v/>
      </c>
      <c r="M851" t="str">
        <f t="shared" si="85"/>
        <v/>
      </c>
      <c r="N851">
        <v>30365.73</v>
      </c>
      <c r="O851" t="s">
        <v>510</v>
      </c>
      <c r="Q851" t="s">
        <v>19</v>
      </c>
    </row>
    <row r="852" spans="1:17" x14ac:dyDescent="0.3">
      <c r="A852">
        <v>36059</v>
      </c>
      <c r="B852" t="s">
        <v>81</v>
      </c>
      <c r="C852" t="s">
        <v>19</v>
      </c>
      <c r="D852" t="s">
        <v>84</v>
      </c>
      <c r="E852" s="6">
        <v>19882.509999999998</v>
      </c>
      <c r="F852" t="s">
        <v>601</v>
      </c>
      <c r="G852" s="4" t="str">
        <f t="shared" si="80"/>
        <v>19882.51</v>
      </c>
      <c r="H852" t="str">
        <f t="shared" si="81"/>
        <v>19882.51</v>
      </c>
      <c r="I852" s="1">
        <v>45716</v>
      </c>
      <c r="J852" s="2">
        <f t="shared" si="82"/>
        <v>1.4360987336373207E-2</v>
      </c>
      <c r="K852" s="3" t="str">
        <f t="shared" si="83"/>
        <v/>
      </c>
      <c r="L852" t="str">
        <f t="shared" si="84"/>
        <v/>
      </c>
      <c r="M852" t="str">
        <f t="shared" si="85"/>
        <v/>
      </c>
      <c r="N852">
        <v>19601.02</v>
      </c>
      <c r="O852" t="s">
        <v>511</v>
      </c>
      <c r="Q852" t="s">
        <v>19</v>
      </c>
    </row>
    <row r="853" spans="1:17" x14ac:dyDescent="0.3">
      <c r="A853">
        <v>36060</v>
      </c>
      <c r="B853" t="s">
        <v>86</v>
      </c>
      <c r="C853" t="s">
        <v>19</v>
      </c>
      <c r="D853" t="s">
        <v>87</v>
      </c>
      <c r="E853" s="6">
        <v>42578.85</v>
      </c>
      <c r="F853" t="s">
        <v>601</v>
      </c>
      <c r="G853" s="4" t="str">
        <f t="shared" si="80"/>
        <v>42578.85</v>
      </c>
      <c r="H853" t="str">
        <f t="shared" si="81"/>
        <v>42578.85</v>
      </c>
      <c r="I853" s="1">
        <v>45716</v>
      </c>
      <c r="J853" s="2">
        <f t="shared" si="82"/>
        <v>1.3754143933167441E-2</v>
      </c>
      <c r="K853" s="3" t="str">
        <f t="shared" si="83"/>
        <v/>
      </c>
      <c r="L853" t="str">
        <f t="shared" si="84"/>
        <v/>
      </c>
      <c r="M853" t="str">
        <f t="shared" si="85"/>
        <v/>
      </c>
      <c r="N853">
        <v>42001.16</v>
      </c>
      <c r="O853" t="s">
        <v>512</v>
      </c>
      <c r="Q853" t="s">
        <v>19</v>
      </c>
    </row>
    <row r="854" spans="1:17" x14ac:dyDescent="0.3">
      <c r="A854">
        <v>36060</v>
      </c>
      <c r="B854" t="s">
        <v>86</v>
      </c>
      <c r="C854" t="s">
        <v>19</v>
      </c>
      <c r="D854" t="s">
        <v>89</v>
      </c>
      <c r="E854" s="6">
        <v>7343.85</v>
      </c>
      <c r="F854" t="s">
        <v>601</v>
      </c>
      <c r="G854" s="4" t="str">
        <f t="shared" si="80"/>
        <v>7343.85</v>
      </c>
      <c r="H854" t="str">
        <f t="shared" si="81"/>
        <v>7343.85</v>
      </c>
      <c r="I854" s="1">
        <v>45716</v>
      </c>
      <c r="J854" s="2">
        <f t="shared" si="82"/>
        <v>1.7174872054128546E-2</v>
      </c>
      <c r="K854" s="3" t="str">
        <f t="shared" si="83"/>
        <v/>
      </c>
      <c r="L854" t="str">
        <f t="shared" si="84"/>
        <v/>
      </c>
      <c r="M854" t="str">
        <f t="shared" si="85"/>
        <v/>
      </c>
      <c r="N854">
        <v>7219.85</v>
      </c>
      <c r="O854" t="s">
        <v>513</v>
      </c>
      <c r="Q854" t="s">
        <v>19</v>
      </c>
    </row>
    <row r="855" spans="1:17" x14ac:dyDescent="0.3">
      <c r="A855">
        <v>36355</v>
      </c>
      <c r="B855" t="s">
        <v>94</v>
      </c>
      <c r="C855" t="s">
        <v>19</v>
      </c>
      <c r="D855" t="s">
        <v>95</v>
      </c>
      <c r="E855" s="6">
        <v>461.74</v>
      </c>
      <c r="F855" t="s">
        <v>601</v>
      </c>
      <c r="G855" s="4" t="str">
        <f t="shared" si="80"/>
        <v>461.74</v>
      </c>
      <c r="H855" t="str">
        <f t="shared" si="81"/>
        <v>461.74</v>
      </c>
      <c r="I855" s="1">
        <v>45716</v>
      </c>
      <c r="J855" s="2">
        <f t="shared" si="82"/>
        <v>-4.098007074454269E-3</v>
      </c>
      <c r="K855" s="3" t="str">
        <f t="shared" si="83"/>
        <v/>
      </c>
      <c r="L855" t="str">
        <f t="shared" si="84"/>
        <v/>
      </c>
      <c r="M855" t="str">
        <f t="shared" si="85"/>
        <v/>
      </c>
      <c r="N855">
        <v>463.64</v>
      </c>
      <c r="O855" t="s">
        <v>514</v>
      </c>
      <c r="Q855" t="s">
        <v>19</v>
      </c>
    </row>
    <row r="856" spans="1:17" x14ac:dyDescent="0.3">
      <c r="A856">
        <v>37040</v>
      </c>
      <c r="B856" t="s">
        <v>596</v>
      </c>
      <c r="C856" t="s">
        <v>19</v>
      </c>
      <c r="D856" t="s">
        <v>97</v>
      </c>
      <c r="E856" s="6">
        <v>22342.799999999999</v>
      </c>
      <c r="F856" t="s">
        <v>601</v>
      </c>
      <c r="G856" s="4" t="str">
        <f t="shared" si="80"/>
        <v>22342.8</v>
      </c>
      <c r="H856" t="str">
        <f t="shared" si="81"/>
        <v>22342.8</v>
      </c>
      <c r="I856" s="1">
        <v>45716</v>
      </c>
      <c r="J856" s="2">
        <f t="shared" si="82"/>
        <v>1.4213091514224695E-2</v>
      </c>
      <c r="K856" s="3" t="str">
        <f t="shared" si="83"/>
        <v/>
      </c>
      <c r="L856" t="str">
        <f t="shared" si="84"/>
        <v/>
      </c>
      <c r="M856" t="str">
        <f t="shared" si="85"/>
        <v/>
      </c>
      <c r="N856">
        <v>22029.69</v>
      </c>
      <c r="O856" t="s">
        <v>515</v>
      </c>
      <c r="Q856" t="s">
        <v>19</v>
      </c>
    </row>
    <row r="857" spans="1:17" x14ac:dyDescent="0.3">
      <c r="A857">
        <v>37041</v>
      </c>
      <c r="B857" t="s">
        <v>99</v>
      </c>
      <c r="C857" t="s">
        <v>19</v>
      </c>
      <c r="D857" t="s">
        <v>100</v>
      </c>
      <c r="E857" s="6">
        <v>4083</v>
      </c>
      <c r="F857" t="s">
        <v>601</v>
      </c>
      <c r="G857" s="4" t="str">
        <f t="shared" si="80"/>
        <v>4083</v>
      </c>
      <c r="H857" t="str">
        <f t="shared" si="81"/>
        <v>4083</v>
      </c>
      <c r="I857" s="1">
        <v>45716</v>
      </c>
      <c r="J857" s="2">
        <f t="shared" si="82"/>
        <v>1.8852387428414625E-2</v>
      </c>
      <c r="K857" s="3" t="str">
        <f t="shared" si="83"/>
        <v/>
      </c>
      <c r="L857" t="str">
        <f t="shared" si="84"/>
        <v/>
      </c>
      <c r="M857" t="str">
        <f t="shared" si="85"/>
        <v/>
      </c>
      <c r="N857">
        <v>4007.45</v>
      </c>
      <c r="O857" t="s">
        <v>516</v>
      </c>
      <c r="Q857" t="s">
        <v>19</v>
      </c>
    </row>
    <row r="858" spans="1:17" x14ac:dyDescent="0.3">
      <c r="A858">
        <v>38586</v>
      </c>
      <c r="B858" t="s">
        <v>102</v>
      </c>
      <c r="C858" t="s">
        <v>19</v>
      </c>
      <c r="D858" t="s">
        <v>103</v>
      </c>
      <c r="E858" s="6">
        <v>2869.44</v>
      </c>
      <c r="F858" t="s">
        <v>601</v>
      </c>
      <c r="G858" s="4" t="str">
        <f t="shared" si="80"/>
        <v>2869.44</v>
      </c>
      <c r="H858" t="str">
        <f t="shared" si="81"/>
        <v>2869.44</v>
      </c>
      <c r="I858" s="1">
        <v>45716</v>
      </c>
      <c r="J858" s="2">
        <f t="shared" si="82"/>
        <v>2.124751756390281E-2</v>
      </c>
      <c r="K858" s="3" t="str">
        <f t="shared" si="83"/>
        <v/>
      </c>
      <c r="L858" t="str">
        <f t="shared" si="84"/>
        <v/>
      </c>
      <c r="M858" t="str">
        <f t="shared" si="85"/>
        <v/>
      </c>
      <c r="N858">
        <v>2809.74</v>
      </c>
      <c r="O858" t="s">
        <v>517</v>
      </c>
      <c r="Q858" t="s">
        <v>19</v>
      </c>
    </row>
    <row r="859" spans="1:17" x14ac:dyDescent="0.3">
      <c r="A859">
        <v>38842</v>
      </c>
      <c r="B859" t="s">
        <v>105</v>
      </c>
      <c r="C859" t="s">
        <v>19</v>
      </c>
      <c r="D859" t="s">
        <v>106</v>
      </c>
      <c r="E859" s="6">
        <v>2109.73</v>
      </c>
      <c r="F859" t="s">
        <v>601</v>
      </c>
      <c r="G859" s="4" t="str">
        <f t="shared" si="80"/>
        <v>2109.73</v>
      </c>
      <c r="H859" t="str">
        <f t="shared" si="81"/>
        <v>2109.73</v>
      </c>
      <c r="I859" s="1">
        <v>45716</v>
      </c>
      <c r="J859" s="2">
        <f t="shared" si="82"/>
        <v>1.9804133877298378E-2</v>
      </c>
      <c r="K859" s="3" t="str">
        <f t="shared" si="83"/>
        <v/>
      </c>
      <c r="L859" t="str">
        <f t="shared" si="84"/>
        <v/>
      </c>
      <c r="M859" t="str">
        <f t="shared" si="85"/>
        <v/>
      </c>
      <c r="N859">
        <v>2068.7600000000002</v>
      </c>
      <c r="O859" t="s">
        <v>518</v>
      </c>
      <c r="Q859" t="s">
        <v>19</v>
      </c>
    </row>
    <row r="860" spans="1:17" x14ac:dyDescent="0.3">
      <c r="A860">
        <v>38851</v>
      </c>
      <c r="B860" t="s">
        <v>108</v>
      </c>
      <c r="C860" t="s">
        <v>19</v>
      </c>
      <c r="D860" t="s">
        <v>109</v>
      </c>
      <c r="E860" s="6">
        <v>175.39</v>
      </c>
      <c r="F860" t="s">
        <v>601</v>
      </c>
      <c r="G860" s="4" t="str">
        <f t="shared" si="80"/>
        <v>175.39</v>
      </c>
      <c r="H860" t="str">
        <f t="shared" si="81"/>
        <v>175.39</v>
      </c>
      <c r="I860" s="1">
        <v>45716</v>
      </c>
      <c r="J860" s="2">
        <f t="shared" si="82"/>
        <v>-1.8193013882669057E-2</v>
      </c>
      <c r="K860" s="3" t="str">
        <f t="shared" si="83"/>
        <v/>
      </c>
      <c r="L860" t="str">
        <f t="shared" si="84"/>
        <v/>
      </c>
      <c r="M860" t="str">
        <f t="shared" si="85"/>
        <v/>
      </c>
      <c r="N860">
        <v>178.64</v>
      </c>
      <c r="O860" t="s">
        <v>519</v>
      </c>
      <c r="Q860" t="s">
        <v>19</v>
      </c>
    </row>
    <row r="861" spans="1:17" x14ac:dyDescent="0.3">
      <c r="A861">
        <v>38887</v>
      </c>
      <c r="B861" t="s">
        <v>111</v>
      </c>
      <c r="C861" t="s">
        <v>19</v>
      </c>
      <c r="D861" t="s">
        <v>112</v>
      </c>
      <c r="E861" s="6">
        <v>1049.26</v>
      </c>
      <c r="F861" t="s">
        <v>601</v>
      </c>
      <c r="G861" s="4" t="str">
        <f t="shared" si="80"/>
        <v>1049.26</v>
      </c>
      <c r="H861" t="str">
        <f t="shared" si="81"/>
        <v>1049.26</v>
      </c>
      <c r="I861" s="1">
        <v>45716</v>
      </c>
      <c r="J861" s="2">
        <f t="shared" si="82"/>
        <v>2.0452622467735791E-2</v>
      </c>
      <c r="K861" s="3" t="str">
        <f t="shared" si="83"/>
        <v/>
      </c>
      <c r="L861" t="str">
        <f t="shared" si="84"/>
        <v/>
      </c>
      <c r="M861" t="str">
        <f t="shared" si="85"/>
        <v/>
      </c>
      <c r="N861">
        <v>1028.23</v>
      </c>
      <c r="O861" t="s">
        <v>520</v>
      </c>
      <c r="Q861" t="s">
        <v>19</v>
      </c>
    </row>
    <row r="862" spans="1:17" x14ac:dyDescent="0.3">
      <c r="A862">
        <v>46589</v>
      </c>
      <c r="B862" t="s">
        <v>638</v>
      </c>
      <c r="C862" t="s">
        <v>19</v>
      </c>
      <c r="D862" t="s">
        <v>118</v>
      </c>
      <c r="E862" s="6">
        <v>52897.68</v>
      </c>
      <c r="F862" t="s">
        <v>601</v>
      </c>
      <c r="G862" s="4" t="str">
        <f t="shared" si="80"/>
        <v>52897.68</v>
      </c>
      <c r="H862" t="str">
        <f t="shared" si="81"/>
        <v>52897.68</v>
      </c>
      <c r="I862" s="1">
        <v>45716</v>
      </c>
      <c r="J862" s="2">
        <f t="shared" si="82"/>
        <v>2.4756212590641213E-2</v>
      </c>
      <c r="K862" s="3" t="str">
        <f t="shared" si="83"/>
        <v/>
      </c>
      <c r="L862" t="str">
        <f t="shared" si="84"/>
        <v/>
      </c>
      <c r="M862" t="str">
        <f t="shared" si="85"/>
        <v/>
      </c>
      <c r="N862">
        <v>51619.77</v>
      </c>
      <c r="O862" t="s">
        <v>521</v>
      </c>
      <c r="Q862" t="s">
        <v>19</v>
      </c>
    </row>
    <row r="863" spans="1:17" x14ac:dyDescent="0.3">
      <c r="A863">
        <v>46589</v>
      </c>
      <c r="B863" t="s">
        <v>638</v>
      </c>
      <c r="C863" t="s">
        <v>19</v>
      </c>
      <c r="D863" t="s">
        <v>120</v>
      </c>
      <c r="E863" s="6">
        <v>2473.94</v>
      </c>
      <c r="F863" t="s">
        <v>601</v>
      </c>
      <c r="G863" s="4" t="str">
        <f t="shared" si="80"/>
        <v>2473.94</v>
      </c>
      <c r="H863" t="str">
        <f t="shared" si="81"/>
        <v>2473.94</v>
      </c>
      <c r="I863" s="1">
        <v>45716</v>
      </c>
      <c r="J863" s="2">
        <f t="shared" si="82"/>
        <v>2.2437129336887549E-2</v>
      </c>
      <c r="K863" s="3" t="str">
        <f t="shared" si="83"/>
        <v/>
      </c>
      <c r="L863" t="str">
        <f t="shared" si="84"/>
        <v/>
      </c>
      <c r="M863" t="str">
        <f t="shared" si="85"/>
        <v/>
      </c>
      <c r="N863">
        <v>2419.65</v>
      </c>
      <c r="O863" t="s">
        <v>522</v>
      </c>
      <c r="Q863" t="s">
        <v>19</v>
      </c>
    </row>
    <row r="864" spans="1:17" x14ac:dyDescent="0.3">
      <c r="A864">
        <v>54985</v>
      </c>
      <c r="B864" t="s">
        <v>122</v>
      </c>
      <c r="C864" t="s">
        <v>19</v>
      </c>
      <c r="D864" t="s">
        <v>123</v>
      </c>
      <c r="E864" s="6">
        <v>1063.77</v>
      </c>
      <c r="F864" t="s">
        <v>601</v>
      </c>
      <c r="G864" s="4" t="str">
        <f t="shared" si="80"/>
        <v>1063.77</v>
      </c>
      <c r="H864" t="str">
        <f t="shared" si="81"/>
        <v>1063.77</v>
      </c>
      <c r="I864" s="1">
        <v>45716</v>
      </c>
      <c r="J864" s="2">
        <f t="shared" si="82"/>
        <v>1.7523554450236678E-2</v>
      </c>
      <c r="K864" s="3" t="str">
        <f t="shared" si="83"/>
        <v/>
      </c>
      <c r="L864" t="str">
        <f t="shared" si="84"/>
        <v/>
      </c>
      <c r="M864" t="str">
        <f t="shared" si="85"/>
        <v/>
      </c>
      <c r="N864">
        <v>1045.45</v>
      </c>
      <c r="O864" t="s">
        <v>523</v>
      </c>
      <c r="Q864" t="s">
        <v>19</v>
      </c>
    </row>
    <row r="865" spans="1:17" x14ac:dyDescent="0.3">
      <c r="A865">
        <v>69046</v>
      </c>
      <c r="B865" t="s">
        <v>131</v>
      </c>
      <c r="C865" t="s">
        <v>19</v>
      </c>
      <c r="D865" t="s">
        <v>132</v>
      </c>
      <c r="E865" s="6">
        <v>39820.379999999997</v>
      </c>
      <c r="F865" t="s">
        <v>601</v>
      </c>
      <c r="G865" s="4" t="str">
        <f t="shared" si="80"/>
        <v>39820.38</v>
      </c>
      <c r="H865" t="str">
        <f t="shared" si="81"/>
        <v>39820.38</v>
      </c>
      <c r="I865" s="1">
        <v>45716</v>
      </c>
      <c r="J865" s="2">
        <f t="shared" si="82"/>
        <v>1.4365024253333037E-2</v>
      </c>
      <c r="K865" s="3" t="str">
        <f t="shared" si="83"/>
        <v/>
      </c>
      <c r="L865" t="str">
        <f t="shared" si="84"/>
        <v/>
      </c>
      <c r="M865" t="str">
        <f t="shared" si="85"/>
        <v/>
      </c>
      <c r="N865">
        <v>39256.46</v>
      </c>
      <c r="O865" t="s">
        <v>524</v>
      </c>
      <c r="Q865" t="s">
        <v>19</v>
      </c>
    </row>
    <row r="866" spans="1:17" x14ac:dyDescent="0.3">
      <c r="A866">
        <v>72002</v>
      </c>
      <c r="B866" t="s">
        <v>134</v>
      </c>
      <c r="C866" t="s">
        <v>19</v>
      </c>
      <c r="D866" t="s">
        <v>137</v>
      </c>
      <c r="E866" s="6">
        <v>42899.91</v>
      </c>
      <c r="F866" t="s">
        <v>601</v>
      </c>
      <c r="G866" s="4" t="str">
        <f t="shared" si="80"/>
        <v>42899.91</v>
      </c>
      <c r="H866" t="str">
        <f t="shared" si="81"/>
        <v>42899.91</v>
      </c>
      <c r="I866" s="1">
        <v>45716</v>
      </c>
      <c r="J866" s="2">
        <f t="shared" si="82"/>
        <v>1.3747053274528003E-2</v>
      </c>
      <c r="K866" s="3" t="str">
        <f t="shared" si="83"/>
        <v/>
      </c>
      <c r="L866" t="str">
        <f t="shared" si="84"/>
        <v/>
      </c>
      <c r="M866" t="str">
        <f t="shared" si="85"/>
        <v/>
      </c>
      <c r="N866">
        <v>42318.16</v>
      </c>
      <c r="O866" t="s">
        <v>525</v>
      </c>
      <c r="Q866" t="s">
        <v>19</v>
      </c>
    </row>
    <row r="867" spans="1:17" x14ac:dyDescent="0.3">
      <c r="A867">
        <v>72002</v>
      </c>
      <c r="B867" t="s">
        <v>134</v>
      </c>
      <c r="C867" t="s">
        <v>19</v>
      </c>
      <c r="D867" t="s">
        <v>139</v>
      </c>
      <c r="E867" s="6">
        <v>6257.19</v>
      </c>
      <c r="F867" t="s">
        <v>601</v>
      </c>
      <c r="G867" s="4" t="str">
        <f t="shared" si="80"/>
        <v>6257.19</v>
      </c>
      <c r="H867" t="str">
        <f t="shared" si="81"/>
        <v>6257.19</v>
      </c>
      <c r="I867" s="1">
        <v>45716</v>
      </c>
      <c r="J867" s="2">
        <f t="shared" si="82"/>
        <v>1.8147766065809E-2</v>
      </c>
      <c r="K867" s="3" t="str">
        <f t="shared" si="83"/>
        <v/>
      </c>
      <c r="L867" t="str">
        <f t="shared" si="84"/>
        <v/>
      </c>
      <c r="M867" t="str">
        <f t="shared" si="85"/>
        <v/>
      </c>
      <c r="N867">
        <v>6145.66</v>
      </c>
      <c r="O867" t="s">
        <v>526</v>
      </c>
      <c r="Q867" t="s">
        <v>19</v>
      </c>
    </row>
    <row r="868" spans="1:17" x14ac:dyDescent="0.3">
      <c r="A868">
        <v>80212</v>
      </c>
      <c r="B868" t="s">
        <v>141</v>
      </c>
      <c r="C868" t="s">
        <v>590</v>
      </c>
      <c r="D868" t="s">
        <v>142</v>
      </c>
      <c r="E868" s="6">
        <v>306.7</v>
      </c>
      <c r="F868" t="s">
        <v>601</v>
      </c>
      <c r="G868" s="4" t="str">
        <f t="shared" si="80"/>
        <v>306.7</v>
      </c>
      <c r="H868" t="str">
        <f t="shared" si="81"/>
        <v>306.7</v>
      </c>
      <c r="I868" s="1">
        <v>45716</v>
      </c>
      <c r="J868" s="2">
        <f t="shared" si="82"/>
        <v>1.8970729924582142E-2</v>
      </c>
      <c r="K868" s="3" t="str">
        <f t="shared" si="83"/>
        <v/>
      </c>
      <c r="L868" t="str">
        <f t="shared" si="84"/>
        <v/>
      </c>
      <c r="M868" t="str">
        <f t="shared" si="85"/>
        <v>Check</v>
      </c>
      <c r="N868">
        <v>300.99</v>
      </c>
      <c r="O868" t="s">
        <v>527</v>
      </c>
      <c r="Q868" t="s">
        <v>16</v>
      </c>
    </row>
    <row r="869" spans="1:17" x14ac:dyDescent="0.3">
      <c r="A869">
        <v>81381</v>
      </c>
      <c r="B869" t="s">
        <v>593</v>
      </c>
      <c r="C869" t="s">
        <v>19</v>
      </c>
      <c r="D869" t="s">
        <v>146</v>
      </c>
      <c r="E869" s="6">
        <v>2939.72</v>
      </c>
      <c r="F869" t="s">
        <v>601</v>
      </c>
      <c r="G869" s="4" t="str">
        <f t="shared" si="80"/>
        <v>2939.72</v>
      </c>
      <c r="H869" t="str">
        <f t="shared" si="81"/>
        <v>2939.72</v>
      </c>
      <c r="I869" s="1">
        <v>45716</v>
      </c>
      <c r="J869" s="2">
        <f t="shared" si="82"/>
        <v>1.5885961123110082E-2</v>
      </c>
      <c r="K869" s="3" t="str">
        <f t="shared" si="83"/>
        <v/>
      </c>
      <c r="L869" t="str">
        <f t="shared" si="84"/>
        <v/>
      </c>
      <c r="M869" t="str">
        <f t="shared" si="85"/>
        <v/>
      </c>
      <c r="N869">
        <v>2893.75</v>
      </c>
      <c r="O869" t="s">
        <v>528</v>
      </c>
      <c r="Q869" t="s">
        <v>19</v>
      </c>
    </row>
    <row r="870" spans="1:17" x14ac:dyDescent="0.3">
      <c r="A870">
        <v>81381</v>
      </c>
      <c r="B870" t="s">
        <v>593</v>
      </c>
      <c r="C870" t="s">
        <v>19</v>
      </c>
      <c r="D870" t="s">
        <v>148</v>
      </c>
      <c r="E870" s="6">
        <v>99184.88</v>
      </c>
      <c r="F870" t="s">
        <v>601</v>
      </c>
      <c r="G870" s="4" t="str">
        <f t="shared" si="80"/>
        <v>99184.88</v>
      </c>
      <c r="H870" t="str">
        <f t="shared" si="81"/>
        <v>99184.88</v>
      </c>
      <c r="I870" s="1">
        <v>45716</v>
      </c>
      <c r="J870" s="2">
        <f t="shared" si="82"/>
        <v>1.3519674986629081E-2</v>
      </c>
      <c r="K870" s="3" t="str">
        <f t="shared" si="83"/>
        <v/>
      </c>
      <c r="L870" t="str">
        <f t="shared" si="84"/>
        <v/>
      </c>
      <c r="M870" t="str">
        <f t="shared" si="85"/>
        <v/>
      </c>
      <c r="N870">
        <v>97861.82</v>
      </c>
      <c r="O870" t="s">
        <v>529</v>
      </c>
      <c r="Q870" t="s">
        <v>19</v>
      </c>
    </row>
    <row r="871" spans="1:17" x14ac:dyDescent="0.3">
      <c r="A871">
        <v>113590</v>
      </c>
      <c r="B871" t="s">
        <v>150</v>
      </c>
      <c r="C871" t="s">
        <v>19</v>
      </c>
      <c r="D871" t="s">
        <v>151</v>
      </c>
      <c r="E871" s="6">
        <v>11660.83</v>
      </c>
      <c r="F871" t="s">
        <v>601</v>
      </c>
      <c r="G871" s="4" t="str">
        <f t="shared" si="80"/>
        <v>11660.83</v>
      </c>
      <c r="H871" t="str">
        <f t="shared" si="81"/>
        <v>11660.83</v>
      </c>
      <c r="I871" s="1">
        <v>45716</v>
      </c>
      <c r="J871" s="2">
        <f t="shared" si="82"/>
        <v>1.3555117480582217E-2</v>
      </c>
      <c r="K871" s="3" t="str">
        <f t="shared" si="83"/>
        <v/>
      </c>
      <c r="L871" t="str">
        <f t="shared" si="84"/>
        <v/>
      </c>
      <c r="M871" t="str">
        <f t="shared" si="85"/>
        <v/>
      </c>
      <c r="N871">
        <v>11504.88</v>
      </c>
      <c r="O871" t="s">
        <v>530</v>
      </c>
      <c r="Q871" t="s">
        <v>19</v>
      </c>
    </row>
    <row r="872" spans="1:17" x14ac:dyDescent="0.3">
      <c r="A872">
        <v>113590</v>
      </c>
      <c r="B872" t="s">
        <v>150</v>
      </c>
      <c r="C872" t="s">
        <v>19</v>
      </c>
      <c r="D872" t="s">
        <v>153</v>
      </c>
      <c r="E872" s="6">
        <v>3117.48</v>
      </c>
      <c r="F872" t="s">
        <v>601</v>
      </c>
      <c r="G872" s="4" t="str">
        <f t="shared" si="80"/>
        <v>3117.48</v>
      </c>
      <c r="H872" t="str">
        <f t="shared" si="81"/>
        <v>3117.48</v>
      </c>
      <c r="I872" s="1">
        <v>45716</v>
      </c>
      <c r="J872" s="2">
        <f t="shared" si="82"/>
        <v>1.5092164773226762E-2</v>
      </c>
      <c r="K872" s="3" t="str">
        <f t="shared" si="83"/>
        <v/>
      </c>
      <c r="L872" t="str">
        <f t="shared" si="84"/>
        <v/>
      </c>
      <c r="M872" t="str">
        <f t="shared" si="85"/>
        <v/>
      </c>
      <c r="N872">
        <v>3071.13</v>
      </c>
      <c r="O872" t="s">
        <v>531</v>
      </c>
      <c r="Q872" t="s">
        <v>19</v>
      </c>
    </row>
    <row r="873" spans="1:17" x14ac:dyDescent="0.3">
      <c r="A873">
        <v>130912</v>
      </c>
      <c r="B873" t="s">
        <v>604</v>
      </c>
      <c r="C873" t="s">
        <v>590</v>
      </c>
      <c r="D873" t="s">
        <v>605</v>
      </c>
      <c r="E873" s="6">
        <v>10768.15</v>
      </c>
      <c r="F873" t="s">
        <v>601</v>
      </c>
      <c r="G873" s="4" t="str">
        <f t="shared" si="80"/>
        <v>10768.15</v>
      </c>
      <c r="H873" t="str">
        <f t="shared" si="81"/>
        <v>10768.15</v>
      </c>
      <c r="I873" s="1">
        <v>45716</v>
      </c>
      <c r="J873" s="2">
        <f t="shared" si="82"/>
        <v>1.5012894857892676E-2</v>
      </c>
      <c r="K873" s="3" t="str">
        <f t="shared" si="83"/>
        <v/>
      </c>
      <c r="L873" t="str">
        <f t="shared" si="84"/>
        <v/>
      </c>
      <c r="M873" t="str">
        <f t="shared" si="85"/>
        <v/>
      </c>
      <c r="N873">
        <v>10608.88</v>
      </c>
      <c r="O873" t="s">
        <v>687</v>
      </c>
      <c r="Q873" t="s">
        <v>590</v>
      </c>
    </row>
    <row r="874" spans="1:17" x14ac:dyDescent="0.3">
      <c r="A874">
        <v>100202693</v>
      </c>
      <c r="B874" t="s">
        <v>594</v>
      </c>
      <c r="C874" t="s">
        <v>590</v>
      </c>
      <c r="D874" t="s">
        <v>599</v>
      </c>
      <c r="E874" s="6">
        <v>34891.1</v>
      </c>
      <c r="F874" t="s">
        <v>601</v>
      </c>
      <c r="G874" s="4" t="str">
        <f t="shared" si="80"/>
        <v>34891.1</v>
      </c>
      <c r="H874" t="str">
        <f t="shared" si="81"/>
        <v>34891.1</v>
      </c>
      <c r="I874" s="1">
        <v>45716</v>
      </c>
      <c r="J874" s="2">
        <f t="shared" si="82"/>
        <v>1.3553416706052333E-2</v>
      </c>
      <c r="K874" s="3" t="str">
        <f t="shared" si="83"/>
        <v/>
      </c>
      <c r="L874" t="str">
        <f t="shared" si="84"/>
        <v/>
      </c>
      <c r="M874" t="str">
        <f t="shared" si="85"/>
        <v/>
      </c>
      <c r="N874">
        <v>34424.53</v>
      </c>
      <c r="O874" t="s">
        <v>688</v>
      </c>
      <c r="Q874" t="s">
        <v>590</v>
      </c>
    </row>
    <row r="875" spans="1:17" x14ac:dyDescent="0.3">
      <c r="A875">
        <v>100202693</v>
      </c>
      <c r="B875" t="s">
        <v>594</v>
      </c>
      <c r="C875" t="s">
        <v>19</v>
      </c>
      <c r="D875" t="s">
        <v>597</v>
      </c>
      <c r="E875" s="6">
        <v>27401.75</v>
      </c>
      <c r="F875" t="s">
        <v>601</v>
      </c>
      <c r="G875" s="4" t="str">
        <f t="shared" si="80"/>
        <v>27401.75</v>
      </c>
      <c r="H875" t="str">
        <f t="shared" si="81"/>
        <v>27401.75</v>
      </c>
      <c r="I875" s="1">
        <v>45716</v>
      </c>
      <c r="J875" s="2">
        <f t="shared" si="82"/>
        <v>1.3189479475718991E-2</v>
      </c>
      <c r="K875" s="3" t="str">
        <f t="shared" si="83"/>
        <v/>
      </c>
      <c r="L875" t="str">
        <f t="shared" si="84"/>
        <v/>
      </c>
      <c r="M875" t="str">
        <f t="shared" si="85"/>
        <v/>
      </c>
      <c r="N875">
        <v>27045.040000000001</v>
      </c>
      <c r="O875" t="s">
        <v>689</v>
      </c>
      <c r="Q875" t="s">
        <v>19</v>
      </c>
    </row>
    <row r="876" spans="1:17" x14ac:dyDescent="0.3">
      <c r="A876">
        <v>100202693</v>
      </c>
      <c r="B876" t="s">
        <v>594</v>
      </c>
      <c r="C876" t="s">
        <v>19</v>
      </c>
      <c r="D876" t="s">
        <v>598</v>
      </c>
      <c r="E876" s="6">
        <v>106816.46</v>
      </c>
      <c r="F876" t="s">
        <v>601</v>
      </c>
      <c r="G876" s="4" t="str">
        <f t="shared" si="80"/>
        <v>106816.46</v>
      </c>
      <c r="H876" t="str">
        <f t="shared" si="81"/>
        <v>106816.46</v>
      </c>
      <c r="I876" s="1">
        <v>45716</v>
      </c>
      <c r="J876" s="2">
        <f t="shared" si="82"/>
        <v>1.3451399305684125E-2</v>
      </c>
      <c r="K876" s="3" t="str">
        <f t="shared" si="83"/>
        <v/>
      </c>
      <c r="L876" t="str">
        <f t="shared" si="84"/>
        <v/>
      </c>
      <c r="M876" t="str">
        <f t="shared" si="85"/>
        <v/>
      </c>
      <c r="N876">
        <v>105398.7</v>
      </c>
      <c r="O876" t="s">
        <v>690</v>
      </c>
      <c r="Q876" t="s">
        <v>19</v>
      </c>
    </row>
    <row r="877" spans="1:17" x14ac:dyDescent="0.3">
      <c r="A877">
        <v>100220898</v>
      </c>
      <c r="B877" t="s">
        <v>166</v>
      </c>
      <c r="C877" t="s">
        <v>19</v>
      </c>
      <c r="D877" t="s">
        <v>167</v>
      </c>
      <c r="E877" s="6">
        <v>32235.01</v>
      </c>
      <c r="F877" t="s">
        <v>601</v>
      </c>
      <c r="G877" s="4" t="str">
        <f t="shared" si="80"/>
        <v>32235.01</v>
      </c>
      <c r="H877" t="str">
        <f t="shared" si="81"/>
        <v>32235.01</v>
      </c>
      <c r="I877" s="1">
        <v>45716</v>
      </c>
      <c r="J877" s="2">
        <f t="shared" si="82"/>
        <v>1.3212462430841586E-2</v>
      </c>
      <c r="K877" s="3" t="str">
        <f t="shared" si="83"/>
        <v/>
      </c>
      <c r="L877" t="str">
        <f t="shared" si="84"/>
        <v/>
      </c>
      <c r="M877" t="str">
        <f t="shared" si="85"/>
        <v/>
      </c>
      <c r="N877">
        <v>31814.66</v>
      </c>
      <c r="O877" t="s">
        <v>532</v>
      </c>
      <c r="Q877" t="s">
        <v>19</v>
      </c>
    </row>
    <row r="878" spans="1:17" x14ac:dyDescent="0.3">
      <c r="A878">
        <v>100220898</v>
      </c>
      <c r="B878" t="s">
        <v>166</v>
      </c>
      <c r="C878" t="s">
        <v>19</v>
      </c>
      <c r="D878" t="s">
        <v>169</v>
      </c>
      <c r="E878" s="6">
        <v>23815.96</v>
      </c>
      <c r="F878" t="s">
        <v>601</v>
      </c>
      <c r="G878" s="4" t="str">
        <f t="shared" si="80"/>
        <v>23815.96</v>
      </c>
      <c r="H878" t="str">
        <f t="shared" si="81"/>
        <v>23815.96</v>
      </c>
      <c r="I878" s="1">
        <v>45716</v>
      </c>
      <c r="J878" s="2">
        <f t="shared" si="82"/>
        <v>1.4939875280146621E-2</v>
      </c>
      <c r="K878" s="3" t="str">
        <f t="shared" si="83"/>
        <v/>
      </c>
      <c r="L878" t="str">
        <f t="shared" si="84"/>
        <v/>
      </c>
      <c r="M878" t="str">
        <f t="shared" si="85"/>
        <v/>
      </c>
      <c r="N878">
        <v>23465.39</v>
      </c>
      <c r="O878" t="s">
        <v>533</v>
      </c>
      <c r="Q878" t="s">
        <v>19</v>
      </c>
    </row>
    <row r="879" spans="1:17" x14ac:dyDescent="0.3">
      <c r="A879">
        <v>100247003</v>
      </c>
      <c r="B879" t="s">
        <v>105</v>
      </c>
      <c r="C879" t="s">
        <v>19</v>
      </c>
      <c r="D879" t="s">
        <v>171</v>
      </c>
      <c r="E879" s="6">
        <v>12611.48</v>
      </c>
      <c r="F879" t="s">
        <v>601</v>
      </c>
      <c r="G879" s="4" t="str">
        <f t="shared" si="80"/>
        <v>12611.48</v>
      </c>
      <c r="H879" t="str">
        <f t="shared" si="81"/>
        <v>12611.48</v>
      </c>
      <c r="I879" s="1">
        <v>45716</v>
      </c>
      <c r="J879" s="2">
        <f t="shared" si="82"/>
        <v>1.9546149057778187E-2</v>
      </c>
      <c r="K879" s="3" t="str">
        <f t="shared" si="83"/>
        <v/>
      </c>
      <c r="L879" t="str">
        <f t="shared" si="84"/>
        <v/>
      </c>
      <c r="M879" t="str">
        <f t="shared" si="85"/>
        <v/>
      </c>
      <c r="N879">
        <v>12369.7</v>
      </c>
      <c r="O879" t="s">
        <v>534</v>
      </c>
      <c r="Q879" t="s">
        <v>19</v>
      </c>
    </row>
    <row r="880" spans="1:17" x14ac:dyDescent="0.3">
      <c r="A880">
        <v>100249944</v>
      </c>
      <c r="B880" t="s">
        <v>173</v>
      </c>
      <c r="C880" t="s">
        <v>19</v>
      </c>
      <c r="D880" t="s">
        <v>174</v>
      </c>
      <c r="E880" s="6">
        <v>26063.59</v>
      </c>
      <c r="F880" t="s">
        <v>601</v>
      </c>
      <c r="G880" s="4" t="str">
        <f t="shared" si="80"/>
        <v>26063.59</v>
      </c>
      <c r="H880" t="str">
        <f t="shared" si="81"/>
        <v>26063.59</v>
      </c>
      <c r="I880" s="1">
        <v>45716</v>
      </c>
      <c r="J880" s="2">
        <f t="shared" si="82"/>
        <v>1.3621334295739099E-2</v>
      </c>
      <c r="K880" s="3" t="str">
        <f t="shared" si="83"/>
        <v/>
      </c>
      <c r="L880" t="str">
        <f t="shared" si="84"/>
        <v/>
      </c>
      <c r="M880" t="str">
        <f t="shared" si="85"/>
        <v/>
      </c>
      <c r="N880">
        <v>25713.34</v>
      </c>
      <c r="O880" t="s">
        <v>535</v>
      </c>
      <c r="Q880" t="s">
        <v>19</v>
      </c>
    </row>
    <row r="881" spans="1:17" x14ac:dyDescent="0.3">
      <c r="A881">
        <v>100250182</v>
      </c>
      <c r="B881" t="s">
        <v>176</v>
      </c>
      <c r="C881" t="s">
        <v>19</v>
      </c>
      <c r="D881" t="s">
        <v>177</v>
      </c>
      <c r="E881" s="6">
        <v>50645.24</v>
      </c>
      <c r="F881" t="s">
        <v>601</v>
      </c>
      <c r="G881" s="4" t="str">
        <f t="shared" si="80"/>
        <v>50645.24</v>
      </c>
      <c r="H881" t="str">
        <f t="shared" si="81"/>
        <v>50645.24</v>
      </c>
      <c r="I881" s="1">
        <v>45716</v>
      </c>
      <c r="J881" s="2">
        <f t="shared" si="82"/>
        <v>1.3328979510823196E-2</v>
      </c>
      <c r="K881" s="3" t="str">
        <f t="shared" si="83"/>
        <v/>
      </c>
      <c r="L881" t="str">
        <f t="shared" si="84"/>
        <v/>
      </c>
      <c r="M881" t="str">
        <f t="shared" si="85"/>
        <v/>
      </c>
      <c r="N881">
        <v>49979.07</v>
      </c>
      <c r="O881" t="s">
        <v>536</v>
      </c>
      <c r="Q881" t="s">
        <v>19</v>
      </c>
    </row>
    <row r="882" spans="1:17" x14ac:dyDescent="0.3">
      <c r="A882">
        <v>100273792</v>
      </c>
      <c r="B882" t="s">
        <v>182</v>
      </c>
      <c r="C882" t="s">
        <v>19</v>
      </c>
      <c r="D882" t="s">
        <v>183</v>
      </c>
      <c r="E882" s="6">
        <v>27576.799999999999</v>
      </c>
      <c r="F882" t="s">
        <v>601</v>
      </c>
      <c r="G882" s="4" t="str">
        <f t="shared" si="80"/>
        <v>27576.8</v>
      </c>
      <c r="H882" t="str">
        <f t="shared" si="81"/>
        <v>27576.8</v>
      </c>
      <c r="I882" s="1">
        <v>45716</v>
      </c>
      <c r="J882" s="2">
        <f t="shared" si="82"/>
        <v>1.8596154002424491E-2</v>
      </c>
      <c r="K882" s="3" t="str">
        <f t="shared" si="83"/>
        <v/>
      </c>
      <c r="L882" t="str">
        <f t="shared" si="84"/>
        <v/>
      </c>
      <c r="M882" t="str">
        <f t="shared" si="85"/>
        <v/>
      </c>
      <c r="N882">
        <v>27073.34</v>
      </c>
      <c r="O882" t="s">
        <v>537</v>
      </c>
      <c r="Q882" t="s">
        <v>19</v>
      </c>
    </row>
    <row r="883" spans="1:17" x14ac:dyDescent="0.3">
      <c r="A883">
        <v>100273792</v>
      </c>
      <c r="B883" t="s">
        <v>182</v>
      </c>
      <c r="C883" t="s">
        <v>19</v>
      </c>
      <c r="D883" t="s">
        <v>185</v>
      </c>
      <c r="E883" s="6">
        <v>37863.86</v>
      </c>
      <c r="F883" t="s">
        <v>601</v>
      </c>
      <c r="G883" s="4" t="str">
        <f t="shared" si="80"/>
        <v>37863.86</v>
      </c>
      <c r="H883" t="str">
        <f t="shared" si="81"/>
        <v>37863.86</v>
      </c>
      <c r="I883" s="1">
        <v>45716</v>
      </c>
      <c r="J883" s="2">
        <f t="shared" si="82"/>
        <v>1.7984166663529991E-2</v>
      </c>
      <c r="K883" s="3" t="str">
        <f t="shared" si="83"/>
        <v/>
      </c>
      <c r="L883" t="str">
        <f t="shared" si="84"/>
        <v/>
      </c>
      <c r="M883" t="str">
        <f t="shared" si="85"/>
        <v/>
      </c>
      <c r="N883">
        <v>37194.94</v>
      </c>
      <c r="O883" t="s">
        <v>538</v>
      </c>
      <c r="Q883" t="s">
        <v>19</v>
      </c>
    </row>
    <row r="884" spans="1:17" x14ac:dyDescent="0.3">
      <c r="A884">
        <v>100278188</v>
      </c>
      <c r="B884" t="s">
        <v>187</v>
      </c>
      <c r="C884" t="s">
        <v>19</v>
      </c>
      <c r="D884" t="s">
        <v>192</v>
      </c>
      <c r="E884" s="6">
        <v>10516.11</v>
      </c>
      <c r="F884" t="s">
        <v>601</v>
      </c>
      <c r="G884" s="4" t="str">
        <f t="shared" si="80"/>
        <v>10516.11</v>
      </c>
      <c r="H884" t="str">
        <f t="shared" si="81"/>
        <v>10516.11</v>
      </c>
      <c r="I884" s="1">
        <v>45716</v>
      </c>
      <c r="J884" s="2">
        <f t="shared" si="82"/>
        <v>1.5768589549168054E-2</v>
      </c>
      <c r="K884" s="3" t="str">
        <f t="shared" si="83"/>
        <v/>
      </c>
      <c r="L884" t="str">
        <f t="shared" si="84"/>
        <v/>
      </c>
      <c r="M884" t="str">
        <f t="shared" si="85"/>
        <v/>
      </c>
      <c r="N884">
        <v>10352.86</v>
      </c>
      <c r="O884" t="s">
        <v>540</v>
      </c>
      <c r="Q884" t="s">
        <v>19</v>
      </c>
    </row>
    <row r="885" spans="1:17" x14ac:dyDescent="0.3">
      <c r="A885">
        <v>100278188</v>
      </c>
      <c r="B885" t="s">
        <v>187</v>
      </c>
      <c r="C885" t="s">
        <v>19</v>
      </c>
      <c r="D885" t="s">
        <v>194</v>
      </c>
      <c r="E885" s="6">
        <v>19243.14</v>
      </c>
      <c r="F885" t="s">
        <v>601</v>
      </c>
      <c r="G885" s="4" t="str">
        <f t="shared" si="80"/>
        <v>19243.14</v>
      </c>
      <c r="H885" t="str">
        <f t="shared" si="81"/>
        <v>19243.14</v>
      </c>
      <c r="I885" s="1">
        <v>45716</v>
      </c>
      <c r="J885" s="2">
        <f t="shared" si="82"/>
        <v>1.3983202452132099E-2</v>
      </c>
      <c r="K885" s="3" t="str">
        <f t="shared" si="83"/>
        <v/>
      </c>
      <c r="L885" t="str">
        <f t="shared" si="84"/>
        <v/>
      </c>
      <c r="M885" t="str">
        <f t="shared" si="85"/>
        <v/>
      </c>
      <c r="N885">
        <v>18977.77</v>
      </c>
      <c r="O885" t="s">
        <v>541</v>
      </c>
      <c r="Q885" t="s">
        <v>19</v>
      </c>
    </row>
    <row r="886" spans="1:17" x14ac:dyDescent="0.3">
      <c r="A886">
        <v>100278188</v>
      </c>
      <c r="B886" t="s">
        <v>187</v>
      </c>
      <c r="C886" t="s">
        <v>19</v>
      </c>
      <c r="D886" t="s">
        <v>190</v>
      </c>
      <c r="E886" s="6">
        <v>5862.27</v>
      </c>
      <c r="F886" t="s">
        <v>601</v>
      </c>
      <c r="G886" s="4" t="str">
        <f t="shared" si="80"/>
        <v>5862.27</v>
      </c>
      <c r="H886" t="str">
        <f t="shared" si="81"/>
        <v>5862.27</v>
      </c>
      <c r="I886" s="1">
        <v>45716</v>
      </c>
      <c r="J886" s="2">
        <f t="shared" si="82"/>
        <v>1.4059875557646814E-2</v>
      </c>
      <c r="K886" s="3" t="str">
        <f t="shared" si="83"/>
        <v/>
      </c>
      <c r="L886" t="str">
        <f t="shared" si="84"/>
        <v/>
      </c>
      <c r="M886" t="str">
        <f t="shared" si="85"/>
        <v/>
      </c>
      <c r="N886">
        <v>5780.99</v>
      </c>
      <c r="O886" t="s">
        <v>539</v>
      </c>
      <c r="Q886" t="s">
        <v>19</v>
      </c>
    </row>
    <row r="887" spans="1:17" x14ac:dyDescent="0.3">
      <c r="A887">
        <v>100325823</v>
      </c>
      <c r="B887" t="s">
        <v>202</v>
      </c>
      <c r="C887" t="s">
        <v>19</v>
      </c>
      <c r="D887" t="s">
        <v>203</v>
      </c>
      <c r="E887" s="6">
        <v>25774.97</v>
      </c>
      <c r="F887" t="s">
        <v>601</v>
      </c>
      <c r="G887" s="4" t="str">
        <f t="shared" si="80"/>
        <v>25774.97</v>
      </c>
      <c r="H887" t="str">
        <f t="shared" si="81"/>
        <v>25774.97</v>
      </c>
      <c r="I887" s="1">
        <v>45716</v>
      </c>
      <c r="J887" s="2">
        <f t="shared" si="82"/>
        <v>1.3551524064749508E-2</v>
      </c>
      <c r="K887" s="3" t="str">
        <f t="shared" si="83"/>
        <v/>
      </c>
      <c r="L887" t="str">
        <f t="shared" si="84"/>
        <v/>
      </c>
      <c r="M887" t="str">
        <f t="shared" si="85"/>
        <v/>
      </c>
      <c r="N887">
        <v>25430.35</v>
      </c>
      <c r="O887" t="s">
        <v>542</v>
      </c>
      <c r="Q887" t="s">
        <v>19</v>
      </c>
    </row>
    <row r="888" spans="1:17" x14ac:dyDescent="0.3">
      <c r="A888">
        <v>100376880</v>
      </c>
      <c r="B888" t="s">
        <v>205</v>
      </c>
      <c r="C888" t="s">
        <v>19</v>
      </c>
      <c r="D888" t="s">
        <v>208</v>
      </c>
      <c r="E888" s="6">
        <v>1856.61</v>
      </c>
      <c r="F888" t="s">
        <v>601</v>
      </c>
      <c r="G888" s="4" t="str">
        <f t="shared" si="80"/>
        <v>1856.61</v>
      </c>
      <c r="H888" t="str">
        <f t="shared" si="81"/>
        <v>1856.61</v>
      </c>
      <c r="I888" s="1">
        <v>45716</v>
      </c>
      <c r="J888" s="2">
        <f t="shared" si="82"/>
        <v>-5.6522722134307772E-4</v>
      </c>
      <c r="K888" s="3" t="str">
        <f t="shared" si="83"/>
        <v/>
      </c>
      <c r="L888" t="str">
        <f t="shared" si="84"/>
        <v/>
      </c>
      <c r="M888" t="str">
        <f t="shared" si="85"/>
        <v/>
      </c>
      <c r="N888">
        <v>1857.66</v>
      </c>
      <c r="O888" t="s">
        <v>543</v>
      </c>
      <c r="Q888" t="s">
        <v>19</v>
      </c>
    </row>
    <row r="889" spans="1:17" x14ac:dyDescent="0.3">
      <c r="A889">
        <v>100388471</v>
      </c>
      <c r="B889" t="s">
        <v>210</v>
      </c>
      <c r="C889" t="s">
        <v>19</v>
      </c>
      <c r="D889" t="s">
        <v>211</v>
      </c>
      <c r="E889" s="6">
        <v>33761.35</v>
      </c>
      <c r="F889" t="s">
        <v>601</v>
      </c>
      <c r="G889" s="4" t="str">
        <f t="shared" si="80"/>
        <v>33761.35</v>
      </c>
      <c r="H889" t="str">
        <f t="shared" si="81"/>
        <v>33761.35</v>
      </c>
      <c r="I889" s="1">
        <v>45716</v>
      </c>
      <c r="J889" s="2">
        <f t="shared" si="82"/>
        <v>-1.571154271133815E-2</v>
      </c>
      <c r="K889" s="3" t="str">
        <f t="shared" si="83"/>
        <v/>
      </c>
      <c r="L889" t="str">
        <f t="shared" si="84"/>
        <v/>
      </c>
      <c r="M889" t="str">
        <f t="shared" si="85"/>
        <v/>
      </c>
      <c r="N889">
        <v>34300.26</v>
      </c>
      <c r="O889" t="s">
        <v>544</v>
      </c>
      <c r="Q889" t="s">
        <v>19</v>
      </c>
    </row>
    <row r="890" spans="1:17" x14ac:dyDescent="0.3">
      <c r="A890">
        <v>100388471</v>
      </c>
      <c r="B890" t="s">
        <v>210</v>
      </c>
      <c r="C890" t="s">
        <v>19</v>
      </c>
      <c r="D890" t="s">
        <v>213</v>
      </c>
      <c r="E890" s="6">
        <v>3532.55</v>
      </c>
      <c r="F890" t="s">
        <v>601</v>
      </c>
      <c r="G890" s="4" t="str">
        <f t="shared" si="80"/>
        <v>3532.55</v>
      </c>
      <c r="H890" t="str">
        <f t="shared" si="81"/>
        <v>3532.55</v>
      </c>
      <c r="I890" s="1">
        <v>45716</v>
      </c>
      <c r="J890" s="2">
        <f t="shared" si="82"/>
        <v>2.7600089595569123E-2</v>
      </c>
      <c r="K890" s="3" t="str">
        <f t="shared" si="83"/>
        <v/>
      </c>
      <c r="L890" t="str">
        <f t="shared" si="84"/>
        <v/>
      </c>
      <c r="M890" t="str">
        <f t="shared" si="85"/>
        <v/>
      </c>
      <c r="N890">
        <v>3437.67</v>
      </c>
      <c r="O890" t="s">
        <v>545</v>
      </c>
      <c r="Q890" t="s">
        <v>19</v>
      </c>
    </row>
    <row r="891" spans="1:17" x14ac:dyDescent="0.3">
      <c r="A891">
        <v>100408912</v>
      </c>
      <c r="B891" t="s">
        <v>215</v>
      </c>
      <c r="C891" t="s">
        <v>19</v>
      </c>
      <c r="D891" t="s">
        <v>216</v>
      </c>
      <c r="E891" s="6">
        <v>92807.03</v>
      </c>
      <c r="F891" t="s">
        <v>601</v>
      </c>
      <c r="G891" s="4" t="str">
        <f t="shared" si="80"/>
        <v>92807.03</v>
      </c>
      <c r="H891" t="str">
        <f t="shared" si="81"/>
        <v>92807.03</v>
      </c>
      <c r="I891" s="1">
        <v>45716</v>
      </c>
      <c r="J891" s="2">
        <f t="shared" si="82"/>
        <v>1.3321880460659673E-2</v>
      </c>
      <c r="K891" s="3" t="str">
        <f t="shared" si="83"/>
        <v/>
      </c>
      <c r="L891" t="str">
        <f t="shared" si="84"/>
        <v/>
      </c>
      <c r="M891" t="str">
        <f t="shared" si="85"/>
        <v/>
      </c>
      <c r="N891">
        <v>91586.92</v>
      </c>
      <c r="O891" t="s">
        <v>546</v>
      </c>
      <c r="Q891" t="s">
        <v>19</v>
      </c>
    </row>
    <row r="892" spans="1:17" x14ac:dyDescent="0.3">
      <c r="A892">
        <v>100421069</v>
      </c>
      <c r="B892" t="s">
        <v>218</v>
      </c>
      <c r="C892" t="s">
        <v>19</v>
      </c>
      <c r="D892" t="s">
        <v>220</v>
      </c>
      <c r="E892" s="6">
        <v>16236.25</v>
      </c>
      <c r="F892" t="s">
        <v>601</v>
      </c>
      <c r="G892" s="4" t="str">
        <f t="shared" si="80"/>
        <v>16236.25</v>
      </c>
      <c r="H892" t="str">
        <f t="shared" si="81"/>
        <v>16236.25</v>
      </c>
      <c r="I892" s="1">
        <v>45716</v>
      </c>
      <c r="J892" s="2">
        <f t="shared" si="82"/>
        <v>1.329191856593564E-2</v>
      </c>
      <c r="K892" s="3" t="str">
        <f t="shared" si="83"/>
        <v/>
      </c>
      <c r="L892" t="str">
        <f t="shared" si="84"/>
        <v/>
      </c>
      <c r="M892" t="str">
        <f t="shared" si="85"/>
        <v/>
      </c>
      <c r="N892">
        <v>16023.27</v>
      </c>
      <c r="O892" t="s">
        <v>547</v>
      </c>
      <c r="Q892" t="s">
        <v>19</v>
      </c>
    </row>
    <row r="893" spans="1:17" x14ac:dyDescent="0.3">
      <c r="A893">
        <v>100421069</v>
      </c>
      <c r="B893" t="s">
        <v>218</v>
      </c>
      <c r="C893" t="s">
        <v>19</v>
      </c>
      <c r="D893" t="s">
        <v>222</v>
      </c>
      <c r="E893" s="6">
        <v>7061.53</v>
      </c>
      <c r="F893" t="s">
        <v>601</v>
      </c>
      <c r="G893" s="4" t="str">
        <f t="shared" si="80"/>
        <v>7061.53</v>
      </c>
      <c r="H893" t="str">
        <f t="shared" si="81"/>
        <v>7061.53</v>
      </c>
      <c r="I893" s="1">
        <v>45716</v>
      </c>
      <c r="J893" s="2">
        <f t="shared" si="82"/>
        <v>2.0319611611206653E-2</v>
      </c>
      <c r="K893" s="3" t="str">
        <f t="shared" si="83"/>
        <v/>
      </c>
      <c r="L893" t="str">
        <f t="shared" si="84"/>
        <v/>
      </c>
      <c r="M893" t="str">
        <f t="shared" si="85"/>
        <v/>
      </c>
      <c r="N893">
        <v>6920.9</v>
      </c>
      <c r="O893" t="s">
        <v>548</v>
      </c>
      <c r="Q893" t="s">
        <v>19</v>
      </c>
    </row>
    <row r="894" spans="1:17" x14ac:dyDescent="0.3">
      <c r="A894">
        <v>100421069</v>
      </c>
      <c r="B894" t="s">
        <v>218</v>
      </c>
      <c r="C894" t="s">
        <v>19</v>
      </c>
      <c r="D894" t="s">
        <v>224</v>
      </c>
      <c r="E894" s="6">
        <v>8851.81</v>
      </c>
      <c r="F894" t="s">
        <v>601</v>
      </c>
      <c r="G894" s="4" t="str">
        <f t="shared" si="80"/>
        <v>8851.81</v>
      </c>
      <c r="H894" t="str">
        <f t="shared" si="81"/>
        <v>8851.81</v>
      </c>
      <c r="I894" s="1">
        <v>45716</v>
      </c>
      <c r="J894" s="2">
        <f t="shared" si="82"/>
        <v>1.3397002103084173E-2</v>
      </c>
      <c r="K894" s="3" t="str">
        <f t="shared" si="83"/>
        <v/>
      </c>
      <c r="L894" t="str">
        <f t="shared" si="84"/>
        <v/>
      </c>
      <c r="M894" t="str">
        <f t="shared" si="85"/>
        <v/>
      </c>
      <c r="N894">
        <v>8734.7900000000009</v>
      </c>
      <c r="O894" t="s">
        <v>549</v>
      </c>
      <c r="Q894" t="s">
        <v>19</v>
      </c>
    </row>
    <row r="895" spans="1:17" x14ac:dyDescent="0.3">
      <c r="A895">
        <v>100489695</v>
      </c>
      <c r="B895" t="s">
        <v>229</v>
      </c>
      <c r="C895" t="s">
        <v>590</v>
      </c>
      <c r="D895" t="s">
        <v>230</v>
      </c>
      <c r="E895" s="6">
        <v>331963.40999999997</v>
      </c>
      <c r="F895" t="s">
        <v>601</v>
      </c>
      <c r="G895" s="4" t="str">
        <f t="shared" si="80"/>
        <v>331963.41</v>
      </c>
      <c r="H895" t="str">
        <f t="shared" si="81"/>
        <v>331963.41</v>
      </c>
      <c r="I895" s="1">
        <v>45716</v>
      </c>
      <c r="J895" s="2">
        <f t="shared" si="82"/>
        <v>-0.1594800791026553</v>
      </c>
      <c r="K895" s="3" t="str">
        <f t="shared" si="83"/>
        <v>Check!</v>
      </c>
      <c r="L895" t="str">
        <f t="shared" si="84"/>
        <v/>
      </c>
      <c r="M895" t="str">
        <f t="shared" si="85"/>
        <v>Check</v>
      </c>
      <c r="N895">
        <v>394950.08</v>
      </c>
      <c r="O895" t="s">
        <v>550</v>
      </c>
      <c r="Q895" t="s">
        <v>16</v>
      </c>
    </row>
    <row r="896" spans="1:17" x14ac:dyDescent="0.3">
      <c r="A896">
        <v>100492707</v>
      </c>
      <c r="B896" t="s">
        <v>232</v>
      </c>
      <c r="C896" t="s">
        <v>19</v>
      </c>
      <c r="D896" t="s">
        <v>233</v>
      </c>
      <c r="E896" s="6">
        <v>8134.44</v>
      </c>
      <c r="F896" t="s">
        <v>601</v>
      </c>
      <c r="G896" s="4" t="str">
        <f t="shared" si="80"/>
        <v>8134.44</v>
      </c>
      <c r="H896" t="str">
        <f t="shared" si="81"/>
        <v>8134.44</v>
      </c>
      <c r="I896" s="1">
        <v>45716</v>
      </c>
      <c r="J896" s="2">
        <f t="shared" si="82"/>
        <v>1.3821829267380686E-2</v>
      </c>
      <c r="K896" s="3" t="str">
        <f t="shared" si="83"/>
        <v/>
      </c>
      <c r="L896" t="str">
        <f t="shared" si="84"/>
        <v/>
      </c>
      <c r="M896" t="str">
        <f t="shared" si="85"/>
        <v/>
      </c>
      <c r="N896">
        <v>8023.54</v>
      </c>
      <c r="O896" t="s">
        <v>551</v>
      </c>
      <c r="Q896" t="s">
        <v>19</v>
      </c>
    </row>
    <row r="897" spans="1:17" x14ac:dyDescent="0.3">
      <c r="A897">
        <v>100492707</v>
      </c>
      <c r="B897" t="s">
        <v>232</v>
      </c>
      <c r="C897" t="s">
        <v>19</v>
      </c>
      <c r="D897" t="s">
        <v>624</v>
      </c>
      <c r="E897" s="6">
        <v>113253.65</v>
      </c>
      <c r="F897" t="s">
        <v>601</v>
      </c>
      <c r="G897" s="4" t="str">
        <f t="shared" si="80"/>
        <v>113253.65</v>
      </c>
      <c r="H897" t="str">
        <f t="shared" si="81"/>
        <v>113253.65</v>
      </c>
      <c r="I897" s="1">
        <v>45716</v>
      </c>
      <c r="J897" s="2">
        <f t="shared" si="82"/>
        <v>1.3372960233215804E-2</v>
      </c>
      <c r="K897" s="3" t="str">
        <f t="shared" si="83"/>
        <v/>
      </c>
      <c r="L897" t="str">
        <f t="shared" si="84"/>
        <v/>
      </c>
      <c r="M897" t="str">
        <f t="shared" si="85"/>
        <v/>
      </c>
      <c r="N897">
        <v>111759.1</v>
      </c>
      <c r="O897" t="s">
        <v>691</v>
      </c>
      <c r="Q897" t="s">
        <v>19</v>
      </c>
    </row>
    <row r="898" spans="1:17" x14ac:dyDescent="0.3">
      <c r="A898">
        <v>100564770</v>
      </c>
      <c r="B898" t="s">
        <v>241</v>
      </c>
      <c r="C898" t="s">
        <v>19</v>
      </c>
      <c r="D898" t="s">
        <v>242</v>
      </c>
      <c r="E898" s="6">
        <v>22175.23</v>
      </c>
      <c r="F898" t="s">
        <v>601</v>
      </c>
      <c r="G898" s="4" t="str">
        <f t="shared" si="80"/>
        <v>22175.23</v>
      </c>
      <c r="H898" t="str">
        <f t="shared" si="81"/>
        <v>22175.23</v>
      </c>
      <c r="I898" s="1">
        <v>45716</v>
      </c>
      <c r="J898" s="2">
        <f t="shared" si="82"/>
        <v>2.5961768457520046E-2</v>
      </c>
      <c r="K898" s="3" t="str">
        <f t="shared" si="83"/>
        <v/>
      </c>
      <c r="L898" t="str">
        <f t="shared" si="84"/>
        <v/>
      </c>
      <c r="M898" t="str">
        <f t="shared" si="85"/>
        <v/>
      </c>
      <c r="N898">
        <v>21614.09</v>
      </c>
      <c r="O898" t="s">
        <v>552</v>
      </c>
      <c r="Q898" t="s">
        <v>19</v>
      </c>
    </row>
    <row r="899" spans="1:17" x14ac:dyDescent="0.3">
      <c r="A899">
        <v>100596689</v>
      </c>
      <c r="B899" t="s">
        <v>250</v>
      </c>
      <c r="C899" t="s">
        <v>590</v>
      </c>
      <c r="D899" t="s">
        <v>251</v>
      </c>
      <c r="E899" s="6">
        <v>582.51</v>
      </c>
      <c r="F899" t="s">
        <v>601</v>
      </c>
      <c r="G899" s="4" t="str">
        <f t="shared" ref="G899:G962" si="86">SUBSTITUTE(E899,"R","")</f>
        <v>582.51</v>
      </c>
      <c r="H899" t="str">
        <f t="shared" ref="H899:H962" si="87">SUBSTITUTE(G899,",","")</f>
        <v>582.51</v>
      </c>
      <c r="I899" s="1">
        <v>45716</v>
      </c>
      <c r="J899" s="2">
        <f t="shared" ref="J899:J962" si="88">(H899-N899)/N899</f>
        <v>1.8552194439587364E-2</v>
      </c>
      <c r="K899" s="3" t="str">
        <f t="shared" ref="K899:K962" si="89">IF(ABS(J899)&gt;0.1,"Check!","")</f>
        <v/>
      </c>
      <c r="L899" t="str">
        <f t="shared" ref="L899:L962" si="90">IF(LEFT(O899,10)&lt;&gt;LEFT(D899,10),"Check","")</f>
        <v/>
      </c>
      <c r="M899" t="str">
        <f t="shared" ref="M899:M962" si="91">IF(Q899&lt;&gt;C899,"Check","")</f>
        <v>Check</v>
      </c>
      <c r="N899">
        <v>571.9</v>
      </c>
      <c r="O899" t="s">
        <v>553</v>
      </c>
      <c r="Q899" t="s">
        <v>16</v>
      </c>
    </row>
    <row r="900" spans="1:17" x14ac:dyDescent="0.3">
      <c r="A900">
        <v>100628990</v>
      </c>
      <c r="B900" t="s">
        <v>256</v>
      </c>
      <c r="C900" t="s">
        <v>19</v>
      </c>
      <c r="D900" t="s">
        <v>257</v>
      </c>
      <c r="E900" s="6">
        <v>5929.5</v>
      </c>
      <c r="F900" t="s">
        <v>601</v>
      </c>
      <c r="G900" s="4" t="str">
        <f t="shared" si="86"/>
        <v>5929.5</v>
      </c>
      <c r="H900" t="str">
        <f t="shared" si="87"/>
        <v>5929.5</v>
      </c>
      <c r="I900" s="1">
        <v>45716</v>
      </c>
      <c r="J900" s="2">
        <f t="shared" si="88"/>
        <v>1.5558364419233205E-2</v>
      </c>
      <c r="K900" s="3" t="str">
        <f t="shared" si="89"/>
        <v/>
      </c>
      <c r="L900" t="str">
        <f t="shared" si="90"/>
        <v/>
      </c>
      <c r="M900" t="str">
        <f t="shared" si="91"/>
        <v/>
      </c>
      <c r="N900">
        <v>5838.66</v>
      </c>
      <c r="O900" t="s">
        <v>554</v>
      </c>
      <c r="Q900" t="s">
        <v>19</v>
      </c>
    </row>
    <row r="901" spans="1:17" x14ac:dyDescent="0.3">
      <c r="A901">
        <v>100630706</v>
      </c>
      <c r="B901" t="s">
        <v>262</v>
      </c>
      <c r="C901" t="s">
        <v>590</v>
      </c>
      <c r="D901" t="s">
        <v>263</v>
      </c>
      <c r="E901" s="6">
        <v>1505.16</v>
      </c>
      <c r="F901" t="s">
        <v>601</v>
      </c>
      <c r="G901" s="4" t="str">
        <f t="shared" si="86"/>
        <v>1505.16</v>
      </c>
      <c r="H901" t="str">
        <f t="shared" si="87"/>
        <v>1505.16</v>
      </c>
      <c r="I901" s="1">
        <v>45716</v>
      </c>
      <c r="J901" s="2">
        <f t="shared" si="88"/>
        <v>1.9583403895004289E-2</v>
      </c>
      <c r="K901" s="3" t="str">
        <f t="shared" si="89"/>
        <v/>
      </c>
      <c r="L901" t="str">
        <f t="shared" si="90"/>
        <v/>
      </c>
      <c r="M901" t="str">
        <f t="shared" si="91"/>
        <v>Check</v>
      </c>
      <c r="N901">
        <v>1476.25</v>
      </c>
      <c r="O901" t="s">
        <v>555</v>
      </c>
      <c r="Q901" t="s">
        <v>16</v>
      </c>
    </row>
    <row r="902" spans="1:17" x14ac:dyDescent="0.3">
      <c r="A902">
        <v>100641153</v>
      </c>
      <c r="B902" t="s">
        <v>273</v>
      </c>
      <c r="C902" t="s">
        <v>19</v>
      </c>
      <c r="D902" t="s">
        <v>274</v>
      </c>
      <c r="E902" s="6">
        <v>89379.86</v>
      </c>
      <c r="F902" t="s">
        <v>601</v>
      </c>
      <c r="G902" s="4" t="str">
        <f t="shared" si="86"/>
        <v>89379.86</v>
      </c>
      <c r="H902" t="str">
        <f t="shared" si="87"/>
        <v>89379.86</v>
      </c>
      <c r="I902" s="1">
        <v>45716</v>
      </c>
      <c r="J902" s="2">
        <f t="shared" si="88"/>
        <v>1.3316781030607594E-2</v>
      </c>
      <c r="K902" s="3" t="str">
        <f t="shared" si="89"/>
        <v/>
      </c>
      <c r="L902" t="str">
        <f t="shared" si="90"/>
        <v/>
      </c>
      <c r="M902" t="str">
        <f t="shared" si="91"/>
        <v/>
      </c>
      <c r="N902">
        <v>88205.25</v>
      </c>
      <c r="O902" t="s">
        <v>591</v>
      </c>
      <c r="Q902" t="s">
        <v>19</v>
      </c>
    </row>
    <row r="903" spans="1:17" x14ac:dyDescent="0.3">
      <c r="A903">
        <v>100651921</v>
      </c>
      <c r="B903" t="s">
        <v>279</v>
      </c>
      <c r="C903" t="s">
        <v>590</v>
      </c>
      <c r="D903" t="s">
        <v>280</v>
      </c>
      <c r="E903" s="6">
        <v>8139.17</v>
      </c>
      <c r="F903" t="s">
        <v>601</v>
      </c>
      <c r="G903" s="4" t="str">
        <f t="shared" si="86"/>
        <v>8139.17</v>
      </c>
      <c r="H903" t="str">
        <f t="shared" si="87"/>
        <v>8139.17</v>
      </c>
      <c r="I903" s="1">
        <v>45716</v>
      </c>
      <c r="J903" s="2">
        <f t="shared" si="88"/>
        <v>1.9588364984717128E-2</v>
      </c>
      <c r="K903" s="3" t="str">
        <f t="shared" si="89"/>
        <v/>
      </c>
      <c r="L903" t="str">
        <f t="shared" si="90"/>
        <v/>
      </c>
      <c r="M903" t="str">
        <f t="shared" si="91"/>
        <v>Check</v>
      </c>
      <c r="N903">
        <v>7982.8</v>
      </c>
      <c r="O903" t="s">
        <v>556</v>
      </c>
      <c r="Q903" t="s">
        <v>16</v>
      </c>
    </row>
    <row r="904" spans="1:17" x14ac:dyDescent="0.3">
      <c r="A904">
        <v>100651921</v>
      </c>
      <c r="B904" t="s">
        <v>279</v>
      </c>
      <c r="C904" t="s">
        <v>590</v>
      </c>
      <c r="D904" t="s">
        <v>282</v>
      </c>
      <c r="E904" s="6">
        <v>9184.17</v>
      </c>
      <c r="F904" t="s">
        <v>601</v>
      </c>
      <c r="G904" s="4" t="str">
        <f t="shared" si="86"/>
        <v>9184.17</v>
      </c>
      <c r="H904" t="str">
        <f t="shared" si="87"/>
        <v>9184.17</v>
      </c>
      <c r="I904" s="1">
        <v>45716</v>
      </c>
      <c r="J904" s="2">
        <f t="shared" si="88"/>
        <v>2.0412312717697376E-2</v>
      </c>
      <c r="K904" s="3" t="str">
        <f t="shared" si="89"/>
        <v/>
      </c>
      <c r="L904" t="str">
        <f t="shared" si="90"/>
        <v/>
      </c>
      <c r="M904" t="str">
        <f t="shared" si="91"/>
        <v>Check</v>
      </c>
      <c r="N904">
        <v>9000.4500000000007</v>
      </c>
      <c r="O904" t="s">
        <v>557</v>
      </c>
      <c r="Q904" t="s">
        <v>16</v>
      </c>
    </row>
    <row r="905" spans="1:17" x14ac:dyDescent="0.3">
      <c r="A905">
        <v>100655835</v>
      </c>
      <c r="B905" t="s">
        <v>284</v>
      </c>
      <c r="C905" t="s">
        <v>19</v>
      </c>
      <c r="D905" t="s">
        <v>285</v>
      </c>
      <c r="E905" s="6">
        <v>481277.15</v>
      </c>
      <c r="F905" t="s">
        <v>601</v>
      </c>
      <c r="G905" s="4" t="str">
        <f t="shared" si="86"/>
        <v>481277.15</v>
      </c>
      <c r="H905" t="str">
        <f t="shared" si="87"/>
        <v>481277.15</v>
      </c>
      <c r="I905" s="1">
        <v>45716</v>
      </c>
      <c r="J905" s="2">
        <f t="shared" si="88"/>
        <v>1.3527240359025158E-2</v>
      </c>
      <c r="K905" s="3" t="str">
        <f t="shared" si="89"/>
        <v/>
      </c>
      <c r="L905" t="str">
        <f t="shared" si="90"/>
        <v/>
      </c>
      <c r="M905" t="str">
        <f t="shared" si="91"/>
        <v/>
      </c>
      <c r="N905">
        <v>474853.69</v>
      </c>
      <c r="O905" t="s">
        <v>558</v>
      </c>
      <c r="Q905" t="s">
        <v>19</v>
      </c>
    </row>
    <row r="906" spans="1:17" x14ac:dyDescent="0.3">
      <c r="A906">
        <v>100663638</v>
      </c>
      <c r="B906" t="s">
        <v>287</v>
      </c>
      <c r="C906" t="s">
        <v>19</v>
      </c>
      <c r="D906" t="s">
        <v>288</v>
      </c>
      <c r="E906" s="6">
        <v>105353.32</v>
      </c>
      <c r="F906" t="s">
        <v>601</v>
      </c>
      <c r="G906" s="4" t="str">
        <f t="shared" si="86"/>
        <v>105353.32</v>
      </c>
      <c r="H906" t="str">
        <f t="shared" si="87"/>
        <v>105353.32</v>
      </c>
      <c r="I906" s="1">
        <v>45716</v>
      </c>
      <c r="J906" s="2">
        <f t="shared" si="88"/>
        <v>1.3308110595319847E-2</v>
      </c>
      <c r="K906" s="3" t="str">
        <f t="shared" si="89"/>
        <v/>
      </c>
      <c r="L906" t="str">
        <f t="shared" si="90"/>
        <v/>
      </c>
      <c r="M906" t="str">
        <f t="shared" si="91"/>
        <v/>
      </c>
      <c r="N906">
        <v>103969.68</v>
      </c>
      <c r="O906" t="s">
        <v>559</v>
      </c>
      <c r="Q906" t="s">
        <v>19</v>
      </c>
    </row>
    <row r="907" spans="1:17" x14ac:dyDescent="0.3">
      <c r="A907">
        <v>100663638</v>
      </c>
      <c r="B907" t="s">
        <v>287</v>
      </c>
      <c r="C907" t="s">
        <v>19</v>
      </c>
      <c r="D907" t="s">
        <v>290</v>
      </c>
      <c r="E907" s="6">
        <v>3662.09</v>
      </c>
      <c r="F907" t="s">
        <v>601</v>
      </c>
      <c r="G907" s="4" t="str">
        <f t="shared" si="86"/>
        <v>3662.09</v>
      </c>
      <c r="H907" t="str">
        <f t="shared" si="87"/>
        <v>3662.09</v>
      </c>
      <c r="I907" s="1">
        <v>45716</v>
      </c>
      <c r="J907" s="2">
        <f t="shared" si="88"/>
        <v>1.7139857459490395E-2</v>
      </c>
      <c r="K907" s="3" t="str">
        <f t="shared" si="89"/>
        <v/>
      </c>
      <c r="L907" t="str">
        <f t="shared" si="90"/>
        <v/>
      </c>
      <c r="M907" t="str">
        <f t="shared" si="91"/>
        <v/>
      </c>
      <c r="N907">
        <v>3600.38</v>
      </c>
      <c r="O907" t="s">
        <v>560</v>
      </c>
      <c r="Q907" t="s">
        <v>19</v>
      </c>
    </row>
    <row r="908" spans="1:17" x14ac:dyDescent="0.3">
      <c r="A908">
        <v>100664029</v>
      </c>
      <c r="B908" t="s">
        <v>292</v>
      </c>
      <c r="C908" t="s">
        <v>19</v>
      </c>
      <c r="D908" t="s">
        <v>293</v>
      </c>
      <c r="E908" s="6">
        <v>11915.65</v>
      </c>
      <c r="F908" t="s">
        <v>601</v>
      </c>
      <c r="G908" s="4" t="str">
        <f t="shared" si="86"/>
        <v>11915.65</v>
      </c>
      <c r="H908" t="str">
        <f t="shared" si="87"/>
        <v>11915.65</v>
      </c>
      <c r="I908" s="1">
        <v>45716</v>
      </c>
      <c r="J908" s="2">
        <f t="shared" si="88"/>
        <v>1.4234254478474515E-2</v>
      </c>
      <c r="K908" s="3" t="str">
        <f t="shared" si="89"/>
        <v/>
      </c>
      <c r="L908" t="str">
        <f t="shared" si="90"/>
        <v/>
      </c>
      <c r="M908" t="str">
        <f t="shared" si="91"/>
        <v/>
      </c>
      <c r="N908">
        <v>11748.42</v>
      </c>
      <c r="O908" t="s">
        <v>561</v>
      </c>
      <c r="Q908" t="s">
        <v>19</v>
      </c>
    </row>
    <row r="909" spans="1:17" x14ac:dyDescent="0.3">
      <c r="A909">
        <v>100664029</v>
      </c>
      <c r="B909" t="s">
        <v>292</v>
      </c>
      <c r="C909" t="s">
        <v>19</v>
      </c>
      <c r="D909" t="s">
        <v>295</v>
      </c>
      <c r="E909" s="6">
        <v>7659.31</v>
      </c>
      <c r="F909" t="s">
        <v>601</v>
      </c>
      <c r="G909" s="4" t="str">
        <f t="shared" si="86"/>
        <v>7659.31</v>
      </c>
      <c r="H909" t="str">
        <f t="shared" si="87"/>
        <v>7659.31</v>
      </c>
      <c r="I909" s="1">
        <v>45716</v>
      </c>
      <c r="J909" s="2">
        <f t="shared" si="88"/>
        <v>1.5018592681136292E-2</v>
      </c>
      <c r="K909" s="3" t="str">
        <f t="shared" si="89"/>
        <v/>
      </c>
      <c r="L909" t="str">
        <f t="shared" si="90"/>
        <v/>
      </c>
      <c r="M909" t="str">
        <f t="shared" si="91"/>
        <v/>
      </c>
      <c r="N909">
        <v>7545.98</v>
      </c>
      <c r="O909" t="s">
        <v>562</v>
      </c>
      <c r="Q909" t="s">
        <v>19</v>
      </c>
    </row>
    <row r="910" spans="1:17" x14ac:dyDescent="0.3">
      <c r="A910">
        <v>100664292</v>
      </c>
      <c r="B910" t="s">
        <v>297</v>
      </c>
      <c r="C910" t="s">
        <v>590</v>
      </c>
      <c r="D910" t="s">
        <v>298</v>
      </c>
      <c r="E910" s="6">
        <v>204.96</v>
      </c>
      <c r="F910" t="s">
        <v>601</v>
      </c>
      <c r="G910" s="4" t="str">
        <f t="shared" si="86"/>
        <v>204.96</v>
      </c>
      <c r="H910" t="str">
        <f t="shared" si="87"/>
        <v>204.96</v>
      </c>
      <c r="I910" s="1">
        <v>45716</v>
      </c>
      <c r="J910" s="2">
        <f t="shared" si="88"/>
        <v>1.3900568884491725E-2</v>
      </c>
      <c r="K910" s="3" t="str">
        <f t="shared" si="89"/>
        <v/>
      </c>
      <c r="L910" t="str">
        <f t="shared" si="90"/>
        <v/>
      </c>
      <c r="M910" t="str">
        <f t="shared" si="91"/>
        <v>Check</v>
      </c>
      <c r="N910">
        <v>202.15</v>
      </c>
      <c r="O910" t="s">
        <v>563</v>
      </c>
      <c r="Q910" t="s">
        <v>16</v>
      </c>
    </row>
    <row r="911" spans="1:17" x14ac:dyDescent="0.3">
      <c r="A911">
        <v>100664292</v>
      </c>
      <c r="B911" t="s">
        <v>297</v>
      </c>
      <c r="C911" t="s">
        <v>19</v>
      </c>
      <c r="D911" t="s">
        <v>300</v>
      </c>
      <c r="E911" s="6">
        <v>37094.69</v>
      </c>
      <c r="F911" t="s">
        <v>601</v>
      </c>
      <c r="G911" s="4" t="str">
        <f t="shared" si="86"/>
        <v>37094.69</v>
      </c>
      <c r="H911" t="str">
        <f t="shared" si="87"/>
        <v>37094.69</v>
      </c>
      <c r="I911" s="1">
        <v>45716</v>
      </c>
      <c r="J911" s="2">
        <f t="shared" si="88"/>
        <v>1.3159299907764804E-2</v>
      </c>
      <c r="K911" s="3" t="str">
        <f t="shared" si="89"/>
        <v/>
      </c>
      <c r="L911" t="str">
        <f t="shared" si="90"/>
        <v/>
      </c>
      <c r="M911" t="str">
        <f t="shared" si="91"/>
        <v/>
      </c>
      <c r="N911">
        <v>36612.89</v>
      </c>
      <c r="O911" t="s">
        <v>564</v>
      </c>
      <c r="Q911" t="s">
        <v>19</v>
      </c>
    </row>
    <row r="912" spans="1:17" x14ac:dyDescent="0.3">
      <c r="A912">
        <v>100664348</v>
      </c>
      <c r="B912" t="s">
        <v>302</v>
      </c>
      <c r="C912" t="s">
        <v>19</v>
      </c>
      <c r="D912" t="s">
        <v>303</v>
      </c>
      <c r="E912" s="6">
        <v>20117.64</v>
      </c>
      <c r="F912" t="s">
        <v>601</v>
      </c>
      <c r="G912" s="4" t="str">
        <f t="shared" si="86"/>
        <v>20117.64</v>
      </c>
      <c r="H912" t="str">
        <f t="shared" si="87"/>
        <v>20117.64</v>
      </c>
      <c r="I912" s="1">
        <v>45716</v>
      </c>
      <c r="J912" s="2">
        <f t="shared" si="88"/>
        <v>1.3902986526410463E-2</v>
      </c>
      <c r="K912" s="3" t="str">
        <f t="shared" si="89"/>
        <v/>
      </c>
      <c r="L912" t="str">
        <f t="shared" si="90"/>
        <v/>
      </c>
      <c r="M912" t="str">
        <f t="shared" si="91"/>
        <v/>
      </c>
      <c r="N912">
        <v>19841.78</v>
      </c>
      <c r="O912" t="s">
        <v>565</v>
      </c>
      <c r="Q912" t="s">
        <v>19</v>
      </c>
    </row>
    <row r="913" spans="1:17" x14ac:dyDescent="0.3">
      <c r="A913">
        <v>100664351</v>
      </c>
      <c r="B913" t="s">
        <v>305</v>
      </c>
      <c r="C913" t="s">
        <v>19</v>
      </c>
      <c r="D913" t="s">
        <v>306</v>
      </c>
      <c r="E913" s="6">
        <v>8650.1</v>
      </c>
      <c r="F913" t="s">
        <v>601</v>
      </c>
      <c r="G913" s="4" t="str">
        <f t="shared" si="86"/>
        <v>8650.1</v>
      </c>
      <c r="H913" t="str">
        <f t="shared" si="87"/>
        <v>8650.1</v>
      </c>
      <c r="I913" s="1">
        <v>45716</v>
      </c>
      <c r="J913" s="2">
        <f t="shared" si="88"/>
        <v>-1.4672664374050935E-2</v>
      </c>
      <c r="K913" s="3" t="str">
        <f t="shared" si="89"/>
        <v/>
      </c>
      <c r="L913" t="str">
        <f t="shared" si="90"/>
        <v/>
      </c>
      <c r="M913" t="str">
        <f t="shared" si="91"/>
        <v/>
      </c>
      <c r="N913">
        <v>8778.91</v>
      </c>
      <c r="O913" t="s">
        <v>566</v>
      </c>
      <c r="Q913" t="s">
        <v>19</v>
      </c>
    </row>
    <row r="914" spans="1:17" x14ac:dyDescent="0.3">
      <c r="A914">
        <v>100664737</v>
      </c>
      <c r="B914" t="s">
        <v>313</v>
      </c>
      <c r="C914" t="s">
        <v>19</v>
      </c>
      <c r="D914" t="s">
        <v>314</v>
      </c>
      <c r="E914" s="6">
        <v>13857.81</v>
      </c>
      <c r="F914" t="s">
        <v>601</v>
      </c>
      <c r="G914" s="4" t="str">
        <f t="shared" si="86"/>
        <v>13857.81</v>
      </c>
      <c r="H914" t="str">
        <f t="shared" si="87"/>
        <v>13857.81</v>
      </c>
      <c r="I914" s="1">
        <v>45716</v>
      </c>
      <c r="J914" s="2">
        <f t="shared" si="88"/>
        <v>1.4887367049616415E-2</v>
      </c>
      <c r="K914" s="3" t="str">
        <f t="shared" si="89"/>
        <v/>
      </c>
      <c r="L914" t="str">
        <f t="shared" si="90"/>
        <v/>
      </c>
      <c r="M914" t="str">
        <f t="shared" si="91"/>
        <v/>
      </c>
      <c r="N914">
        <v>13654.53</v>
      </c>
      <c r="O914" t="s">
        <v>567</v>
      </c>
      <c r="Q914" t="s">
        <v>19</v>
      </c>
    </row>
    <row r="915" spans="1:17" x14ac:dyDescent="0.3">
      <c r="A915">
        <v>100664737</v>
      </c>
      <c r="B915" t="s">
        <v>313</v>
      </c>
      <c r="C915" t="s">
        <v>19</v>
      </c>
      <c r="D915" t="s">
        <v>316</v>
      </c>
      <c r="E915" s="6">
        <v>6476.32</v>
      </c>
      <c r="F915" t="s">
        <v>601</v>
      </c>
      <c r="G915" s="4" t="str">
        <f t="shared" si="86"/>
        <v>6476.32</v>
      </c>
      <c r="H915" t="str">
        <f t="shared" si="87"/>
        <v>6476.32</v>
      </c>
      <c r="I915" s="1">
        <v>45716</v>
      </c>
      <c r="J915" s="2">
        <f t="shared" si="88"/>
        <v>1.6440218031034737E-2</v>
      </c>
      <c r="K915" s="3" t="str">
        <f t="shared" si="89"/>
        <v/>
      </c>
      <c r="L915" t="str">
        <f t="shared" si="90"/>
        <v/>
      </c>
      <c r="M915" t="str">
        <f t="shared" si="91"/>
        <v/>
      </c>
      <c r="N915">
        <v>6371.57</v>
      </c>
      <c r="O915" t="s">
        <v>568</v>
      </c>
      <c r="Q915" t="s">
        <v>19</v>
      </c>
    </row>
    <row r="916" spans="1:17" x14ac:dyDescent="0.3">
      <c r="A916">
        <v>100665510</v>
      </c>
      <c r="B916" t="s">
        <v>318</v>
      </c>
      <c r="C916" t="s">
        <v>19</v>
      </c>
      <c r="D916" t="s">
        <v>319</v>
      </c>
      <c r="E916" s="6">
        <v>22197.17</v>
      </c>
      <c r="F916" t="s">
        <v>601</v>
      </c>
      <c r="G916" s="4" t="str">
        <f t="shared" si="86"/>
        <v>22197.17</v>
      </c>
      <c r="H916" t="str">
        <f t="shared" si="87"/>
        <v>22197.17</v>
      </c>
      <c r="I916" s="1">
        <v>45716</v>
      </c>
      <c r="J916" s="2">
        <f t="shared" si="88"/>
        <v>1.4148721484281507E-2</v>
      </c>
      <c r="K916" s="3" t="str">
        <f t="shared" si="89"/>
        <v/>
      </c>
      <c r="L916" t="str">
        <f t="shared" si="90"/>
        <v/>
      </c>
      <c r="M916" t="str">
        <f t="shared" si="91"/>
        <v/>
      </c>
      <c r="N916">
        <v>21887.49</v>
      </c>
      <c r="O916" t="s">
        <v>569</v>
      </c>
      <c r="Q916" t="s">
        <v>19</v>
      </c>
    </row>
    <row r="917" spans="1:17" x14ac:dyDescent="0.3">
      <c r="A917">
        <v>100665581</v>
      </c>
      <c r="B917" t="s">
        <v>321</v>
      </c>
      <c r="C917" t="s">
        <v>590</v>
      </c>
      <c r="D917" t="s">
        <v>639</v>
      </c>
      <c r="E917" s="6">
        <v>41014.800000000003</v>
      </c>
      <c r="F917" t="s">
        <v>601</v>
      </c>
      <c r="G917" s="4" t="str">
        <f t="shared" si="86"/>
        <v>41014.8</v>
      </c>
      <c r="H917" t="str">
        <f t="shared" si="87"/>
        <v>41014.8</v>
      </c>
      <c r="I917" s="1">
        <v>45716</v>
      </c>
      <c r="J917" s="2">
        <f t="shared" si="88"/>
        <v>2.2398359180791072</v>
      </c>
      <c r="K917" s="3" t="str">
        <f t="shared" si="89"/>
        <v>Check!</v>
      </c>
      <c r="L917" t="str">
        <f t="shared" si="90"/>
        <v/>
      </c>
      <c r="M917" t="str">
        <f t="shared" si="91"/>
        <v/>
      </c>
      <c r="N917">
        <v>12659.53</v>
      </c>
      <c r="O917" t="s">
        <v>692</v>
      </c>
      <c r="Q917" t="s">
        <v>590</v>
      </c>
    </row>
    <row r="918" spans="1:17" x14ac:dyDescent="0.3">
      <c r="A918">
        <v>100666150</v>
      </c>
      <c r="B918" t="s">
        <v>324</v>
      </c>
      <c r="C918" t="s">
        <v>19</v>
      </c>
      <c r="D918" t="s">
        <v>325</v>
      </c>
      <c r="E918" s="6">
        <v>58205.55</v>
      </c>
      <c r="F918" t="s">
        <v>601</v>
      </c>
      <c r="G918" s="4" t="str">
        <f t="shared" si="86"/>
        <v>58205.55</v>
      </c>
      <c r="H918" t="str">
        <f t="shared" si="87"/>
        <v>58205.55</v>
      </c>
      <c r="I918" s="1">
        <v>45716</v>
      </c>
      <c r="J918" s="2">
        <f t="shared" si="88"/>
        <v>1.3294831801262742E-2</v>
      </c>
      <c r="K918" s="3" t="str">
        <f t="shared" si="89"/>
        <v/>
      </c>
      <c r="L918" t="str">
        <f t="shared" si="90"/>
        <v/>
      </c>
      <c r="M918" t="str">
        <f t="shared" si="91"/>
        <v/>
      </c>
      <c r="N918">
        <v>57441.87</v>
      </c>
      <c r="O918" t="s">
        <v>570</v>
      </c>
      <c r="Q918" t="s">
        <v>19</v>
      </c>
    </row>
    <row r="919" spans="1:17" x14ac:dyDescent="0.3">
      <c r="A919">
        <v>100668409</v>
      </c>
      <c r="B919" t="s">
        <v>327</v>
      </c>
      <c r="C919" t="s">
        <v>590</v>
      </c>
      <c r="D919" t="s">
        <v>328</v>
      </c>
      <c r="E919" s="6">
        <v>4889.82</v>
      </c>
      <c r="F919" t="s">
        <v>601</v>
      </c>
      <c r="G919" s="4" t="str">
        <f t="shared" si="86"/>
        <v>4889.82</v>
      </c>
      <c r="H919" t="str">
        <f t="shared" si="87"/>
        <v>4889.82</v>
      </c>
      <c r="I919" s="1">
        <v>45716</v>
      </c>
      <c r="J919" s="2">
        <f t="shared" si="88"/>
        <v>1.4773908766599552E-2</v>
      </c>
      <c r="K919" s="3" t="str">
        <f t="shared" si="89"/>
        <v/>
      </c>
      <c r="L919" t="str">
        <f t="shared" si="90"/>
        <v/>
      </c>
      <c r="M919" t="str">
        <f t="shared" si="91"/>
        <v>Check</v>
      </c>
      <c r="N919">
        <v>4818.63</v>
      </c>
      <c r="O919" t="s">
        <v>571</v>
      </c>
      <c r="Q919" t="s">
        <v>16</v>
      </c>
    </row>
    <row r="920" spans="1:17" x14ac:dyDescent="0.3">
      <c r="A920">
        <v>100668534</v>
      </c>
      <c r="B920" t="s">
        <v>330</v>
      </c>
      <c r="C920" t="s">
        <v>590</v>
      </c>
      <c r="D920" t="s">
        <v>331</v>
      </c>
      <c r="E920" s="6">
        <v>9106.19</v>
      </c>
      <c r="F920" t="s">
        <v>601</v>
      </c>
      <c r="G920" s="4" t="str">
        <f t="shared" si="86"/>
        <v>9106.19</v>
      </c>
      <c r="H920" t="str">
        <f t="shared" si="87"/>
        <v>9106.19</v>
      </c>
      <c r="I920" s="1">
        <v>45716</v>
      </c>
      <c r="J920" s="2">
        <f t="shared" si="88"/>
        <v>1.3972169238289778E-2</v>
      </c>
      <c r="K920" s="3" t="str">
        <f t="shared" si="89"/>
        <v/>
      </c>
      <c r="L920" t="str">
        <f t="shared" si="90"/>
        <v/>
      </c>
      <c r="M920" t="str">
        <f t="shared" si="91"/>
        <v>Check</v>
      </c>
      <c r="N920">
        <v>8980.7099999999991</v>
      </c>
      <c r="O920" t="s">
        <v>572</v>
      </c>
      <c r="Q920" t="s">
        <v>16</v>
      </c>
    </row>
    <row r="921" spans="1:17" x14ac:dyDescent="0.3">
      <c r="A921">
        <v>100669580</v>
      </c>
      <c r="B921" t="s">
        <v>333</v>
      </c>
      <c r="C921" t="s">
        <v>19</v>
      </c>
      <c r="D921" t="s">
        <v>334</v>
      </c>
      <c r="E921" s="6">
        <v>30306.07</v>
      </c>
      <c r="F921" t="s">
        <v>601</v>
      </c>
      <c r="G921" s="4" t="str">
        <f t="shared" si="86"/>
        <v>30306.07</v>
      </c>
      <c r="H921" t="str">
        <f t="shared" si="87"/>
        <v>30306.07</v>
      </c>
      <c r="I921" s="1">
        <v>45716</v>
      </c>
      <c r="J921" s="2">
        <f t="shared" si="88"/>
        <v>1.3158730508958494E-2</v>
      </c>
      <c r="K921" s="3" t="str">
        <f t="shared" si="89"/>
        <v/>
      </c>
      <c r="L921" t="str">
        <f t="shared" si="90"/>
        <v/>
      </c>
      <c r="M921" t="str">
        <f t="shared" si="91"/>
        <v/>
      </c>
      <c r="N921">
        <v>29912.46</v>
      </c>
      <c r="O921" t="s">
        <v>573</v>
      </c>
      <c r="Q921" t="s">
        <v>19</v>
      </c>
    </row>
    <row r="922" spans="1:17" x14ac:dyDescent="0.3">
      <c r="A922">
        <v>100670671</v>
      </c>
      <c r="B922" t="s">
        <v>336</v>
      </c>
      <c r="C922" t="s">
        <v>590</v>
      </c>
      <c r="D922" t="s">
        <v>337</v>
      </c>
      <c r="E922" s="6">
        <v>97263.43</v>
      </c>
      <c r="F922" t="s">
        <v>601</v>
      </c>
      <c r="G922" s="4" t="str">
        <f t="shared" si="86"/>
        <v>97263.43</v>
      </c>
      <c r="H922" t="str">
        <f t="shared" si="87"/>
        <v>97263.43</v>
      </c>
      <c r="I922" s="1">
        <v>45716</v>
      </c>
      <c r="J922" s="2">
        <f t="shared" si="88"/>
        <v>0.8948386073680632</v>
      </c>
      <c r="K922" s="3" t="str">
        <f t="shared" si="89"/>
        <v>Check!</v>
      </c>
      <c r="L922" t="str">
        <f t="shared" si="90"/>
        <v/>
      </c>
      <c r="M922" t="str">
        <f t="shared" si="91"/>
        <v>Check</v>
      </c>
      <c r="N922">
        <v>51330.720000000001</v>
      </c>
      <c r="O922" t="s">
        <v>574</v>
      </c>
      <c r="Q922" t="s">
        <v>16</v>
      </c>
    </row>
    <row r="923" spans="1:17" x14ac:dyDescent="0.3">
      <c r="A923">
        <v>100675336</v>
      </c>
      <c r="B923" t="s">
        <v>347</v>
      </c>
      <c r="C923" t="s">
        <v>19</v>
      </c>
      <c r="D923" t="s">
        <v>348</v>
      </c>
      <c r="E923" s="6">
        <v>42038.93</v>
      </c>
      <c r="F923" t="s">
        <v>601</v>
      </c>
      <c r="G923" s="4" t="str">
        <f t="shared" si="86"/>
        <v>42038.93</v>
      </c>
      <c r="H923" t="str">
        <f t="shared" si="87"/>
        <v>42038.93</v>
      </c>
      <c r="I923" s="1">
        <v>45716</v>
      </c>
      <c r="J923" s="2">
        <f t="shared" si="88"/>
        <v>1.3559964423236145E-2</v>
      </c>
      <c r="K923" s="3" t="str">
        <f t="shared" si="89"/>
        <v/>
      </c>
      <c r="L923" t="str">
        <f t="shared" si="90"/>
        <v/>
      </c>
      <c r="M923" t="str">
        <f t="shared" si="91"/>
        <v/>
      </c>
      <c r="N923">
        <v>41476.51</v>
      </c>
      <c r="O923" t="s">
        <v>575</v>
      </c>
      <c r="Q923" t="s">
        <v>19</v>
      </c>
    </row>
    <row r="924" spans="1:17" x14ac:dyDescent="0.3">
      <c r="A924">
        <v>100677278</v>
      </c>
      <c r="B924" t="s">
        <v>350</v>
      </c>
      <c r="C924" t="s">
        <v>19</v>
      </c>
      <c r="D924" t="s">
        <v>351</v>
      </c>
      <c r="E924" s="6">
        <v>42869.23</v>
      </c>
      <c r="F924" t="s">
        <v>601</v>
      </c>
      <c r="G924" s="4" t="str">
        <f t="shared" si="86"/>
        <v>42869.23</v>
      </c>
      <c r="H924" t="str">
        <f t="shared" si="87"/>
        <v>42869.23</v>
      </c>
      <c r="I924" s="1">
        <v>45716</v>
      </c>
      <c r="J924" s="2">
        <f t="shared" si="88"/>
        <v>1.3636217468242763E-2</v>
      </c>
      <c r="K924" s="3" t="str">
        <f t="shared" si="89"/>
        <v/>
      </c>
      <c r="L924" t="str">
        <f t="shared" si="90"/>
        <v/>
      </c>
      <c r="M924" t="str">
        <f t="shared" si="91"/>
        <v/>
      </c>
      <c r="N924">
        <v>42292.52</v>
      </c>
      <c r="O924" t="s">
        <v>576</v>
      </c>
      <c r="Q924" t="s">
        <v>19</v>
      </c>
    </row>
    <row r="925" spans="1:17" x14ac:dyDescent="0.3">
      <c r="A925">
        <v>100677585</v>
      </c>
      <c r="B925" t="s">
        <v>353</v>
      </c>
      <c r="C925" t="s">
        <v>19</v>
      </c>
      <c r="D925" t="s">
        <v>354</v>
      </c>
      <c r="E925" s="6">
        <v>5697.59</v>
      </c>
      <c r="F925" t="s">
        <v>601</v>
      </c>
      <c r="G925" s="4" t="str">
        <f t="shared" si="86"/>
        <v>5697.59</v>
      </c>
      <c r="H925" t="str">
        <f t="shared" si="87"/>
        <v>5697.59</v>
      </c>
      <c r="I925" s="1">
        <v>45716</v>
      </c>
      <c r="J925" s="2">
        <f t="shared" si="88"/>
        <v>1.4313206425276793E-2</v>
      </c>
      <c r="K925" s="3" t="str">
        <f t="shared" si="89"/>
        <v/>
      </c>
      <c r="L925" t="str">
        <f t="shared" si="90"/>
        <v/>
      </c>
      <c r="M925" t="str">
        <f t="shared" si="91"/>
        <v/>
      </c>
      <c r="N925">
        <v>5617.19</v>
      </c>
      <c r="O925" t="s">
        <v>577</v>
      </c>
      <c r="Q925" t="s">
        <v>19</v>
      </c>
    </row>
    <row r="926" spans="1:17" x14ac:dyDescent="0.3">
      <c r="A926">
        <v>100706842</v>
      </c>
      <c r="B926" t="s">
        <v>356</v>
      </c>
      <c r="C926" t="s">
        <v>19</v>
      </c>
      <c r="D926" t="s">
        <v>357</v>
      </c>
      <c r="E926" s="6">
        <v>17222.63</v>
      </c>
      <c r="F926" t="s">
        <v>601</v>
      </c>
      <c r="G926" s="4" t="str">
        <f t="shared" si="86"/>
        <v>17222.63</v>
      </c>
      <c r="H926" t="str">
        <f t="shared" si="87"/>
        <v>17222.63</v>
      </c>
      <c r="I926" s="1">
        <v>45716</v>
      </c>
      <c r="J926" s="2">
        <f t="shared" si="88"/>
        <v>1.3984013056141551E-2</v>
      </c>
      <c r="K926" s="3" t="str">
        <f t="shared" si="89"/>
        <v/>
      </c>
      <c r="L926" t="str">
        <f t="shared" si="90"/>
        <v/>
      </c>
      <c r="M926" t="str">
        <f t="shared" si="91"/>
        <v/>
      </c>
      <c r="N926">
        <v>16985.11</v>
      </c>
      <c r="O926" t="s">
        <v>578</v>
      </c>
      <c r="Q926" t="s">
        <v>19</v>
      </c>
    </row>
    <row r="927" spans="1:17" x14ac:dyDescent="0.3">
      <c r="A927">
        <v>100711105</v>
      </c>
      <c r="B927" t="s">
        <v>359</v>
      </c>
      <c r="C927" t="s">
        <v>590</v>
      </c>
      <c r="D927" t="s">
        <v>360</v>
      </c>
      <c r="E927" s="6">
        <v>2885.55</v>
      </c>
      <c r="F927" t="s">
        <v>601</v>
      </c>
      <c r="G927" s="4" t="str">
        <f t="shared" si="86"/>
        <v>2885.55</v>
      </c>
      <c r="H927" t="str">
        <f t="shared" si="87"/>
        <v>2885.55</v>
      </c>
      <c r="I927" s="1">
        <v>45716</v>
      </c>
      <c r="J927" s="2">
        <f t="shared" si="88"/>
        <v>-0.18715985532231344</v>
      </c>
      <c r="K927" s="3" t="str">
        <f t="shared" si="89"/>
        <v>Check!</v>
      </c>
      <c r="L927" t="str">
        <f t="shared" si="90"/>
        <v/>
      </c>
      <c r="M927" t="str">
        <f t="shared" si="91"/>
        <v>Check</v>
      </c>
      <c r="N927">
        <v>3549.96</v>
      </c>
      <c r="O927" t="s">
        <v>579</v>
      </c>
      <c r="Q927" t="s">
        <v>16</v>
      </c>
    </row>
    <row r="928" spans="1:17" x14ac:dyDescent="0.3">
      <c r="A928">
        <v>100786852</v>
      </c>
      <c r="B928" t="s">
        <v>636</v>
      </c>
      <c r="C928" t="s">
        <v>19</v>
      </c>
      <c r="D928" t="s">
        <v>637</v>
      </c>
      <c r="E928" s="6">
        <v>56339.040000000001</v>
      </c>
      <c r="F928" t="s">
        <v>601</v>
      </c>
      <c r="G928" s="4" t="str">
        <f t="shared" si="86"/>
        <v>56339.04</v>
      </c>
      <c r="H928" t="str">
        <f t="shared" si="87"/>
        <v>56339.04</v>
      </c>
      <c r="I928" s="1">
        <v>45716</v>
      </c>
      <c r="J928" s="2">
        <f t="shared" si="88"/>
        <v>1.3501348839652578E-2</v>
      </c>
      <c r="K928" s="3" t="str">
        <f t="shared" si="89"/>
        <v/>
      </c>
      <c r="L928" t="str">
        <f t="shared" si="90"/>
        <v/>
      </c>
      <c r="M928" t="str">
        <f t="shared" si="91"/>
        <v/>
      </c>
      <c r="N928">
        <v>55588.52</v>
      </c>
      <c r="O928" t="s">
        <v>693</v>
      </c>
      <c r="Q928" t="s">
        <v>19</v>
      </c>
    </row>
    <row r="929" spans="1:17" x14ac:dyDescent="0.3">
      <c r="A929">
        <v>100799345</v>
      </c>
      <c r="B929" t="s">
        <v>640</v>
      </c>
      <c r="C929" t="s">
        <v>590</v>
      </c>
      <c r="D929" t="s">
        <v>641</v>
      </c>
      <c r="E929" s="6">
        <v>91648.75</v>
      </c>
      <c r="F929" t="s">
        <v>601</v>
      </c>
      <c r="G929" s="4" t="str">
        <f t="shared" si="86"/>
        <v>91648.75</v>
      </c>
      <c r="H929" t="str">
        <f t="shared" si="87"/>
        <v>91648.75</v>
      </c>
      <c r="I929" s="1">
        <v>45716</v>
      </c>
      <c r="J929" s="2">
        <f t="shared" si="88"/>
        <v>3.0684683108214095E-2</v>
      </c>
      <c r="K929" s="3" t="str">
        <f t="shared" si="89"/>
        <v/>
      </c>
      <c r="L929" t="str">
        <f t="shared" si="90"/>
        <v/>
      </c>
      <c r="M929" t="str">
        <f t="shared" si="91"/>
        <v/>
      </c>
      <c r="N929">
        <v>88920.26</v>
      </c>
      <c r="O929" t="s">
        <v>694</v>
      </c>
      <c r="Q929" t="s">
        <v>590</v>
      </c>
    </row>
    <row r="930" spans="1:17" s="7" customFormat="1" x14ac:dyDescent="0.3">
      <c r="A930" s="7">
        <v>32490</v>
      </c>
      <c r="B930" s="7" t="s">
        <v>15</v>
      </c>
      <c r="C930" s="7" t="s">
        <v>590</v>
      </c>
      <c r="D930" s="7" t="s">
        <v>17</v>
      </c>
      <c r="E930" s="8">
        <v>8560.61</v>
      </c>
      <c r="F930" s="7" t="s">
        <v>602</v>
      </c>
      <c r="G930" s="4" t="str">
        <f t="shared" si="86"/>
        <v>8560.61</v>
      </c>
      <c r="H930" t="str">
        <f t="shared" si="87"/>
        <v>8560.61</v>
      </c>
      <c r="I930" s="1">
        <v>45716</v>
      </c>
      <c r="J930" s="2">
        <f t="shared" si="88"/>
        <v>-3.9618522374396399E-2</v>
      </c>
      <c r="K930" s="3" t="str">
        <f t="shared" si="89"/>
        <v/>
      </c>
      <c r="L930" t="str">
        <f t="shared" si="90"/>
        <v/>
      </c>
      <c r="M930" t="str">
        <f t="shared" si="91"/>
        <v>Check</v>
      </c>
      <c r="N930" s="7">
        <v>8913.76</v>
      </c>
      <c r="O930" s="7" t="s">
        <v>367</v>
      </c>
      <c r="Q930" s="7" t="s">
        <v>16</v>
      </c>
    </row>
    <row r="931" spans="1:17" x14ac:dyDescent="0.3">
      <c r="A931">
        <v>32490</v>
      </c>
      <c r="B931" t="s">
        <v>15</v>
      </c>
      <c r="C931" t="s">
        <v>19</v>
      </c>
      <c r="D931" t="s">
        <v>20</v>
      </c>
      <c r="E931" s="6">
        <v>5478.79</v>
      </c>
      <c r="F931" t="s">
        <v>602</v>
      </c>
      <c r="G931" s="4" t="str">
        <f t="shared" si="86"/>
        <v>5478.79</v>
      </c>
      <c r="H931" t="str">
        <f t="shared" si="87"/>
        <v>5478.79</v>
      </c>
      <c r="I931" s="1">
        <v>45716</v>
      </c>
      <c r="J931" s="2">
        <f t="shared" si="88"/>
        <v>-4.6674543198834843E-2</v>
      </c>
      <c r="K931" s="3" t="str">
        <f t="shared" si="89"/>
        <v/>
      </c>
      <c r="L931" t="str">
        <f t="shared" si="90"/>
        <v/>
      </c>
      <c r="M931" t="str">
        <f t="shared" si="91"/>
        <v/>
      </c>
      <c r="N931">
        <v>5747.03</v>
      </c>
      <c r="O931" t="s">
        <v>368</v>
      </c>
      <c r="Q931" t="s">
        <v>19</v>
      </c>
    </row>
    <row r="932" spans="1:17" x14ac:dyDescent="0.3">
      <c r="A932">
        <v>32490</v>
      </c>
      <c r="B932" t="s">
        <v>15</v>
      </c>
      <c r="C932" t="s">
        <v>19</v>
      </c>
      <c r="D932" t="s">
        <v>22</v>
      </c>
      <c r="E932" s="6">
        <v>24312.12</v>
      </c>
      <c r="F932" t="s">
        <v>602</v>
      </c>
      <c r="G932" s="4" t="str">
        <f t="shared" si="86"/>
        <v>24312.12</v>
      </c>
      <c r="H932" t="str">
        <f t="shared" si="87"/>
        <v>24312.12</v>
      </c>
      <c r="I932" s="1">
        <v>45716</v>
      </c>
      <c r="J932" s="2">
        <f t="shared" si="88"/>
        <v>-2.2223473438247866E-2</v>
      </c>
      <c r="K932" s="3" t="str">
        <f t="shared" si="89"/>
        <v/>
      </c>
      <c r="L932" t="str">
        <f t="shared" si="90"/>
        <v/>
      </c>
      <c r="M932" t="str">
        <f t="shared" si="91"/>
        <v/>
      </c>
      <c r="N932">
        <v>24864.7</v>
      </c>
      <c r="O932" t="s">
        <v>369</v>
      </c>
      <c r="Q932" t="s">
        <v>19</v>
      </c>
    </row>
    <row r="933" spans="1:17" x14ac:dyDescent="0.3">
      <c r="A933">
        <v>33672</v>
      </c>
      <c r="B933" t="s">
        <v>24</v>
      </c>
      <c r="C933" t="s">
        <v>19</v>
      </c>
      <c r="D933" t="s">
        <v>25</v>
      </c>
      <c r="E933" s="6">
        <v>132289.88</v>
      </c>
      <c r="F933" t="s">
        <v>602</v>
      </c>
      <c r="G933" s="4" t="str">
        <f t="shared" si="86"/>
        <v>132289.88</v>
      </c>
      <c r="H933" t="str">
        <f t="shared" si="87"/>
        <v>132289.88</v>
      </c>
      <c r="I933" s="1">
        <v>45716</v>
      </c>
      <c r="J933" s="2">
        <f t="shared" si="88"/>
        <v>-2.8490323706377836E-2</v>
      </c>
      <c r="K933" s="3" t="str">
        <f t="shared" si="89"/>
        <v/>
      </c>
      <c r="L933" t="str">
        <f t="shared" si="90"/>
        <v/>
      </c>
      <c r="M933" t="str">
        <f t="shared" si="91"/>
        <v/>
      </c>
      <c r="N933">
        <v>136169.39000000001</v>
      </c>
      <c r="O933" t="s">
        <v>370</v>
      </c>
      <c r="Q933" t="s">
        <v>19</v>
      </c>
    </row>
    <row r="934" spans="1:17" x14ac:dyDescent="0.3">
      <c r="A934">
        <v>34171</v>
      </c>
      <c r="B934" t="s">
        <v>27</v>
      </c>
      <c r="C934" t="s">
        <v>19</v>
      </c>
      <c r="D934" t="s">
        <v>28</v>
      </c>
      <c r="E934" s="6">
        <v>19061.61</v>
      </c>
      <c r="F934" t="s">
        <v>602</v>
      </c>
      <c r="G934" s="4" t="str">
        <f t="shared" si="86"/>
        <v>19061.61</v>
      </c>
      <c r="H934" t="str">
        <f t="shared" si="87"/>
        <v>19061.61</v>
      </c>
      <c r="I934" s="1">
        <v>45716</v>
      </c>
      <c r="J934" s="2">
        <f t="shared" si="88"/>
        <v>-3.2606919372110271E-2</v>
      </c>
      <c r="K934" s="3" t="str">
        <f t="shared" si="89"/>
        <v/>
      </c>
      <c r="L934" t="str">
        <f t="shared" si="90"/>
        <v/>
      </c>
      <c r="M934" t="str">
        <f t="shared" si="91"/>
        <v/>
      </c>
      <c r="N934">
        <v>19704.099999999999</v>
      </c>
      <c r="O934" t="s">
        <v>371</v>
      </c>
      <c r="Q934" t="s">
        <v>19</v>
      </c>
    </row>
    <row r="935" spans="1:17" x14ac:dyDescent="0.3">
      <c r="A935">
        <v>34173</v>
      </c>
      <c r="B935" t="s">
        <v>30</v>
      </c>
      <c r="C935" t="s">
        <v>19</v>
      </c>
      <c r="D935" t="s">
        <v>31</v>
      </c>
      <c r="E935" s="6">
        <v>78643.42</v>
      </c>
      <c r="F935" t="s">
        <v>602</v>
      </c>
      <c r="G935" s="4" t="str">
        <f t="shared" si="86"/>
        <v>78643.42</v>
      </c>
      <c r="H935" t="str">
        <f t="shared" si="87"/>
        <v>78643.42</v>
      </c>
      <c r="I935" s="1">
        <v>45716</v>
      </c>
      <c r="J935" s="2">
        <f t="shared" si="88"/>
        <v>-2.5399362546700201E-2</v>
      </c>
      <c r="K935" s="3" t="str">
        <f t="shared" si="89"/>
        <v/>
      </c>
      <c r="L935" t="str">
        <f t="shared" si="90"/>
        <v/>
      </c>
      <c r="M935" t="str">
        <f t="shared" si="91"/>
        <v/>
      </c>
      <c r="N935">
        <v>80692.97</v>
      </c>
      <c r="O935" t="s">
        <v>372</v>
      </c>
      <c r="Q935" t="s">
        <v>19</v>
      </c>
    </row>
    <row r="936" spans="1:17" x14ac:dyDescent="0.3">
      <c r="A936">
        <v>34199</v>
      </c>
      <c r="B936" t="s">
        <v>36</v>
      </c>
      <c r="C936" t="s">
        <v>19</v>
      </c>
      <c r="D936" t="s">
        <v>39</v>
      </c>
      <c r="E936" s="6">
        <v>16550.5</v>
      </c>
      <c r="F936" t="s">
        <v>602</v>
      </c>
      <c r="G936" s="4" t="str">
        <f t="shared" si="86"/>
        <v>16550.5</v>
      </c>
      <c r="H936" t="str">
        <f t="shared" si="87"/>
        <v>16550.5</v>
      </c>
      <c r="I936" s="1">
        <v>45716</v>
      </c>
      <c r="J936" s="2">
        <f t="shared" si="88"/>
        <v>-3.3479718286828816E-2</v>
      </c>
      <c r="K936" s="3" t="str">
        <f t="shared" si="89"/>
        <v/>
      </c>
      <c r="L936" t="str">
        <f t="shared" si="90"/>
        <v/>
      </c>
      <c r="M936" t="str">
        <f t="shared" si="91"/>
        <v/>
      </c>
      <c r="N936">
        <v>17123.8</v>
      </c>
      <c r="O936" t="s">
        <v>373</v>
      </c>
      <c r="Q936" t="s">
        <v>19</v>
      </c>
    </row>
    <row r="937" spans="1:17" x14ac:dyDescent="0.3">
      <c r="A937">
        <v>34200</v>
      </c>
      <c r="B937" t="s">
        <v>592</v>
      </c>
      <c r="C937" t="s">
        <v>590</v>
      </c>
      <c r="D937" t="s">
        <v>595</v>
      </c>
      <c r="E937" s="6">
        <v>16892.93</v>
      </c>
      <c r="F937" t="s">
        <v>602</v>
      </c>
      <c r="G937" s="4" t="str">
        <f t="shared" si="86"/>
        <v>16892.93</v>
      </c>
      <c r="H937" t="str">
        <f t="shared" si="87"/>
        <v>16892.93</v>
      </c>
      <c r="I937" s="1">
        <v>45716</v>
      </c>
      <c r="J937" s="2">
        <f t="shared" si="88"/>
        <v>3.6198076404053356E-2</v>
      </c>
      <c r="K937" s="3" t="str">
        <f t="shared" si="89"/>
        <v/>
      </c>
      <c r="L937" t="str">
        <f t="shared" si="90"/>
        <v/>
      </c>
      <c r="M937" t="str">
        <f t="shared" si="91"/>
        <v/>
      </c>
      <c r="N937">
        <v>16302.8</v>
      </c>
      <c r="O937" t="s">
        <v>676</v>
      </c>
      <c r="Q937" t="s">
        <v>590</v>
      </c>
    </row>
    <row r="938" spans="1:17" x14ac:dyDescent="0.3">
      <c r="A938">
        <v>34200</v>
      </c>
      <c r="B938" t="s">
        <v>592</v>
      </c>
      <c r="C938" t="s">
        <v>611</v>
      </c>
      <c r="D938" t="s">
        <v>42</v>
      </c>
      <c r="E938" s="6">
        <v>31845.45</v>
      </c>
      <c r="F938" t="s">
        <v>602</v>
      </c>
      <c r="G938" s="4" t="str">
        <f t="shared" si="86"/>
        <v>31845.45</v>
      </c>
      <c r="H938" t="str">
        <f t="shared" si="87"/>
        <v>31845.45</v>
      </c>
      <c r="I938" s="1">
        <v>45716</v>
      </c>
      <c r="J938" s="2">
        <f t="shared" si="88"/>
        <v>-1.6235818333805968E-2</v>
      </c>
      <c r="K938" s="3" t="str">
        <f t="shared" si="89"/>
        <v/>
      </c>
      <c r="L938" t="str">
        <f t="shared" si="90"/>
        <v/>
      </c>
      <c r="M938" t="str">
        <f t="shared" si="91"/>
        <v>Check</v>
      </c>
      <c r="N938">
        <v>32371.02</v>
      </c>
      <c r="O938" t="s">
        <v>43</v>
      </c>
      <c r="Q938" t="s">
        <v>41</v>
      </c>
    </row>
    <row r="939" spans="1:17" x14ac:dyDescent="0.3">
      <c r="A939">
        <v>34200</v>
      </c>
      <c r="B939" t="s">
        <v>592</v>
      </c>
      <c r="C939" t="s">
        <v>611</v>
      </c>
      <c r="D939" t="s">
        <v>44</v>
      </c>
      <c r="E939" s="6">
        <v>17007.07</v>
      </c>
      <c r="F939" t="s">
        <v>602</v>
      </c>
      <c r="G939" s="4" t="str">
        <f t="shared" si="86"/>
        <v>17007.07</v>
      </c>
      <c r="H939" t="str">
        <f t="shared" si="87"/>
        <v>17007.07</v>
      </c>
      <c r="I939" s="1">
        <v>45716</v>
      </c>
      <c r="J939" s="2">
        <f t="shared" si="88"/>
        <v>-2.02380753492407E-2</v>
      </c>
      <c r="K939" s="3" t="str">
        <f t="shared" si="89"/>
        <v/>
      </c>
      <c r="L939" t="str">
        <f t="shared" si="90"/>
        <v/>
      </c>
      <c r="M939" t="str">
        <f t="shared" si="91"/>
        <v>Check</v>
      </c>
      <c r="N939">
        <v>17358.37</v>
      </c>
      <c r="O939" t="s">
        <v>45</v>
      </c>
      <c r="Q939" t="s">
        <v>41</v>
      </c>
    </row>
    <row r="940" spans="1:17" x14ac:dyDescent="0.3">
      <c r="A940">
        <v>34200</v>
      </c>
      <c r="B940" t="s">
        <v>592</v>
      </c>
      <c r="C940" t="s">
        <v>609</v>
      </c>
      <c r="D940" t="s">
        <v>610</v>
      </c>
      <c r="E940" s="6">
        <v>456.57</v>
      </c>
      <c r="F940" t="s">
        <v>602</v>
      </c>
      <c r="G940" s="4" t="str">
        <f t="shared" si="86"/>
        <v>456.57</v>
      </c>
      <c r="H940" t="str">
        <f t="shared" si="87"/>
        <v>456.57</v>
      </c>
      <c r="I940" s="1">
        <v>45716</v>
      </c>
      <c r="J940" s="2">
        <f t="shared" si="88"/>
        <v>-2.6814451667910019E-2</v>
      </c>
      <c r="K940" s="3" t="str">
        <f t="shared" si="89"/>
        <v/>
      </c>
      <c r="L940" t="str">
        <f t="shared" si="90"/>
        <v/>
      </c>
      <c r="M940" t="str">
        <f t="shared" si="91"/>
        <v/>
      </c>
      <c r="N940">
        <v>469.15</v>
      </c>
      <c r="O940" t="s">
        <v>644</v>
      </c>
      <c r="Q940" t="s">
        <v>609</v>
      </c>
    </row>
    <row r="941" spans="1:17" x14ac:dyDescent="0.3">
      <c r="A941">
        <v>34200</v>
      </c>
      <c r="B941" t="s">
        <v>592</v>
      </c>
      <c r="C941" t="s">
        <v>606</v>
      </c>
      <c r="D941" t="s">
        <v>607</v>
      </c>
      <c r="E941" s="6">
        <v>1255.56</v>
      </c>
      <c r="F941" t="s">
        <v>602</v>
      </c>
      <c r="G941" s="4" t="str">
        <f t="shared" si="86"/>
        <v>1255.56</v>
      </c>
      <c r="H941" t="str">
        <f t="shared" si="87"/>
        <v>1255.56</v>
      </c>
      <c r="I941" s="1">
        <v>45716</v>
      </c>
      <c r="J941" s="2">
        <f t="shared" si="88"/>
        <v>-0.10791223782186105</v>
      </c>
      <c r="K941" s="3" t="str">
        <f t="shared" si="89"/>
        <v>Check!</v>
      </c>
      <c r="L941" t="str">
        <f t="shared" si="90"/>
        <v/>
      </c>
      <c r="M941" t="str">
        <f t="shared" si="91"/>
        <v/>
      </c>
      <c r="N941">
        <v>1407.44</v>
      </c>
      <c r="O941" t="s">
        <v>645</v>
      </c>
      <c r="Q941" t="s">
        <v>606</v>
      </c>
    </row>
    <row r="942" spans="1:17" x14ac:dyDescent="0.3">
      <c r="A942">
        <v>34200</v>
      </c>
      <c r="B942" t="s">
        <v>592</v>
      </c>
      <c r="C942" t="s">
        <v>606</v>
      </c>
      <c r="D942" t="s">
        <v>608</v>
      </c>
      <c r="E942" s="6">
        <v>913.13</v>
      </c>
      <c r="F942" t="s">
        <v>602</v>
      </c>
      <c r="G942" s="4" t="str">
        <f t="shared" si="86"/>
        <v>913.13</v>
      </c>
      <c r="H942" t="str">
        <f t="shared" si="87"/>
        <v>913.13</v>
      </c>
      <c r="I942" s="1">
        <v>45716</v>
      </c>
      <c r="J942" s="2">
        <f t="shared" si="88"/>
        <v>-0.13494950643248257</v>
      </c>
      <c r="K942" s="3" t="str">
        <f t="shared" si="89"/>
        <v>Check!</v>
      </c>
      <c r="L942" t="str">
        <f t="shared" si="90"/>
        <v/>
      </c>
      <c r="M942" t="str">
        <f t="shared" si="91"/>
        <v/>
      </c>
      <c r="N942">
        <v>1055.58</v>
      </c>
      <c r="O942" t="s">
        <v>646</v>
      </c>
      <c r="Q942" t="s">
        <v>606</v>
      </c>
    </row>
    <row r="943" spans="1:17" x14ac:dyDescent="0.3">
      <c r="A943">
        <v>34202</v>
      </c>
      <c r="B943" t="s">
        <v>46</v>
      </c>
      <c r="C943" t="s">
        <v>19</v>
      </c>
      <c r="D943" t="s">
        <v>49</v>
      </c>
      <c r="E943" s="6">
        <v>398011.06</v>
      </c>
      <c r="F943" t="s">
        <v>602</v>
      </c>
      <c r="G943" s="4" t="str">
        <f t="shared" si="86"/>
        <v>398011.06</v>
      </c>
      <c r="H943" t="str">
        <f t="shared" si="87"/>
        <v>398011.06</v>
      </c>
      <c r="I943" s="1">
        <v>45716</v>
      </c>
      <c r="J943" s="2">
        <f t="shared" si="88"/>
        <v>-2.7928950028559229E-2</v>
      </c>
      <c r="K943" s="3" t="str">
        <f t="shared" si="89"/>
        <v/>
      </c>
      <c r="L943" t="str">
        <f t="shared" si="90"/>
        <v/>
      </c>
      <c r="M943" t="str">
        <f t="shared" si="91"/>
        <v/>
      </c>
      <c r="N943">
        <v>409446.47</v>
      </c>
      <c r="O943" t="s">
        <v>375</v>
      </c>
      <c r="Q943" t="s">
        <v>19</v>
      </c>
    </row>
    <row r="944" spans="1:17" x14ac:dyDescent="0.3">
      <c r="A944">
        <v>34202</v>
      </c>
      <c r="B944" t="s">
        <v>46</v>
      </c>
      <c r="C944" t="s">
        <v>19</v>
      </c>
      <c r="D944" t="s">
        <v>47</v>
      </c>
      <c r="E944" s="6">
        <v>75333.320000000007</v>
      </c>
      <c r="F944" t="s">
        <v>602</v>
      </c>
      <c r="G944" s="4" t="str">
        <f t="shared" si="86"/>
        <v>75333.32</v>
      </c>
      <c r="H944" t="str">
        <f t="shared" si="87"/>
        <v>75333.32</v>
      </c>
      <c r="I944" s="1">
        <v>45716</v>
      </c>
      <c r="J944" s="2">
        <f t="shared" si="88"/>
        <v>-2.9754056777171155E-2</v>
      </c>
      <c r="K944" s="3" t="str">
        <f t="shared" si="89"/>
        <v/>
      </c>
      <c r="L944" t="str">
        <f t="shared" si="90"/>
        <v/>
      </c>
      <c r="M944" t="str">
        <f t="shared" si="91"/>
        <v/>
      </c>
      <c r="N944">
        <v>77643.53</v>
      </c>
      <c r="O944" t="s">
        <v>374</v>
      </c>
      <c r="Q944" t="s">
        <v>19</v>
      </c>
    </row>
    <row r="945" spans="1:17" x14ac:dyDescent="0.3">
      <c r="A945">
        <v>34202</v>
      </c>
      <c r="B945" t="s">
        <v>46</v>
      </c>
      <c r="C945" t="s">
        <v>19</v>
      </c>
      <c r="D945" t="s">
        <v>47</v>
      </c>
      <c r="E945" s="6">
        <v>1027.27</v>
      </c>
      <c r="F945" t="s">
        <v>602</v>
      </c>
      <c r="G945" s="4" t="str">
        <f t="shared" si="86"/>
        <v>1027.27</v>
      </c>
      <c r="H945" t="str">
        <f t="shared" si="87"/>
        <v>1027.27</v>
      </c>
      <c r="I945" s="1">
        <v>45716</v>
      </c>
      <c r="J945" s="2">
        <f t="shared" si="88"/>
        <v>-0.12413246252749682</v>
      </c>
      <c r="K945" s="3" t="str">
        <f t="shared" si="89"/>
        <v>Check!</v>
      </c>
      <c r="L945" t="str">
        <f t="shared" si="90"/>
        <v/>
      </c>
      <c r="M945" t="str">
        <f t="shared" si="91"/>
        <v/>
      </c>
      <c r="N945">
        <v>1172.8599999999999</v>
      </c>
      <c r="O945" t="s">
        <v>374</v>
      </c>
      <c r="Q945" t="s">
        <v>19</v>
      </c>
    </row>
    <row r="946" spans="1:17" x14ac:dyDescent="0.3">
      <c r="A946">
        <v>34209</v>
      </c>
      <c r="B946" t="s">
        <v>51</v>
      </c>
      <c r="C946" t="s">
        <v>590</v>
      </c>
      <c r="D946" t="s">
        <v>376</v>
      </c>
      <c r="E946" s="6">
        <v>35383.83</v>
      </c>
      <c r="F946" t="s">
        <v>602</v>
      </c>
      <c r="G946" s="4" t="str">
        <f t="shared" si="86"/>
        <v>35383.83</v>
      </c>
      <c r="H946" t="str">
        <f t="shared" si="87"/>
        <v>35383.83</v>
      </c>
      <c r="I946" s="1">
        <v>45716</v>
      </c>
      <c r="J946" s="2">
        <f t="shared" si="88"/>
        <v>8.1317720200666951E-2</v>
      </c>
      <c r="K946" s="3" t="str">
        <f t="shared" si="89"/>
        <v/>
      </c>
      <c r="L946" t="str">
        <f t="shared" si="90"/>
        <v/>
      </c>
      <c r="M946" t="str">
        <f t="shared" si="91"/>
        <v>Check</v>
      </c>
      <c r="N946">
        <v>32722.880000000001</v>
      </c>
      <c r="O946" t="s">
        <v>377</v>
      </c>
      <c r="Q946" t="s">
        <v>16</v>
      </c>
    </row>
    <row r="947" spans="1:17" x14ac:dyDescent="0.3">
      <c r="A947">
        <v>34209</v>
      </c>
      <c r="B947" t="s">
        <v>51</v>
      </c>
      <c r="C947" t="s">
        <v>19</v>
      </c>
      <c r="D947" t="s">
        <v>54</v>
      </c>
      <c r="E947" s="6">
        <v>115054.53</v>
      </c>
      <c r="F947" t="s">
        <v>602</v>
      </c>
      <c r="G947" s="4" t="str">
        <f t="shared" si="86"/>
        <v>115054.53</v>
      </c>
      <c r="H947" t="str">
        <f t="shared" si="87"/>
        <v>115054.53</v>
      </c>
      <c r="I947" s="1">
        <v>45716</v>
      </c>
      <c r="J947" s="2">
        <f t="shared" si="88"/>
        <v>-2.0986400117698215E-2</v>
      </c>
      <c r="K947" s="3" t="str">
        <f t="shared" si="89"/>
        <v/>
      </c>
      <c r="L947" t="str">
        <f t="shared" si="90"/>
        <v/>
      </c>
      <c r="M947" t="str">
        <f t="shared" si="91"/>
        <v/>
      </c>
      <c r="N947">
        <v>117520.87</v>
      </c>
      <c r="O947" t="s">
        <v>379</v>
      </c>
      <c r="Q947" t="s">
        <v>19</v>
      </c>
    </row>
    <row r="948" spans="1:17" x14ac:dyDescent="0.3">
      <c r="A948">
        <v>34209</v>
      </c>
      <c r="B948" t="s">
        <v>51</v>
      </c>
      <c r="C948" t="s">
        <v>19</v>
      </c>
      <c r="D948" t="s">
        <v>52</v>
      </c>
      <c r="E948" s="6">
        <v>89144.43</v>
      </c>
      <c r="F948" t="s">
        <v>602</v>
      </c>
      <c r="G948" s="4" t="str">
        <f t="shared" si="86"/>
        <v>89144.43</v>
      </c>
      <c r="H948" t="str">
        <f t="shared" si="87"/>
        <v>89144.43</v>
      </c>
      <c r="I948" s="1">
        <v>45716</v>
      </c>
      <c r="J948" s="2">
        <f t="shared" si="88"/>
        <v>-2.0543394506591723E-2</v>
      </c>
      <c r="K948" s="3" t="str">
        <f t="shared" si="89"/>
        <v/>
      </c>
      <c r="L948" t="str">
        <f t="shared" si="90"/>
        <v/>
      </c>
      <c r="M948" t="str">
        <f t="shared" si="91"/>
        <v/>
      </c>
      <c r="N948">
        <v>91014.17</v>
      </c>
      <c r="O948" t="s">
        <v>378</v>
      </c>
      <c r="Q948" t="s">
        <v>19</v>
      </c>
    </row>
    <row r="949" spans="1:17" x14ac:dyDescent="0.3">
      <c r="A949">
        <v>34209</v>
      </c>
      <c r="B949" t="s">
        <v>51</v>
      </c>
      <c r="C949" t="s">
        <v>612</v>
      </c>
      <c r="D949" t="s">
        <v>57</v>
      </c>
      <c r="E949" s="6">
        <v>4908.08</v>
      </c>
      <c r="F949" t="s">
        <v>602</v>
      </c>
      <c r="G949" s="4" t="str">
        <f t="shared" si="86"/>
        <v>4908.08</v>
      </c>
      <c r="H949" t="str">
        <f t="shared" si="87"/>
        <v>4908.08</v>
      </c>
      <c r="I949" s="1">
        <v>45716</v>
      </c>
      <c r="J949" s="2">
        <f t="shared" si="88"/>
        <v>-4.8932294694415457E-2</v>
      </c>
      <c r="K949" s="3" t="str">
        <f t="shared" si="89"/>
        <v/>
      </c>
      <c r="L949" t="str">
        <f t="shared" si="90"/>
        <v/>
      </c>
      <c r="M949" t="str">
        <f t="shared" si="91"/>
        <v>Check</v>
      </c>
      <c r="N949">
        <v>5160.6000000000004</v>
      </c>
      <c r="O949" t="s">
        <v>58</v>
      </c>
      <c r="Q949" t="s">
        <v>56</v>
      </c>
    </row>
    <row r="950" spans="1:17" x14ac:dyDescent="0.3">
      <c r="A950">
        <v>34216</v>
      </c>
      <c r="B950" t="s">
        <v>59</v>
      </c>
      <c r="C950" t="s">
        <v>19</v>
      </c>
      <c r="D950" t="s">
        <v>60</v>
      </c>
      <c r="E950" s="6">
        <v>49993.93</v>
      </c>
      <c r="F950" t="s">
        <v>602</v>
      </c>
      <c r="G950" s="4" t="str">
        <f t="shared" si="86"/>
        <v>49993.93</v>
      </c>
      <c r="H950" t="str">
        <f t="shared" si="87"/>
        <v>49993.93</v>
      </c>
      <c r="I950" s="1">
        <v>45716</v>
      </c>
      <c r="J950" s="2">
        <f t="shared" si="88"/>
        <v>-2.4586906298831455E-2</v>
      </c>
      <c r="K950" s="3" t="str">
        <f t="shared" si="89"/>
        <v/>
      </c>
      <c r="L950" t="str">
        <f t="shared" si="90"/>
        <v/>
      </c>
      <c r="M950" t="str">
        <f t="shared" si="91"/>
        <v/>
      </c>
      <c r="N950">
        <v>51254.11</v>
      </c>
      <c r="O950" t="s">
        <v>380</v>
      </c>
      <c r="Q950" t="s">
        <v>19</v>
      </c>
    </row>
    <row r="951" spans="1:17" x14ac:dyDescent="0.3">
      <c r="A951">
        <v>34337</v>
      </c>
      <c r="B951" t="s">
        <v>64</v>
      </c>
      <c r="C951" t="s">
        <v>590</v>
      </c>
      <c r="D951" t="s">
        <v>65</v>
      </c>
      <c r="E951" s="6">
        <v>913.13</v>
      </c>
      <c r="F951" t="s">
        <v>602</v>
      </c>
      <c r="G951" s="4" t="str">
        <f t="shared" si="86"/>
        <v>913.13</v>
      </c>
      <c r="H951" t="str">
        <f t="shared" si="87"/>
        <v>913.13</v>
      </c>
      <c r="I951" s="1">
        <v>45716</v>
      </c>
      <c r="J951" s="2">
        <f t="shared" si="88"/>
        <v>-0.13494950643248257</v>
      </c>
      <c r="K951" s="3" t="str">
        <f t="shared" si="89"/>
        <v>Check!</v>
      </c>
      <c r="L951" t="str">
        <f t="shared" si="90"/>
        <v/>
      </c>
      <c r="M951" t="str">
        <f t="shared" si="91"/>
        <v>Check</v>
      </c>
      <c r="N951">
        <v>1055.58</v>
      </c>
      <c r="O951" t="s">
        <v>381</v>
      </c>
      <c r="Q951" t="s">
        <v>16</v>
      </c>
    </row>
    <row r="952" spans="1:17" x14ac:dyDescent="0.3">
      <c r="A952">
        <v>34337</v>
      </c>
      <c r="B952" t="s">
        <v>64</v>
      </c>
      <c r="C952" t="s">
        <v>19</v>
      </c>
      <c r="D952" t="s">
        <v>67</v>
      </c>
      <c r="E952" s="6">
        <v>28192.93</v>
      </c>
      <c r="F952" t="s">
        <v>602</v>
      </c>
      <c r="G952" s="4" t="str">
        <f t="shared" si="86"/>
        <v>28192.93</v>
      </c>
      <c r="H952" t="str">
        <f t="shared" si="87"/>
        <v>28192.93</v>
      </c>
      <c r="I952" s="1">
        <v>45716</v>
      </c>
      <c r="J952" s="2">
        <f t="shared" si="88"/>
        <v>-3.0737786640079749E-2</v>
      </c>
      <c r="K952" s="3" t="str">
        <f t="shared" si="89"/>
        <v/>
      </c>
      <c r="L952" t="str">
        <f t="shared" si="90"/>
        <v/>
      </c>
      <c r="M952" t="str">
        <f t="shared" si="91"/>
        <v/>
      </c>
      <c r="N952">
        <v>29087</v>
      </c>
      <c r="O952" t="s">
        <v>382</v>
      </c>
      <c r="Q952" t="s">
        <v>19</v>
      </c>
    </row>
    <row r="953" spans="1:17" x14ac:dyDescent="0.3">
      <c r="A953">
        <v>34395</v>
      </c>
      <c r="B953" t="s">
        <v>69</v>
      </c>
      <c r="C953" t="s">
        <v>590</v>
      </c>
      <c r="D953" t="s">
        <v>383</v>
      </c>
      <c r="E953" s="6">
        <v>10615.15</v>
      </c>
      <c r="F953" t="s">
        <v>602</v>
      </c>
      <c r="G953" s="4" t="str">
        <f t="shared" si="86"/>
        <v>10615.15</v>
      </c>
      <c r="H953" t="str">
        <f t="shared" si="87"/>
        <v>10615.15</v>
      </c>
      <c r="I953" s="1">
        <v>45716</v>
      </c>
      <c r="J953" s="2">
        <f t="shared" si="88"/>
        <v>-2.6814257542655883E-2</v>
      </c>
      <c r="K953" s="3" t="str">
        <f t="shared" si="89"/>
        <v/>
      </c>
      <c r="L953" t="str">
        <f t="shared" si="90"/>
        <v/>
      </c>
      <c r="M953" t="str">
        <f t="shared" si="91"/>
        <v>Check</v>
      </c>
      <c r="N953">
        <v>10907.63</v>
      </c>
      <c r="O953" t="s">
        <v>384</v>
      </c>
      <c r="Q953" t="s">
        <v>16</v>
      </c>
    </row>
    <row r="954" spans="1:17" x14ac:dyDescent="0.3">
      <c r="A954">
        <v>34395</v>
      </c>
      <c r="B954" t="s">
        <v>69</v>
      </c>
      <c r="C954" t="s">
        <v>19</v>
      </c>
      <c r="D954" t="s">
        <v>74</v>
      </c>
      <c r="E954" s="6">
        <v>9930.2999999999993</v>
      </c>
      <c r="F954" t="s">
        <v>602</v>
      </c>
      <c r="G954" s="4" t="str">
        <f t="shared" si="86"/>
        <v>9930.3</v>
      </c>
      <c r="H954" t="str">
        <f t="shared" si="87"/>
        <v>9930.3</v>
      </c>
      <c r="I954" s="1">
        <v>45716</v>
      </c>
      <c r="J954" s="2">
        <f t="shared" si="88"/>
        <v>-3.7872570895410435E-2</v>
      </c>
      <c r="K954" s="3" t="str">
        <f t="shared" si="89"/>
        <v/>
      </c>
      <c r="L954" t="str">
        <f t="shared" si="90"/>
        <v/>
      </c>
      <c r="M954" t="str">
        <f t="shared" si="91"/>
        <v/>
      </c>
      <c r="N954">
        <v>10321.19</v>
      </c>
      <c r="O954" t="s">
        <v>386</v>
      </c>
      <c r="Q954" t="s">
        <v>19</v>
      </c>
    </row>
    <row r="955" spans="1:17" x14ac:dyDescent="0.3">
      <c r="A955">
        <v>34395</v>
      </c>
      <c r="B955" t="s">
        <v>69</v>
      </c>
      <c r="C955" t="s">
        <v>19</v>
      </c>
      <c r="D955" t="s">
        <v>72</v>
      </c>
      <c r="E955" s="6">
        <v>5478.79</v>
      </c>
      <c r="F955" t="s">
        <v>602</v>
      </c>
      <c r="G955" s="4" t="str">
        <f t="shared" si="86"/>
        <v>5478.79</v>
      </c>
      <c r="H955" t="str">
        <f t="shared" si="87"/>
        <v>5478.79</v>
      </c>
      <c r="I955" s="1">
        <v>45716</v>
      </c>
      <c r="J955" s="2">
        <f t="shared" si="88"/>
        <v>-4.6674543198834843E-2</v>
      </c>
      <c r="K955" s="3" t="str">
        <f t="shared" si="89"/>
        <v/>
      </c>
      <c r="L955" t="str">
        <f t="shared" si="90"/>
        <v/>
      </c>
      <c r="M955" t="str">
        <f t="shared" si="91"/>
        <v/>
      </c>
      <c r="N955">
        <v>5747.03</v>
      </c>
      <c r="O955" t="s">
        <v>387</v>
      </c>
      <c r="Q955" t="s">
        <v>19</v>
      </c>
    </row>
    <row r="956" spans="1:17" x14ac:dyDescent="0.3">
      <c r="A956">
        <v>34395</v>
      </c>
      <c r="B956" t="s">
        <v>69</v>
      </c>
      <c r="C956" t="s">
        <v>19</v>
      </c>
      <c r="D956" t="s">
        <v>70</v>
      </c>
      <c r="E956" s="6">
        <v>110488.88</v>
      </c>
      <c r="F956" t="s">
        <v>602</v>
      </c>
      <c r="G956" s="4" t="str">
        <f t="shared" si="86"/>
        <v>110488.88</v>
      </c>
      <c r="H956" t="str">
        <f t="shared" si="87"/>
        <v>110488.88</v>
      </c>
      <c r="I956" s="1">
        <v>45716</v>
      </c>
      <c r="J956" s="2">
        <f t="shared" si="88"/>
        <v>-1.7680682262310749E-2</v>
      </c>
      <c r="K956" s="3" t="str">
        <f t="shared" si="89"/>
        <v/>
      </c>
      <c r="L956" t="str">
        <f t="shared" si="90"/>
        <v/>
      </c>
      <c r="M956" t="str">
        <f t="shared" si="91"/>
        <v/>
      </c>
      <c r="N956">
        <v>112477.56</v>
      </c>
      <c r="O956" t="s">
        <v>385</v>
      </c>
      <c r="Q956" t="s">
        <v>19</v>
      </c>
    </row>
    <row r="957" spans="1:17" x14ac:dyDescent="0.3">
      <c r="A957">
        <v>36048</v>
      </c>
      <c r="B957" t="s">
        <v>76</v>
      </c>
      <c r="C957" t="s">
        <v>19</v>
      </c>
      <c r="D957" t="s">
        <v>77</v>
      </c>
      <c r="E957" s="6">
        <v>4793.9399999999996</v>
      </c>
      <c r="F957" t="s">
        <v>602</v>
      </c>
      <c r="G957" s="4" t="str">
        <f t="shared" si="86"/>
        <v>4793.94</v>
      </c>
      <c r="H957" t="str">
        <f t="shared" si="87"/>
        <v>4793.94</v>
      </c>
      <c r="I957" s="1">
        <v>45716</v>
      </c>
      <c r="J957" s="2">
        <f t="shared" si="88"/>
        <v>-4.9445701335036077E-2</v>
      </c>
      <c r="K957" s="3" t="str">
        <f t="shared" si="89"/>
        <v/>
      </c>
      <c r="L957" t="str">
        <f t="shared" si="90"/>
        <v/>
      </c>
      <c r="M957" t="str">
        <f t="shared" si="91"/>
        <v/>
      </c>
      <c r="N957">
        <v>5043.3100000000004</v>
      </c>
      <c r="O957" t="s">
        <v>388</v>
      </c>
      <c r="Q957" t="s">
        <v>19</v>
      </c>
    </row>
    <row r="958" spans="1:17" x14ac:dyDescent="0.3">
      <c r="A958">
        <v>36048</v>
      </c>
      <c r="B958" t="s">
        <v>76</v>
      </c>
      <c r="C958" t="s">
        <v>19</v>
      </c>
      <c r="D958" t="s">
        <v>79</v>
      </c>
      <c r="E958" s="6">
        <v>17349.490000000002</v>
      </c>
      <c r="F958" t="s">
        <v>602</v>
      </c>
      <c r="G958" s="4" t="str">
        <f t="shared" si="86"/>
        <v>17349.49</v>
      </c>
      <c r="H958" t="str">
        <f t="shared" si="87"/>
        <v>17349.49</v>
      </c>
      <c r="I958" s="1">
        <v>45716</v>
      </c>
      <c r="J958" s="2">
        <f t="shared" si="88"/>
        <v>-2.6814161476189556E-2</v>
      </c>
      <c r="K958" s="3" t="str">
        <f t="shared" si="89"/>
        <v/>
      </c>
      <c r="L958" t="str">
        <f t="shared" si="90"/>
        <v/>
      </c>
      <c r="M958" t="str">
        <f t="shared" si="91"/>
        <v/>
      </c>
      <c r="N958">
        <v>17827.52</v>
      </c>
      <c r="O958" t="s">
        <v>389</v>
      </c>
      <c r="Q958" t="s">
        <v>19</v>
      </c>
    </row>
    <row r="959" spans="1:17" x14ac:dyDescent="0.3">
      <c r="A959">
        <v>36059</v>
      </c>
      <c r="B959" t="s">
        <v>81</v>
      </c>
      <c r="C959" t="s">
        <v>19</v>
      </c>
      <c r="D959" t="s">
        <v>82</v>
      </c>
      <c r="E959" s="6">
        <v>26138.38</v>
      </c>
      <c r="F959" t="s">
        <v>602</v>
      </c>
      <c r="G959" s="4" t="str">
        <f t="shared" si="86"/>
        <v>26138.38</v>
      </c>
      <c r="H959" t="str">
        <f t="shared" si="87"/>
        <v>26138.38</v>
      </c>
      <c r="I959" s="1">
        <v>45716</v>
      </c>
      <c r="J959" s="2">
        <f t="shared" si="88"/>
        <v>-3.10451755922426E-2</v>
      </c>
      <c r="K959" s="3" t="str">
        <f t="shared" si="89"/>
        <v/>
      </c>
      <c r="L959" t="str">
        <f t="shared" si="90"/>
        <v/>
      </c>
      <c r="M959" t="str">
        <f t="shared" si="91"/>
        <v/>
      </c>
      <c r="N959">
        <v>26975.85</v>
      </c>
      <c r="O959" t="s">
        <v>390</v>
      </c>
      <c r="Q959" t="s">
        <v>19</v>
      </c>
    </row>
    <row r="960" spans="1:17" x14ac:dyDescent="0.3">
      <c r="A960">
        <v>36059</v>
      </c>
      <c r="B960" t="s">
        <v>81</v>
      </c>
      <c r="C960" t="s">
        <v>19</v>
      </c>
      <c r="D960" t="s">
        <v>84</v>
      </c>
      <c r="E960" s="6">
        <v>16436.36</v>
      </c>
      <c r="F960" t="s">
        <v>602</v>
      </c>
      <c r="G960" s="4" t="str">
        <f t="shared" si="86"/>
        <v>16436.36</v>
      </c>
      <c r="H960" t="str">
        <f t="shared" si="87"/>
        <v>16436.36</v>
      </c>
      <c r="I960" s="1">
        <v>45716</v>
      </c>
      <c r="J960" s="2">
        <f t="shared" si="88"/>
        <v>-3.3525397039133716E-2</v>
      </c>
      <c r="K960" s="3" t="str">
        <f t="shared" si="89"/>
        <v/>
      </c>
      <c r="L960" t="str">
        <f t="shared" si="90"/>
        <v/>
      </c>
      <c r="M960" t="str">
        <f t="shared" si="91"/>
        <v/>
      </c>
      <c r="N960">
        <v>17006.509999999998</v>
      </c>
      <c r="O960" t="s">
        <v>391</v>
      </c>
      <c r="Q960" t="s">
        <v>19</v>
      </c>
    </row>
    <row r="961" spans="1:17" x14ac:dyDescent="0.3">
      <c r="A961">
        <v>36060</v>
      </c>
      <c r="B961" t="s">
        <v>86</v>
      </c>
      <c r="C961" t="s">
        <v>19</v>
      </c>
      <c r="D961" t="s">
        <v>87</v>
      </c>
      <c r="E961" s="6">
        <v>41775.75</v>
      </c>
      <c r="F961" t="s">
        <v>602</v>
      </c>
      <c r="G961" s="4" t="str">
        <f t="shared" si="86"/>
        <v>41775.75</v>
      </c>
      <c r="H961" t="str">
        <f t="shared" si="87"/>
        <v>41775.75</v>
      </c>
      <c r="I961" s="1">
        <v>45716</v>
      </c>
      <c r="J961" s="2">
        <f t="shared" si="88"/>
        <v>-2.9465615124220357E-2</v>
      </c>
      <c r="K961" s="3" t="str">
        <f t="shared" si="89"/>
        <v/>
      </c>
      <c r="L961" t="str">
        <f t="shared" si="90"/>
        <v/>
      </c>
      <c r="M961" t="str">
        <f t="shared" si="91"/>
        <v/>
      </c>
      <c r="N961">
        <v>43044.07</v>
      </c>
      <c r="O961" t="s">
        <v>392</v>
      </c>
      <c r="Q961" t="s">
        <v>19</v>
      </c>
    </row>
    <row r="962" spans="1:17" x14ac:dyDescent="0.3">
      <c r="A962">
        <v>36060</v>
      </c>
      <c r="B962" t="s">
        <v>86</v>
      </c>
      <c r="C962" t="s">
        <v>19</v>
      </c>
      <c r="D962" t="s">
        <v>89</v>
      </c>
      <c r="E962" s="6">
        <v>5935.35</v>
      </c>
      <c r="F962" t="s">
        <v>602</v>
      </c>
      <c r="G962" s="4" t="str">
        <f t="shared" si="86"/>
        <v>5935.35</v>
      </c>
      <c r="H962" t="str">
        <f t="shared" si="87"/>
        <v>5935.35</v>
      </c>
      <c r="I962" s="1">
        <v>45716</v>
      </c>
      <c r="J962" s="2">
        <f t="shared" si="88"/>
        <v>-4.5175727176058521E-2</v>
      </c>
      <c r="K962" s="3" t="str">
        <f t="shared" si="89"/>
        <v/>
      </c>
      <c r="L962" t="str">
        <f t="shared" si="90"/>
        <v/>
      </c>
      <c r="M962" t="str">
        <f t="shared" si="91"/>
        <v/>
      </c>
      <c r="N962">
        <v>6216.17</v>
      </c>
      <c r="O962" t="s">
        <v>393</v>
      </c>
      <c r="Q962" t="s">
        <v>19</v>
      </c>
    </row>
    <row r="963" spans="1:17" x14ac:dyDescent="0.3">
      <c r="A963">
        <v>36062</v>
      </c>
      <c r="B963" t="s">
        <v>91</v>
      </c>
      <c r="C963" t="s">
        <v>611</v>
      </c>
      <c r="D963" t="s">
        <v>92</v>
      </c>
      <c r="E963" s="6">
        <v>8218.18</v>
      </c>
      <c r="F963" t="s">
        <v>602</v>
      </c>
      <c r="G963" s="4" t="str">
        <f t="shared" ref="G963:G1026" si="92">SUBSTITUTE(E963,"R","")</f>
        <v>8218.18</v>
      </c>
      <c r="H963" t="str">
        <f t="shared" ref="H963:H1026" si="93">SUBSTITUTE(G963,",","")</f>
        <v>8218.18</v>
      </c>
      <c r="I963" s="1">
        <v>45716</v>
      </c>
      <c r="J963" s="2">
        <f t="shared" ref="J963:J1026" si="94">(H963-N963)/N963</f>
        <v>-2.681355326060058E-2</v>
      </c>
      <c r="K963" s="3" t="str">
        <f t="shared" ref="K963:K1026" si="95">IF(ABS(J963)&gt;0.1,"Check!","")</f>
        <v/>
      </c>
      <c r="L963" t="str">
        <f t="shared" ref="L963:L1026" si="96">IF(LEFT(O963,10)&lt;&gt;LEFT(D963,10),"Check","")</f>
        <v/>
      </c>
      <c r="M963" t="str">
        <f t="shared" ref="M963:M1026" si="97">IF(Q963&lt;&gt;C963,"Check","")</f>
        <v>Check</v>
      </c>
      <c r="N963">
        <v>8444.61</v>
      </c>
      <c r="O963" t="s">
        <v>93</v>
      </c>
      <c r="Q963" t="s">
        <v>41</v>
      </c>
    </row>
    <row r="964" spans="1:17" x14ac:dyDescent="0.3">
      <c r="A964">
        <v>36062</v>
      </c>
      <c r="B964" t="s">
        <v>91</v>
      </c>
      <c r="C964" t="s">
        <v>606</v>
      </c>
      <c r="D964" t="s">
        <v>613</v>
      </c>
      <c r="E964" s="6">
        <v>342.42</v>
      </c>
      <c r="F964" t="s">
        <v>602</v>
      </c>
      <c r="G964" s="4" t="str">
        <f t="shared" si="92"/>
        <v>342.42</v>
      </c>
      <c r="H964" t="str">
        <f t="shared" si="93"/>
        <v>342.42</v>
      </c>
      <c r="I964" s="1">
        <v>45716</v>
      </c>
      <c r="J964" s="2">
        <f t="shared" si="94"/>
        <v>-0.27012682510924002</v>
      </c>
      <c r="K964" s="3" t="str">
        <f t="shared" si="95"/>
        <v>Check!</v>
      </c>
      <c r="L964" t="str">
        <f t="shared" si="96"/>
        <v/>
      </c>
      <c r="M964" t="str">
        <f t="shared" si="97"/>
        <v/>
      </c>
      <c r="N964">
        <v>469.15</v>
      </c>
      <c r="O964" t="s">
        <v>647</v>
      </c>
      <c r="Q964" t="s">
        <v>606</v>
      </c>
    </row>
    <row r="965" spans="1:17" x14ac:dyDescent="0.3">
      <c r="A965">
        <v>36062</v>
      </c>
      <c r="B965" t="s">
        <v>91</v>
      </c>
      <c r="C965" t="s">
        <v>590</v>
      </c>
      <c r="D965" t="s">
        <v>582</v>
      </c>
      <c r="E965" s="6">
        <v>684.85</v>
      </c>
      <c r="F965" t="s">
        <v>602</v>
      </c>
      <c r="G965" s="4" t="str">
        <f t="shared" si="92"/>
        <v>684.85</v>
      </c>
      <c r="H965" t="str">
        <f t="shared" si="93"/>
        <v>684.85</v>
      </c>
      <c r="I965" s="1">
        <v>45716</v>
      </c>
      <c r="J965" s="2">
        <f t="shared" si="94"/>
        <v>-0.1658343483556638</v>
      </c>
      <c r="K965" s="3" t="str">
        <f t="shared" si="95"/>
        <v>Check!</v>
      </c>
      <c r="L965" t="str">
        <f t="shared" si="96"/>
        <v/>
      </c>
      <c r="M965" t="str">
        <f t="shared" si="97"/>
        <v>Check</v>
      </c>
      <c r="N965">
        <v>821</v>
      </c>
      <c r="O965" t="s">
        <v>583</v>
      </c>
      <c r="Q965" t="s">
        <v>16</v>
      </c>
    </row>
    <row r="966" spans="1:17" x14ac:dyDescent="0.3">
      <c r="A966">
        <v>37040</v>
      </c>
      <c r="B966" t="s">
        <v>596</v>
      </c>
      <c r="C966" t="s">
        <v>19</v>
      </c>
      <c r="D966" t="s">
        <v>97</v>
      </c>
      <c r="E966" s="6">
        <v>21344.44</v>
      </c>
      <c r="F966" t="s">
        <v>602</v>
      </c>
      <c r="G966" s="4" t="str">
        <f t="shared" si="92"/>
        <v>21344.44</v>
      </c>
      <c r="H966" t="str">
        <f t="shared" si="93"/>
        <v>21344.44</v>
      </c>
      <c r="I966" s="1">
        <v>45716</v>
      </c>
      <c r="J966" s="2">
        <f t="shared" si="94"/>
        <v>-3.1990283820911056E-2</v>
      </c>
      <c r="K966" s="3" t="str">
        <f t="shared" si="95"/>
        <v/>
      </c>
      <c r="L966" t="str">
        <f t="shared" si="96"/>
        <v/>
      </c>
      <c r="M966" t="str">
        <f t="shared" si="97"/>
        <v/>
      </c>
      <c r="N966">
        <v>22049.82</v>
      </c>
      <c r="O966" t="s">
        <v>395</v>
      </c>
      <c r="Q966" t="s">
        <v>19</v>
      </c>
    </row>
    <row r="967" spans="1:17" x14ac:dyDescent="0.3">
      <c r="A967">
        <v>37041</v>
      </c>
      <c r="B967" t="s">
        <v>99</v>
      </c>
      <c r="C967" t="s">
        <v>19</v>
      </c>
      <c r="D967" t="s">
        <v>100</v>
      </c>
      <c r="E967" s="6">
        <v>3424.24</v>
      </c>
      <c r="F967" t="s">
        <v>602</v>
      </c>
      <c r="G967" s="4" t="str">
        <f t="shared" si="92"/>
        <v>3424.24</v>
      </c>
      <c r="H967" t="str">
        <f t="shared" si="93"/>
        <v>3424.24</v>
      </c>
      <c r="I967" s="1">
        <v>45716</v>
      </c>
      <c r="J967" s="2">
        <f t="shared" si="94"/>
        <v>-5.8208741762654524E-2</v>
      </c>
      <c r="K967" s="3" t="str">
        <f t="shared" si="95"/>
        <v/>
      </c>
      <c r="L967" t="str">
        <f t="shared" si="96"/>
        <v/>
      </c>
      <c r="M967" t="str">
        <f t="shared" si="97"/>
        <v/>
      </c>
      <c r="N967">
        <v>3635.88</v>
      </c>
      <c r="O967" t="s">
        <v>396</v>
      </c>
      <c r="Q967" t="s">
        <v>19</v>
      </c>
    </row>
    <row r="968" spans="1:17" x14ac:dyDescent="0.3">
      <c r="A968">
        <v>38586</v>
      </c>
      <c r="B968" t="s">
        <v>102</v>
      </c>
      <c r="C968" t="s">
        <v>19</v>
      </c>
      <c r="D968" t="s">
        <v>103</v>
      </c>
      <c r="E968" s="6">
        <v>1940.4</v>
      </c>
      <c r="F968" t="s">
        <v>602</v>
      </c>
      <c r="G968" s="4" t="str">
        <f t="shared" si="92"/>
        <v>1940.4</v>
      </c>
      <c r="H968" t="str">
        <f t="shared" si="93"/>
        <v>1940.4</v>
      </c>
      <c r="I968" s="1">
        <v>45716</v>
      </c>
      <c r="J968" s="2">
        <f t="shared" si="94"/>
        <v>-8.0880089050991158E-2</v>
      </c>
      <c r="K968" s="3" t="str">
        <f t="shared" si="95"/>
        <v/>
      </c>
      <c r="L968" t="str">
        <f t="shared" si="96"/>
        <v/>
      </c>
      <c r="M968" t="str">
        <f t="shared" si="97"/>
        <v/>
      </c>
      <c r="N968">
        <v>2111.15</v>
      </c>
      <c r="O968" t="s">
        <v>397</v>
      </c>
      <c r="Q968" t="s">
        <v>19</v>
      </c>
    </row>
    <row r="969" spans="1:17" x14ac:dyDescent="0.3">
      <c r="A969">
        <v>38842</v>
      </c>
      <c r="B969" t="s">
        <v>105</v>
      </c>
      <c r="C969" t="s">
        <v>19</v>
      </c>
      <c r="D969" t="s">
        <v>106</v>
      </c>
      <c r="E969" s="6">
        <v>4451.51</v>
      </c>
      <c r="F969" t="s">
        <v>602</v>
      </c>
      <c r="G969" s="4" t="str">
        <f t="shared" si="92"/>
        <v>4451.51</v>
      </c>
      <c r="H969" t="str">
        <f t="shared" si="93"/>
        <v>4451.51</v>
      </c>
      <c r="I969" s="1">
        <v>45716</v>
      </c>
      <c r="J969" s="2">
        <f t="shared" si="94"/>
        <v>-5.1144102569567959E-2</v>
      </c>
      <c r="K969" s="3" t="str">
        <f t="shared" si="95"/>
        <v/>
      </c>
      <c r="L969" t="str">
        <f t="shared" si="96"/>
        <v/>
      </c>
      <c r="M969" t="str">
        <f t="shared" si="97"/>
        <v/>
      </c>
      <c r="N969">
        <v>4691.45</v>
      </c>
      <c r="O969" t="s">
        <v>398</v>
      </c>
      <c r="Q969" t="s">
        <v>19</v>
      </c>
    </row>
    <row r="970" spans="1:17" x14ac:dyDescent="0.3">
      <c r="A970">
        <v>41695</v>
      </c>
      <c r="B970" t="s">
        <v>114</v>
      </c>
      <c r="C970" t="s">
        <v>611</v>
      </c>
      <c r="D970" t="s">
        <v>115</v>
      </c>
      <c r="E970" s="6">
        <v>1369.7</v>
      </c>
      <c r="F970" t="s">
        <v>602</v>
      </c>
      <c r="G970" s="4" t="str">
        <f t="shared" si="92"/>
        <v>1369.7</v>
      </c>
      <c r="H970" t="str">
        <f t="shared" si="93"/>
        <v>1369.7</v>
      </c>
      <c r="I970" s="1">
        <v>45716</v>
      </c>
      <c r="J970" s="2">
        <f t="shared" si="94"/>
        <v>-0.10167112650191509</v>
      </c>
      <c r="K970" s="3" t="str">
        <f t="shared" si="95"/>
        <v>Check!</v>
      </c>
      <c r="L970" t="str">
        <f t="shared" si="96"/>
        <v/>
      </c>
      <c r="M970" t="str">
        <f t="shared" si="97"/>
        <v>Check</v>
      </c>
      <c r="N970">
        <v>1524.72</v>
      </c>
      <c r="O970" t="s">
        <v>116</v>
      </c>
      <c r="Q970" t="s">
        <v>41</v>
      </c>
    </row>
    <row r="971" spans="1:17" x14ac:dyDescent="0.3">
      <c r="A971">
        <v>41695</v>
      </c>
      <c r="B971" t="s">
        <v>114</v>
      </c>
      <c r="C971" t="s">
        <v>590</v>
      </c>
      <c r="D971" t="s">
        <v>117</v>
      </c>
      <c r="E971" s="6">
        <v>60266.66</v>
      </c>
      <c r="F971" t="s">
        <v>602</v>
      </c>
      <c r="G971" s="4" t="str">
        <f t="shared" si="92"/>
        <v>60266.66</v>
      </c>
      <c r="H971" t="str">
        <f t="shared" si="93"/>
        <v>60266.66</v>
      </c>
      <c r="I971" s="1">
        <v>45716</v>
      </c>
      <c r="J971" s="2">
        <f t="shared" si="94"/>
        <v>-2.8653489554665949E-2</v>
      </c>
      <c r="K971" s="3" t="str">
        <f t="shared" si="95"/>
        <v/>
      </c>
      <c r="L971" t="str">
        <f t="shared" si="96"/>
        <v/>
      </c>
      <c r="M971" t="str">
        <f t="shared" si="97"/>
        <v>Check</v>
      </c>
      <c r="N971">
        <v>62044.45</v>
      </c>
      <c r="O971" t="s">
        <v>401</v>
      </c>
      <c r="Q971" t="s">
        <v>16</v>
      </c>
    </row>
    <row r="972" spans="1:17" x14ac:dyDescent="0.3">
      <c r="A972">
        <v>46589</v>
      </c>
      <c r="B972" t="s">
        <v>638</v>
      </c>
      <c r="C972" t="s">
        <v>19</v>
      </c>
      <c r="D972" t="s">
        <v>118</v>
      </c>
      <c r="E972" s="6">
        <v>62435.35</v>
      </c>
      <c r="F972" t="s">
        <v>602</v>
      </c>
      <c r="G972" s="4" t="str">
        <f t="shared" si="92"/>
        <v>62435.35</v>
      </c>
      <c r="H972" t="str">
        <f t="shared" si="93"/>
        <v>62435.35</v>
      </c>
      <c r="I972" s="1">
        <v>45716</v>
      </c>
      <c r="J972" s="2">
        <f t="shared" si="94"/>
        <v>-1.9644835024587654E-2</v>
      </c>
      <c r="K972" s="3" t="str">
        <f t="shared" si="95"/>
        <v/>
      </c>
      <c r="L972" t="str">
        <f t="shared" si="96"/>
        <v/>
      </c>
      <c r="M972" t="str">
        <f t="shared" si="97"/>
        <v/>
      </c>
      <c r="N972">
        <v>63686.46</v>
      </c>
      <c r="O972" t="s">
        <v>402</v>
      </c>
      <c r="Q972" t="s">
        <v>19</v>
      </c>
    </row>
    <row r="973" spans="1:17" x14ac:dyDescent="0.3">
      <c r="A973">
        <v>46589</v>
      </c>
      <c r="B973" t="s">
        <v>638</v>
      </c>
      <c r="C973" t="s">
        <v>19</v>
      </c>
      <c r="D973" t="s">
        <v>120</v>
      </c>
      <c r="E973" s="6">
        <v>1483.84</v>
      </c>
      <c r="F973" t="s">
        <v>602</v>
      </c>
      <c r="G973" s="4" t="str">
        <f t="shared" si="92"/>
        <v>1483.84</v>
      </c>
      <c r="H973" t="str">
        <f t="shared" si="93"/>
        <v>1483.84</v>
      </c>
      <c r="I973" s="1">
        <v>45716</v>
      </c>
      <c r="J973" s="2">
        <f t="shared" si="94"/>
        <v>-9.6327062563565435E-2</v>
      </c>
      <c r="K973" s="3" t="str">
        <f t="shared" si="95"/>
        <v/>
      </c>
      <c r="L973" t="str">
        <f t="shared" si="96"/>
        <v/>
      </c>
      <c r="M973" t="str">
        <f t="shared" si="97"/>
        <v/>
      </c>
      <c r="N973">
        <v>1642.01</v>
      </c>
      <c r="O973" t="s">
        <v>403</v>
      </c>
      <c r="Q973" t="s">
        <v>19</v>
      </c>
    </row>
    <row r="974" spans="1:17" x14ac:dyDescent="0.3">
      <c r="A974">
        <v>61172</v>
      </c>
      <c r="B974" t="s">
        <v>125</v>
      </c>
      <c r="C974" t="s">
        <v>611</v>
      </c>
      <c r="D974" t="s">
        <v>126</v>
      </c>
      <c r="E974" s="6">
        <v>17920.2</v>
      </c>
      <c r="F974" t="s">
        <v>602</v>
      </c>
      <c r="G974" s="4" t="str">
        <f t="shared" si="92"/>
        <v>17920.2</v>
      </c>
      <c r="H974" t="str">
        <f t="shared" si="93"/>
        <v>17920.2</v>
      </c>
      <c r="I974" s="1">
        <v>45716</v>
      </c>
      <c r="J974" s="2">
        <f t="shared" si="94"/>
        <v>-2.0575339980083748E-2</v>
      </c>
      <c r="K974" s="3" t="str">
        <f t="shared" si="95"/>
        <v/>
      </c>
      <c r="L974" t="str">
        <f t="shared" si="96"/>
        <v/>
      </c>
      <c r="M974" t="str">
        <f t="shared" si="97"/>
        <v>Check</v>
      </c>
      <c r="N974">
        <v>18296.66</v>
      </c>
      <c r="O974" t="s">
        <v>127</v>
      </c>
      <c r="Q974" t="s">
        <v>41</v>
      </c>
    </row>
    <row r="975" spans="1:17" x14ac:dyDescent="0.3">
      <c r="A975">
        <v>61172</v>
      </c>
      <c r="B975" t="s">
        <v>125</v>
      </c>
      <c r="C975" t="s">
        <v>606</v>
      </c>
      <c r="D975" t="s">
        <v>615</v>
      </c>
      <c r="E975" s="6">
        <v>913.13</v>
      </c>
      <c r="F975" t="s">
        <v>602</v>
      </c>
      <c r="G975" s="4" t="str">
        <f t="shared" si="92"/>
        <v>913.13</v>
      </c>
      <c r="H975" t="str">
        <f t="shared" si="93"/>
        <v>913.13</v>
      </c>
      <c r="I975" s="1">
        <v>45716</v>
      </c>
      <c r="J975" s="2">
        <f t="shared" si="94"/>
        <v>-0.13494950643248257</v>
      </c>
      <c r="K975" s="3" t="str">
        <f t="shared" si="95"/>
        <v>Check!</v>
      </c>
      <c r="L975" t="str">
        <f t="shared" si="96"/>
        <v/>
      </c>
      <c r="M975" t="str">
        <f t="shared" si="97"/>
        <v/>
      </c>
      <c r="N975">
        <v>1055.58</v>
      </c>
      <c r="O975" t="s">
        <v>649</v>
      </c>
      <c r="Q975" t="s">
        <v>606</v>
      </c>
    </row>
    <row r="976" spans="1:17" x14ac:dyDescent="0.3">
      <c r="A976">
        <v>62166</v>
      </c>
      <c r="B976" t="s">
        <v>128</v>
      </c>
      <c r="C976" t="s">
        <v>611</v>
      </c>
      <c r="D976" t="s">
        <v>129</v>
      </c>
      <c r="E976" s="6">
        <v>16436.36</v>
      </c>
      <c r="F976" t="s">
        <v>602</v>
      </c>
      <c r="G976" s="4" t="str">
        <f t="shared" si="92"/>
        <v>16436.36</v>
      </c>
      <c r="H976" t="str">
        <f t="shared" si="93"/>
        <v>16436.36</v>
      </c>
      <c r="I976" s="1">
        <v>45716</v>
      </c>
      <c r="J976" s="2">
        <f t="shared" si="94"/>
        <v>-2.0008418823344119E-2</v>
      </c>
      <c r="K976" s="3" t="str">
        <f t="shared" si="95"/>
        <v/>
      </c>
      <c r="L976" t="str">
        <f t="shared" si="96"/>
        <v/>
      </c>
      <c r="M976" t="str">
        <f t="shared" si="97"/>
        <v>Check</v>
      </c>
      <c r="N976">
        <v>16771.939999999999</v>
      </c>
      <c r="O976" t="s">
        <v>130</v>
      </c>
      <c r="Q976" t="s">
        <v>41</v>
      </c>
    </row>
    <row r="977" spans="1:17" x14ac:dyDescent="0.3">
      <c r="A977">
        <v>62166</v>
      </c>
      <c r="B977" t="s">
        <v>128</v>
      </c>
      <c r="C977" t="s">
        <v>606</v>
      </c>
      <c r="D977" t="s">
        <v>616</v>
      </c>
      <c r="E977" s="6">
        <v>913.13</v>
      </c>
      <c r="F977" t="s">
        <v>602</v>
      </c>
      <c r="G977" s="4" t="str">
        <f t="shared" si="92"/>
        <v>913.13</v>
      </c>
      <c r="H977" t="str">
        <f t="shared" si="93"/>
        <v>913.13</v>
      </c>
      <c r="I977" s="1">
        <v>45716</v>
      </c>
      <c r="J977" s="2">
        <f t="shared" si="94"/>
        <v>-0.13494950643248257</v>
      </c>
      <c r="K977" s="3" t="str">
        <f t="shared" si="95"/>
        <v>Check!</v>
      </c>
      <c r="L977" t="str">
        <f t="shared" si="96"/>
        <v/>
      </c>
      <c r="M977" t="str">
        <f t="shared" si="97"/>
        <v/>
      </c>
      <c r="N977">
        <v>1055.58</v>
      </c>
      <c r="O977" t="s">
        <v>650</v>
      </c>
      <c r="Q977" t="s">
        <v>606</v>
      </c>
    </row>
    <row r="978" spans="1:17" x14ac:dyDescent="0.3">
      <c r="A978">
        <v>69046</v>
      </c>
      <c r="B978" t="s">
        <v>131</v>
      </c>
      <c r="C978" t="s">
        <v>19</v>
      </c>
      <c r="D978" t="s">
        <v>132</v>
      </c>
      <c r="E978" s="6">
        <v>83665.649999999994</v>
      </c>
      <c r="F978" t="s">
        <v>602</v>
      </c>
      <c r="G978" s="4" t="str">
        <f t="shared" si="92"/>
        <v>83665.65</v>
      </c>
      <c r="H978" t="str">
        <f t="shared" si="93"/>
        <v>83665.65</v>
      </c>
      <c r="I978" s="1">
        <v>45716</v>
      </c>
      <c r="J978" s="2">
        <f t="shared" si="94"/>
        <v>-2.8139648504428197E-2</v>
      </c>
      <c r="K978" s="3" t="str">
        <f t="shared" si="95"/>
        <v/>
      </c>
      <c r="L978" t="str">
        <f t="shared" si="96"/>
        <v/>
      </c>
      <c r="M978" t="str">
        <f t="shared" si="97"/>
        <v/>
      </c>
      <c r="N978">
        <v>86088.14</v>
      </c>
      <c r="O978" t="s">
        <v>405</v>
      </c>
      <c r="Q978" t="s">
        <v>19</v>
      </c>
    </row>
    <row r="979" spans="1:17" x14ac:dyDescent="0.3">
      <c r="A979">
        <v>72002</v>
      </c>
      <c r="B979" t="s">
        <v>134</v>
      </c>
      <c r="C979" t="s">
        <v>590</v>
      </c>
      <c r="D979" t="s">
        <v>135</v>
      </c>
      <c r="E979" s="6">
        <v>13126.26</v>
      </c>
      <c r="F979" t="s">
        <v>602</v>
      </c>
      <c r="G979" s="4" t="str">
        <f t="shared" si="92"/>
        <v>13126.26</v>
      </c>
      <c r="H979" t="str">
        <f t="shared" si="93"/>
        <v>13126.26</v>
      </c>
      <c r="I979" s="1">
        <v>45716</v>
      </c>
      <c r="J979" s="2">
        <f t="shared" si="94"/>
        <v>-0.22816262713513816</v>
      </c>
      <c r="K979" s="3" t="str">
        <f t="shared" si="95"/>
        <v>Check!</v>
      </c>
      <c r="L979" t="str">
        <f t="shared" si="96"/>
        <v/>
      </c>
      <c r="M979" t="str">
        <f t="shared" si="97"/>
        <v>Check</v>
      </c>
      <c r="N979">
        <v>17006.509999999998</v>
      </c>
      <c r="O979" t="s">
        <v>406</v>
      </c>
      <c r="Q979" t="s">
        <v>16</v>
      </c>
    </row>
    <row r="980" spans="1:17" x14ac:dyDescent="0.3">
      <c r="A980">
        <v>72002</v>
      </c>
      <c r="B980" t="s">
        <v>134</v>
      </c>
      <c r="C980" t="s">
        <v>19</v>
      </c>
      <c r="D980" t="s">
        <v>137</v>
      </c>
      <c r="E980" s="6">
        <v>37780.800000000003</v>
      </c>
      <c r="F980" t="s">
        <v>602</v>
      </c>
      <c r="G980" s="4" t="str">
        <f t="shared" si="92"/>
        <v>37780.8</v>
      </c>
      <c r="H980" t="str">
        <f t="shared" si="93"/>
        <v>37780.8</v>
      </c>
      <c r="I980" s="1">
        <v>45716</v>
      </c>
      <c r="J980" s="2">
        <f t="shared" si="94"/>
        <v>-2.9745204364256445E-2</v>
      </c>
      <c r="K980" s="3" t="str">
        <f t="shared" si="95"/>
        <v/>
      </c>
      <c r="L980" t="str">
        <f t="shared" si="96"/>
        <v/>
      </c>
      <c r="M980" t="str">
        <f t="shared" si="97"/>
        <v/>
      </c>
      <c r="N980">
        <v>38939.050000000003</v>
      </c>
      <c r="O980" t="s">
        <v>407</v>
      </c>
      <c r="Q980" t="s">
        <v>19</v>
      </c>
    </row>
    <row r="981" spans="1:17" x14ac:dyDescent="0.3">
      <c r="A981">
        <v>72002</v>
      </c>
      <c r="B981" t="s">
        <v>134</v>
      </c>
      <c r="C981" t="s">
        <v>19</v>
      </c>
      <c r="D981" t="s">
        <v>139</v>
      </c>
      <c r="E981" s="6">
        <v>4337.37</v>
      </c>
      <c r="F981" t="s">
        <v>602</v>
      </c>
      <c r="G981" s="4" t="str">
        <f t="shared" si="92"/>
        <v>4337.37</v>
      </c>
      <c r="H981" t="str">
        <f t="shared" si="93"/>
        <v>4337.37</v>
      </c>
      <c r="I981" s="1">
        <v>45716</v>
      </c>
      <c r="J981" s="2">
        <f t="shared" si="94"/>
        <v>-5.1768954804915467E-2</v>
      </c>
      <c r="K981" s="3" t="str">
        <f t="shared" si="95"/>
        <v/>
      </c>
      <c r="L981" t="str">
        <f t="shared" si="96"/>
        <v/>
      </c>
      <c r="M981" t="str">
        <f t="shared" si="97"/>
        <v/>
      </c>
      <c r="N981">
        <v>4574.17</v>
      </c>
      <c r="O981" t="s">
        <v>408</v>
      </c>
      <c r="Q981" t="s">
        <v>19</v>
      </c>
    </row>
    <row r="982" spans="1:17" x14ac:dyDescent="0.3">
      <c r="A982">
        <v>80212</v>
      </c>
      <c r="B982" t="s">
        <v>141</v>
      </c>
      <c r="C982" t="s">
        <v>590</v>
      </c>
      <c r="D982" t="s">
        <v>142</v>
      </c>
      <c r="E982" s="6">
        <v>5250.5</v>
      </c>
      <c r="F982" t="s">
        <v>602</v>
      </c>
      <c r="G982" s="4" t="str">
        <f t="shared" si="92"/>
        <v>5250.5</v>
      </c>
      <c r="H982" t="str">
        <f t="shared" si="93"/>
        <v>5250.5</v>
      </c>
      <c r="I982" s="1">
        <v>45716</v>
      </c>
      <c r="J982" s="2">
        <f t="shared" si="94"/>
        <v>-4.7521433262100773E-2</v>
      </c>
      <c r="K982" s="3" t="str">
        <f t="shared" si="95"/>
        <v/>
      </c>
      <c r="L982" t="str">
        <f t="shared" si="96"/>
        <v/>
      </c>
      <c r="M982" t="str">
        <f t="shared" si="97"/>
        <v>Check</v>
      </c>
      <c r="N982">
        <v>5512.46</v>
      </c>
      <c r="O982" t="s">
        <v>409</v>
      </c>
      <c r="Q982" t="s">
        <v>16</v>
      </c>
    </row>
    <row r="983" spans="1:17" x14ac:dyDescent="0.3">
      <c r="A983">
        <v>80212</v>
      </c>
      <c r="B983" t="s">
        <v>141</v>
      </c>
      <c r="C983" t="s">
        <v>611</v>
      </c>
      <c r="D983" t="s">
        <v>144</v>
      </c>
      <c r="E983" s="6">
        <v>5707.07</v>
      </c>
      <c r="F983" t="s">
        <v>602</v>
      </c>
      <c r="G983" s="4" t="str">
        <f t="shared" si="92"/>
        <v>5707.07</v>
      </c>
      <c r="H983" t="str">
        <f t="shared" si="93"/>
        <v>5707.07</v>
      </c>
      <c r="I983" s="1">
        <v>45716</v>
      </c>
      <c r="J983" s="2">
        <f t="shared" si="94"/>
        <v>-4.5895746957335934E-2</v>
      </c>
      <c r="K983" s="3" t="str">
        <f t="shared" si="95"/>
        <v/>
      </c>
      <c r="L983" t="str">
        <f t="shared" si="96"/>
        <v/>
      </c>
      <c r="M983" t="str">
        <f t="shared" si="97"/>
        <v>Check</v>
      </c>
      <c r="N983">
        <v>5981.6</v>
      </c>
      <c r="O983" t="s">
        <v>145</v>
      </c>
      <c r="Q983" t="s">
        <v>41</v>
      </c>
    </row>
    <row r="984" spans="1:17" x14ac:dyDescent="0.3">
      <c r="A984">
        <v>80212</v>
      </c>
      <c r="B984" t="s">
        <v>141</v>
      </c>
      <c r="C984" t="s">
        <v>606</v>
      </c>
      <c r="D984" t="s">
        <v>617</v>
      </c>
      <c r="E984" s="6">
        <v>114.14</v>
      </c>
      <c r="F984" t="s">
        <v>602</v>
      </c>
      <c r="G984" s="4" t="str">
        <f t="shared" si="92"/>
        <v>114.14</v>
      </c>
      <c r="H984" t="str">
        <f t="shared" si="93"/>
        <v>114.14</v>
      </c>
      <c r="I984" s="1">
        <v>45716</v>
      </c>
      <c r="J984" s="2">
        <f t="shared" si="94"/>
        <v>-0.51340751161700127</v>
      </c>
      <c r="K984" s="3" t="str">
        <f t="shared" si="95"/>
        <v>Check!</v>
      </c>
      <c r="L984" t="str">
        <f t="shared" si="96"/>
        <v/>
      </c>
      <c r="M984" t="str">
        <f t="shared" si="97"/>
        <v/>
      </c>
      <c r="N984">
        <v>234.57</v>
      </c>
      <c r="O984" t="s">
        <v>651</v>
      </c>
      <c r="Q984" t="s">
        <v>606</v>
      </c>
    </row>
    <row r="985" spans="1:17" x14ac:dyDescent="0.3">
      <c r="A985">
        <v>81381</v>
      </c>
      <c r="B985" t="s">
        <v>593</v>
      </c>
      <c r="C985" t="s">
        <v>19</v>
      </c>
      <c r="D985" t="s">
        <v>146</v>
      </c>
      <c r="E985" s="6">
        <v>12669.7</v>
      </c>
      <c r="F985" t="s">
        <v>602</v>
      </c>
      <c r="G985" s="4" t="str">
        <f t="shared" si="92"/>
        <v>12669.7</v>
      </c>
      <c r="H985" t="str">
        <f t="shared" si="93"/>
        <v>12669.7</v>
      </c>
      <c r="I985" s="1">
        <v>45716</v>
      </c>
      <c r="J985" s="2">
        <f t="shared" si="94"/>
        <v>-3.5503008129524199E-2</v>
      </c>
      <c r="K985" s="3" t="str">
        <f t="shared" si="95"/>
        <v/>
      </c>
      <c r="L985" t="str">
        <f t="shared" si="96"/>
        <v/>
      </c>
      <c r="M985" t="str">
        <f t="shared" si="97"/>
        <v/>
      </c>
      <c r="N985">
        <v>13136.07</v>
      </c>
      <c r="O985" t="s">
        <v>410</v>
      </c>
      <c r="Q985" t="s">
        <v>19</v>
      </c>
    </row>
    <row r="986" spans="1:17" x14ac:dyDescent="0.3">
      <c r="A986">
        <v>81381</v>
      </c>
      <c r="B986" t="s">
        <v>593</v>
      </c>
      <c r="C986" t="s">
        <v>19</v>
      </c>
      <c r="D986" t="s">
        <v>148</v>
      </c>
      <c r="E986" s="6">
        <v>471403.98</v>
      </c>
      <c r="F986" t="s">
        <v>602</v>
      </c>
      <c r="G986" s="4" t="str">
        <f t="shared" si="92"/>
        <v>471403.98</v>
      </c>
      <c r="H986" t="str">
        <f t="shared" si="93"/>
        <v>471403.98</v>
      </c>
      <c r="I986" s="1">
        <v>45716</v>
      </c>
      <c r="J986" s="2">
        <f t="shared" si="94"/>
        <v>-2.7755510253277278E-2</v>
      </c>
      <c r="K986" s="3" t="str">
        <f t="shared" si="95"/>
        <v/>
      </c>
      <c r="L986" t="str">
        <f t="shared" si="96"/>
        <v/>
      </c>
      <c r="M986" t="str">
        <f t="shared" si="97"/>
        <v/>
      </c>
      <c r="N986">
        <v>484861.56</v>
      </c>
      <c r="O986" t="s">
        <v>411</v>
      </c>
      <c r="Q986" t="s">
        <v>19</v>
      </c>
    </row>
    <row r="987" spans="1:17" x14ac:dyDescent="0.3">
      <c r="A987">
        <v>113590</v>
      </c>
      <c r="B987" t="s">
        <v>150</v>
      </c>
      <c r="C987" t="s">
        <v>19</v>
      </c>
      <c r="D987" t="s">
        <v>151</v>
      </c>
      <c r="E987" s="6">
        <v>82410.09</v>
      </c>
      <c r="F987" t="s">
        <v>602</v>
      </c>
      <c r="G987" s="4" t="str">
        <f t="shared" si="92"/>
        <v>82410.09</v>
      </c>
      <c r="H987" t="str">
        <f t="shared" si="93"/>
        <v>82410.09</v>
      </c>
      <c r="I987" s="1">
        <v>45716</v>
      </c>
      <c r="J987" s="2">
        <f t="shared" si="94"/>
        <v>-2.9502228574174193E-2</v>
      </c>
      <c r="K987" s="3" t="str">
        <f t="shared" si="95"/>
        <v/>
      </c>
      <c r="L987" t="str">
        <f t="shared" si="96"/>
        <v/>
      </c>
      <c r="M987" t="str">
        <f t="shared" si="97"/>
        <v/>
      </c>
      <c r="N987">
        <v>84915.28</v>
      </c>
      <c r="O987" t="s">
        <v>412</v>
      </c>
      <c r="Q987" t="s">
        <v>19</v>
      </c>
    </row>
    <row r="988" spans="1:17" x14ac:dyDescent="0.3">
      <c r="A988">
        <v>113590</v>
      </c>
      <c r="B988" t="s">
        <v>150</v>
      </c>
      <c r="C988" t="s">
        <v>19</v>
      </c>
      <c r="D988" t="s">
        <v>153</v>
      </c>
      <c r="E988" s="6">
        <v>20545.45</v>
      </c>
      <c r="F988" t="s">
        <v>602</v>
      </c>
      <c r="G988" s="4" t="str">
        <f t="shared" si="92"/>
        <v>20545.45</v>
      </c>
      <c r="H988" t="str">
        <f t="shared" si="93"/>
        <v>20545.45</v>
      </c>
      <c r="I988" s="1">
        <v>45716</v>
      </c>
      <c r="J988" s="2">
        <f t="shared" si="94"/>
        <v>-3.2190672868298804E-2</v>
      </c>
      <c r="K988" s="3" t="str">
        <f t="shared" si="95"/>
        <v/>
      </c>
      <c r="L988" t="str">
        <f t="shared" si="96"/>
        <v/>
      </c>
      <c r="M988" t="str">
        <f t="shared" si="97"/>
        <v/>
      </c>
      <c r="N988">
        <v>21228.82</v>
      </c>
      <c r="O988" t="s">
        <v>413</v>
      </c>
      <c r="Q988" t="s">
        <v>19</v>
      </c>
    </row>
    <row r="989" spans="1:17" x14ac:dyDescent="0.3">
      <c r="A989">
        <v>130912</v>
      </c>
      <c r="B989" t="s">
        <v>604</v>
      </c>
      <c r="C989" t="s">
        <v>590</v>
      </c>
      <c r="D989" t="s">
        <v>605</v>
      </c>
      <c r="E989" s="6">
        <v>13582.83</v>
      </c>
      <c r="F989" t="s">
        <v>602</v>
      </c>
      <c r="G989" s="4" t="str">
        <f t="shared" si="92"/>
        <v>13582.83</v>
      </c>
      <c r="H989" t="str">
        <f t="shared" si="93"/>
        <v>13582.83</v>
      </c>
      <c r="I989" s="1">
        <v>45716</v>
      </c>
      <c r="J989" s="2">
        <f t="shared" si="94"/>
        <v>-3.4923790495624711E-2</v>
      </c>
      <c r="K989" s="3" t="str">
        <f t="shared" si="95"/>
        <v/>
      </c>
      <c r="L989" t="str">
        <f t="shared" si="96"/>
        <v/>
      </c>
      <c r="M989" t="str">
        <f t="shared" si="97"/>
        <v/>
      </c>
      <c r="N989">
        <v>14074.36</v>
      </c>
      <c r="O989" t="s">
        <v>677</v>
      </c>
      <c r="Q989" t="s">
        <v>590</v>
      </c>
    </row>
    <row r="990" spans="1:17" x14ac:dyDescent="0.3">
      <c r="A990">
        <v>133380</v>
      </c>
      <c r="B990" t="s">
        <v>155</v>
      </c>
      <c r="C990" t="s">
        <v>611</v>
      </c>
      <c r="D990" t="s">
        <v>156</v>
      </c>
      <c r="E990" s="6">
        <v>2967.68</v>
      </c>
      <c r="F990" t="s">
        <v>602</v>
      </c>
      <c r="G990" s="4" t="str">
        <f t="shared" si="92"/>
        <v>2967.68</v>
      </c>
      <c r="H990" t="str">
        <f t="shared" si="93"/>
        <v>2967.68</v>
      </c>
      <c r="I990" s="1">
        <v>45716</v>
      </c>
      <c r="J990" s="2">
        <f t="shared" si="94"/>
        <v>-6.2856637604090076E-2</v>
      </c>
      <c r="K990" s="3" t="str">
        <f t="shared" si="95"/>
        <v/>
      </c>
      <c r="L990" t="str">
        <f t="shared" si="96"/>
        <v/>
      </c>
      <c r="M990" t="str">
        <f t="shared" si="97"/>
        <v>Check</v>
      </c>
      <c r="N990">
        <v>3166.73</v>
      </c>
      <c r="O990" t="s">
        <v>157</v>
      </c>
      <c r="Q990" t="s">
        <v>41</v>
      </c>
    </row>
    <row r="991" spans="1:17" x14ac:dyDescent="0.3">
      <c r="A991">
        <v>100202693</v>
      </c>
      <c r="B991" t="s">
        <v>594</v>
      </c>
      <c r="C991" t="s">
        <v>590</v>
      </c>
      <c r="D991" t="s">
        <v>599</v>
      </c>
      <c r="E991" s="6">
        <v>71680.800000000003</v>
      </c>
      <c r="F991" t="s">
        <v>602</v>
      </c>
      <c r="G991" s="4" t="str">
        <f t="shared" si="92"/>
        <v>71680.8</v>
      </c>
      <c r="H991" t="str">
        <f t="shared" si="93"/>
        <v>71680.8</v>
      </c>
      <c r="I991" s="1">
        <v>45716</v>
      </c>
      <c r="J991" s="2">
        <f t="shared" si="94"/>
        <v>-2.9903355471084969E-2</v>
      </c>
      <c r="K991" s="3" t="str">
        <f t="shared" si="95"/>
        <v/>
      </c>
      <c r="L991" t="str">
        <f t="shared" si="96"/>
        <v/>
      </c>
      <c r="M991" t="str">
        <f t="shared" si="97"/>
        <v/>
      </c>
      <c r="N991">
        <v>73890.37</v>
      </c>
      <c r="O991" t="s">
        <v>678</v>
      </c>
      <c r="Q991" t="s">
        <v>590</v>
      </c>
    </row>
    <row r="992" spans="1:17" x14ac:dyDescent="0.3">
      <c r="A992">
        <v>100202693</v>
      </c>
      <c r="B992" t="s">
        <v>594</v>
      </c>
      <c r="C992" t="s">
        <v>19</v>
      </c>
      <c r="D992" t="s">
        <v>597</v>
      </c>
      <c r="E992" s="6">
        <v>53874.74</v>
      </c>
      <c r="F992" t="s">
        <v>602</v>
      </c>
      <c r="G992" s="4" t="str">
        <f t="shared" si="92"/>
        <v>53874.74</v>
      </c>
      <c r="H992" t="str">
        <f t="shared" si="93"/>
        <v>53874.74</v>
      </c>
      <c r="I992" s="1">
        <v>45716</v>
      </c>
      <c r="J992" s="2">
        <f t="shared" si="94"/>
        <v>-2.8871365527912585E-2</v>
      </c>
      <c r="K992" s="3" t="str">
        <f t="shared" si="95"/>
        <v/>
      </c>
      <c r="L992" t="str">
        <f t="shared" si="96"/>
        <v/>
      </c>
      <c r="M992" t="str">
        <f t="shared" si="97"/>
        <v/>
      </c>
      <c r="N992">
        <v>55476.42</v>
      </c>
      <c r="O992" t="s">
        <v>679</v>
      </c>
      <c r="Q992" t="s">
        <v>19</v>
      </c>
    </row>
    <row r="993" spans="1:17" x14ac:dyDescent="0.3">
      <c r="A993">
        <v>100202693</v>
      </c>
      <c r="B993" t="s">
        <v>594</v>
      </c>
      <c r="C993" t="s">
        <v>19</v>
      </c>
      <c r="D993" t="s">
        <v>598</v>
      </c>
      <c r="E993" s="6">
        <v>211275.73</v>
      </c>
      <c r="F993" t="s">
        <v>602</v>
      </c>
      <c r="G993" s="4" t="str">
        <f t="shared" si="92"/>
        <v>211275.73</v>
      </c>
      <c r="H993" t="str">
        <f t="shared" si="93"/>
        <v>211275.73</v>
      </c>
      <c r="I993" s="1">
        <v>45716</v>
      </c>
      <c r="J993" s="2">
        <f t="shared" si="94"/>
        <v>-2.8388613779427516E-2</v>
      </c>
      <c r="K993" s="3" t="str">
        <f t="shared" si="95"/>
        <v/>
      </c>
      <c r="L993" t="str">
        <f t="shared" si="96"/>
        <v/>
      </c>
      <c r="M993" t="str">
        <f t="shared" si="97"/>
        <v/>
      </c>
      <c r="N993">
        <v>217448.8</v>
      </c>
      <c r="O993" t="s">
        <v>680</v>
      </c>
      <c r="Q993" t="s">
        <v>19</v>
      </c>
    </row>
    <row r="994" spans="1:17" x14ac:dyDescent="0.3">
      <c r="A994">
        <v>100205932</v>
      </c>
      <c r="B994" t="s">
        <v>165</v>
      </c>
      <c r="C994" t="s">
        <v>19</v>
      </c>
      <c r="D994" t="s">
        <v>586</v>
      </c>
      <c r="E994" s="6">
        <v>21686.87</v>
      </c>
      <c r="F994" t="s">
        <v>602</v>
      </c>
      <c r="G994" s="4" t="str">
        <f t="shared" si="92"/>
        <v>21686.87</v>
      </c>
      <c r="H994" t="str">
        <f t="shared" si="93"/>
        <v>21686.87</v>
      </c>
      <c r="I994" s="1">
        <v>45716</v>
      </c>
      <c r="J994" s="2">
        <f t="shared" si="94"/>
        <v>-3.1908767556719016E-2</v>
      </c>
      <c r="K994" s="3" t="str">
        <f t="shared" si="95"/>
        <v/>
      </c>
      <c r="L994" t="str">
        <f t="shared" si="96"/>
        <v/>
      </c>
      <c r="M994" t="str">
        <f t="shared" si="97"/>
        <v/>
      </c>
      <c r="N994">
        <v>22401.68</v>
      </c>
      <c r="O994" t="s">
        <v>681</v>
      </c>
      <c r="Q994" t="s">
        <v>19</v>
      </c>
    </row>
    <row r="995" spans="1:17" x14ac:dyDescent="0.3">
      <c r="A995">
        <v>100220898</v>
      </c>
      <c r="B995" t="s">
        <v>166</v>
      </c>
      <c r="C995" t="s">
        <v>19</v>
      </c>
      <c r="D995" t="s">
        <v>167</v>
      </c>
      <c r="E995" s="6">
        <v>54673.73</v>
      </c>
      <c r="F995" t="s">
        <v>602</v>
      </c>
      <c r="G995" s="4" t="str">
        <f t="shared" si="92"/>
        <v>54673.73</v>
      </c>
      <c r="H995" t="str">
        <f t="shared" si="93"/>
        <v>54673.73</v>
      </c>
      <c r="I995" s="1">
        <v>45716</v>
      </c>
      <c r="J995" s="2">
        <f t="shared" si="94"/>
        <v>-2.8841286154853901E-2</v>
      </c>
      <c r="K995" s="3" t="str">
        <f t="shared" si="95"/>
        <v/>
      </c>
      <c r="L995" t="str">
        <f t="shared" si="96"/>
        <v/>
      </c>
      <c r="M995" t="str">
        <f t="shared" si="97"/>
        <v/>
      </c>
      <c r="N995">
        <v>56297.42</v>
      </c>
      <c r="O995" t="s">
        <v>414</v>
      </c>
      <c r="Q995" t="s">
        <v>19</v>
      </c>
    </row>
    <row r="996" spans="1:17" x14ac:dyDescent="0.3">
      <c r="A996">
        <v>100220898</v>
      </c>
      <c r="B996" t="s">
        <v>166</v>
      </c>
      <c r="C996" t="s">
        <v>19</v>
      </c>
      <c r="D996" t="s">
        <v>169</v>
      </c>
      <c r="E996" s="6">
        <v>42803.03</v>
      </c>
      <c r="F996" t="s">
        <v>602</v>
      </c>
      <c r="G996" s="4" t="str">
        <f t="shared" si="92"/>
        <v>42803.03</v>
      </c>
      <c r="H996" t="str">
        <f t="shared" si="93"/>
        <v>42803.03</v>
      </c>
      <c r="I996" s="1">
        <v>45716</v>
      </c>
      <c r="J996" s="2">
        <f t="shared" si="94"/>
        <v>-2.9402047408539581E-2</v>
      </c>
      <c r="K996" s="3" t="str">
        <f t="shared" si="95"/>
        <v/>
      </c>
      <c r="L996" t="str">
        <f t="shared" si="96"/>
        <v/>
      </c>
      <c r="M996" t="str">
        <f t="shared" si="97"/>
        <v/>
      </c>
      <c r="N996">
        <v>44099.65</v>
      </c>
      <c r="O996" t="s">
        <v>415</v>
      </c>
      <c r="Q996" t="s">
        <v>19</v>
      </c>
    </row>
    <row r="997" spans="1:17" x14ac:dyDescent="0.3">
      <c r="A997">
        <v>100247003</v>
      </c>
      <c r="B997" t="s">
        <v>105</v>
      </c>
      <c r="C997" t="s">
        <v>19</v>
      </c>
      <c r="D997" t="s">
        <v>171</v>
      </c>
      <c r="E997" s="6">
        <v>34242.42</v>
      </c>
      <c r="F997" t="s">
        <v>602</v>
      </c>
      <c r="G997" s="4" t="str">
        <f t="shared" si="92"/>
        <v>34242.42</v>
      </c>
      <c r="H997" t="str">
        <f t="shared" si="93"/>
        <v>34242.42</v>
      </c>
      <c r="I997" s="1">
        <v>45716</v>
      </c>
      <c r="J997" s="2">
        <f t="shared" si="94"/>
        <v>-2.6813873402093884E-2</v>
      </c>
      <c r="K997" s="3" t="str">
        <f t="shared" si="95"/>
        <v/>
      </c>
      <c r="L997" t="str">
        <f t="shared" si="96"/>
        <v/>
      </c>
      <c r="M997" t="str">
        <f t="shared" si="97"/>
        <v/>
      </c>
      <c r="N997">
        <v>35185.89</v>
      </c>
      <c r="O997" t="s">
        <v>416</v>
      </c>
      <c r="Q997" t="s">
        <v>19</v>
      </c>
    </row>
    <row r="998" spans="1:17" x14ac:dyDescent="0.3">
      <c r="A998">
        <v>100249944</v>
      </c>
      <c r="B998" t="s">
        <v>173</v>
      </c>
      <c r="C998" t="s">
        <v>19</v>
      </c>
      <c r="D998" t="s">
        <v>174</v>
      </c>
      <c r="E998" s="6">
        <v>73278.78</v>
      </c>
      <c r="F998" t="s">
        <v>602</v>
      </c>
      <c r="G998" s="4" t="str">
        <f t="shared" si="92"/>
        <v>73278.78</v>
      </c>
      <c r="H998" t="str">
        <f t="shared" si="93"/>
        <v>73278.78</v>
      </c>
      <c r="I998" s="1">
        <v>45716</v>
      </c>
      <c r="J998" s="2">
        <f t="shared" si="94"/>
        <v>-2.9836210642376234E-2</v>
      </c>
      <c r="K998" s="3" t="str">
        <f t="shared" si="95"/>
        <v/>
      </c>
      <c r="L998" t="str">
        <f t="shared" si="96"/>
        <v/>
      </c>
      <c r="M998" t="str">
        <f t="shared" si="97"/>
        <v/>
      </c>
      <c r="N998">
        <v>75532.38</v>
      </c>
      <c r="O998" t="s">
        <v>417</v>
      </c>
      <c r="Q998" t="s">
        <v>19</v>
      </c>
    </row>
    <row r="999" spans="1:17" x14ac:dyDescent="0.3">
      <c r="A999">
        <v>100250182</v>
      </c>
      <c r="B999" t="s">
        <v>176</v>
      </c>
      <c r="C999" t="s">
        <v>19</v>
      </c>
      <c r="D999" t="s">
        <v>177</v>
      </c>
      <c r="E999" s="6">
        <v>159569.68</v>
      </c>
      <c r="F999" t="s">
        <v>602</v>
      </c>
      <c r="G999" s="4" t="str">
        <f t="shared" si="92"/>
        <v>159569.68</v>
      </c>
      <c r="H999" t="str">
        <f t="shared" si="93"/>
        <v>159569.68</v>
      </c>
      <c r="I999" s="1">
        <v>45716</v>
      </c>
      <c r="J999" s="2">
        <f t="shared" si="94"/>
        <v>-2.8204122244943806E-2</v>
      </c>
      <c r="K999" s="3" t="str">
        <f t="shared" si="95"/>
        <v/>
      </c>
      <c r="L999" t="str">
        <f t="shared" si="96"/>
        <v/>
      </c>
      <c r="M999" t="str">
        <f t="shared" si="97"/>
        <v/>
      </c>
      <c r="N999">
        <v>164200.82</v>
      </c>
      <c r="O999" t="s">
        <v>418</v>
      </c>
      <c r="Q999" t="s">
        <v>19</v>
      </c>
    </row>
    <row r="1000" spans="1:17" x14ac:dyDescent="0.3">
      <c r="A1000">
        <v>100271808</v>
      </c>
      <c r="B1000" t="s">
        <v>179</v>
      </c>
      <c r="C1000" t="s">
        <v>611</v>
      </c>
      <c r="D1000" t="s">
        <v>180</v>
      </c>
      <c r="E1000" s="6">
        <v>1940.4</v>
      </c>
      <c r="F1000" t="s">
        <v>602</v>
      </c>
      <c r="G1000" s="4" t="str">
        <f t="shared" si="92"/>
        <v>1940.4</v>
      </c>
      <c r="H1000" t="str">
        <f t="shared" si="93"/>
        <v>1940.4</v>
      </c>
      <c r="I1000" s="1">
        <v>45716</v>
      </c>
      <c r="J1000" s="2">
        <f t="shared" si="94"/>
        <v>-8.0880089050991158E-2</v>
      </c>
      <c r="K1000" s="3" t="str">
        <f t="shared" si="95"/>
        <v/>
      </c>
      <c r="L1000" t="str">
        <f t="shared" si="96"/>
        <v/>
      </c>
      <c r="M1000" t="str">
        <f t="shared" si="97"/>
        <v>Check</v>
      </c>
      <c r="N1000">
        <v>2111.15</v>
      </c>
      <c r="O1000" t="s">
        <v>181</v>
      </c>
      <c r="Q1000" t="s">
        <v>41</v>
      </c>
    </row>
    <row r="1001" spans="1:17" x14ac:dyDescent="0.3">
      <c r="A1001">
        <v>100273792</v>
      </c>
      <c r="B1001" t="s">
        <v>182</v>
      </c>
      <c r="C1001" t="s">
        <v>19</v>
      </c>
      <c r="D1001" t="s">
        <v>183</v>
      </c>
      <c r="E1001" s="6">
        <v>71680.800000000003</v>
      </c>
      <c r="F1001" t="s">
        <v>602</v>
      </c>
      <c r="G1001" s="4" t="str">
        <f t="shared" si="92"/>
        <v>71680.8</v>
      </c>
      <c r="H1001" t="str">
        <f t="shared" si="93"/>
        <v>71680.8</v>
      </c>
      <c r="I1001" s="1">
        <v>45716</v>
      </c>
      <c r="J1001" s="2">
        <f t="shared" si="94"/>
        <v>-2.3704591125018055E-2</v>
      </c>
      <c r="K1001" s="3" t="str">
        <f t="shared" si="95"/>
        <v/>
      </c>
      <c r="L1001" t="str">
        <f t="shared" si="96"/>
        <v/>
      </c>
      <c r="M1001" t="str">
        <f t="shared" si="97"/>
        <v/>
      </c>
      <c r="N1001">
        <v>73421.22</v>
      </c>
      <c r="O1001" t="s">
        <v>419</v>
      </c>
      <c r="Q1001" t="s">
        <v>19</v>
      </c>
    </row>
    <row r="1002" spans="1:17" x14ac:dyDescent="0.3">
      <c r="A1002">
        <v>100273792</v>
      </c>
      <c r="B1002" t="s">
        <v>182</v>
      </c>
      <c r="C1002" t="s">
        <v>19</v>
      </c>
      <c r="D1002" t="s">
        <v>185</v>
      </c>
      <c r="E1002" s="6">
        <v>103069.68</v>
      </c>
      <c r="F1002" t="s">
        <v>602</v>
      </c>
      <c r="G1002" s="4" t="str">
        <f t="shared" si="92"/>
        <v>103069.68</v>
      </c>
      <c r="H1002" t="str">
        <f t="shared" si="93"/>
        <v>103069.68</v>
      </c>
      <c r="I1002" s="1">
        <v>45716</v>
      </c>
      <c r="J1002" s="2">
        <f t="shared" si="94"/>
        <v>-2.4653711721300989E-2</v>
      </c>
      <c r="K1002" s="3" t="str">
        <f t="shared" si="95"/>
        <v/>
      </c>
      <c r="L1002" t="str">
        <f t="shared" si="96"/>
        <v/>
      </c>
      <c r="M1002" t="str">
        <f t="shared" si="97"/>
        <v/>
      </c>
      <c r="N1002">
        <v>105674.96</v>
      </c>
      <c r="O1002" t="s">
        <v>420</v>
      </c>
      <c r="Q1002" t="s">
        <v>19</v>
      </c>
    </row>
    <row r="1003" spans="1:17" x14ac:dyDescent="0.3">
      <c r="A1003">
        <v>100273792</v>
      </c>
      <c r="B1003" t="s">
        <v>182</v>
      </c>
      <c r="C1003" t="s">
        <v>590</v>
      </c>
      <c r="D1003" t="s">
        <v>588</v>
      </c>
      <c r="E1003" s="6">
        <v>11185.86</v>
      </c>
      <c r="F1003" t="s">
        <v>602</v>
      </c>
      <c r="G1003" s="4" t="str">
        <f t="shared" si="92"/>
        <v>11185.86</v>
      </c>
      <c r="H1003" t="str">
        <f t="shared" si="93"/>
        <v>11185.86</v>
      </c>
      <c r="I1003" s="1">
        <v>45716</v>
      </c>
      <c r="J1003" s="2">
        <f t="shared" si="94"/>
        <v>-3.6643488176213906E-2</v>
      </c>
      <c r="K1003" s="3" t="str">
        <f t="shared" si="95"/>
        <v/>
      </c>
      <c r="L1003" t="str">
        <f t="shared" si="96"/>
        <v/>
      </c>
      <c r="M1003" t="str">
        <f t="shared" si="97"/>
        <v>Check</v>
      </c>
      <c r="N1003">
        <v>11611.34</v>
      </c>
      <c r="O1003" t="s">
        <v>589</v>
      </c>
      <c r="Q1003" t="s">
        <v>16</v>
      </c>
    </row>
    <row r="1004" spans="1:17" x14ac:dyDescent="0.3">
      <c r="A1004">
        <v>100278188</v>
      </c>
      <c r="B1004" t="s">
        <v>187</v>
      </c>
      <c r="C1004" t="s">
        <v>19</v>
      </c>
      <c r="D1004" t="s">
        <v>192</v>
      </c>
      <c r="E1004" s="6">
        <v>13354.54</v>
      </c>
      <c r="F1004" t="s">
        <v>602</v>
      </c>
      <c r="G1004" s="4" t="str">
        <f t="shared" si="92"/>
        <v>13354.54</v>
      </c>
      <c r="H1004" t="str">
        <f t="shared" si="93"/>
        <v>13354.54</v>
      </c>
      <c r="I1004" s="1">
        <v>45716</v>
      </c>
      <c r="J1004" s="2">
        <f t="shared" si="94"/>
        <v>-3.5061250973642627E-2</v>
      </c>
      <c r="K1004" s="3" t="str">
        <f t="shared" si="95"/>
        <v/>
      </c>
      <c r="L1004" t="str">
        <f t="shared" si="96"/>
        <v/>
      </c>
      <c r="M1004" t="str">
        <f t="shared" si="97"/>
        <v/>
      </c>
      <c r="N1004">
        <v>13839.78</v>
      </c>
      <c r="O1004" t="s">
        <v>422</v>
      </c>
      <c r="Q1004" t="s">
        <v>19</v>
      </c>
    </row>
    <row r="1005" spans="1:17" x14ac:dyDescent="0.3">
      <c r="A1005">
        <v>100278188</v>
      </c>
      <c r="B1005" t="s">
        <v>187</v>
      </c>
      <c r="C1005" t="s">
        <v>19</v>
      </c>
      <c r="D1005" t="s">
        <v>194</v>
      </c>
      <c r="E1005" s="6">
        <v>26138.38</v>
      </c>
      <c r="F1005" t="s">
        <v>602</v>
      </c>
      <c r="G1005" s="4" t="str">
        <f t="shared" si="92"/>
        <v>26138.38</v>
      </c>
      <c r="H1005" t="str">
        <f t="shared" si="93"/>
        <v>26138.38</v>
      </c>
      <c r="I1005" s="1">
        <v>45716</v>
      </c>
      <c r="J1005" s="2">
        <f t="shared" si="94"/>
        <v>-3.10451755922426E-2</v>
      </c>
      <c r="K1005" s="3" t="str">
        <f t="shared" si="95"/>
        <v/>
      </c>
      <c r="L1005" t="str">
        <f t="shared" si="96"/>
        <v/>
      </c>
      <c r="M1005" t="str">
        <f t="shared" si="97"/>
        <v/>
      </c>
      <c r="N1005">
        <v>26975.85</v>
      </c>
      <c r="O1005" t="s">
        <v>423</v>
      </c>
      <c r="Q1005" t="s">
        <v>19</v>
      </c>
    </row>
    <row r="1006" spans="1:17" x14ac:dyDescent="0.3">
      <c r="A1006">
        <v>100278188</v>
      </c>
      <c r="B1006" t="s">
        <v>187</v>
      </c>
      <c r="C1006" t="s">
        <v>19</v>
      </c>
      <c r="D1006" t="s">
        <v>190</v>
      </c>
      <c r="E1006" s="6">
        <v>6962.63</v>
      </c>
      <c r="F1006" t="s">
        <v>602</v>
      </c>
      <c r="G1006" s="4" t="str">
        <f t="shared" si="92"/>
        <v>6962.63</v>
      </c>
      <c r="H1006" t="str">
        <f t="shared" si="93"/>
        <v>6962.63</v>
      </c>
      <c r="I1006" s="1">
        <v>45716</v>
      </c>
      <c r="J1006" s="2">
        <f t="shared" si="94"/>
        <v>-4.2509712242582584E-2</v>
      </c>
      <c r="K1006" s="3" t="str">
        <f t="shared" si="95"/>
        <v/>
      </c>
      <c r="L1006" t="str">
        <f t="shared" si="96"/>
        <v/>
      </c>
      <c r="M1006" t="str">
        <f t="shared" si="97"/>
        <v/>
      </c>
      <c r="N1006">
        <v>7271.75</v>
      </c>
      <c r="O1006" t="s">
        <v>421</v>
      </c>
      <c r="Q1006" t="s">
        <v>19</v>
      </c>
    </row>
    <row r="1007" spans="1:17" x14ac:dyDescent="0.3">
      <c r="A1007">
        <v>100309343</v>
      </c>
      <c r="B1007" t="s">
        <v>196</v>
      </c>
      <c r="C1007" t="s">
        <v>590</v>
      </c>
      <c r="D1007" t="s">
        <v>424</v>
      </c>
      <c r="E1007" s="6">
        <v>5478.79</v>
      </c>
      <c r="F1007" t="s">
        <v>602</v>
      </c>
      <c r="G1007" s="4" t="str">
        <f t="shared" si="92"/>
        <v>5478.79</v>
      </c>
      <c r="H1007" t="str">
        <f t="shared" si="93"/>
        <v>5478.79</v>
      </c>
      <c r="I1007" s="1">
        <v>45716</v>
      </c>
      <c r="J1007" s="2">
        <f t="shared" si="94"/>
        <v>-4.6674543198834843E-2</v>
      </c>
      <c r="K1007" s="3" t="str">
        <f t="shared" si="95"/>
        <v/>
      </c>
      <c r="L1007" t="str">
        <f t="shared" si="96"/>
        <v/>
      </c>
      <c r="M1007" t="str">
        <f t="shared" si="97"/>
        <v>Check</v>
      </c>
      <c r="N1007">
        <v>5747.03</v>
      </c>
      <c r="O1007" t="s">
        <v>425</v>
      </c>
      <c r="Q1007" t="s">
        <v>16</v>
      </c>
    </row>
    <row r="1008" spans="1:17" x14ac:dyDescent="0.3">
      <c r="A1008">
        <v>100325823</v>
      </c>
      <c r="B1008" t="s">
        <v>202</v>
      </c>
      <c r="C1008" t="s">
        <v>19</v>
      </c>
      <c r="D1008" t="s">
        <v>203</v>
      </c>
      <c r="E1008" s="6">
        <v>76474.740000000005</v>
      </c>
      <c r="F1008" t="s">
        <v>602</v>
      </c>
      <c r="G1008" s="4" t="str">
        <f t="shared" si="92"/>
        <v>76474.74</v>
      </c>
      <c r="H1008" t="str">
        <f t="shared" si="93"/>
        <v>76474.74</v>
      </c>
      <c r="I1008" s="1">
        <v>45716</v>
      </c>
      <c r="J1008" s="2">
        <f t="shared" si="94"/>
        <v>-2.9710190989462905E-2</v>
      </c>
      <c r="K1008" s="3" t="str">
        <f t="shared" si="95"/>
        <v/>
      </c>
      <c r="L1008" t="str">
        <f t="shared" si="96"/>
        <v/>
      </c>
      <c r="M1008" t="str">
        <f t="shared" si="97"/>
        <v/>
      </c>
      <c r="N1008">
        <v>78816.39</v>
      </c>
      <c r="O1008" t="s">
        <v>426</v>
      </c>
      <c r="Q1008" t="s">
        <v>19</v>
      </c>
    </row>
    <row r="1009" spans="1:17" x14ac:dyDescent="0.3">
      <c r="A1009">
        <v>100376880</v>
      </c>
      <c r="B1009" t="s">
        <v>205</v>
      </c>
      <c r="C1009" t="s">
        <v>19</v>
      </c>
      <c r="D1009" t="s">
        <v>208</v>
      </c>
      <c r="E1009" s="6">
        <v>5935.35</v>
      </c>
      <c r="F1009" t="s">
        <v>602</v>
      </c>
      <c r="G1009" s="4" t="str">
        <f t="shared" si="92"/>
        <v>5935.35</v>
      </c>
      <c r="H1009" t="str">
        <f t="shared" si="93"/>
        <v>5935.35</v>
      </c>
      <c r="I1009" s="1">
        <v>45716</v>
      </c>
      <c r="J1009" s="2">
        <f t="shared" si="94"/>
        <v>-7.9897686315544642E-2</v>
      </c>
      <c r="K1009" s="3" t="str">
        <f t="shared" si="95"/>
        <v/>
      </c>
      <c r="L1009" t="str">
        <f t="shared" si="96"/>
        <v/>
      </c>
      <c r="M1009" t="str">
        <f t="shared" si="97"/>
        <v/>
      </c>
      <c r="N1009">
        <v>6450.75</v>
      </c>
      <c r="O1009" t="s">
        <v>427</v>
      </c>
      <c r="Q1009" t="s">
        <v>19</v>
      </c>
    </row>
    <row r="1010" spans="1:17" x14ac:dyDescent="0.3">
      <c r="A1010">
        <v>100388471</v>
      </c>
      <c r="B1010" t="s">
        <v>210</v>
      </c>
      <c r="C1010" t="s">
        <v>19</v>
      </c>
      <c r="D1010" t="s">
        <v>211</v>
      </c>
      <c r="E1010" s="6">
        <v>182968.66</v>
      </c>
      <c r="F1010" t="s">
        <v>602</v>
      </c>
      <c r="G1010" s="4" t="str">
        <f t="shared" si="92"/>
        <v>182968.66</v>
      </c>
      <c r="H1010" t="str">
        <f t="shared" si="93"/>
        <v>182968.66</v>
      </c>
      <c r="I1010" s="1">
        <v>45716</v>
      </c>
      <c r="J1010" s="2">
        <f t="shared" si="94"/>
        <v>-2.376889644207392E-2</v>
      </c>
      <c r="K1010" s="3" t="str">
        <f t="shared" si="95"/>
        <v/>
      </c>
      <c r="L1010" t="str">
        <f t="shared" si="96"/>
        <v/>
      </c>
      <c r="M1010" t="str">
        <f t="shared" si="97"/>
        <v/>
      </c>
      <c r="N1010">
        <v>187423.51</v>
      </c>
      <c r="O1010" t="s">
        <v>428</v>
      </c>
      <c r="Q1010" t="s">
        <v>19</v>
      </c>
    </row>
    <row r="1011" spans="1:17" x14ac:dyDescent="0.3">
      <c r="A1011">
        <v>100388471</v>
      </c>
      <c r="B1011" t="s">
        <v>210</v>
      </c>
      <c r="C1011" t="s">
        <v>19</v>
      </c>
      <c r="D1011" t="s">
        <v>213</v>
      </c>
      <c r="E1011" s="6">
        <v>6391.92</v>
      </c>
      <c r="F1011" t="s">
        <v>602</v>
      </c>
      <c r="G1011" s="4" t="str">
        <f t="shared" si="92"/>
        <v>6391.92</v>
      </c>
      <c r="H1011" t="str">
        <f t="shared" si="93"/>
        <v>6391.92</v>
      </c>
      <c r="I1011" s="1">
        <v>45716</v>
      </c>
      <c r="J1011" s="2">
        <f t="shared" si="94"/>
        <v>-4.3887203604315077E-2</v>
      </c>
      <c r="K1011" s="3" t="str">
        <f t="shared" si="95"/>
        <v/>
      </c>
      <c r="L1011" t="str">
        <f t="shared" si="96"/>
        <v/>
      </c>
      <c r="M1011" t="str">
        <f t="shared" si="97"/>
        <v/>
      </c>
      <c r="N1011">
        <v>6685.32</v>
      </c>
      <c r="O1011" t="s">
        <v>429</v>
      </c>
      <c r="Q1011" t="s">
        <v>19</v>
      </c>
    </row>
    <row r="1012" spans="1:17" x14ac:dyDescent="0.3">
      <c r="A1012">
        <v>100408912</v>
      </c>
      <c r="B1012" t="s">
        <v>215</v>
      </c>
      <c r="C1012" t="s">
        <v>19</v>
      </c>
      <c r="D1012" t="s">
        <v>216</v>
      </c>
      <c r="E1012" s="6">
        <v>107407.06</v>
      </c>
      <c r="F1012" t="s">
        <v>602</v>
      </c>
      <c r="G1012" s="4" t="str">
        <f t="shared" si="92"/>
        <v>107407.06</v>
      </c>
      <c r="H1012" t="str">
        <f t="shared" si="93"/>
        <v>107407.06</v>
      </c>
      <c r="I1012" s="1">
        <v>45716</v>
      </c>
      <c r="J1012" s="2">
        <f t="shared" si="94"/>
        <v>-2.8877863469202517E-2</v>
      </c>
      <c r="K1012" s="3" t="str">
        <f t="shared" si="95"/>
        <v/>
      </c>
      <c r="L1012" t="str">
        <f t="shared" si="96"/>
        <v/>
      </c>
      <c r="M1012" t="str">
        <f t="shared" si="97"/>
        <v/>
      </c>
      <c r="N1012">
        <v>110600.98</v>
      </c>
      <c r="O1012" t="s">
        <v>430</v>
      </c>
      <c r="Q1012" t="s">
        <v>19</v>
      </c>
    </row>
    <row r="1013" spans="1:17" x14ac:dyDescent="0.3">
      <c r="A1013">
        <v>100421069</v>
      </c>
      <c r="B1013" t="s">
        <v>218</v>
      </c>
      <c r="C1013" t="s">
        <v>19</v>
      </c>
      <c r="D1013" t="s">
        <v>220</v>
      </c>
      <c r="E1013" s="6">
        <v>57413.120000000003</v>
      </c>
      <c r="F1013" t="s">
        <v>602</v>
      </c>
      <c r="G1013" s="4" t="str">
        <f t="shared" si="92"/>
        <v>57413.12</v>
      </c>
      <c r="H1013" t="str">
        <f t="shared" si="93"/>
        <v>57413.12</v>
      </c>
      <c r="I1013" s="1">
        <v>45716</v>
      </c>
      <c r="J1013" s="2">
        <f t="shared" si="94"/>
        <v>-3.0668122245675201E-2</v>
      </c>
      <c r="K1013" s="3" t="str">
        <f t="shared" si="95"/>
        <v/>
      </c>
      <c r="L1013" t="str">
        <f t="shared" si="96"/>
        <v/>
      </c>
      <c r="M1013" t="str">
        <f t="shared" si="97"/>
        <v/>
      </c>
      <c r="N1013">
        <v>59229.58</v>
      </c>
      <c r="O1013" t="s">
        <v>431</v>
      </c>
      <c r="Q1013" t="s">
        <v>19</v>
      </c>
    </row>
    <row r="1014" spans="1:17" x14ac:dyDescent="0.3">
      <c r="A1014">
        <v>100421069</v>
      </c>
      <c r="B1014" t="s">
        <v>218</v>
      </c>
      <c r="C1014" t="s">
        <v>19</v>
      </c>
      <c r="D1014" t="s">
        <v>222</v>
      </c>
      <c r="E1014" s="6">
        <v>25453.53</v>
      </c>
      <c r="F1014" t="s">
        <v>602</v>
      </c>
      <c r="G1014" s="4" t="str">
        <f t="shared" si="92"/>
        <v>25453.53</v>
      </c>
      <c r="H1014" t="str">
        <f t="shared" si="93"/>
        <v>25453.53</v>
      </c>
      <c r="I1014" s="1">
        <v>45716</v>
      </c>
      <c r="J1014" s="2">
        <f t="shared" si="94"/>
        <v>-2.6813775194189728E-2</v>
      </c>
      <c r="K1014" s="3" t="str">
        <f t="shared" si="95"/>
        <v/>
      </c>
      <c r="L1014" t="str">
        <f t="shared" si="96"/>
        <v/>
      </c>
      <c r="M1014" t="str">
        <f t="shared" si="97"/>
        <v/>
      </c>
      <c r="N1014">
        <v>26154.84</v>
      </c>
      <c r="O1014" t="s">
        <v>432</v>
      </c>
      <c r="Q1014" t="s">
        <v>19</v>
      </c>
    </row>
    <row r="1015" spans="1:17" x14ac:dyDescent="0.3">
      <c r="A1015">
        <v>100421069</v>
      </c>
      <c r="B1015" t="s">
        <v>218</v>
      </c>
      <c r="C1015" t="s">
        <v>19</v>
      </c>
      <c r="D1015" t="s">
        <v>224</v>
      </c>
      <c r="E1015" s="6">
        <v>30818.18</v>
      </c>
      <c r="F1015" t="s">
        <v>602</v>
      </c>
      <c r="G1015" s="4" t="str">
        <f t="shared" si="92"/>
        <v>30818.18</v>
      </c>
      <c r="H1015" t="str">
        <f t="shared" si="93"/>
        <v>30818.18</v>
      </c>
      <c r="I1015" s="1">
        <v>45716</v>
      </c>
      <c r="J1015" s="2">
        <f t="shared" si="94"/>
        <v>-3.0404985560612857E-2</v>
      </c>
      <c r="K1015" s="3" t="str">
        <f t="shared" si="95"/>
        <v/>
      </c>
      <c r="L1015" t="str">
        <f t="shared" si="96"/>
        <v/>
      </c>
      <c r="M1015" t="str">
        <f t="shared" si="97"/>
        <v/>
      </c>
      <c r="N1015">
        <v>31784.59</v>
      </c>
      <c r="O1015" t="s">
        <v>433</v>
      </c>
      <c r="Q1015" t="s">
        <v>19</v>
      </c>
    </row>
    <row r="1016" spans="1:17" x14ac:dyDescent="0.3">
      <c r="A1016">
        <v>100489695</v>
      </c>
      <c r="B1016" t="s">
        <v>229</v>
      </c>
      <c r="C1016" t="s">
        <v>590</v>
      </c>
      <c r="D1016" t="s">
        <v>230</v>
      </c>
      <c r="E1016" s="6">
        <v>208422.2</v>
      </c>
      <c r="F1016" t="s">
        <v>602</v>
      </c>
      <c r="G1016" s="4" t="str">
        <f t="shared" si="92"/>
        <v>208422.2</v>
      </c>
      <c r="H1016" t="str">
        <f t="shared" si="93"/>
        <v>208422.2</v>
      </c>
      <c r="I1016" s="1">
        <v>45716</v>
      </c>
      <c r="J1016" s="2">
        <f t="shared" si="94"/>
        <v>-1.7125054638300663E-2</v>
      </c>
      <c r="K1016" s="3" t="str">
        <f t="shared" si="95"/>
        <v/>
      </c>
      <c r="L1016" t="str">
        <f t="shared" si="96"/>
        <v/>
      </c>
      <c r="M1016" t="str">
        <f t="shared" si="97"/>
        <v>Check</v>
      </c>
      <c r="N1016">
        <v>212053.63</v>
      </c>
      <c r="O1016" t="s">
        <v>434</v>
      </c>
      <c r="Q1016" t="s">
        <v>16</v>
      </c>
    </row>
    <row r="1017" spans="1:17" x14ac:dyDescent="0.3">
      <c r="A1017">
        <v>100492707</v>
      </c>
      <c r="B1017" t="s">
        <v>232</v>
      </c>
      <c r="C1017" t="s">
        <v>19</v>
      </c>
      <c r="D1017" t="s">
        <v>233</v>
      </c>
      <c r="E1017" s="6">
        <v>48966.66</v>
      </c>
      <c r="F1017" t="s">
        <v>602</v>
      </c>
      <c r="G1017" s="4" t="str">
        <f t="shared" si="92"/>
        <v>48966.66</v>
      </c>
      <c r="H1017" t="str">
        <f t="shared" si="93"/>
        <v>48966.66</v>
      </c>
      <c r="I1017" s="1">
        <v>45716</v>
      </c>
      <c r="J1017" s="2">
        <f t="shared" si="94"/>
        <v>-2.9077128100963773E-2</v>
      </c>
      <c r="K1017" s="3" t="str">
        <f t="shared" si="95"/>
        <v/>
      </c>
      <c r="L1017" t="str">
        <f t="shared" si="96"/>
        <v/>
      </c>
      <c r="M1017" t="str">
        <f t="shared" si="97"/>
        <v/>
      </c>
      <c r="N1017">
        <v>50433.11</v>
      </c>
      <c r="O1017" t="s">
        <v>435</v>
      </c>
      <c r="Q1017" t="s">
        <v>19</v>
      </c>
    </row>
    <row r="1018" spans="1:17" x14ac:dyDescent="0.3">
      <c r="A1018">
        <v>100492707</v>
      </c>
      <c r="B1018" t="s">
        <v>232</v>
      </c>
      <c r="C1018" t="s">
        <v>19</v>
      </c>
      <c r="D1018" t="s">
        <v>624</v>
      </c>
      <c r="E1018" s="6">
        <v>399152.48</v>
      </c>
      <c r="F1018" t="s">
        <v>602</v>
      </c>
      <c r="G1018" s="4" t="str">
        <f t="shared" si="92"/>
        <v>399152.48</v>
      </c>
      <c r="H1018" t="str">
        <f t="shared" si="93"/>
        <v>399152.48</v>
      </c>
      <c r="I1018" s="1">
        <v>45716</v>
      </c>
      <c r="J1018" s="2">
        <f t="shared" si="94"/>
        <v>-2.7925766964605327E-2</v>
      </c>
      <c r="K1018" s="3" t="str">
        <f t="shared" si="95"/>
        <v/>
      </c>
      <c r="L1018" t="str">
        <f t="shared" si="96"/>
        <v/>
      </c>
      <c r="M1018" t="str">
        <f t="shared" si="97"/>
        <v/>
      </c>
      <c r="N1018">
        <v>410619.34</v>
      </c>
      <c r="O1018" t="s">
        <v>682</v>
      </c>
      <c r="Q1018" t="s">
        <v>19</v>
      </c>
    </row>
    <row r="1019" spans="1:17" x14ac:dyDescent="0.3">
      <c r="A1019">
        <v>100497270</v>
      </c>
      <c r="B1019" t="s">
        <v>235</v>
      </c>
      <c r="C1019" t="s">
        <v>611</v>
      </c>
      <c r="D1019" t="s">
        <v>236</v>
      </c>
      <c r="E1019" s="6">
        <v>4109.09</v>
      </c>
      <c r="F1019" t="s">
        <v>602</v>
      </c>
      <c r="G1019" s="4" t="str">
        <f t="shared" si="92"/>
        <v>4109.09</v>
      </c>
      <c r="H1019" t="str">
        <f t="shared" si="93"/>
        <v>4109.09</v>
      </c>
      <c r="I1019" s="1">
        <v>45716</v>
      </c>
      <c r="J1019" s="2">
        <f t="shared" si="94"/>
        <v>-5.3115616913118516E-2</v>
      </c>
      <c r="K1019" s="3" t="str">
        <f t="shared" si="95"/>
        <v/>
      </c>
      <c r="L1019" t="str">
        <f t="shared" si="96"/>
        <v/>
      </c>
      <c r="M1019" t="str">
        <f t="shared" si="97"/>
        <v>Check</v>
      </c>
      <c r="N1019">
        <v>4339.59</v>
      </c>
      <c r="O1019" t="s">
        <v>237</v>
      </c>
      <c r="Q1019" t="s">
        <v>41</v>
      </c>
    </row>
    <row r="1020" spans="1:17" x14ac:dyDescent="0.3">
      <c r="A1020">
        <v>100528113</v>
      </c>
      <c r="B1020" t="s">
        <v>436</v>
      </c>
      <c r="C1020" t="s">
        <v>590</v>
      </c>
      <c r="D1020" t="s">
        <v>437</v>
      </c>
      <c r="E1020" s="6">
        <v>41433.33</v>
      </c>
      <c r="F1020" t="s">
        <v>602</v>
      </c>
      <c r="G1020" s="4" t="str">
        <f t="shared" si="92"/>
        <v>41433.33</v>
      </c>
      <c r="H1020" t="str">
        <f t="shared" si="93"/>
        <v>41433.33</v>
      </c>
      <c r="I1020" s="1">
        <v>45716</v>
      </c>
      <c r="J1020" s="2">
        <f t="shared" si="94"/>
        <v>-2.948734675482945E-2</v>
      </c>
      <c r="K1020" s="3" t="str">
        <f t="shared" si="95"/>
        <v/>
      </c>
      <c r="L1020" t="str">
        <f t="shared" si="96"/>
        <v/>
      </c>
      <c r="M1020" t="str">
        <f t="shared" si="97"/>
        <v>Check</v>
      </c>
      <c r="N1020">
        <v>42692.21</v>
      </c>
      <c r="O1020" t="s">
        <v>438</v>
      </c>
      <c r="Q1020" t="s">
        <v>16</v>
      </c>
    </row>
    <row r="1021" spans="1:17" x14ac:dyDescent="0.3">
      <c r="A1021">
        <v>100562496</v>
      </c>
      <c r="B1021" t="s">
        <v>238</v>
      </c>
      <c r="C1021" t="s">
        <v>611</v>
      </c>
      <c r="D1021" t="s">
        <v>239</v>
      </c>
      <c r="E1021" s="6">
        <v>5250.5</v>
      </c>
      <c r="F1021" t="s">
        <v>602</v>
      </c>
      <c r="G1021" s="4" t="str">
        <f t="shared" si="92"/>
        <v>5250.5</v>
      </c>
      <c r="H1021" t="str">
        <f t="shared" si="93"/>
        <v>5250.5</v>
      </c>
      <c r="I1021" s="1">
        <v>45716</v>
      </c>
      <c r="J1021" s="2">
        <f t="shared" si="94"/>
        <v>-4.7521433262100773E-2</v>
      </c>
      <c r="K1021" s="3" t="str">
        <f t="shared" si="95"/>
        <v/>
      </c>
      <c r="L1021" t="str">
        <f t="shared" si="96"/>
        <v/>
      </c>
      <c r="M1021" t="str">
        <f t="shared" si="97"/>
        <v>Check</v>
      </c>
      <c r="N1021">
        <v>5512.46</v>
      </c>
      <c r="O1021" t="s">
        <v>240</v>
      </c>
      <c r="Q1021" t="s">
        <v>41</v>
      </c>
    </row>
    <row r="1022" spans="1:17" x14ac:dyDescent="0.3">
      <c r="A1022">
        <v>100564770</v>
      </c>
      <c r="B1022" t="s">
        <v>241</v>
      </c>
      <c r="C1022" t="s">
        <v>19</v>
      </c>
      <c r="D1022" t="s">
        <v>242</v>
      </c>
      <c r="E1022" s="6">
        <v>28421.21</v>
      </c>
      <c r="F1022" t="s">
        <v>602</v>
      </c>
      <c r="G1022" s="4" t="str">
        <f t="shared" si="92"/>
        <v>28421.21</v>
      </c>
      <c r="H1022" t="str">
        <f t="shared" si="93"/>
        <v>28421.21</v>
      </c>
      <c r="I1022" s="1">
        <v>45716</v>
      </c>
      <c r="J1022" s="2">
        <f t="shared" si="94"/>
        <v>-1.8933907542081938E-2</v>
      </c>
      <c r="K1022" s="3" t="str">
        <f t="shared" si="95"/>
        <v/>
      </c>
      <c r="L1022" t="str">
        <f t="shared" si="96"/>
        <v/>
      </c>
      <c r="M1022" t="str">
        <f t="shared" si="97"/>
        <v/>
      </c>
      <c r="N1022">
        <v>28969.72</v>
      </c>
      <c r="O1022" t="s">
        <v>439</v>
      </c>
      <c r="Q1022" t="s">
        <v>19</v>
      </c>
    </row>
    <row r="1023" spans="1:17" x14ac:dyDescent="0.3">
      <c r="A1023">
        <v>100596689</v>
      </c>
      <c r="B1023" t="s">
        <v>250</v>
      </c>
      <c r="C1023" t="s">
        <v>590</v>
      </c>
      <c r="D1023" t="s">
        <v>440</v>
      </c>
      <c r="E1023" s="6">
        <v>23627.27</v>
      </c>
      <c r="F1023" t="s">
        <v>602</v>
      </c>
      <c r="G1023" s="4" t="str">
        <f t="shared" si="92"/>
        <v>23627.27</v>
      </c>
      <c r="H1023" t="str">
        <f t="shared" si="93"/>
        <v>23627.27</v>
      </c>
      <c r="I1023" s="1">
        <v>45716</v>
      </c>
      <c r="J1023" s="2">
        <f t="shared" si="94"/>
        <v>-3.1492628778609165E-2</v>
      </c>
      <c r="K1023" s="3" t="str">
        <f t="shared" si="95"/>
        <v/>
      </c>
      <c r="L1023" t="str">
        <f t="shared" si="96"/>
        <v/>
      </c>
      <c r="M1023" t="str">
        <f t="shared" si="97"/>
        <v>Check</v>
      </c>
      <c r="N1023">
        <v>24395.55</v>
      </c>
      <c r="O1023" t="s">
        <v>441</v>
      </c>
      <c r="Q1023" t="s">
        <v>16</v>
      </c>
    </row>
    <row r="1024" spans="1:17" x14ac:dyDescent="0.3">
      <c r="A1024">
        <v>100596689</v>
      </c>
      <c r="B1024" t="s">
        <v>250</v>
      </c>
      <c r="C1024" t="s">
        <v>590</v>
      </c>
      <c r="D1024" t="s">
        <v>251</v>
      </c>
      <c r="E1024" s="6">
        <v>7419.19</v>
      </c>
      <c r="F1024" t="s">
        <v>602</v>
      </c>
      <c r="G1024" s="4" t="str">
        <f t="shared" si="92"/>
        <v>7419.19</v>
      </c>
      <c r="H1024" t="str">
        <f t="shared" si="93"/>
        <v>7419.19</v>
      </c>
      <c r="I1024" s="1">
        <v>45716</v>
      </c>
      <c r="J1024" s="2">
        <f t="shared" si="94"/>
        <v>-4.1559766952163193E-2</v>
      </c>
      <c r="K1024" s="3" t="str">
        <f t="shared" si="95"/>
        <v/>
      </c>
      <c r="L1024" t="str">
        <f t="shared" si="96"/>
        <v/>
      </c>
      <c r="M1024" t="str">
        <f t="shared" si="97"/>
        <v>Check</v>
      </c>
      <c r="N1024">
        <v>7740.9</v>
      </c>
      <c r="O1024" t="s">
        <v>442</v>
      </c>
      <c r="Q1024" t="s">
        <v>16</v>
      </c>
    </row>
    <row r="1025" spans="1:17" x14ac:dyDescent="0.3">
      <c r="A1025">
        <v>100614771</v>
      </c>
      <c r="B1025" t="s">
        <v>443</v>
      </c>
      <c r="C1025" t="s">
        <v>590</v>
      </c>
      <c r="D1025" t="s">
        <v>444</v>
      </c>
      <c r="E1025" s="6">
        <v>2396.9699999999998</v>
      </c>
      <c r="F1025" t="s">
        <v>602</v>
      </c>
      <c r="G1025" s="4" t="str">
        <f t="shared" si="92"/>
        <v>2396.97</v>
      </c>
      <c r="H1025" t="str">
        <f t="shared" si="93"/>
        <v>2396.97</v>
      </c>
      <c r="I1025" s="1">
        <v>45716</v>
      </c>
      <c r="J1025" s="2">
        <f t="shared" si="94"/>
        <v>-0.7976543822683253</v>
      </c>
      <c r="K1025" s="3" t="str">
        <f t="shared" si="95"/>
        <v>Check!</v>
      </c>
      <c r="L1025" t="str">
        <f t="shared" si="96"/>
        <v/>
      </c>
      <c r="M1025" t="str">
        <f t="shared" si="97"/>
        <v>Check</v>
      </c>
      <c r="N1025">
        <v>11845.92</v>
      </c>
      <c r="O1025" t="s">
        <v>445</v>
      </c>
      <c r="Q1025" t="s">
        <v>16</v>
      </c>
    </row>
    <row r="1026" spans="1:17" x14ac:dyDescent="0.3">
      <c r="A1026">
        <v>100620477</v>
      </c>
      <c r="B1026" t="s">
        <v>446</v>
      </c>
      <c r="C1026" t="s">
        <v>590</v>
      </c>
      <c r="D1026" t="s">
        <v>447</v>
      </c>
      <c r="E1026" s="6">
        <v>14267.68</v>
      </c>
      <c r="F1026" t="s">
        <v>602</v>
      </c>
      <c r="G1026" s="4" t="str">
        <f t="shared" si="92"/>
        <v>14267.68</v>
      </c>
      <c r="H1026" t="str">
        <f t="shared" si="93"/>
        <v>14267.68</v>
      </c>
      <c r="I1026" s="1">
        <v>45716</v>
      </c>
      <c r="J1026" s="2">
        <f t="shared" si="94"/>
        <v>-3.453698622350547E-2</v>
      </c>
      <c r="K1026" s="3" t="str">
        <f t="shared" si="95"/>
        <v/>
      </c>
      <c r="L1026" t="str">
        <f t="shared" si="96"/>
        <v/>
      </c>
      <c r="M1026" t="str">
        <f t="shared" si="97"/>
        <v>Check</v>
      </c>
      <c r="N1026">
        <v>14778.07</v>
      </c>
      <c r="O1026" t="s">
        <v>448</v>
      </c>
      <c r="Q1026" t="s">
        <v>16</v>
      </c>
    </row>
    <row r="1027" spans="1:17" x14ac:dyDescent="0.3">
      <c r="A1027">
        <v>100623191</v>
      </c>
      <c r="B1027" t="s">
        <v>449</v>
      </c>
      <c r="C1027" t="s">
        <v>590</v>
      </c>
      <c r="D1027" t="s">
        <v>450</v>
      </c>
      <c r="E1027" s="6">
        <v>1483.84</v>
      </c>
      <c r="F1027" t="s">
        <v>602</v>
      </c>
      <c r="G1027" s="4" t="str">
        <f t="shared" ref="G1027:G1090" si="98">SUBSTITUTE(E1027,"R","")</f>
        <v>1483.84</v>
      </c>
      <c r="H1027" t="str">
        <f t="shared" ref="H1027:H1090" si="99">SUBSTITUTE(G1027,",","")</f>
        <v>1483.84</v>
      </c>
      <c r="I1027" s="1">
        <v>45716</v>
      </c>
      <c r="J1027" s="2">
        <f t="shared" ref="J1027:J1090" si="100">(H1027-N1027)/N1027</f>
        <v>-9.6327062563565435E-2</v>
      </c>
      <c r="K1027" s="3" t="str">
        <f t="shared" ref="K1027:K1090" si="101">IF(ABS(J1027)&gt;0.1,"Check!","")</f>
        <v/>
      </c>
      <c r="L1027" t="str">
        <f t="shared" ref="L1027:L1090" si="102">IF(LEFT(O1027,10)&lt;&gt;LEFT(D1027,10),"Check","")</f>
        <v/>
      </c>
      <c r="M1027" t="str">
        <f t="shared" ref="M1027:M1090" si="103">IF(Q1027&lt;&gt;C1027,"Check","")</f>
        <v>Check</v>
      </c>
      <c r="N1027">
        <v>1642.01</v>
      </c>
      <c r="O1027" t="s">
        <v>451</v>
      </c>
      <c r="Q1027" t="s">
        <v>16</v>
      </c>
    </row>
    <row r="1028" spans="1:17" x14ac:dyDescent="0.3">
      <c r="A1028">
        <v>100625039</v>
      </c>
      <c r="B1028" t="s">
        <v>452</v>
      </c>
      <c r="C1028" t="s">
        <v>590</v>
      </c>
      <c r="D1028" t="s">
        <v>453</v>
      </c>
      <c r="E1028" s="6">
        <v>17920.2</v>
      </c>
      <c r="F1028" t="s">
        <v>602</v>
      </c>
      <c r="G1028" s="4" t="str">
        <f t="shared" si="98"/>
        <v>17920.2</v>
      </c>
      <c r="H1028" t="str">
        <f t="shared" si="99"/>
        <v>17920.2</v>
      </c>
      <c r="I1028" s="1">
        <v>45716</v>
      </c>
      <c r="J1028" s="2">
        <f t="shared" si="100"/>
        <v>-2.0575339980083748E-2</v>
      </c>
      <c r="K1028" s="3" t="str">
        <f t="shared" si="101"/>
        <v/>
      </c>
      <c r="L1028" t="str">
        <f t="shared" si="102"/>
        <v/>
      </c>
      <c r="M1028" t="str">
        <f t="shared" si="103"/>
        <v>Check</v>
      </c>
      <c r="N1028">
        <v>18296.66</v>
      </c>
      <c r="O1028" t="s">
        <v>454</v>
      </c>
      <c r="Q1028" t="s">
        <v>16</v>
      </c>
    </row>
    <row r="1029" spans="1:17" x14ac:dyDescent="0.3">
      <c r="A1029">
        <v>100625041</v>
      </c>
      <c r="B1029" t="s">
        <v>69</v>
      </c>
      <c r="C1029" t="s">
        <v>590</v>
      </c>
      <c r="D1029" t="s">
        <v>455</v>
      </c>
      <c r="E1029" s="6">
        <v>13925.25</v>
      </c>
      <c r="F1029" t="s">
        <v>602</v>
      </c>
      <c r="G1029" s="4" t="str">
        <f t="shared" si="98"/>
        <v>13925.25</v>
      </c>
      <c r="H1029" t="str">
        <f t="shared" si="99"/>
        <v>13925.25</v>
      </c>
      <c r="I1029" s="1">
        <v>45716</v>
      </c>
      <c r="J1029" s="2">
        <f t="shared" si="100"/>
        <v>-3.4725683322230798E-2</v>
      </c>
      <c r="K1029" s="3" t="str">
        <f t="shared" si="101"/>
        <v/>
      </c>
      <c r="L1029" t="str">
        <f t="shared" si="102"/>
        <v/>
      </c>
      <c r="M1029" t="str">
        <f t="shared" si="103"/>
        <v>Check</v>
      </c>
      <c r="N1029">
        <v>14426.21</v>
      </c>
      <c r="O1029" t="s">
        <v>456</v>
      </c>
      <c r="Q1029" t="s">
        <v>16</v>
      </c>
    </row>
    <row r="1030" spans="1:17" x14ac:dyDescent="0.3">
      <c r="A1030">
        <v>100628018</v>
      </c>
      <c r="B1030" t="s">
        <v>253</v>
      </c>
      <c r="C1030" t="s">
        <v>590</v>
      </c>
      <c r="D1030" t="s">
        <v>254</v>
      </c>
      <c r="E1030" s="6">
        <v>74077.77</v>
      </c>
      <c r="F1030" t="s">
        <v>602</v>
      </c>
      <c r="G1030" s="4" t="str">
        <f t="shared" si="98"/>
        <v>74077.77</v>
      </c>
      <c r="H1030" t="str">
        <f t="shared" si="99"/>
        <v>74077.77</v>
      </c>
      <c r="I1030" s="1">
        <v>45716</v>
      </c>
      <c r="J1030" s="2">
        <f t="shared" si="100"/>
        <v>-0.41734519914722817</v>
      </c>
      <c r="K1030" s="3" t="str">
        <f t="shared" si="101"/>
        <v>Check!</v>
      </c>
      <c r="L1030" t="str">
        <f t="shared" si="102"/>
        <v/>
      </c>
      <c r="M1030" t="str">
        <f t="shared" si="103"/>
        <v>Check</v>
      </c>
      <c r="N1030">
        <v>127138.35</v>
      </c>
      <c r="O1030" t="s">
        <v>584</v>
      </c>
      <c r="Q1030" t="s">
        <v>16</v>
      </c>
    </row>
    <row r="1031" spans="1:17" x14ac:dyDescent="0.3">
      <c r="A1031">
        <v>100628990</v>
      </c>
      <c r="B1031" t="s">
        <v>256</v>
      </c>
      <c r="C1031" t="s">
        <v>19</v>
      </c>
      <c r="D1031" t="s">
        <v>257</v>
      </c>
      <c r="E1031" s="6">
        <v>21344.44</v>
      </c>
      <c r="F1031" t="s">
        <v>602</v>
      </c>
      <c r="G1031" s="4" t="str">
        <f t="shared" si="98"/>
        <v>21344.44</v>
      </c>
      <c r="H1031" t="str">
        <f t="shared" si="99"/>
        <v>21344.44</v>
      </c>
      <c r="I1031" s="1">
        <v>45716</v>
      </c>
      <c r="J1031" s="2">
        <f t="shared" si="100"/>
        <v>-3.1990283820911056E-2</v>
      </c>
      <c r="K1031" s="3" t="str">
        <f t="shared" si="101"/>
        <v/>
      </c>
      <c r="L1031" t="str">
        <f t="shared" si="102"/>
        <v/>
      </c>
      <c r="M1031" t="str">
        <f t="shared" si="103"/>
        <v/>
      </c>
      <c r="N1031">
        <v>22049.82</v>
      </c>
      <c r="O1031" t="s">
        <v>457</v>
      </c>
      <c r="Q1031" t="s">
        <v>19</v>
      </c>
    </row>
    <row r="1032" spans="1:17" x14ac:dyDescent="0.3">
      <c r="A1032">
        <v>100630706</v>
      </c>
      <c r="B1032" t="s">
        <v>262</v>
      </c>
      <c r="C1032" t="s">
        <v>590</v>
      </c>
      <c r="D1032" t="s">
        <v>263</v>
      </c>
      <c r="E1032" s="6">
        <v>6163.64</v>
      </c>
      <c r="F1032" t="s">
        <v>602</v>
      </c>
      <c r="G1032" s="4" t="str">
        <f t="shared" si="98"/>
        <v>6163.64</v>
      </c>
      <c r="H1032" t="str">
        <f t="shared" si="99"/>
        <v>6163.64</v>
      </c>
      <c r="I1032" s="1">
        <v>45716</v>
      </c>
      <c r="J1032" s="2">
        <f t="shared" si="100"/>
        <v>-4.4508002945393893E-2</v>
      </c>
      <c r="K1032" s="3" t="str">
        <f t="shared" si="101"/>
        <v/>
      </c>
      <c r="L1032" t="str">
        <f t="shared" si="102"/>
        <v/>
      </c>
      <c r="M1032" t="str">
        <f t="shared" si="103"/>
        <v>Check</v>
      </c>
      <c r="N1032">
        <v>6450.75</v>
      </c>
      <c r="O1032" t="s">
        <v>458</v>
      </c>
      <c r="Q1032" t="s">
        <v>16</v>
      </c>
    </row>
    <row r="1033" spans="1:17" x14ac:dyDescent="0.3">
      <c r="A1033">
        <v>100631121</v>
      </c>
      <c r="B1033" t="s">
        <v>459</v>
      </c>
      <c r="C1033" t="s">
        <v>590</v>
      </c>
      <c r="D1033" t="s">
        <v>460</v>
      </c>
      <c r="E1033" s="6">
        <v>2511.11</v>
      </c>
      <c r="F1033" t="s">
        <v>602</v>
      </c>
      <c r="G1033" s="4" t="str">
        <f t="shared" si="98"/>
        <v>2511.11</v>
      </c>
      <c r="H1033" t="str">
        <f t="shared" si="99"/>
        <v>2511.11</v>
      </c>
      <c r="I1033" s="1">
        <v>45716</v>
      </c>
      <c r="J1033" s="2">
        <f t="shared" si="100"/>
        <v>-6.9124919372177948E-2</v>
      </c>
      <c r="K1033" s="3" t="str">
        <f t="shared" si="101"/>
        <v/>
      </c>
      <c r="L1033" t="str">
        <f t="shared" si="102"/>
        <v/>
      </c>
      <c r="M1033" t="str">
        <f t="shared" si="103"/>
        <v>Check</v>
      </c>
      <c r="N1033">
        <v>2697.58</v>
      </c>
      <c r="O1033" t="s">
        <v>461</v>
      </c>
      <c r="Q1033" t="s">
        <v>16</v>
      </c>
    </row>
    <row r="1034" spans="1:17" x14ac:dyDescent="0.3">
      <c r="A1034">
        <v>100633203</v>
      </c>
      <c r="B1034" t="s">
        <v>265</v>
      </c>
      <c r="C1034" t="s">
        <v>590</v>
      </c>
      <c r="D1034" t="s">
        <v>266</v>
      </c>
      <c r="E1034" s="6">
        <v>130577.76</v>
      </c>
      <c r="F1034" t="s">
        <v>602</v>
      </c>
      <c r="G1034" s="4" t="str">
        <f t="shared" si="98"/>
        <v>130577.76</v>
      </c>
      <c r="H1034" t="str">
        <f t="shared" si="99"/>
        <v>130577.76</v>
      </c>
      <c r="I1034" s="1">
        <v>45716</v>
      </c>
      <c r="J1034" s="2">
        <f t="shared" si="100"/>
        <v>-0.21981435469420443</v>
      </c>
      <c r="K1034" s="3" t="str">
        <f t="shared" si="101"/>
        <v>Check!</v>
      </c>
      <c r="L1034" t="str">
        <f t="shared" si="102"/>
        <v/>
      </c>
      <c r="M1034" t="str">
        <f t="shared" si="103"/>
        <v>Check</v>
      </c>
      <c r="N1034">
        <v>167367.54999999999</v>
      </c>
      <c r="O1034" t="s">
        <v>585</v>
      </c>
      <c r="Q1034" t="s">
        <v>16</v>
      </c>
    </row>
    <row r="1035" spans="1:17" x14ac:dyDescent="0.3">
      <c r="A1035">
        <v>100637079</v>
      </c>
      <c r="B1035" t="s">
        <v>268</v>
      </c>
      <c r="C1035" t="s">
        <v>611</v>
      </c>
      <c r="D1035" t="s">
        <v>269</v>
      </c>
      <c r="E1035" s="6">
        <v>6049.49</v>
      </c>
      <c r="F1035" t="s">
        <v>602</v>
      </c>
      <c r="G1035" s="4" t="str">
        <f t="shared" si="98"/>
        <v>6049.49</v>
      </c>
      <c r="H1035" t="str">
        <f t="shared" si="99"/>
        <v>6049.49</v>
      </c>
      <c r="I1035" s="1">
        <v>45716</v>
      </c>
      <c r="J1035" s="2">
        <f t="shared" si="100"/>
        <v>-4.4836471691618841E-2</v>
      </c>
      <c r="K1035" s="3" t="str">
        <f t="shared" si="101"/>
        <v/>
      </c>
      <c r="L1035" t="str">
        <f t="shared" si="102"/>
        <v/>
      </c>
      <c r="M1035" t="str">
        <f t="shared" si="103"/>
        <v>Check</v>
      </c>
      <c r="N1035">
        <v>6333.46</v>
      </c>
      <c r="O1035" t="s">
        <v>270</v>
      </c>
      <c r="Q1035" t="s">
        <v>41</v>
      </c>
    </row>
    <row r="1036" spans="1:17" x14ac:dyDescent="0.3">
      <c r="A1036">
        <v>100637079</v>
      </c>
      <c r="B1036" t="s">
        <v>268</v>
      </c>
      <c r="C1036" t="s">
        <v>611</v>
      </c>
      <c r="D1036" t="s">
        <v>271</v>
      </c>
      <c r="E1036" s="6">
        <v>9245.4500000000007</v>
      </c>
      <c r="F1036" t="s">
        <v>602</v>
      </c>
      <c r="G1036" s="4" t="str">
        <f t="shared" si="98"/>
        <v>9245.45</v>
      </c>
      <c r="H1036" t="str">
        <f t="shared" si="99"/>
        <v>9245.45</v>
      </c>
      <c r="I1036" s="1">
        <v>45716</v>
      </c>
      <c r="J1036" s="2">
        <f t="shared" si="100"/>
        <v>-2.6814200558094078E-2</v>
      </c>
      <c r="K1036" s="3" t="str">
        <f t="shared" si="101"/>
        <v/>
      </c>
      <c r="L1036" t="str">
        <f t="shared" si="102"/>
        <v/>
      </c>
      <c r="M1036" t="str">
        <f t="shared" si="103"/>
        <v>Check</v>
      </c>
      <c r="N1036">
        <v>9500.19</v>
      </c>
      <c r="O1036" t="s">
        <v>272</v>
      </c>
      <c r="Q1036" t="s">
        <v>41</v>
      </c>
    </row>
    <row r="1037" spans="1:17" x14ac:dyDescent="0.3">
      <c r="A1037">
        <v>100637079</v>
      </c>
      <c r="B1037" t="s">
        <v>268</v>
      </c>
      <c r="C1037" t="s">
        <v>606</v>
      </c>
      <c r="D1037" t="s">
        <v>628</v>
      </c>
      <c r="E1037" s="6">
        <v>114.14</v>
      </c>
      <c r="F1037" t="s">
        <v>602</v>
      </c>
      <c r="G1037" s="4" t="str">
        <f t="shared" si="98"/>
        <v>114.14</v>
      </c>
      <c r="H1037" t="str">
        <f t="shared" si="99"/>
        <v>114.14</v>
      </c>
      <c r="I1037" s="1">
        <v>45716</v>
      </c>
      <c r="J1037" s="2">
        <f t="shared" si="100"/>
        <v>-0.51340751161700127</v>
      </c>
      <c r="K1037" s="3" t="str">
        <f t="shared" si="101"/>
        <v>Check!</v>
      </c>
      <c r="L1037" t="str">
        <f t="shared" si="102"/>
        <v/>
      </c>
      <c r="M1037" t="str">
        <f t="shared" si="103"/>
        <v/>
      </c>
      <c r="N1037">
        <v>234.57</v>
      </c>
      <c r="O1037" t="s">
        <v>664</v>
      </c>
      <c r="Q1037" t="s">
        <v>606</v>
      </c>
    </row>
    <row r="1038" spans="1:17" x14ac:dyDescent="0.3">
      <c r="A1038">
        <v>100637079</v>
      </c>
      <c r="B1038" t="s">
        <v>268</v>
      </c>
      <c r="C1038" t="s">
        <v>606</v>
      </c>
      <c r="D1038" t="s">
        <v>629</v>
      </c>
      <c r="E1038" s="6">
        <v>456.57</v>
      </c>
      <c r="F1038" t="s">
        <v>602</v>
      </c>
      <c r="G1038" s="4" t="str">
        <f t="shared" si="98"/>
        <v>456.57</v>
      </c>
      <c r="H1038" t="str">
        <f t="shared" si="99"/>
        <v>456.57</v>
      </c>
      <c r="I1038" s="1">
        <v>45716</v>
      </c>
      <c r="J1038" s="2">
        <f t="shared" si="100"/>
        <v>-0.22144160428354615</v>
      </c>
      <c r="K1038" s="3" t="str">
        <f t="shared" si="101"/>
        <v>Check!</v>
      </c>
      <c r="L1038" t="str">
        <f t="shared" si="102"/>
        <v/>
      </c>
      <c r="M1038" t="str">
        <f t="shared" si="103"/>
        <v/>
      </c>
      <c r="N1038">
        <v>586.42999999999995</v>
      </c>
      <c r="O1038" t="s">
        <v>665</v>
      </c>
      <c r="Q1038" t="s">
        <v>606</v>
      </c>
    </row>
    <row r="1039" spans="1:17" x14ac:dyDescent="0.3">
      <c r="A1039">
        <v>100637079</v>
      </c>
      <c r="B1039" t="s">
        <v>268</v>
      </c>
      <c r="C1039" t="s">
        <v>590</v>
      </c>
      <c r="D1039" t="s">
        <v>635</v>
      </c>
      <c r="E1039" s="6">
        <v>798.99</v>
      </c>
      <c r="F1039" t="s">
        <v>602</v>
      </c>
      <c r="G1039" s="4" t="str">
        <f t="shared" si="98"/>
        <v>798.99</v>
      </c>
      <c r="H1039" t="str">
        <f t="shared" si="99"/>
        <v>798.99</v>
      </c>
      <c r="I1039" s="1">
        <v>45716</v>
      </c>
      <c r="J1039" s="2">
        <f t="shared" si="100"/>
        <v>0.13538054908202124</v>
      </c>
      <c r="K1039" s="3" t="str">
        <f t="shared" si="101"/>
        <v>Check!</v>
      </c>
      <c r="L1039" t="str">
        <f t="shared" si="102"/>
        <v/>
      </c>
      <c r="M1039" t="str">
        <f t="shared" si="103"/>
        <v/>
      </c>
      <c r="N1039">
        <v>703.72</v>
      </c>
      <c r="O1039" t="s">
        <v>683</v>
      </c>
      <c r="Q1039" t="s">
        <v>590</v>
      </c>
    </row>
    <row r="1040" spans="1:17" x14ac:dyDescent="0.3">
      <c r="A1040">
        <v>100641153</v>
      </c>
      <c r="B1040" t="s">
        <v>273</v>
      </c>
      <c r="C1040" t="s">
        <v>19</v>
      </c>
      <c r="D1040" t="s">
        <v>274</v>
      </c>
      <c r="E1040" s="6">
        <v>277706.03000000003</v>
      </c>
      <c r="F1040" t="s">
        <v>602</v>
      </c>
      <c r="G1040" s="4" t="str">
        <f t="shared" si="98"/>
        <v>277706.03</v>
      </c>
      <c r="H1040" t="str">
        <f t="shared" si="99"/>
        <v>277706.03</v>
      </c>
      <c r="I1040" s="1">
        <v>45716</v>
      </c>
      <c r="J1040" s="2">
        <f t="shared" si="100"/>
        <v>-2.8012376070331194E-2</v>
      </c>
      <c r="K1040" s="3" t="str">
        <f t="shared" si="101"/>
        <v/>
      </c>
      <c r="L1040" t="str">
        <f t="shared" si="102"/>
        <v/>
      </c>
      <c r="M1040" t="str">
        <f t="shared" si="103"/>
        <v/>
      </c>
      <c r="N1040">
        <v>285709.43</v>
      </c>
      <c r="O1040" t="s">
        <v>462</v>
      </c>
      <c r="Q1040" t="s">
        <v>19</v>
      </c>
    </row>
    <row r="1041" spans="1:17" x14ac:dyDescent="0.3">
      <c r="A1041">
        <v>100651921</v>
      </c>
      <c r="B1041" t="s">
        <v>279</v>
      </c>
      <c r="C1041" t="s">
        <v>590</v>
      </c>
      <c r="D1041" t="s">
        <v>280</v>
      </c>
      <c r="E1041" s="6">
        <v>43259.59</v>
      </c>
      <c r="F1041" t="s">
        <v>602</v>
      </c>
      <c r="G1041" s="4" t="str">
        <f t="shared" si="98"/>
        <v>43259.59</v>
      </c>
      <c r="H1041" t="str">
        <f t="shared" si="99"/>
        <v>43259.59</v>
      </c>
      <c r="I1041" s="1">
        <v>45716</v>
      </c>
      <c r="J1041" s="2">
        <f t="shared" si="100"/>
        <v>-2.6813937254325116E-2</v>
      </c>
      <c r="K1041" s="3" t="str">
        <f t="shared" si="101"/>
        <v/>
      </c>
      <c r="L1041" t="str">
        <f t="shared" si="102"/>
        <v/>
      </c>
      <c r="M1041" t="str">
        <f t="shared" si="103"/>
        <v>Check</v>
      </c>
      <c r="N1041">
        <v>44451.51</v>
      </c>
      <c r="O1041" t="s">
        <v>463</v>
      </c>
      <c r="Q1041" t="s">
        <v>16</v>
      </c>
    </row>
    <row r="1042" spans="1:17" x14ac:dyDescent="0.3">
      <c r="A1042">
        <v>100651921</v>
      </c>
      <c r="B1042" t="s">
        <v>279</v>
      </c>
      <c r="C1042" t="s">
        <v>590</v>
      </c>
      <c r="D1042" t="s">
        <v>282</v>
      </c>
      <c r="E1042" s="6">
        <v>44172.72</v>
      </c>
      <c r="F1042" t="s">
        <v>602</v>
      </c>
      <c r="G1042" s="4" t="str">
        <f t="shared" si="98"/>
        <v>44172.72</v>
      </c>
      <c r="H1042" t="str">
        <f t="shared" si="99"/>
        <v>44172.72</v>
      </c>
      <c r="I1042" s="1">
        <v>45716</v>
      </c>
      <c r="J1042" s="2">
        <f t="shared" si="100"/>
        <v>-2.4292666786091623E-2</v>
      </c>
      <c r="K1042" s="3" t="str">
        <f t="shared" si="101"/>
        <v/>
      </c>
      <c r="L1042" t="str">
        <f t="shared" si="102"/>
        <v/>
      </c>
      <c r="M1042" t="str">
        <f t="shared" si="103"/>
        <v>Check</v>
      </c>
      <c r="N1042">
        <v>45272.51</v>
      </c>
      <c r="O1042" t="s">
        <v>464</v>
      </c>
      <c r="Q1042" t="s">
        <v>16</v>
      </c>
    </row>
    <row r="1043" spans="1:17" x14ac:dyDescent="0.3">
      <c r="A1043">
        <v>100655835</v>
      </c>
      <c r="B1043" t="s">
        <v>284</v>
      </c>
      <c r="C1043" t="s">
        <v>19</v>
      </c>
      <c r="D1043" t="s">
        <v>285</v>
      </c>
      <c r="E1043" s="6">
        <v>749680.72</v>
      </c>
      <c r="F1043" t="s">
        <v>602</v>
      </c>
      <c r="G1043" s="4" t="str">
        <f t="shared" si="98"/>
        <v>749680.72</v>
      </c>
      <c r="H1043" t="str">
        <f t="shared" si="99"/>
        <v>749680.72</v>
      </c>
      <c r="I1043" s="1">
        <v>45716</v>
      </c>
      <c r="J1043" s="2">
        <f t="shared" si="100"/>
        <v>-2.7554157980918589E-2</v>
      </c>
      <c r="K1043" s="3" t="str">
        <f t="shared" si="101"/>
        <v/>
      </c>
      <c r="L1043" t="str">
        <f t="shared" si="102"/>
        <v/>
      </c>
      <c r="M1043" t="str">
        <f t="shared" si="103"/>
        <v/>
      </c>
      <c r="N1043">
        <v>770922.85</v>
      </c>
      <c r="O1043" t="s">
        <v>465</v>
      </c>
      <c r="Q1043" t="s">
        <v>19</v>
      </c>
    </row>
    <row r="1044" spans="1:17" x14ac:dyDescent="0.3">
      <c r="A1044">
        <v>100663638</v>
      </c>
      <c r="B1044" t="s">
        <v>287</v>
      </c>
      <c r="C1044" t="s">
        <v>19</v>
      </c>
      <c r="D1044" t="s">
        <v>288</v>
      </c>
      <c r="E1044" s="6">
        <v>229652.5</v>
      </c>
      <c r="F1044" t="s">
        <v>602</v>
      </c>
      <c r="G1044" s="4" t="str">
        <f t="shared" si="98"/>
        <v>229652.5</v>
      </c>
      <c r="H1044" t="str">
        <f t="shared" si="99"/>
        <v>229652.5</v>
      </c>
      <c r="I1044" s="1">
        <v>45716</v>
      </c>
      <c r="J1044" s="2">
        <f t="shared" si="100"/>
        <v>-2.8262753706239194E-2</v>
      </c>
      <c r="K1044" s="3" t="str">
        <f t="shared" si="101"/>
        <v/>
      </c>
      <c r="L1044" t="str">
        <f t="shared" si="102"/>
        <v/>
      </c>
      <c r="M1044" t="str">
        <f t="shared" si="103"/>
        <v/>
      </c>
      <c r="N1044">
        <v>236331.89</v>
      </c>
      <c r="O1044" t="s">
        <v>466</v>
      </c>
      <c r="Q1044" t="s">
        <v>19</v>
      </c>
    </row>
    <row r="1045" spans="1:17" x14ac:dyDescent="0.3">
      <c r="A1045">
        <v>100663638</v>
      </c>
      <c r="B1045" t="s">
        <v>287</v>
      </c>
      <c r="C1045" t="s">
        <v>19</v>
      </c>
      <c r="D1045" t="s">
        <v>290</v>
      </c>
      <c r="E1045" s="6">
        <v>6620.2</v>
      </c>
      <c r="F1045" t="s">
        <v>602</v>
      </c>
      <c r="G1045" s="4" t="str">
        <f t="shared" si="98"/>
        <v>6620.2</v>
      </c>
      <c r="H1045" t="str">
        <f t="shared" si="99"/>
        <v>6620.2</v>
      </c>
      <c r="I1045" s="1">
        <v>45716</v>
      </c>
      <c r="J1045" s="2">
        <f t="shared" si="100"/>
        <v>-4.3308491897992671E-2</v>
      </c>
      <c r="K1045" s="3" t="str">
        <f t="shared" si="101"/>
        <v/>
      </c>
      <c r="L1045" t="str">
        <f t="shared" si="102"/>
        <v/>
      </c>
      <c r="M1045" t="str">
        <f t="shared" si="103"/>
        <v/>
      </c>
      <c r="N1045">
        <v>6919.89</v>
      </c>
      <c r="O1045" t="s">
        <v>467</v>
      </c>
      <c r="Q1045" t="s">
        <v>19</v>
      </c>
    </row>
    <row r="1046" spans="1:17" x14ac:dyDescent="0.3">
      <c r="A1046">
        <v>100664029</v>
      </c>
      <c r="B1046" t="s">
        <v>292</v>
      </c>
      <c r="C1046" t="s">
        <v>19</v>
      </c>
      <c r="D1046" t="s">
        <v>293</v>
      </c>
      <c r="E1046" s="6">
        <v>19860.599999999999</v>
      </c>
      <c r="F1046" t="s">
        <v>602</v>
      </c>
      <c r="G1046" s="4" t="str">
        <f t="shared" si="98"/>
        <v>19860.6</v>
      </c>
      <c r="H1046" t="str">
        <f t="shared" si="99"/>
        <v>19860.6</v>
      </c>
      <c r="I1046" s="1">
        <v>45716</v>
      </c>
      <c r="J1046" s="2">
        <f t="shared" si="100"/>
        <v>-3.2374994518906124E-2</v>
      </c>
      <c r="K1046" s="3" t="str">
        <f t="shared" si="101"/>
        <v/>
      </c>
      <c r="L1046" t="str">
        <f t="shared" si="102"/>
        <v/>
      </c>
      <c r="M1046" t="str">
        <f t="shared" si="103"/>
        <v/>
      </c>
      <c r="N1046">
        <v>20525.099999999999</v>
      </c>
      <c r="O1046" t="s">
        <v>468</v>
      </c>
      <c r="Q1046" t="s">
        <v>19</v>
      </c>
    </row>
    <row r="1047" spans="1:17" x14ac:dyDescent="0.3">
      <c r="A1047">
        <v>100664029</v>
      </c>
      <c r="B1047" t="s">
        <v>292</v>
      </c>
      <c r="C1047" t="s">
        <v>19</v>
      </c>
      <c r="D1047" t="s">
        <v>295</v>
      </c>
      <c r="E1047" s="6">
        <v>12098.99</v>
      </c>
      <c r="F1047" t="s">
        <v>602</v>
      </c>
      <c r="G1047" s="4" t="str">
        <f t="shared" si="98"/>
        <v>12098.99</v>
      </c>
      <c r="H1047" t="str">
        <f t="shared" si="99"/>
        <v>12098.99</v>
      </c>
      <c r="I1047" s="1">
        <v>45716</v>
      </c>
      <c r="J1047" s="2">
        <f t="shared" si="100"/>
        <v>-3.5908628381872566E-2</v>
      </c>
      <c r="K1047" s="3" t="str">
        <f t="shared" si="101"/>
        <v/>
      </c>
      <c r="L1047" t="str">
        <f t="shared" si="102"/>
        <v/>
      </c>
      <c r="M1047" t="str">
        <f t="shared" si="103"/>
        <v/>
      </c>
      <c r="N1047">
        <v>12549.63</v>
      </c>
      <c r="O1047" t="s">
        <v>469</v>
      </c>
      <c r="Q1047" t="s">
        <v>19</v>
      </c>
    </row>
    <row r="1048" spans="1:17" x14ac:dyDescent="0.3">
      <c r="A1048">
        <v>100664292</v>
      </c>
      <c r="B1048" t="s">
        <v>297</v>
      </c>
      <c r="C1048" t="s">
        <v>19</v>
      </c>
      <c r="D1048" t="s">
        <v>300</v>
      </c>
      <c r="E1048" s="6">
        <v>105694.94</v>
      </c>
      <c r="F1048" t="s">
        <v>602</v>
      </c>
      <c r="G1048" s="4" t="str">
        <f t="shared" si="98"/>
        <v>105694.94</v>
      </c>
      <c r="H1048" t="str">
        <f t="shared" si="99"/>
        <v>105694.94</v>
      </c>
      <c r="I1048" s="1">
        <v>45716</v>
      </c>
      <c r="J1048" s="2">
        <f t="shared" si="100"/>
        <v>-2.8911256339367756E-2</v>
      </c>
      <c r="K1048" s="3" t="str">
        <f t="shared" si="101"/>
        <v/>
      </c>
      <c r="L1048" t="str">
        <f t="shared" si="102"/>
        <v/>
      </c>
      <c r="M1048" t="str">
        <f t="shared" si="103"/>
        <v/>
      </c>
      <c r="N1048">
        <v>108841.69</v>
      </c>
      <c r="O1048" t="s">
        <v>471</v>
      </c>
      <c r="Q1048" t="s">
        <v>19</v>
      </c>
    </row>
    <row r="1049" spans="1:17" x14ac:dyDescent="0.3">
      <c r="A1049">
        <v>100664348</v>
      </c>
      <c r="B1049" t="s">
        <v>302</v>
      </c>
      <c r="C1049" t="s">
        <v>19</v>
      </c>
      <c r="D1049" t="s">
        <v>303</v>
      </c>
      <c r="E1049" s="6">
        <v>16550.5</v>
      </c>
      <c r="F1049" t="s">
        <v>602</v>
      </c>
      <c r="G1049" s="4" t="str">
        <f t="shared" si="98"/>
        <v>16550.5</v>
      </c>
      <c r="H1049" t="str">
        <f t="shared" si="99"/>
        <v>16550.5</v>
      </c>
      <c r="I1049" s="1">
        <v>45716</v>
      </c>
      <c r="J1049" s="2">
        <f t="shared" si="100"/>
        <v>-3.3479718286828816E-2</v>
      </c>
      <c r="K1049" s="3" t="str">
        <f t="shared" si="101"/>
        <v/>
      </c>
      <c r="L1049" t="str">
        <f t="shared" si="102"/>
        <v/>
      </c>
      <c r="M1049" t="str">
        <f t="shared" si="103"/>
        <v/>
      </c>
      <c r="N1049">
        <v>17123.8</v>
      </c>
      <c r="O1049" t="s">
        <v>472</v>
      </c>
      <c r="Q1049" t="s">
        <v>19</v>
      </c>
    </row>
    <row r="1050" spans="1:17" x14ac:dyDescent="0.3">
      <c r="A1050">
        <v>100664351</v>
      </c>
      <c r="B1050" t="s">
        <v>305</v>
      </c>
      <c r="C1050" t="s">
        <v>19</v>
      </c>
      <c r="D1050" t="s">
        <v>306</v>
      </c>
      <c r="E1050" s="6">
        <v>25111.11</v>
      </c>
      <c r="F1050" t="s">
        <v>602</v>
      </c>
      <c r="G1050" s="4" t="str">
        <f t="shared" si="98"/>
        <v>25111.11</v>
      </c>
      <c r="H1050" t="str">
        <f t="shared" si="99"/>
        <v>25111.11</v>
      </c>
      <c r="I1050" s="1">
        <v>45716</v>
      </c>
      <c r="J1050" s="2">
        <f t="shared" si="100"/>
        <v>-6.5061194643346504E-2</v>
      </c>
      <c r="K1050" s="3" t="str">
        <f t="shared" si="101"/>
        <v/>
      </c>
      <c r="L1050" t="str">
        <f t="shared" si="102"/>
        <v/>
      </c>
      <c r="M1050" t="str">
        <f t="shared" si="103"/>
        <v/>
      </c>
      <c r="N1050">
        <v>26858.560000000001</v>
      </c>
      <c r="O1050" t="s">
        <v>473</v>
      </c>
      <c r="Q1050" t="s">
        <v>19</v>
      </c>
    </row>
    <row r="1051" spans="1:17" x14ac:dyDescent="0.3">
      <c r="A1051">
        <v>100664601</v>
      </c>
      <c r="B1051" t="s">
        <v>308</v>
      </c>
      <c r="C1051" t="s">
        <v>623</v>
      </c>
      <c r="D1051" t="s">
        <v>309</v>
      </c>
      <c r="E1051" s="6">
        <v>108662.61</v>
      </c>
      <c r="F1051" t="s">
        <v>602</v>
      </c>
      <c r="G1051" s="4" t="str">
        <f t="shared" si="98"/>
        <v>108662.61</v>
      </c>
      <c r="H1051" t="str">
        <f t="shared" si="99"/>
        <v>108662.61</v>
      </c>
      <c r="I1051" s="1">
        <v>45716</v>
      </c>
      <c r="J1051" s="2">
        <f t="shared" si="100"/>
        <v>-1.5437668036860154E-2</v>
      </c>
      <c r="K1051" s="3" t="str">
        <f t="shared" si="101"/>
        <v/>
      </c>
      <c r="L1051" t="str">
        <f t="shared" si="102"/>
        <v/>
      </c>
      <c r="M1051" t="str">
        <f t="shared" si="103"/>
        <v>Check</v>
      </c>
      <c r="N1051">
        <v>110366.41</v>
      </c>
      <c r="O1051" t="s">
        <v>310</v>
      </c>
      <c r="Q1051" t="s">
        <v>164</v>
      </c>
    </row>
    <row r="1052" spans="1:17" x14ac:dyDescent="0.3">
      <c r="A1052">
        <v>100664601</v>
      </c>
      <c r="B1052" t="s">
        <v>308</v>
      </c>
      <c r="C1052" t="s">
        <v>611</v>
      </c>
      <c r="D1052" t="s">
        <v>311</v>
      </c>
      <c r="E1052" s="6">
        <v>33329.29</v>
      </c>
      <c r="F1052" t="s">
        <v>602</v>
      </c>
      <c r="G1052" s="4" t="str">
        <f t="shared" si="98"/>
        <v>33329.29</v>
      </c>
      <c r="H1052" t="str">
        <f t="shared" si="99"/>
        <v>33329.29</v>
      </c>
      <c r="I1052" s="1">
        <v>45716</v>
      </c>
      <c r="J1052" s="2">
        <f t="shared" si="100"/>
        <v>-1.6711539562198587E-2</v>
      </c>
      <c r="K1052" s="3" t="str">
        <f t="shared" si="101"/>
        <v/>
      </c>
      <c r="L1052" t="str">
        <f t="shared" si="102"/>
        <v/>
      </c>
      <c r="M1052" t="str">
        <f t="shared" si="103"/>
        <v>Check</v>
      </c>
      <c r="N1052">
        <v>33895.74</v>
      </c>
      <c r="O1052" t="s">
        <v>312</v>
      </c>
      <c r="Q1052" t="s">
        <v>41</v>
      </c>
    </row>
    <row r="1053" spans="1:17" x14ac:dyDescent="0.3">
      <c r="A1053">
        <v>100664601</v>
      </c>
      <c r="B1053" t="s">
        <v>308</v>
      </c>
      <c r="C1053" t="s">
        <v>622</v>
      </c>
      <c r="D1053" t="s">
        <v>630</v>
      </c>
      <c r="E1053" s="6">
        <v>913.13</v>
      </c>
      <c r="F1053" t="s">
        <v>602</v>
      </c>
      <c r="G1053" s="4" t="str">
        <f t="shared" si="98"/>
        <v>913.13</v>
      </c>
      <c r="H1053" t="str">
        <f t="shared" si="99"/>
        <v>913.13</v>
      </c>
      <c r="I1053" s="1">
        <v>45716</v>
      </c>
      <c r="J1053" s="2">
        <f t="shared" si="100"/>
        <v>-0.13494950643248257</v>
      </c>
      <c r="K1053" s="3" t="str">
        <f t="shared" si="101"/>
        <v>Check!</v>
      </c>
      <c r="L1053" t="str">
        <f t="shared" si="102"/>
        <v/>
      </c>
      <c r="M1053" t="str">
        <f t="shared" si="103"/>
        <v/>
      </c>
      <c r="N1053">
        <v>1055.58</v>
      </c>
      <c r="O1053" t="s">
        <v>667</v>
      </c>
      <c r="Q1053" t="s">
        <v>622</v>
      </c>
    </row>
    <row r="1054" spans="1:17" x14ac:dyDescent="0.3">
      <c r="A1054">
        <v>100664601</v>
      </c>
      <c r="B1054" t="s">
        <v>308</v>
      </c>
      <c r="C1054" t="s">
        <v>606</v>
      </c>
      <c r="D1054" t="s">
        <v>631</v>
      </c>
      <c r="E1054" s="6">
        <v>913.13</v>
      </c>
      <c r="F1054" t="s">
        <v>602</v>
      </c>
      <c r="G1054" s="4" t="str">
        <f t="shared" si="98"/>
        <v>913.13</v>
      </c>
      <c r="H1054" t="str">
        <f t="shared" si="99"/>
        <v>913.13</v>
      </c>
      <c r="I1054" s="1">
        <v>45716</v>
      </c>
      <c r="J1054" s="2">
        <f t="shared" si="100"/>
        <v>-0.13494950643248257</v>
      </c>
      <c r="K1054" s="3" t="str">
        <f t="shared" si="101"/>
        <v>Check!</v>
      </c>
      <c r="L1054" t="str">
        <f t="shared" si="102"/>
        <v/>
      </c>
      <c r="M1054" t="str">
        <f t="shared" si="103"/>
        <v/>
      </c>
      <c r="N1054">
        <v>1055.58</v>
      </c>
      <c r="O1054" t="s">
        <v>668</v>
      </c>
      <c r="Q1054" t="s">
        <v>606</v>
      </c>
    </row>
    <row r="1055" spans="1:17" x14ac:dyDescent="0.3">
      <c r="A1055">
        <v>100664737</v>
      </c>
      <c r="B1055" t="s">
        <v>313</v>
      </c>
      <c r="C1055" t="s">
        <v>19</v>
      </c>
      <c r="D1055" t="s">
        <v>314</v>
      </c>
      <c r="E1055" s="6">
        <v>13354.54</v>
      </c>
      <c r="F1055" t="s">
        <v>602</v>
      </c>
      <c r="G1055" s="4" t="str">
        <f t="shared" si="98"/>
        <v>13354.54</v>
      </c>
      <c r="H1055" t="str">
        <f t="shared" si="99"/>
        <v>13354.54</v>
      </c>
      <c r="I1055" s="1">
        <v>45716</v>
      </c>
      <c r="J1055" s="2">
        <f t="shared" si="100"/>
        <v>-3.5061250973642627E-2</v>
      </c>
      <c r="K1055" s="3" t="str">
        <f t="shared" si="101"/>
        <v/>
      </c>
      <c r="L1055" t="str">
        <f t="shared" si="102"/>
        <v/>
      </c>
      <c r="M1055" t="str">
        <f t="shared" si="103"/>
        <v/>
      </c>
      <c r="N1055">
        <v>13839.78</v>
      </c>
      <c r="O1055" t="s">
        <v>474</v>
      </c>
      <c r="Q1055" t="s">
        <v>19</v>
      </c>
    </row>
    <row r="1056" spans="1:17" x14ac:dyDescent="0.3">
      <c r="A1056">
        <v>100664737</v>
      </c>
      <c r="B1056" t="s">
        <v>313</v>
      </c>
      <c r="C1056" t="s">
        <v>19</v>
      </c>
      <c r="D1056" t="s">
        <v>316</v>
      </c>
      <c r="E1056" s="6">
        <v>5592.93</v>
      </c>
      <c r="F1056" t="s">
        <v>602</v>
      </c>
      <c r="G1056" s="4" t="str">
        <f t="shared" si="98"/>
        <v>5592.93</v>
      </c>
      <c r="H1056" t="str">
        <f t="shared" si="99"/>
        <v>5592.93</v>
      </c>
      <c r="I1056" s="1">
        <v>45716</v>
      </c>
      <c r="J1056" s="2">
        <f t="shared" si="100"/>
        <v>-4.6278170359052614E-2</v>
      </c>
      <c r="K1056" s="3" t="str">
        <f t="shared" si="101"/>
        <v/>
      </c>
      <c r="L1056" t="str">
        <f t="shared" si="102"/>
        <v/>
      </c>
      <c r="M1056" t="str">
        <f t="shared" si="103"/>
        <v/>
      </c>
      <c r="N1056">
        <v>5864.32</v>
      </c>
      <c r="O1056" t="s">
        <v>475</v>
      </c>
      <c r="Q1056" t="s">
        <v>19</v>
      </c>
    </row>
    <row r="1057" spans="1:17" x14ac:dyDescent="0.3">
      <c r="A1057">
        <v>100665510</v>
      </c>
      <c r="B1057" t="s">
        <v>318</v>
      </c>
      <c r="C1057" t="s">
        <v>590</v>
      </c>
      <c r="D1057" t="s">
        <v>476</v>
      </c>
      <c r="E1057" s="6">
        <v>5250.5</v>
      </c>
      <c r="F1057" t="s">
        <v>602</v>
      </c>
      <c r="G1057" s="4" t="str">
        <f t="shared" si="98"/>
        <v>5250.5</v>
      </c>
      <c r="H1057" t="str">
        <f t="shared" si="99"/>
        <v>5250.5</v>
      </c>
      <c r="I1057" s="1">
        <v>45716</v>
      </c>
      <c r="J1057" s="2">
        <f t="shared" si="100"/>
        <v>-5.1876889963394599E-3</v>
      </c>
      <c r="K1057" s="3" t="str">
        <f t="shared" si="101"/>
        <v/>
      </c>
      <c r="L1057" t="str">
        <f t="shared" si="102"/>
        <v/>
      </c>
      <c r="M1057" t="str">
        <f t="shared" si="103"/>
        <v>Check</v>
      </c>
      <c r="N1057">
        <v>5277.88</v>
      </c>
      <c r="O1057" t="s">
        <v>477</v>
      </c>
      <c r="Q1057" t="s">
        <v>16</v>
      </c>
    </row>
    <row r="1058" spans="1:17" x14ac:dyDescent="0.3">
      <c r="A1058">
        <v>100665510</v>
      </c>
      <c r="B1058" t="s">
        <v>318</v>
      </c>
      <c r="C1058" t="s">
        <v>19</v>
      </c>
      <c r="D1058" t="s">
        <v>319</v>
      </c>
      <c r="E1058" s="6">
        <v>66658.58</v>
      </c>
      <c r="F1058" t="s">
        <v>602</v>
      </c>
      <c r="G1058" s="4" t="str">
        <f t="shared" si="98"/>
        <v>66658.58</v>
      </c>
      <c r="H1058" t="str">
        <f t="shared" si="99"/>
        <v>66658.58</v>
      </c>
      <c r="I1058" s="1">
        <v>45716</v>
      </c>
      <c r="J1058" s="2">
        <f t="shared" si="100"/>
        <v>-2.8477468169425178E-2</v>
      </c>
      <c r="K1058" s="3" t="str">
        <f t="shared" si="101"/>
        <v/>
      </c>
      <c r="L1058" t="str">
        <f t="shared" si="102"/>
        <v/>
      </c>
      <c r="M1058" t="str">
        <f t="shared" si="103"/>
        <v/>
      </c>
      <c r="N1058">
        <v>68612.490000000005</v>
      </c>
      <c r="O1058" t="s">
        <v>478</v>
      </c>
      <c r="Q1058" t="s">
        <v>19</v>
      </c>
    </row>
    <row r="1059" spans="1:17" x14ac:dyDescent="0.3">
      <c r="A1059">
        <v>100665581</v>
      </c>
      <c r="B1059" t="s">
        <v>321</v>
      </c>
      <c r="C1059" t="s">
        <v>623</v>
      </c>
      <c r="D1059" t="s">
        <v>322</v>
      </c>
      <c r="E1059" s="6">
        <v>64375.75</v>
      </c>
      <c r="F1059" t="s">
        <v>602</v>
      </c>
      <c r="G1059" s="4" t="str">
        <f t="shared" si="98"/>
        <v>64375.75</v>
      </c>
      <c r="H1059" t="str">
        <f t="shared" si="99"/>
        <v>64375.75</v>
      </c>
      <c r="I1059" s="1">
        <v>45716</v>
      </c>
      <c r="J1059" s="2">
        <f t="shared" si="100"/>
        <v>-1.6349569475547415E-2</v>
      </c>
      <c r="K1059" s="3" t="str">
        <f t="shared" si="101"/>
        <v/>
      </c>
      <c r="L1059" t="str">
        <f t="shared" si="102"/>
        <v/>
      </c>
      <c r="M1059" t="str">
        <f t="shared" si="103"/>
        <v>Check</v>
      </c>
      <c r="N1059">
        <v>65445.760000000002</v>
      </c>
      <c r="O1059" t="s">
        <v>323</v>
      </c>
      <c r="Q1059" t="s">
        <v>164</v>
      </c>
    </row>
    <row r="1060" spans="1:17" x14ac:dyDescent="0.3">
      <c r="A1060">
        <v>100665581</v>
      </c>
      <c r="B1060" t="s">
        <v>321</v>
      </c>
      <c r="C1060" t="s">
        <v>622</v>
      </c>
      <c r="D1060" t="s">
        <v>632</v>
      </c>
      <c r="E1060" s="6">
        <v>913.13</v>
      </c>
      <c r="F1060" t="s">
        <v>602</v>
      </c>
      <c r="G1060" s="4" t="str">
        <f t="shared" si="98"/>
        <v>913.13</v>
      </c>
      <c r="H1060" t="str">
        <f t="shared" si="99"/>
        <v>913.13</v>
      </c>
      <c r="I1060" s="1">
        <v>45716</v>
      </c>
      <c r="J1060" s="2">
        <f t="shared" si="100"/>
        <v>-0.13494950643248257</v>
      </c>
      <c r="K1060" s="3" t="str">
        <f t="shared" si="101"/>
        <v>Check!</v>
      </c>
      <c r="L1060" t="str">
        <f t="shared" si="102"/>
        <v/>
      </c>
      <c r="M1060" t="str">
        <f t="shared" si="103"/>
        <v/>
      </c>
      <c r="N1060">
        <v>1055.58</v>
      </c>
      <c r="O1060" t="s">
        <v>669</v>
      </c>
      <c r="Q1060" t="s">
        <v>622</v>
      </c>
    </row>
    <row r="1061" spans="1:17" x14ac:dyDescent="0.3">
      <c r="A1061">
        <v>100665581</v>
      </c>
      <c r="B1061" t="s">
        <v>321</v>
      </c>
      <c r="C1061" t="s">
        <v>590</v>
      </c>
      <c r="D1061" t="s">
        <v>639</v>
      </c>
      <c r="E1061" s="6">
        <v>130577.76</v>
      </c>
      <c r="F1061" t="s">
        <v>602</v>
      </c>
      <c r="G1061" s="4" t="str">
        <f t="shared" si="98"/>
        <v>130577.76</v>
      </c>
      <c r="H1061" t="str">
        <f t="shared" si="99"/>
        <v>130577.76</v>
      </c>
      <c r="I1061" s="1">
        <v>45716</v>
      </c>
      <c r="J1061" s="2">
        <f t="shared" si="100"/>
        <v>9.3145819789518249</v>
      </c>
      <c r="K1061" s="3" t="str">
        <f t="shared" si="101"/>
        <v>Check!</v>
      </c>
      <c r="L1061" t="str">
        <f t="shared" si="102"/>
        <v/>
      </c>
      <c r="M1061" t="str">
        <f t="shared" si="103"/>
        <v/>
      </c>
      <c r="N1061">
        <v>12659.53</v>
      </c>
      <c r="O1061" t="s">
        <v>684</v>
      </c>
      <c r="Q1061" t="s">
        <v>590</v>
      </c>
    </row>
    <row r="1062" spans="1:17" x14ac:dyDescent="0.3">
      <c r="A1062">
        <v>100666150</v>
      </c>
      <c r="B1062" t="s">
        <v>324</v>
      </c>
      <c r="C1062" t="s">
        <v>19</v>
      </c>
      <c r="D1062" t="s">
        <v>325</v>
      </c>
      <c r="E1062" s="6">
        <v>112201</v>
      </c>
      <c r="F1062" t="s">
        <v>602</v>
      </c>
      <c r="G1062" s="4" t="str">
        <f t="shared" si="98"/>
        <v>112201</v>
      </c>
      <c r="H1062" t="str">
        <f t="shared" si="99"/>
        <v>112201</v>
      </c>
      <c r="I1062" s="1">
        <v>45716</v>
      </c>
      <c r="J1062" s="2">
        <f t="shared" si="100"/>
        <v>-2.8789890779653996E-2</v>
      </c>
      <c r="K1062" s="3" t="str">
        <f t="shared" si="101"/>
        <v/>
      </c>
      <c r="L1062" t="str">
        <f t="shared" si="102"/>
        <v/>
      </c>
      <c r="M1062" t="str">
        <f t="shared" si="103"/>
        <v/>
      </c>
      <c r="N1062">
        <v>115527.01</v>
      </c>
      <c r="O1062" t="s">
        <v>479</v>
      </c>
      <c r="Q1062" t="s">
        <v>19</v>
      </c>
    </row>
    <row r="1063" spans="1:17" x14ac:dyDescent="0.3">
      <c r="A1063">
        <v>100668166</v>
      </c>
      <c r="B1063" t="s">
        <v>480</v>
      </c>
      <c r="C1063" t="s">
        <v>590</v>
      </c>
      <c r="D1063" t="s">
        <v>481</v>
      </c>
      <c r="E1063" s="6">
        <v>13925.25</v>
      </c>
      <c r="F1063" t="s">
        <v>602</v>
      </c>
      <c r="G1063" s="4" t="str">
        <f t="shared" si="98"/>
        <v>13925.25</v>
      </c>
      <c r="H1063" t="str">
        <f t="shared" si="99"/>
        <v>13925.25</v>
      </c>
      <c r="I1063" s="1">
        <v>45716</v>
      </c>
      <c r="J1063" s="2">
        <f t="shared" si="100"/>
        <v>-3.4725683322230798E-2</v>
      </c>
      <c r="K1063" s="3" t="str">
        <f t="shared" si="101"/>
        <v/>
      </c>
      <c r="L1063" t="str">
        <f t="shared" si="102"/>
        <v/>
      </c>
      <c r="M1063" t="str">
        <f t="shared" si="103"/>
        <v>Check</v>
      </c>
      <c r="N1063">
        <v>14426.21</v>
      </c>
      <c r="O1063" t="s">
        <v>482</v>
      </c>
      <c r="Q1063" t="s">
        <v>16</v>
      </c>
    </row>
    <row r="1064" spans="1:17" x14ac:dyDescent="0.3">
      <c r="A1064">
        <v>100668409</v>
      </c>
      <c r="B1064" t="s">
        <v>327</v>
      </c>
      <c r="C1064" t="s">
        <v>590</v>
      </c>
      <c r="D1064" t="s">
        <v>328</v>
      </c>
      <c r="E1064" s="6">
        <v>21686.87</v>
      </c>
      <c r="F1064" t="s">
        <v>602</v>
      </c>
      <c r="G1064" s="4" t="str">
        <f t="shared" si="98"/>
        <v>21686.87</v>
      </c>
      <c r="H1064" t="str">
        <f t="shared" si="99"/>
        <v>21686.87</v>
      </c>
      <c r="I1064" s="1">
        <v>45716</v>
      </c>
      <c r="J1064" s="2">
        <f t="shared" si="100"/>
        <v>-3.1908767556719016E-2</v>
      </c>
      <c r="K1064" s="3" t="str">
        <f t="shared" si="101"/>
        <v/>
      </c>
      <c r="L1064" t="str">
        <f t="shared" si="102"/>
        <v/>
      </c>
      <c r="M1064" t="str">
        <f t="shared" si="103"/>
        <v>Check</v>
      </c>
      <c r="N1064">
        <v>22401.68</v>
      </c>
      <c r="O1064" t="s">
        <v>483</v>
      </c>
      <c r="Q1064" t="s">
        <v>16</v>
      </c>
    </row>
    <row r="1065" spans="1:17" x14ac:dyDescent="0.3">
      <c r="A1065">
        <v>100668534</v>
      </c>
      <c r="B1065" t="s">
        <v>330</v>
      </c>
      <c r="C1065" t="s">
        <v>590</v>
      </c>
      <c r="D1065" t="s">
        <v>331</v>
      </c>
      <c r="E1065" s="6">
        <v>44971.71</v>
      </c>
      <c r="F1065" t="s">
        <v>602</v>
      </c>
      <c r="G1065" s="4" t="str">
        <f t="shared" si="98"/>
        <v>44971.71</v>
      </c>
      <c r="H1065" t="str">
        <f t="shared" si="99"/>
        <v>44971.71</v>
      </c>
      <c r="I1065" s="1">
        <v>45716</v>
      </c>
      <c r="J1065" s="2">
        <f t="shared" si="100"/>
        <v>-2.9277701714014056E-2</v>
      </c>
      <c r="K1065" s="3" t="str">
        <f t="shared" si="101"/>
        <v/>
      </c>
      <c r="L1065" t="str">
        <f t="shared" si="102"/>
        <v/>
      </c>
      <c r="M1065" t="str">
        <f t="shared" si="103"/>
        <v>Check</v>
      </c>
      <c r="N1065">
        <v>46328.09</v>
      </c>
      <c r="O1065" t="s">
        <v>484</v>
      </c>
      <c r="Q1065" t="s">
        <v>16</v>
      </c>
    </row>
    <row r="1066" spans="1:17" x14ac:dyDescent="0.3">
      <c r="A1066">
        <v>100669580</v>
      </c>
      <c r="B1066" t="s">
        <v>333</v>
      </c>
      <c r="C1066" t="s">
        <v>19</v>
      </c>
      <c r="D1066" t="s">
        <v>334</v>
      </c>
      <c r="E1066" s="6">
        <v>52847.47</v>
      </c>
      <c r="F1066" t="s">
        <v>602</v>
      </c>
      <c r="G1066" s="4" t="str">
        <f t="shared" si="98"/>
        <v>52847.47</v>
      </c>
      <c r="H1066" t="str">
        <f t="shared" si="99"/>
        <v>52847.47</v>
      </c>
      <c r="I1066" s="1">
        <v>45716</v>
      </c>
      <c r="J1066" s="2">
        <f t="shared" si="100"/>
        <v>-2.8911167119066803E-2</v>
      </c>
      <c r="K1066" s="3" t="str">
        <f t="shared" si="101"/>
        <v/>
      </c>
      <c r="L1066" t="str">
        <f t="shared" si="102"/>
        <v/>
      </c>
      <c r="M1066" t="str">
        <f t="shared" si="103"/>
        <v/>
      </c>
      <c r="N1066">
        <v>54420.84</v>
      </c>
      <c r="O1066" t="s">
        <v>485</v>
      </c>
      <c r="Q1066" t="s">
        <v>19</v>
      </c>
    </row>
    <row r="1067" spans="1:17" x14ac:dyDescent="0.3">
      <c r="A1067">
        <v>100670671</v>
      </c>
      <c r="B1067" t="s">
        <v>336</v>
      </c>
      <c r="C1067" t="s">
        <v>590</v>
      </c>
      <c r="D1067" t="s">
        <v>337</v>
      </c>
      <c r="E1067" s="6">
        <v>408626.21</v>
      </c>
      <c r="F1067" t="s">
        <v>602</v>
      </c>
      <c r="G1067" s="4" t="str">
        <f t="shared" si="98"/>
        <v>408626.21</v>
      </c>
      <c r="H1067" t="str">
        <f t="shared" si="99"/>
        <v>408626.21</v>
      </c>
      <c r="I1067" s="1">
        <v>45716</v>
      </c>
      <c r="J1067" s="2">
        <f t="shared" si="100"/>
        <v>0.7463690695907369</v>
      </c>
      <c r="K1067" s="3" t="str">
        <f t="shared" si="101"/>
        <v>Check!</v>
      </c>
      <c r="L1067" t="str">
        <f t="shared" si="102"/>
        <v/>
      </c>
      <c r="M1067" t="str">
        <f t="shared" si="103"/>
        <v>Check</v>
      </c>
      <c r="N1067">
        <v>233986.17</v>
      </c>
      <c r="O1067" t="s">
        <v>486</v>
      </c>
      <c r="Q1067" t="s">
        <v>16</v>
      </c>
    </row>
    <row r="1068" spans="1:17" x14ac:dyDescent="0.3">
      <c r="A1068">
        <v>100670671</v>
      </c>
      <c r="B1068" t="s">
        <v>336</v>
      </c>
      <c r="C1068" t="s">
        <v>611</v>
      </c>
      <c r="D1068" t="s">
        <v>339</v>
      </c>
      <c r="E1068" s="6">
        <v>5592.93</v>
      </c>
      <c r="F1068" t="s">
        <v>602</v>
      </c>
      <c r="G1068" s="4" t="str">
        <f t="shared" si="98"/>
        <v>5592.93</v>
      </c>
      <c r="H1068" t="str">
        <f t="shared" si="99"/>
        <v>5592.93</v>
      </c>
      <c r="I1068" s="1">
        <v>45716</v>
      </c>
      <c r="J1068" s="2">
        <f t="shared" si="100"/>
        <v>-4.6278170359052614E-2</v>
      </c>
      <c r="K1068" s="3" t="str">
        <f t="shared" si="101"/>
        <v/>
      </c>
      <c r="L1068" t="str">
        <f t="shared" si="102"/>
        <v/>
      </c>
      <c r="M1068" t="str">
        <f t="shared" si="103"/>
        <v>Check</v>
      </c>
      <c r="N1068">
        <v>5864.32</v>
      </c>
      <c r="O1068" t="s">
        <v>340</v>
      </c>
      <c r="Q1068" t="s">
        <v>41</v>
      </c>
    </row>
    <row r="1069" spans="1:17" x14ac:dyDescent="0.3">
      <c r="A1069">
        <v>100675336</v>
      </c>
      <c r="B1069" t="s">
        <v>347</v>
      </c>
      <c r="C1069" t="s">
        <v>19</v>
      </c>
      <c r="D1069" t="s">
        <v>348</v>
      </c>
      <c r="E1069" s="6">
        <v>72822.210000000006</v>
      </c>
      <c r="F1069" t="s">
        <v>602</v>
      </c>
      <c r="G1069" s="4" t="str">
        <f t="shared" si="98"/>
        <v>72822.21</v>
      </c>
      <c r="H1069" t="str">
        <f t="shared" si="99"/>
        <v>72822.21</v>
      </c>
      <c r="I1069" s="1">
        <v>45716</v>
      </c>
      <c r="J1069" s="2">
        <f t="shared" si="100"/>
        <v>-2.9855096829699303E-2</v>
      </c>
      <c r="K1069" s="3" t="str">
        <f t="shared" si="101"/>
        <v/>
      </c>
      <c r="L1069" t="str">
        <f t="shared" si="102"/>
        <v/>
      </c>
      <c r="M1069" t="str">
        <f t="shared" si="103"/>
        <v/>
      </c>
      <c r="N1069">
        <v>75063.23</v>
      </c>
      <c r="O1069" t="s">
        <v>487</v>
      </c>
      <c r="Q1069" t="s">
        <v>19</v>
      </c>
    </row>
    <row r="1070" spans="1:17" x14ac:dyDescent="0.3">
      <c r="A1070">
        <v>100677278</v>
      </c>
      <c r="B1070" t="s">
        <v>350</v>
      </c>
      <c r="C1070" t="s">
        <v>19</v>
      </c>
      <c r="D1070" t="s">
        <v>351</v>
      </c>
      <c r="E1070" s="6">
        <v>44629.29</v>
      </c>
      <c r="F1070" t="s">
        <v>602</v>
      </c>
      <c r="G1070" s="4" t="str">
        <f t="shared" si="98"/>
        <v>44629.29</v>
      </c>
      <c r="H1070" t="str">
        <f t="shared" si="99"/>
        <v>44629.29</v>
      </c>
      <c r="I1070" s="1">
        <v>45716</v>
      </c>
      <c r="J1070" s="2">
        <f t="shared" si="100"/>
        <v>-2.9296442966289367E-2</v>
      </c>
      <c r="K1070" s="3" t="str">
        <f t="shared" si="101"/>
        <v/>
      </c>
      <c r="L1070" t="str">
        <f t="shared" si="102"/>
        <v/>
      </c>
      <c r="M1070" t="str">
        <f t="shared" si="103"/>
        <v/>
      </c>
      <c r="N1070">
        <v>45976.23</v>
      </c>
      <c r="O1070" t="s">
        <v>488</v>
      </c>
      <c r="Q1070" t="s">
        <v>19</v>
      </c>
    </row>
    <row r="1071" spans="1:17" x14ac:dyDescent="0.3">
      <c r="A1071">
        <v>100677585</v>
      </c>
      <c r="B1071" t="s">
        <v>353</v>
      </c>
      <c r="C1071" t="s">
        <v>19</v>
      </c>
      <c r="D1071" t="s">
        <v>354</v>
      </c>
      <c r="E1071" s="6">
        <v>34584.839999999997</v>
      </c>
      <c r="F1071" t="s">
        <v>602</v>
      </c>
      <c r="G1071" s="4" t="str">
        <f t="shared" si="98"/>
        <v>34584.84</v>
      </c>
      <c r="H1071" t="str">
        <f t="shared" si="99"/>
        <v>34584.84</v>
      </c>
      <c r="I1071" s="1">
        <v>45716</v>
      </c>
      <c r="J1071" s="2">
        <f t="shared" si="100"/>
        <v>-3.001539193337055E-2</v>
      </c>
      <c r="K1071" s="3" t="str">
        <f t="shared" si="101"/>
        <v/>
      </c>
      <c r="L1071" t="str">
        <f t="shared" si="102"/>
        <v/>
      </c>
      <c r="M1071" t="str">
        <f t="shared" si="103"/>
        <v/>
      </c>
      <c r="N1071">
        <v>35655.040000000001</v>
      </c>
      <c r="O1071" t="s">
        <v>489</v>
      </c>
      <c r="Q1071" t="s">
        <v>19</v>
      </c>
    </row>
    <row r="1072" spans="1:17" x14ac:dyDescent="0.3">
      <c r="A1072">
        <v>100706842</v>
      </c>
      <c r="B1072" t="s">
        <v>356</v>
      </c>
      <c r="C1072" t="s">
        <v>19</v>
      </c>
      <c r="D1072" t="s">
        <v>357</v>
      </c>
      <c r="E1072" s="6">
        <v>13696.97</v>
      </c>
      <c r="F1072" t="s">
        <v>602</v>
      </c>
      <c r="G1072" s="4" t="str">
        <f t="shared" si="98"/>
        <v>13696.97</v>
      </c>
      <c r="H1072" t="str">
        <f t="shared" si="99"/>
        <v>13696.97</v>
      </c>
      <c r="I1072" s="1">
        <v>45716</v>
      </c>
      <c r="J1072" s="2">
        <f t="shared" si="100"/>
        <v>-3.485643660634008E-2</v>
      </c>
      <c r="K1072" s="3" t="str">
        <f t="shared" si="101"/>
        <v/>
      </c>
      <c r="L1072" t="str">
        <f t="shared" si="102"/>
        <v/>
      </c>
      <c r="M1072" t="str">
        <f t="shared" si="103"/>
        <v/>
      </c>
      <c r="N1072">
        <v>14191.64</v>
      </c>
      <c r="O1072" t="s">
        <v>490</v>
      </c>
      <c r="Q1072" t="s">
        <v>19</v>
      </c>
    </row>
    <row r="1073" spans="1:17" x14ac:dyDescent="0.3">
      <c r="A1073">
        <v>100711105</v>
      </c>
      <c r="B1073" t="s">
        <v>359</v>
      </c>
      <c r="C1073" t="s">
        <v>590</v>
      </c>
      <c r="D1073" t="s">
        <v>360</v>
      </c>
      <c r="E1073" s="6">
        <v>1597.98</v>
      </c>
      <c r="F1073" t="s">
        <v>602</v>
      </c>
      <c r="G1073" s="4" t="str">
        <f t="shared" si="98"/>
        <v>1597.98</v>
      </c>
      <c r="H1073" t="str">
        <f t="shared" si="99"/>
        <v>1597.98</v>
      </c>
      <c r="I1073" s="1">
        <v>45716</v>
      </c>
      <c r="J1073" s="2">
        <f t="shared" si="100"/>
        <v>-0.28291540270323634</v>
      </c>
      <c r="K1073" s="3" t="str">
        <f t="shared" si="101"/>
        <v>Check!</v>
      </c>
      <c r="L1073" t="str">
        <f t="shared" si="102"/>
        <v/>
      </c>
      <c r="M1073" t="str">
        <f t="shared" si="103"/>
        <v>Check</v>
      </c>
      <c r="N1073">
        <v>2228.44</v>
      </c>
      <c r="O1073" t="s">
        <v>491</v>
      </c>
      <c r="Q1073" t="s">
        <v>16</v>
      </c>
    </row>
    <row r="1074" spans="1:17" x14ac:dyDescent="0.3">
      <c r="A1074">
        <v>100786852</v>
      </c>
      <c r="B1074" t="s">
        <v>636</v>
      </c>
      <c r="C1074" t="s">
        <v>19</v>
      </c>
      <c r="D1074" t="s">
        <v>637</v>
      </c>
      <c r="E1074" s="6">
        <v>197692.9</v>
      </c>
      <c r="F1074" t="s">
        <v>602</v>
      </c>
      <c r="G1074" s="4" t="str">
        <f t="shared" si="98"/>
        <v>197692.9</v>
      </c>
      <c r="H1074" t="str">
        <f t="shared" si="99"/>
        <v>197692.9</v>
      </c>
      <c r="I1074" s="1">
        <v>45716</v>
      </c>
      <c r="J1074" s="2">
        <f t="shared" si="100"/>
        <v>-2.8496637185206574E-2</v>
      </c>
      <c r="K1074" s="3" t="str">
        <f t="shared" si="101"/>
        <v/>
      </c>
      <c r="L1074" t="str">
        <f t="shared" si="102"/>
        <v/>
      </c>
      <c r="M1074" t="str">
        <f t="shared" si="103"/>
        <v/>
      </c>
      <c r="N1074">
        <v>203491.73</v>
      </c>
      <c r="O1074" t="s">
        <v>685</v>
      </c>
      <c r="Q1074" t="s">
        <v>19</v>
      </c>
    </row>
    <row r="1075" spans="1:17" x14ac:dyDescent="0.3">
      <c r="A1075">
        <v>100799345</v>
      </c>
      <c r="B1075" t="s">
        <v>640</v>
      </c>
      <c r="C1075" t="s">
        <v>590</v>
      </c>
      <c r="D1075" t="s">
        <v>641</v>
      </c>
      <c r="E1075" s="6">
        <v>313089.86</v>
      </c>
      <c r="F1075" t="s">
        <v>602</v>
      </c>
      <c r="G1075" s="4" t="str">
        <f t="shared" si="98"/>
        <v>313089.86</v>
      </c>
      <c r="H1075" t="str">
        <f t="shared" si="99"/>
        <v>313089.86</v>
      </c>
      <c r="I1075" s="1">
        <v>45716</v>
      </c>
      <c r="J1075" s="2">
        <f t="shared" si="100"/>
        <v>2.5210182696271919</v>
      </c>
      <c r="K1075" s="3" t="str">
        <f t="shared" si="101"/>
        <v>Check!</v>
      </c>
      <c r="L1075" t="str">
        <f t="shared" si="102"/>
        <v/>
      </c>
      <c r="M1075" t="str">
        <f t="shared" si="103"/>
        <v/>
      </c>
      <c r="N1075">
        <v>88920.26</v>
      </c>
      <c r="O1075" t="s">
        <v>686</v>
      </c>
      <c r="Q1075" t="s">
        <v>590</v>
      </c>
    </row>
    <row r="1076" spans="1:17" s="7" customFormat="1" x14ac:dyDescent="0.3">
      <c r="A1076" s="7">
        <v>32490</v>
      </c>
      <c r="B1076" s="7" t="s">
        <v>15</v>
      </c>
      <c r="C1076" s="7" t="s">
        <v>590</v>
      </c>
      <c r="D1076" s="7" t="s">
        <v>17</v>
      </c>
      <c r="E1076" s="8">
        <v>7815.06</v>
      </c>
      <c r="F1076" s="7" t="s">
        <v>603</v>
      </c>
      <c r="G1076" s="4" t="str">
        <f t="shared" si="98"/>
        <v>7815.06</v>
      </c>
      <c r="H1076" t="str">
        <f t="shared" si="99"/>
        <v>7815.06</v>
      </c>
      <c r="I1076" s="1">
        <v>45716</v>
      </c>
      <c r="J1076" s="2">
        <f t="shared" si="100"/>
        <v>-5.6897266844618231E-3</v>
      </c>
      <c r="K1076" s="3" t="str">
        <f t="shared" si="101"/>
        <v/>
      </c>
      <c r="L1076" t="str">
        <f t="shared" si="102"/>
        <v/>
      </c>
      <c r="M1076" t="str">
        <f t="shared" si="103"/>
        <v>Check</v>
      </c>
      <c r="N1076" s="7">
        <v>7859.78</v>
      </c>
      <c r="O1076" s="7" t="s">
        <v>18</v>
      </c>
      <c r="Q1076" s="7" t="s">
        <v>16</v>
      </c>
    </row>
    <row r="1077" spans="1:17" x14ac:dyDescent="0.3">
      <c r="A1077">
        <v>32490</v>
      </c>
      <c r="B1077" t="s">
        <v>15</v>
      </c>
      <c r="C1077" t="s">
        <v>19</v>
      </c>
      <c r="D1077" t="s">
        <v>20</v>
      </c>
      <c r="E1077" s="6">
        <v>954.3</v>
      </c>
      <c r="F1077" t="s">
        <v>603</v>
      </c>
      <c r="G1077" s="4" t="str">
        <f t="shared" si="98"/>
        <v>954.3</v>
      </c>
      <c r="H1077" t="str">
        <f t="shared" si="99"/>
        <v>954.3</v>
      </c>
      <c r="I1077" s="1">
        <v>45716</v>
      </c>
      <c r="J1077" s="2">
        <f t="shared" si="100"/>
        <v>-0.22844322270283379</v>
      </c>
      <c r="K1077" s="3" t="str">
        <f t="shared" si="101"/>
        <v>Check!</v>
      </c>
      <c r="L1077" t="str">
        <f t="shared" si="102"/>
        <v/>
      </c>
      <c r="M1077" t="str">
        <f t="shared" si="103"/>
        <v/>
      </c>
      <c r="N1077">
        <v>1236.8499999999999</v>
      </c>
      <c r="O1077" t="s">
        <v>21</v>
      </c>
      <c r="Q1077" t="s">
        <v>19</v>
      </c>
    </row>
    <row r="1078" spans="1:17" x14ac:dyDescent="0.3">
      <c r="A1078">
        <v>32490</v>
      </c>
      <c r="B1078" t="s">
        <v>15</v>
      </c>
      <c r="C1078" t="s">
        <v>19</v>
      </c>
      <c r="D1078" t="s">
        <v>22</v>
      </c>
      <c r="E1078" s="6">
        <v>3175.8</v>
      </c>
      <c r="F1078" t="s">
        <v>603</v>
      </c>
      <c r="G1078" s="4" t="str">
        <f t="shared" si="98"/>
        <v>3175.8</v>
      </c>
      <c r="H1078" t="str">
        <f t="shared" si="99"/>
        <v>3175.8</v>
      </c>
      <c r="I1078" s="1">
        <v>45716</v>
      </c>
      <c r="J1078" s="2">
        <f t="shared" si="100"/>
        <v>-0.26651146032537903</v>
      </c>
      <c r="K1078" s="3" t="str">
        <f t="shared" si="101"/>
        <v>Check!</v>
      </c>
      <c r="L1078" t="str">
        <f t="shared" si="102"/>
        <v/>
      </c>
      <c r="M1078" t="str">
        <f t="shared" si="103"/>
        <v/>
      </c>
      <c r="N1078">
        <v>4329.72</v>
      </c>
      <c r="O1078" t="s">
        <v>23</v>
      </c>
      <c r="Q1078" t="s">
        <v>19</v>
      </c>
    </row>
    <row r="1079" spans="1:17" x14ac:dyDescent="0.3">
      <c r="A1079">
        <v>33672</v>
      </c>
      <c r="B1079" t="s">
        <v>24</v>
      </c>
      <c r="C1079" t="s">
        <v>19</v>
      </c>
      <c r="D1079" t="s">
        <v>25</v>
      </c>
      <c r="E1079" s="6">
        <v>13698.14</v>
      </c>
      <c r="F1079" t="s">
        <v>603</v>
      </c>
      <c r="G1079" s="4" t="str">
        <f t="shared" si="98"/>
        <v>13698.14</v>
      </c>
      <c r="H1079" t="str">
        <f t="shared" si="99"/>
        <v>13698.14</v>
      </c>
      <c r="I1079" s="1">
        <v>45716</v>
      </c>
      <c r="J1079" s="2">
        <f t="shared" si="100"/>
        <v>-0.17752896151633824</v>
      </c>
      <c r="K1079" s="3" t="str">
        <f t="shared" si="101"/>
        <v>Check!</v>
      </c>
      <c r="L1079" t="str">
        <f t="shared" si="102"/>
        <v/>
      </c>
      <c r="M1079" t="str">
        <f t="shared" si="103"/>
        <v/>
      </c>
      <c r="N1079">
        <v>16654.86</v>
      </c>
      <c r="O1079" t="s">
        <v>26</v>
      </c>
      <c r="Q1079" t="s">
        <v>19</v>
      </c>
    </row>
    <row r="1080" spans="1:17" x14ac:dyDescent="0.3">
      <c r="A1080">
        <v>34171</v>
      </c>
      <c r="B1080" t="s">
        <v>27</v>
      </c>
      <c r="C1080" t="s">
        <v>19</v>
      </c>
      <c r="D1080" t="s">
        <v>28</v>
      </c>
      <c r="E1080" s="6">
        <v>3991.03</v>
      </c>
      <c r="F1080" t="s">
        <v>603</v>
      </c>
      <c r="G1080" s="4" t="str">
        <f t="shared" si="98"/>
        <v>3991.03</v>
      </c>
      <c r="H1080" t="str">
        <f t="shared" si="99"/>
        <v>3991.03</v>
      </c>
      <c r="I1080" s="1">
        <v>45716</v>
      </c>
      <c r="J1080" s="2">
        <f t="shared" si="100"/>
        <v>9.3547011762345903E-4</v>
      </c>
      <c r="K1080" s="3" t="str">
        <f t="shared" si="101"/>
        <v/>
      </c>
      <c r="L1080" t="str">
        <f t="shared" si="102"/>
        <v/>
      </c>
      <c r="M1080" t="str">
        <f t="shared" si="103"/>
        <v/>
      </c>
      <c r="N1080">
        <v>3987.3</v>
      </c>
      <c r="O1080" t="s">
        <v>29</v>
      </c>
      <c r="Q1080" t="s">
        <v>19</v>
      </c>
    </row>
    <row r="1081" spans="1:17" x14ac:dyDescent="0.3">
      <c r="A1081">
        <v>34173</v>
      </c>
      <c r="B1081" t="s">
        <v>30</v>
      </c>
      <c r="C1081" t="s">
        <v>19</v>
      </c>
      <c r="D1081" t="s">
        <v>31</v>
      </c>
      <c r="E1081" s="6">
        <v>4735.3</v>
      </c>
      <c r="F1081" t="s">
        <v>603</v>
      </c>
      <c r="G1081" s="4" t="str">
        <f t="shared" si="98"/>
        <v>4735.3</v>
      </c>
      <c r="H1081" t="str">
        <f t="shared" si="99"/>
        <v>4735.3</v>
      </c>
      <c r="I1081" s="1">
        <v>45716</v>
      </c>
      <c r="J1081" s="2">
        <f t="shared" si="100"/>
        <v>-1.1970363075279518E-2</v>
      </c>
      <c r="K1081" s="3" t="str">
        <f t="shared" si="101"/>
        <v/>
      </c>
      <c r="L1081" t="str">
        <f t="shared" si="102"/>
        <v/>
      </c>
      <c r="M1081" t="str">
        <f t="shared" si="103"/>
        <v/>
      </c>
      <c r="N1081">
        <v>4792.67</v>
      </c>
      <c r="O1081" t="s">
        <v>32</v>
      </c>
      <c r="Q1081" t="s">
        <v>19</v>
      </c>
    </row>
    <row r="1082" spans="1:17" x14ac:dyDescent="0.3">
      <c r="A1082">
        <v>34196</v>
      </c>
      <c r="B1082" t="s">
        <v>33</v>
      </c>
      <c r="C1082" t="s">
        <v>590</v>
      </c>
      <c r="D1082" t="s">
        <v>34</v>
      </c>
      <c r="E1082" s="6">
        <v>109359.83</v>
      </c>
      <c r="F1082" t="s">
        <v>603</v>
      </c>
      <c r="G1082" s="4" t="str">
        <f t="shared" si="98"/>
        <v>109359.83</v>
      </c>
      <c r="H1082" t="str">
        <f t="shared" si="99"/>
        <v>109359.83</v>
      </c>
      <c r="I1082" s="1">
        <v>45716</v>
      </c>
      <c r="J1082" s="2">
        <f t="shared" si="100"/>
        <v>-6.3185553579375824E-3</v>
      </c>
      <c r="K1082" s="3" t="str">
        <f t="shared" si="101"/>
        <v/>
      </c>
      <c r="L1082" t="str">
        <f t="shared" si="102"/>
        <v/>
      </c>
      <c r="M1082" t="str">
        <f t="shared" si="103"/>
        <v>Check</v>
      </c>
      <c r="N1082">
        <v>110055.22</v>
      </c>
      <c r="O1082" t="s">
        <v>35</v>
      </c>
      <c r="Q1082" t="s">
        <v>16</v>
      </c>
    </row>
    <row r="1083" spans="1:17" x14ac:dyDescent="0.3">
      <c r="A1083">
        <v>34199</v>
      </c>
      <c r="B1083" t="s">
        <v>36</v>
      </c>
      <c r="C1083" t="s">
        <v>590</v>
      </c>
      <c r="D1083" t="s">
        <v>37</v>
      </c>
      <c r="E1083" s="6">
        <v>4748.57</v>
      </c>
      <c r="F1083" t="s">
        <v>603</v>
      </c>
      <c r="G1083" s="4" t="str">
        <f t="shared" si="98"/>
        <v>4748.57</v>
      </c>
      <c r="H1083" t="str">
        <f t="shared" si="99"/>
        <v>4748.57</v>
      </c>
      <c r="I1083" s="1">
        <v>45716</v>
      </c>
      <c r="J1083" s="2">
        <f t="shared" si="100"/>
        <v>-0.2009366160328607</v>
      </c>
      <c r="K1083" s="3" t="str">
        <f t="shared" si="101"/>
        <v>Check!</v>
      </c>
      <c r="L1083" t="str">
        <f t="shared" si="102"/>
        <v/>
      </c>
      <c r="M1083" t="str">
        <f t="shared" si="103"/>
        <v>Check</v>
      </c>
      <c r="N1083">
        <v>5942.67</v>
      </c>
      <c r="O1083" t="s">
        <v>38</v>
      </c>
      <c r="Q1083" t="s">
        <v>16</v>
      </c>
    </row>
    <row r="1084" spans="1:17" x14ac:dyDescent="0.3">
      <c r="A1084">
        <v>34199</v>
      </c>
      <c r="B1084" t="s">
        <v>36</v>
      </c>
      <c r="C1084" t="s">
        <v>19</v>
      </c>
      <c r="D1084" t="s">
        <v>39</v>
      </c>
      <c r="E1084" s="6">
        <v>3671.14</v>
      </c>
      <c r="F1084" t="s">
        <v>603</v>
      </c>
      <c r="G1084" s="4" t="str">
        <f t="shared" si="98"/>
        <v>3671.14</v>
      </c>
      <c r="H1084" t="str">
        <f t="shared" si="99"/>
        <v>3671.14</v>
      </c>
      <c r="I1084" s="1">
        <v>45716</v>
      </c>
      <c r="J1084" s="2">
        <f t="shared" si="100"/>
        <v>-7.070062316081099E-3</v>
      </c>
      <c r="K1084" s="3" t="str">
        <f t="shared" si="101"/>
        <v/>
      </c>
      <c r="L1084" t="str">
        <f t="shared" si="102"/>
        <v/>
      </c>
      <c r="M1084" t="str">
        <f t="shared" si="103"/>
        <v/>
      </c>
      <c r="N1084">
        <v>3697.28</v>
      </c>
      <c r="O1084" t="s">
        <v>40</v>
      </c>
      <c r="Q1084" t="s">
        <v>19</v>
      </c>
    </row>
    <row r="1085" spans="1:17" x14ac:dyDescent="0.3">
      <c r="A1085">
        <v>34200</v>
      </c>
      <c r="B1085" t="s">
        <v>592</v>
      </c>
      <c r="C1085" t="s">
        <v>611</v>
      </c>
      <c r="D1085" t="s">
        <v>42</v>
      </c>
      <c r="E1085" s="6">
        <v>65846.38</v>
      </c>
      <c r="F1085" t="s">
        <v>603</v>
      </c>
      <c r="G1085" s="4" t="str">
        <f t="shared" si="98"/>
        <v>65846.38</v>
      </c>
      <c r="H1085" t="str">
        <f t="shared" si="99"/>
        <v>65846.38</v>
      </c>
      <c r="I1085" s="1">
        <v>45716</v>
      </c>
      <c r="J1085" s="2">
        <f t="shared" si="100"/>
        <v>2.6102298595510585E-2</v>
      </c>
      <c r="K1085" s="3" t="str">
        <f t="shared" si="101"/>
        <v/>
      </c>
      <c r="L1085" t="str">
        <f t="shared" si="102"/>
        <v/>
      </c>
      <c r="M1085" t="str">
        <f t="shared" si="103"/>
        <v>Check</v>
      </c>
      <c r="N1085">
        <v>64171.360000000001</v>
      </c>
      <c r="O1085" t="s">
        <v>43</v>
      </c>
      <c r="Q1085" t="s">
        <v>41</v>
      </c>
    </row>
    <row r="1086" spans="1:17" x14ac:dyDescent="0.3">
      <c r="A1086">
        <v>34200</v>
      </c>
      <c r="B1086" t="s">
        <v>592</v>
      </c>
      <c r="C1086" t="s">
        <v>611</v>
      </c>
      <c r="D1086" t="s">
        <v>44</v>
      </c>
      <c r="E1086" s="6">
        <v>36411.370000000003</v>
      </c>
      <c r="F1086" t="s">
        <v>603</v>
      </c>
      <c r="G1086" s="4" t="str">
        <f t="shared" si="98"/>
        <v>36411.37</v>
      </c>
      <c r="H1086" t="str">
        <f t="shared" si="99"/>
        <v>36411.37</v>
      </c>
      <c r="I1086" s="1">
        <v>45716</v>
      </c>
      <c r="J1086" s="2">
        <f t="shared" si="100"/>
        <v>2.7343056751161984E-2</v>
      </c>
      <c r="K1086" s="3" t="str">
        <f t="shared" si="101"/>
        <v/>
      </c>
      <c r="L1086" t="str">
        <f t="shared" si="102"/>
        <v/>
      </c>
      <c r="M1086" t="str">
        <f t="shared" si="103"/>
        <v>Check</v>
      </c>
      <c r="N1086">
        <v>35442.269999999997</v>
      </c>
      <c r="O1086" t="s">
        <v>45</v>
      </c>
      <c r="Q1086" t="s">
        <v>41</v>
      </c>
    </row>
    <row r="1087" spans="1:17" x14ac:dyDescent="0.3">
      <c r="A1087">
        <v>34200</v>
      </c>
      <c r="B1087" t="s">
        <v>592</v>
      </c>
      <c r="C1087" t="s">
        <v>609</v>
      </c>
      <c r="D1087" t="s">
        <v>610</v>
      </c>
      <c r="E1087" s="6">
        <v>2736.83</v>
      </c>
      <c r="F1087" t="s">
        <v>603</v>
      </c>
      <c r="G1087" s="4" t="str">
        <f t="shared" si="98"/>
        <v>2736.83</v>
      </c>
      <c r="H1087" t="str">
        <f t="shared" si="99"/>
        <v>2736.83</v>
      </c>
      <c r="I1087" s="1">
        <v>45716</v>
      </c>
      <c r="J1087" s="2">
        <f t="shared" si="100"/>
        <v>0.22831355582284618</v>
      </c>
      <c r="K1087" s="3" t="str">
        <f t="shared" si="101"/>
        <v>Check!</v>
      </c>
      <c r="L1087" t="str">
        <f t="shared" si="102"/>
        <v/>
      </c>
      <c r="M1087" t="str">
        <f t="shared" si="103"/>
        <v/>
      </c>
      <c r="N1087">
        <v>2228.12</v>
      </c>
      <c r="O1087" t="s">
        <v>644</v>
      </c>
      <c r="Q1087" t="s">
        <v>609</v>
      </c>
    </row>
    <row r="1088" spans="1:17" x14ac:dyDescent="0.3">
      <c r="A1088">
        <v>34200</v>
      </c>
      <c r="B1088" t="s">
        <v>592</v>
      </c>
      <c r="C1088" t="s">
        <v>606</v>
      </c>
      <c r="D1088" t="s">
        <v>607</v>
      </c>
      <c r="E1088" s="6">
        <v>4659.38</v>
      </c>
      <c r="F1088" t="s">
        <v>603</v>
      </c>
      <c r="G1088" s="4" t="str">
        <f t="shared" si="98"/>
        <v>4659.38</v>
      </c>
      <c r="H1088" t="str">
        <f t="shared" si="99"/>
        <v>4659.38</v>
      </c>
      <c r="I1088" s="1">
        <v>45716</v>
      </c>
      <c r="J1088" s="2">
        <f t="shared" si="100"/>
        <v>7.5843183072379763E-2</v>
      </c>
      <c r="K1088" s="3" t="str">
        <f t="shared" si="101"/>
        <v/>
      </c>
      <c r="L1088" t="str">
        <f t="shared" si="102"/>
        <v/>
      </c>
      <c r="M1088" t="str">
        <f t="shared" si="103"/>
        <v/>
      </c>
      <c r="N1088">
        <v>4330.91</v>
      </c>
      <c r="O1088" t="s">
        <v>645</v>
      </c>
      <c r="Q1088" t="s">
        <v>606</v>
      </c>
    </row>
    <row r="1089" spans="1:17" x14ac:dyDescent="0.3">
      <c r="A1089">
        <v>34200</v>
      </c>
      <c r="B1089" t="s">
        <v>592</v>
      </c>
      <c r="C1089" t="s">
        <v>606</v>
      </c>
      <c r="D1089" t="s">
        <v>608</v>
      </c>
      <c r="E1089" s="6">
        <v>3289.12</v>
      </c>
      <c r="F1089" t="s">
        <v>603</v>
      </c>
      <c r="G1089" s="4" t="str">
        <f t="shared" si="98"/>
        <v>3289.12</v>
      </c>
      <c r="H1089" t="str">
        <f t="shared" si="99"/>
        <v>3289.12</v>
      </c>
      <c r="I1089" s="1">
        <v>45716</v>
      </c>
      <c r="J1089" s="2">
        <f t="shared" si="100"/>
        <v>2.2545544985388292E-2</v>
      </c>
      <c r="K1089" s="3" t="str">
        <f t="shared" si="101"/>
        <v/>
      </c>
      <c r="L1089" t="str">
        <f t="shared" si="102"/>
        <v/>
      </c>
      <c r="M1089" t="str">
        <f t="shared" si="103"/>
        <v/>
      </c>
      <c r="N1089">
        <v>3216.6</v>
      </c>
      <c r="O1089" t="s">
        <v>646</v>
      </c>
      <c r="Q1089" t="s">
        <v>606</v>
      </c>
    </row>
    <row r="1090" spans="1:17" x14ac:dyDescent="0.3">
      <c r="A1090">
        <v>34202</v>
      </c>
      <c r="B1090" t="s">
        <v>46</v>
      </c>
      <c r="C1090" t="s">
        <v>19</v>
      </c>
      <c r="D1090" t="s">
        <v>49</v>
      </c>
      <c r="E1090" s="6">
        <v>9017.18</v>
      </c>
      <c r="F1090" t="s">
        <v>603</v>
      </c>
      <c r="G1090" s="4" t="str">
        <f t="shared" si="98"/>
        <v>9017.18</v>
      </c>
      <c r="H1090" t="str">
        <f t="shared" si="99"/>
        <v>9017.18</v>
      </c>
      <c r="I1090" s="1">
        <v>45716</v>
      </c>
      <c r="J1090" s="2">
        <f t="shared" si="100"/>
        <v>-0.58116978425820642</v>
      </c>
      <c r="K1090" s="3" t="str">
        <f t="shared" si="101"/>
        <v>Check!</v>
      </c>
      <c r="L1090" t="str">
        <f t="shared" si="102"/>
        <v/>
      </c>
      <c r="M1090" t="str">
        <f t="shared" si="103"/>
        <v/>
      </c>
      <c r="N1090">
        <v>21529.439999999999</v>
      </c>
      <c r="O1090" t="s">
        <v>50</v>
      </c>
      <c r="Q1090" t="s">
        <v>19</v>
      </c>
    </row>
    <row r="1091" spans="1:17" x14ac:dyDescent="0.3">
      <c r="A1091">
        <v>34202</v>
      </c>
      <c r="B1091" t="s">
        <v>46</v>
      </c>
      <c r="C1091" t="s">
        <v>19</v>
      </c>
      <c r="D1091" t="s">
        <v>47</v>
      </c>
      <c r="E1091" s="6">
        <v>2034.57</v>
      </c>
      <c r="F1091" t="s">
        <v>603</v>
      </c>
      <c r="G1091" s="4" t="str">
        <f t="shared" ref="G1091:G1154" si="104">SUBSTITUTE(E1091,"R","")</f>
        <v>2034.57</v>
      </c>
      <c r="H1091" t="str">
        <f t="shared" ref="H1091:H1154" si="105">SUBSTITUTE(G1091,",","")</f>
        <v>2034.57</v>
      </c>
      <c r="I1091" s="1">
        <v>45716</v>
      </c>
      <c r="J1091" s="2">
        <f t="shared" ref="J1091:J1154" si="106">(H1091-N1091)/N1091</f>
        <v>-0.53862114945031025</v>
      </c>
      <c r="K1091" s="3" t="str">
        <f t="shared" ref="K1091:K1154" si="107">IF(ABS(J1091)&gt;0.1,"Check!","")</f>
        <v>Check!</v>
      </c>
      <c r="L1091" t="str">
        <f t="shared" ref="L1091:L1154" si="108">IF(LEFT(O1091,10)&lt;&gt;LEFT(D1091,10),"Check","")</f>
        <v/>
      </c>
      <c r="M1091" t="str">
        <f t="shared" ref="M1091:M1154" si="109">IF(Q1091&lt;&gt;C1091,"Check","")</f>
        <v/>
      </c>
      <c r="N1091">
        <v>4409.76</v>
      </c>
      <c r="O1091" t="s">
        <v>48</v>
      </c>
      <c r="Q1091" t="s">
        <v>19</v>
      </c>
    </row>
    <row r="1092" spans="1:17" x14ac:dyDescent="0.3">
      <c r="A1092">
        <v>34209</v>
      </c>
      <c r="B1092" t="s">
        <v>51</v>
      </c>
      <c r="C1092" t="s">
        <v>19</v>
      </c>
      <c r="D1092" t="s">
        <v>54</v>
      </c>
      <c r="E1092" s="6">
        <v>40880.660000000003</v>
      </c>
      <c r="F1092" t="s">
        <v>603</v>
      </c>
      <c r="G1092" s="4" t="str">
        <f t="shared" si="104"/>
        <v>40880.66</v>
      </c>
      <c r="H1092" t="str">
        <f t="shared" si="105"/>
        <v>40880.66</v>
      </c>
      <c r="I1092" s="1">
        <v>45716</v>
      </c>
      <c r="J1092" s="2">
        <f t="shared" si="106"/>
        <v>-4.2383900878026917E-2</v>
      </c>
      <c r="K1092" s="3" t="str">
        <f t="shared" si="107"/>
        <v/>
      </c>
      <c r="L1092" t="str">
        <f t="shared" si="108"/>
        <v/>
      </c>
      <c r="M1092" t="str">
        <f t="shared" si="109"/>
        <v/>
      </c>
      <c r="N1092">
        <v>42690.03</v>
      </c>
      <c r="O1092" t="s">
        <v>55</v>
      </c>
      <c r="Q1092" t="s">
        <v>19</v>
      </c>
    </row>
    <row r="1093" spans="1:17" x14ac:dyDescent="0.3">
      <c r="A1093">
        <v>34209</v>
      </c>
      <c r="B1093" t="s">
        <v>51</v>
      </c>
      <c r="C1093" t="s">
        <v>19</v>
      </c>
      <c r="D1093" t="s">
        <v>52</v>
      </c>
      <c r="E1093" s="6">
        <v>32384.799999999999</v>
      </c>
      <c r="F1093" t="s">
        <v>603</v>
      </c>
      <c r="G1093" s="4" t="str">
        <f t="shared" si="104"/>
        <v>32384.8</v>
      </c>
      <c r="H1093" t="str">
        <f t="shared" si="105"/>
        <v>32384.8</v>
      </c>
      <c r="I1093" s="1">
        <v>45716</v>
      </c>
      <c r="J1093" s="2">
        <f t="shared" si="106"/>
        <v>-2.035116929380143E-2</v>
      </c>
      <c r="K1093" s="3" t="str">
        <f t="shared" si="107"/>
        <v/>
      </c>
      <c r="L1093" t="str">
        <f t="shared" si="108"/>
        <v/>
      </c>
      <c r="M1093" t="str">
        <f t="shared" si="109"/>
        <v/>
      </c>
      <c r="N1093">
        <v>33057.56</v>
      </c>
      <c r="O1093" t="s">
        <v>53</v>
      </c>
      <c r="Q1093" t="s">
        <v>19</v>
      </c>
    </row>
    <row r="1094" spans="1:17" x14ac:dyDescent="0.3">
      <c r="A1094">
        <v>34209</v>
      </c>
      <c r="B1094" t="s">
        <v>51</v>
      </c>
      <c r="C1094" t="s">
        <v>612</v>
      </c>
      <c r="D1094" t="s">
        <v>57</v>
      </c>
      <c r="E1094" s="6">
        <v>12967.25</v>
      </c>
      <c r="F1094" t="s">
        <v>603</v>
      </c>
      <c r="G1094" s="4" t="str">
        <f t="shared" si="104"/>
        <v>12967.25</v>
      </c>
      <c r="H1094" t="str">
        <f t="shared" si="105"/>
        <v>12967.25</v>
      </c>
      <c r="I1094" s="1">
        <v>45716</v>
      </c>
      <c r="J1094" s="2">
        <f t="shared" si="106"/>
        <v>2.9863643186567194E-2</v>
      </c>
      <c r="K1094" s="3" t="str">
        <f t="shared" si="107"/>
        <v/>
      </c>
      <c r="L1094" t="str">
        <f t="shared" si="108"/>
        <v/>
      </c>
      <c r="M1094" t="str">
        <f t="shared" si="109"/>
        <v>Check</v>
      </c>
      <c r="N1094">
        <v>12591.23</v>
      </c>
      <c r="O1094" t="s">
        <v>58</v>
      </c>
      <c r="Q1094" t="s">
        <v>56</v>
      </c>
    </row>
    <row r="1095" spans="1:17" x14ac:dyDescent="0.3">
      <c r="A1095">
        <v>34216</v>
      </c>
      <c r="B1095" t="s">
        <v>59</v>
      </c>
      <c r="C1095" t="s">
        <v>19</v>
      </c>
      <c r="D1095" t="s">
        <v>60</v>
      </c>
      <c r="E1095" s="6">
        <v>2388.52</v>
      </c>
      <c r="F1095" t="s">
        <v>603</v>
      </c>
      <c r="G1095" s="4" t="str">
        <f t="shared" si="104"/>
        <v>2388.52</v>
      </c>
      <c r="H1095" t="str">
        <f t="shared" si="105"/>
        <v>2388.52</v>
      </c>
      <c r="I1095" s="1">
        <v>45716</v>
      </c>
      <c r="J1095" s="2">
        <f t="shared" si="106"/>
        <v>-1.5315356169635643E-2</v>
      </c>
      <c r="K1095" s="3" t="str">
        <f t="shared" si="107"/>
        <v/>
      </c>
      <c r="L1095" t="str">
        <f t="shared" si="108"/>
        <v/>
      </c>
      <c r="M1095" t="str">
        <f t="shared" si="109"/>
        <v/>
      </c>
      <c r="N1095">
        <v>2425.67</v>
      </c>
      <c r="O1095" t="s">
        <v>61</v>
      </c>
      <c r="Q1095" t="s">
        <v>19</v>
      </c>
    </row>
    <row r="1096" spans="1:17" x14ac:dyDescent="0.3">
      <c r="A1096">
        <v>34216</v>
      </c>
      <c r="B1096" t="s">
        <v>59</v>
      </c>
      <c r="C1096" t="s">
        <v>590</v>
      </c>
      <c r="D1096" t="s">
        <v>62</v>
      </c>
      <c r="E1096" s="6">
        <v>7590.73</v>
      </c>
      <c r="F1096" t="s">
        <v>603</v>
      </c>
      <c r="G1096" s="4" t="str">
        <f t="shared" si="104"/>
        <v>7590.73</v>
      </c>
      <c r="H1096" t="str">
        <f t="shared" si="105"/>
        <v>7590.73</v>
      </c>
      <c r="I1096" s="1">
        <v>45716</v>
      </c>
      <c r="J1096" s="2">
        <f t="shared" si="106"/>
        <v>-7.2935329889492499E-3</v>
      </c>
      <c r="K1096" s="3" t="str">
        <f t="shared" si="107"/>
        <v/>
      </c>
      <c r="L1096" t="str">
        <f t="shared" si="108"/>
        <v/>
      </c>
      <c r="M1096" t="str">
        <f t="shared" si="109"/>
        <v>Check</v>
      </c>
      <c r="N1096">
        <v>7646.5</v>
      </c>
      <c r="O1096" t="s">
        <v>63</v>
      </c>
      <c r="Q1096" t="s">
        <v>16</v>
      </c>
    </row>
    <row r="1097" spans="1:17" x14ac:dyDescent="0.3">
      <c r="A1097">
        <v>34337</v>
      </c>
      <c r="B1097" t="s">
        <v>64</v>
      </c>
      <c r="C1097" t="s">
        <v>590</v>
      </c>
      <c r="D1097" t="s">
        <v>65</v>
      </c>
      <c r="E1097" s="6">
        <v>1822.02</v>
      </c>
      <c r="F1097" t="s">
        <v>603</v>
      </c>
      <c r="G1097" s="4" t="str">
        <f t="shared" si="104"/>
        <v>1822.02</v>
      </c>
      <c r="H1097" t="str">
        <f t="shared" si="105"/>
        <v>1822.02</v>
      </c>
      <c r="I1097" s="1">
        <v>45716</v>
      </c>
      <c r="J1097" s="2">
        <f t="shared" si="106"/>
        <v>-0.40900111905804504</v>
      </c>
      <c r="K1097" s="3" t="str">
        <f t="shared" si="107"/>
        <v>Check!</v>
      </c>
      <c r="L1097" t="str">
        <f t="shared" si="108"/>
        <v/>
      </c>
      <c r="M1097" t="str">
        <f t="shared" si="109"/>
        <v>Check</v>
      </c>
      <c r="N1097">
        <v>3082.95</v>
      </c>
      <c r="O1097" t="s">
        <v>66</v>
      </c>
      <c r="Q1097" t="s">
        <v>16</v>
      </c>
    </row>
    <row r="1098" spans="1:17" x14ac:dyDescent="0.3">
      <c r="A1098">
        <v>34337</v>
      </c>
      <c r="B1098" t="s">
        <v>64</v>
      </c>
      <c r="C1098" t="s">
        <v>19</v>
      </c>
      <c r="D1098" t="s">
        <v>67</v>
      </c>
      <c r="E1098" s="6">
        <v>31277.49</v>
      </c>
      <c r="F1098" t="s">
        <v>603</v>
      </c>
      <c r="G1098" s="4" t="str">
        <f t="shared" si="104"/>
        <v>31277.49</v>
      </c>
      <c r="H1098" t="str">
        <f t="shared" si="105"/>
        <v>31277.49</v>
      </c>
      <c r="I1098" s="1">
        <v>45716</v>
      </c>
      <c r="J1098" s="2">
        <f t="shared" si="106"/>
        <v>-5.7661976592108158E-2</v>
      </c>
      <c r="K1098" s="3" t="str">
        <f t="shared" si="107"/>
        <v/>
      </c>
      <c r="L1098" t="str">
        <f t="shared" si="108"/>
        <v/>
      </c>
      <c r="M1098" t="str">
        <f t="shared" si="109"/>
        <v/>
      </c>
      <c r="N1098">
        <v>33191.370000000003</v>
      </c>
      <c r="O1098" t="s">
        <v>68</v>
      </c>
      <c r="Q1098" t="s">
        <v>19</v>
      </c>
    </row>
    <row r="1099" spans="1:17" x14ac:dyDescent="0.3">
      <c r="A1099">
        <v>34395</v>
      </c>
      <c r="B1099" t="s">
        <v>69</v>
      </c>
      <c r="C1099" t="s">
        <v>19</v>
      </c>
      <c r="D1099" t="s">
        <v>74</v>
      </c>
      <c r="E1099" s="6">
        <v>6874.29</v>
      </c>
      <c r="F1099" t="s">
        <v>603</v>
      </c>
      <c r="G1099" s="4" t="str">
        <f t="shared" si="104"/>
        <v>6874.29</v>
      </c>
      <c r="H1099" t="str">
        <f t="shared" si="105"/>
        <v>6874.29</v>
      </c>
      <c r="I1099" s="1">
        <v>45716</v>
      </c>
      <c r="J1099" s="2">
        <f t="shared" si="106"/>
        <v>-9.7083706030002284E-2</v>
      </c>
      <c r="K1099" s="3" t="str">
        <f t="shared" si="107"/>
        <v/>
      </c>
      <c r="L1099" t="str">
        <f t="shared" si="108"/>
        <v/>
      </c>
      <c r="M1099" t="str">
        <f t="shared" si="109"/>
        <v/>
      </c>
      <c r="N1099">
        <v>7613.43</v>
      </c>
      <c r="O1099" t="s">
        <v>75</v>
      </c>
      <c r="Q1099" t="s">
        <v>19</v>
      </c>
    </row>
    <row r="1100" spans="1:17" x14ac:dyDescent="0.3">
      <c r="A1100">
        <v>34395</v>
      </c>
      <c r="B1100" t="s">
        <v>69</v>
      </c>
      <c r="C1100" t="s">
        <v>19</v>
      </c>
      <c r="D1100" t="s">
        <v>72</v>
      </c>
      <c r="E1100" s="6">
        <v>4304.0200000000004</v>
      </c>
      <c r="F1100" t="s">
        <v>603</v>
      </c>
      <c r="G1100" s="4" t="str">
        <f t="shared" si="104"/>
        <v>4304.02</v>
      </c>
      <c r="H1100" t="str">
        <f t="shared" si="105"/>
        <v>4304.02</v>
      </c>
      <c r="I1100" s="1">
        <v>45716</v>
      </c>
      <c r="J1100" s="2">
        <f t="shared" si="106"/>
        <v>-8.8550391027853642E-2</v>
      </c>
      <c r="K1100" s="3" t="str">
        <f t="shared" si="107"/>
        <v/>
      </c>
      <c r="L1100" t="str">
        <f t="shared" si="108"/>
        <v/>
      </c>
      <c r="M1100" t="str">
        <f t="shared" si="109"/>
        <v/>
      </c>
      <c r="N1100">
        <v>4722.17</v>
      </c>
      <c r="O1100" t="s">
        <v>73</v>
      </c>
      <c r="Q1100" t="s">
        <v>19</v>
      </c>
    </row>
    <row r="1101" spans="1:17" x14ac:dyDescent="0.3">
      <c r="A1101">
        <v>34395</v>
      </c>
      <c r="B1101" t="s">
        <v>69</v>
      </c>
      <c r="C1101" t="s">
        <v>19</v>
      </c>
      <c r="D1101" t="s">
        <v>70</v>
      </c>
      <c r="E1101" s="6">
        <v>76416.12</v>
      </c>
      <c r="F1101" t="s">
        <v>603</v>
      </c>
      <c r="G1101" s="4" t="str">
        <f t="shared" si="104"/>
        <v>76416.12</v>
      </c>
      <c r="H1101" t="str">
        <f t="shared" si="105"/>
        <v>76416.12</v>
      </c>
      <c r="I1101" s="1">
        <v>45716</v>
      </c>
      <c r="J1101" s="2">
        <f t="shared" si="106"/>
        <v>-7.1934440898945559E-2</v>
      </c>
      <c r="K1101" s="3" t="str">
        <f t="shared" si="107"/>
        <v/>
      </c>
      <c r="L1101" t="str">
        <f t="shared" si="108"/>
        <v/>
      </c>
      <c r="M1101" t="str">
        <f t="shared" si="109"/>
        <v/>
      </c>
      <c r="N1101">
        <v>82339.14</v>
      </c>
      <c r="O1101" t="s">
        <v>71</v>
      </c>
      <c r="Q1101" t="s">
        <v>19</v>
      </c>
    </row>
    <row r="1102" spans="1:17" x14ac:dyDescent="0.3">
      <c r="A1102">
        <v>36048</v>
      </c>
      <c r="B1102" t="s">
        <v>76</v>
      </c>
      <c r="C1102" t="s">
        <v>19</v>
      </c>
      <c r="D1102" t="s">
        <v>77</v>
      </c>
      <c r="E1102" s="6">
        <v>938.43</v>
      </c>
      <c r="F1102" t="s">
        <v>603</v>
      </c>
      <c r="G1102" s="4" t="str">
        <f t="shared" si="104"/>
        <v>938.43</v>
      </c>
      <c r="H1102" t="str">
        <f t="shared" si="105"/>
        <v>938.43</v>
      </c>
      <c r="I1102" s="1">
        <v>45716</v>
      </c>
      <c r="J1102" s="2">
        <f t="shared" si="106"/>
        <v>-0.20853012617232314</v>
      </c>
      <c r="K1102" s="3" t="str">
        <f t="shared" si="107"/>
        <v>Check!</v>
      </c>
      <c r="L1102" t="str">
        <f t="shared" si="108"/>
        <v/>
      </c>
      <c r="M1102" t="str">
        <f t="shared" si="109"/>
        <v/>
      </c>
      <c r="N1102">
        <v>1185.68</v>
      </c>
      <c r="O1102" t="s">
        <v>78</v>
      </c>
      <c r="Q1102" t="s">
        <v>19</v>
      </c>
    </row>
    <row r="1103" spans="1:17" x14ac:dyDescent="0.3">
      <c r="A1103">
        <v>36048</v>
      </c>
      <c r="B1103" t="s">
        <v>76</v>
      </c>
      <c r="C1103" t="s">
        <v>19</v>
      </c>
      <c r="D1103" t="s">
        <v>79</v>
      </c>
      <c r="E1103" s="6">
        <v>2528.77</v>
      </c>
      <c r="F1103" t="s">
        <v>603</v>
      </c>
      <c r="G1103" s="4" t="str">
        <f t="shared" si="104"/>
        <v>2528.77</v>
      </c>
      <c r="H1103" t="str">
        <f t="shared" si="105"/>
        <v>2528.77</v>
      </c>
      <c r="I1103" s="1">
        <v>45716</v>
      </c>
      <c r="J1103" s="2">
        <f t="shared" si="106"/>
        <v>-0.25078587237017924</v>
      </c>
      <c r="K1103" s="3" t="str">
        <f t="shared" si="107"/>
        <v>Check!</v>
      </c>
      <c r="L1103" t="str">
        <f t="shared" si="108"/>
        <v/>
      </c>
      <c r="M1103" t="str">
        <f t="shared" si="109"/>
        <v/>
      </c>
      <c r="N1103">
        <v>3375.23</v>
      </c>
      <c r="O1103" t="s">
        <v>80</v>
      </c>
      <c r="Q1103" t="s">
        <v>19</v>
      </c>
    </row>
    <row r="1104" spans="1:17" x14ac:dyDescent="0.3">
      <c r="A1104">
        <v>36059</v>
      </c>
      <c r="B1104" t="s">
        <v>81</v>
      </c>
      <c r="C1104" t="s">
        <v>19</v>
      </c>
      <c r="D1104" t="s">
        <v>82</v>
      </c>
      <c r="E1104" s="6">
        <v>11082.86</v>
      </c>
      <c r="F1104" t="s">
        <v>603</v>
      </c>
      <c r="G1104" s="4" t="str">
        <f t="shared" si="104"/>
        <v>11082.86</v>
      </c>
      <c r="H1104" t="str">
        <f t="shared" si="105"/>
        <v>11082.86</v>
      </c>
      <c r="I1104" s="1">
        <v>45716</v>
      </c>
      <c r="J1104" s="2">
        <f t="shared" si="106"/>
        <v>-0.1318700083657362</v>
      </c>
      <c r="K1104" s="3" t="str">
        <f t="shared" si="107"/>
        <v>Check!</v>
      </c>
      <c r="L1104" t="str">
        <f t="shared" si="108"/>
        <v/>
      </c>
      <c r="M1104" t="str">
        <f t="shared" si="109"/>
        <v/>
      </c>
      <c r="N1104">
        <v>12766.36</v>
      </c>
      <c r="O1104" t="s">
        <v>83</v>
      </c>
      <c r="Q1104" t="s">
        <v>19</v>
      </c>
    </row>
    <row r="1105" spans="1:17" x14ac:dyDescent="0.3">
      <c r="A1105">
        <v>36059</v>
      </c>
      <c r="B1105" t="s">
        <v>81</v>
      </c>
      <c r="C1105" t="s">
        <v>19</v>
      </c>
      <c r="D1105" t="s">
        <v>84</v>
      </c>
      <c r="E1105" s="6">
        <v>7282.27</v>
      </c>
      <c r="F1105" t="s">
        <v>603</v>
      </c>
      <c r="G1105" s="4" t="str">
        <f t="shared" si="104"/>
        <v>7282.27</v>
      </c>
      <c r="H1105" t="str">
        <f t="shared" si="105"/>
        <v>7282.27</v>
      </c>
      <c r="I1105" s="1">
        <v>45716</v>
      </c>
      <c r="J1105" s="2">
        <f t="shared" si="106"/>
        <v>-0.13109461076701134</v>
      </c>
      <c r="K1105" s="3" t="str">
        <f t="shared" si="107"/>
        <v>Check!</v>
      </c>
      <c r="L1105" t="str">
        <f t="shared" si="108"/>
        <v/>
      </c>
      <c r="M1105" t="str">
        <f t="shared" si="109"/>
        <v/>
      </c>
      <c r="N1105">
        <v>8380.9699999999993</v>
      </c>
      <c r="O1105" t="s">
        <v>85</v>
      </c>
      <c r="Q1105" t="s">
        <v>19</v>
      </c>
    </row>
    <row r="1106" spans="1:17" x14ac:dyDescent="0.3">
      <c r="A1106">
        <v>36060</v>
      </c>
      <c r="B1106" t="s">
        <v>86</v>
      </c>
      <c r="C1106" t="s">
        <v>19</v>
      </c>
      <c r="D1106" t="s">
        <v>87</v>
      </c>
      <c r="E1106" s="6">
        <v>1325.18</v>
      </c>
      <c r="F1106" t="s">
        <v>603</v>
      </c>
      <c r="G1106" s="4" t="str">
        <f t="shared" si="104"/>
        <v>1325.18</v>
      </c>
      <c r="H1106" t="str">
        <f t="shared" si="105"/>
        <v>1325.18</v>
      </c>
      <c r="I1106" s="1">
        <v>45716</v>
      </c>
      <c r="J1106" s="2">
        <f t="shared" si="106"/>
        <v>-0.60574199690586694</v>
      </c>
      <c r="K1106" s="3" t="str">
        <f t="shared" si="107"/>
        <v>Check!</v>
      </c>
      <c r="L1106" t="str">
        <f t="shared" si="108"/>
        <v/>
      </c>
      <c r="M1106" t="str">
        <f t="shared" si="109"/>
        <v/>
      </c>
      <c r="N1106">
        <v>3361.2</v>
      </c>
      <c r="O1106" t="s">
        <v>88</v>
      </c>
      <c r="Q1106" t="s">
        <v>19</v>
      </c>
    </row>
    <row r="1107" spans="1:17" x14ac:dyDescent="0.3">
      <c r="A1107">
        <v>36060</v>
      </c>
      <c r="B1107" t="s">
        <v>86</v>
      </c>
      <c r="C1107" t="s">
        <v>19</v>
      </c>
      <c r="D1107" t="s">
        <v>89</v>
      </c>
      <c r="E1107" s="6">
        <v>865.34</v>
      </c>
      <c r="F1107" t="s">
        <v>603</v>
      </c>
      <c r="G1107" s="4" t="str">
        <f t="shared" si="104"/>
        <v>865.34</v>
      </c>
      <c r="H1107" t="str">
        <f t="shared" si="105"/>
        <v>865.34</v>
      </c>
      <c r="I1107" s="1">
        <v>45716</v>
      </c>
      <c r="J1107" s="2">
        <f t="shared" si="106"/>
        <v>-1.6536157928831962E-2</v>
      </c>
      <c r="K1107" s="3" t="str">
        <f t="shared" si="107"/>
        <v/>
      </c>
      <c r="L1107" t="str">
        <f t="shared" si="108"/>
        <v/>
      </c>
      <c r="M1107" t="str">
        <f t="shared" si="109"/>
        <v/>
      </c>
      <c r="N1107">
        <v>879.89</v>
      </c>
      <c r="O1107" t="s">
        <v>90</v>
      </c>
      <c r="Q1107" t="s">
        <v>19</v>
      </c>
    </row>
    <row r="1108" spans="1:17" x14ac:dyDescent="0.3">
      <c r="A1108">
        <v>36062</v>
      </c>
      <c r="B1108" t="s">
        <v>91</v>
      </c>
      <c r="C1108" t="s">
        <v>611</v>
      </c>
      <c r="D1108" t="s">
        <v>92</v>
      </c>
      <c r="E1108" s="6">
        <v>18858.939999999999</v>
      </c>
      <c r="F1108" t="s">
        <v>603</v>
      </c>
      <c r="G1108" s="4" t="str">
        <f t="shared" si="104"/>
        <v>18858.94</v>
      </c>
      <c r="H1108" t="str">
        <f t="shared" si="105"/>
        <v>18858.94</v>
      </c>
      <c r="I1108" s="1">
        <v>45716</v>
      </c>
      <c r="J1108" s="2">
        <f t="shared" si="106"/>
        <v>2.697345456585051E-2</v>
      </c>
      <c r="K1108" s="3" t="str">
        <f t="shared" si="107"/>
        <v/>
      </c>
      <c r="L1108" t="str">
        <f t="shared" si="108"/>
        <v/>
      </c>
      <c r="M1108" t="str">
        <f t="shared" si="109"/>
        <v>Check</v>
      </c>
      <c r="N1108">
        <v>18363.61</v>
      </c>
      <c r="O1108" t="s">
        <v>93</v>
      </c>
      <c r="Q1108" t="s">
        <v>41</v>
      </c>
    </row>
    <row r="1109" spans="1:17" x14ac:dyDescent="0.3">
      <c r="A1109">
        <v>36062</v>
      </c>
      <c r="B1109" t="s">
        <v>91</v>
      </c>
      <c r="C1109" t="s">
        <v>606</v>
      </c>
      <c r="D1109" t="s">
        <v>613</v>
      </c>
      <c r="E1109" s="6">
        <v>2184.0300000000002</v>
      </c>
      <c r="F1109" t="s">
        <v>603</v>
      </c>
      <c r="G1109" s="4" t="str">
        <f t="shared" si="104"/>
        <v>2184.03</v>
      </c>
      <c r="H1109" t="str">
        <f t="shared" si="105"/>
        <v>2184.03</v>
      </c>
      <c r="I1109" s="1">
        <v>45716</v>
      </c>
      <c r="J1109" s="2">
        <f t="shared" si="106"/>
        <v>3.4889120545868131E-2</v>
      </c>
      <c r="K1109" s="3" t="str">
        <f t="shared" si="107"/>
        <v/>
      </c>
      <c r="L1109" t="str">
        <f t="shared" si="108"/>
        <v/>
      </c>
      <c r="M1109" t="str">
        <f t="shared" si="109"/>
        <v/>
      </c>
      <c r="N1109">
        <v>2110.4</v>
      </c>
      <c r="O1109" t="s">
        <v>647</v>
      </c>
      <c r="Q1109" t="s">
        <v>606</v>
      </c>
    </row>
    <row r="1110" spans="1:17" x14ac:dyDescent="0.3">
      <c r="A1110">
        <v>36355</v>
      </c>
      <c r="B1110" t="s">
        <v>94</v>
      </c>
      <c r="C1110" t="s">
        <v>19</v>
      </c>
      <c r="D1110" t="s">
        <v>95</v>
      </c>
      <c r="E1110" s="6">
        <v>315.02</v>
      </c>
      <c r="F1110" t="s">
        <v>603</v>
      </c>
      <c r="G1110" s="4" t="str">
        <f t="shared" si="104"/>
        <v>315.02</v>
      </c>
      <c r="H1110" t="str">
        <f t="shared" si="105"/>
        <v>315.02</v>
      </c>
      <c r="I1110" s="1">
        <v>45716</v>
      </c>
      <c r="J1110" s="2">
        <f t="shared" si="106"/>
        <v>-3.4894764253546283E-2</v>
      </c>
      <c r="K1110" s="3" t="str">
        <f t="shared" si="107"/>
        <v/>
      </c>
      <c r="L1110" t="str">
        <f t="shared" si="108"/>
        <v/>
      </c>
      <c r="M1110" t="str">
        <f t="shared" si="109"/>
        <v/>
      </c>
      <c r="N1110">
        <v>326.41000000000003</v>
      </c>
      <c r="O1110" t="s">
        <v>96</v>
      </c>
      <c r="Q1110" t="s">
        <v>19</v>
      </c>
    </row>
    <row r="1111" spans="1:17" x14ac:dyDescent="0.3">
      <c r="A1111">
        <v>37040</v>
      </c>
      <c r="B1111" t="s">
        <v>596</v>
      </c>
      <c r="C1111" t="s">
        <v>19</v>
      </c>
      <c r="D1111" t="s">
        <v>97</v>
      </c>
      <c r="E1111" s="6">
        <v>794.42</v>
      </c>
      <c r="F1111" t="s">
        <v>603</v>
      </c>
      <c r="G1111" s="4" t="str">
        <f t="shared" si="104"/>
        <v>794.42</v>
      </c>
      <c r="H1111" t="str">
        <f t="shared" si="105"/>
        <v>794.42</v>
      </c>
      <c r="I1111" s="1">
        <v>45716</v>
      </c>
      <c r="J1111" s="2">
        <f t="shared" si="106"/>
        <v>-0.57154260196101703</v>
      </c>
      <c r="K1111" s="3" t="str">
        <f t="shared" si="107"/>
        <v>Check!</v>
      </c>
      <c r="L1111" t="str">
        <f t="shared" si="108"/>
        <v/>
      </c>
      <c r="M1111" t="str">
        <f t="shared" si="109"/>
        <v/>
      </c>
      <c r="N1111">
        <v>1854.14</v>
      </c>
      <c r="O1111" t="s">
        <v>98</v>
      </c>
      <c r="Q1111" t="s">
        <v>19</v>
      </c>
    </row>
    <row r="1112" spans="1:17" x14ac:dyDescent="0.3">
      <c r="A1112">
        <v>37041</v>
      </c>
      <c r="B1112" t="s">
        <v>99</v>
      </c>
      <c r="C1112" t="s">
        <v>19</v>
      </c>
      <c r="D1112" t="s">
        <v>100</v>
      </c>
      <c r="E1112" s="6">
        <v>1639.45</v>
      </c>
      <c r="F1112" t="s">
        <v>603</v>
      </c>
      <c r="G1112" s="4" t="str">
        <f t="shared" si="104"/>
        <v>1639.45</v>
      </c>
      <c r="H1112" t="str">
        <f t="shared" si="105"/>
        <v>1639.45</v>
      </c>
      <c r="I1112" s="1">
        <v>45716</v>
      </c>
      <c r="J1112" s="2">
        <f t="shared" si="106"/>
        <v>-7.1674886610080202E-2</v>
      </c>
      <c r="K1112" s="3" t="str">
        <f t="shared" si="107"/>
        <v/>
      </c>
      <c r="L1112" t="str">
        <f t="shared" si="108"/>
        <v/>
      </c>
      <c r="M1112" t="str">
        <f t="shared" si="109"/>
        <v/>
      </c>
      <c r="N1112">
        <v>1766.03</v>
      </c>
      <c r="O1112" t="s">
        <v>101</v>
      </c>
      <c r="Q1112" t="s">
        <v>19</v>
      </c>
    </row>
    <row r="1113" spans="1:17" x14ac:dyDescent="0.3">
      <c r="A1113">
        <v>38586</v>
      </c>
      <c r="B1113" t="s">
        <v>102</v>
      </c>
      <c r="C1113" t="s">
        <v>19</v>
      </c>
      <c r="D1113" t="s">
        <v>103</v>
      </c>
      <c r="E1113" s="6">
        <v>1415.67</v>
      </c>
      <c r="F1113" t="s">
        <v>603</v>
      </c>
      <c r="G1113" s="4" t="str">
        <f t="shared" si="104"/>
        <v>1415.67</v>
      </c>
      <c r="H1113" t="str">
        <f t="shared" si="105"/>
        <v>1415.67</v>
      </c>
      <c r="I1113" s="1">
        <v>45716</v>
      </c>
      <c r="J1113" s="2">
        <f t="shared" si="106"/>
        <v>-5.3747576089704799E-3</v>
      </c>
      <c r="K1113" s="3" t="str">
        <f t="shared" si="107"/>
        <v/>
      </c>
      <c r="L1113" t="str">
        <f t="shared" si="108"/>
        <v/>
      </c>
      <c r="M1113" t="str">
        <f t="shared" si="109"/>
        <v/>
      </c>
      <c r="N1113">
        <v>1423.32</v>
      </c>
      <c r="O1113" t="s">
        <v>104</v>
      </c>
      <c r="Q1113" t="s">
        <v>19</v>
      </c>
    </row>
    <row r="1114" spans="1:17" x14ac:dyDescent="0.3">
      <c r="A1114">
        <v>38842</v>
      </c>
      <c r="B1114" t="s">
        <v>105</v>
      </c>
      <c r="C1114" t="s">
        <v>19</v>
      </c>
      <c r="D1114" t="s">
        <v>106</v>
      </c>
      <c r="E1114" s="6">
        <v>1103.6300000000001</v>
      </c>
      <c r="F1114" t="s">
        <v>603</v>
      </c>
      <c r="G1114" s="4" t="str">
        <f t="shared" si="104"/>
        <v>1103.63</v>
      </c>
      <c r="H1114" t="str">
        <f t="shared" si="105"/>
        <v>1103.63</v>
      </c>
      <c r="I1114" s="1">
        <v>45716</v>
      </c>
      <c r="J1114" s="2">
        <f t="shared" si="106"/>
        <v>-1.004637478359913E-2</v>
      </c>
      <c r="K1114" s="3" t="str">
        <f t="shared" si="107"/>
        <v/>
      </c>
      <c r="L1114" t="str">
        <f t="shared" si="108"/>
        <v/>
      </c>
      <c r="M1114" t="str">
        <f t="shared" si="109"/>
        <v/>
      </c>
      <c r="N1114">
        <v>1114.83</v>
      </c>
      <c r="O1114" t="s">
        <v>107</v>
      </c>
      <c r="Q1114" t="s">
        <v>19</v>
      </c>
    </row>
    <row r="1115" spans="1:17" x14ac:dyDescent="0.3">
      <c r="A1115">
        <v>38851</v>
      </c>
      <c r="B1115" t="s">
        <v>108</v>
      </c>
      <c r="C1115" t="s">
        <v>19</v>
      </c>
      <c r="D1115" t="s">
        <v>109</v>
      </c>
      <c r="E1115" s="6">
        <v>104.89</v>
      </c>
      <c r="F1115" t="s">
        <v>603</v>
      </c>
      <c r="G1115" s="4" t="str">
        <f t="shared" si="104"/>
        <v>104.89</v>
      </c>
      <c r="H1115" t="str">
        <f t="shared" si="105"/>
        <v>104.89</v>
      </c>
      <c r="I1115" s="1">
        <v>45716</v>
      </c>
      <c r="J1115" s="2">
        <f t="shared" si="106"/>
        <v>-3.8412174550788394E-2</v>
      </c>
      <c r="K1115" s="3" t="str">
        <f t="shared" si="107"/>
        <v/>
      </c>
      <c r="L1115" t="str">
        <f t="shared" si="108"/>
        <v/>
      </c>
      <c r="M1115" t="str">
        <f t="shared" si="109"/>
        <v/>
      </c>
      <c r="N1115">
        <v>109.08</v>
      </c>
      <c r="O1115" t="s">
        <v>110</v>
      </c>
      <c r="Q1115" t="s">
        <v>19</v>
      </c>
    </row>
    <row r="1116" spans="1:17" x14ac:dyDescent="0.3">
      <c r="A1116">
        <v>38887</v>
      </c>
      <c r="B1116" t="s">
        <v>111</v>
      </c>
      <c r="C1116" t="s">
        <v>19</v>
      </c>
      <c r="D1116" t="s">
        <v>112</v>
      </c>
      <c r="E1116" s="6">
        <v>326.39</v>
      </c>
      <c r="F1116" t="s">
        <v>603</v>
      </c>
      <c r="G1116" s="4" t="str">
        <f t="shared" si="104"/>
        <v>326.39</v>
      </c>
      <c r="H1116" t="str">
        <f t="shared" si="105"/>
        <v>326.39</v>
      </c>
      <c r="I1116" s="1">
        <v>45716</v>
      </c>
      <c r="J1116" s="2">
        <f t="shared" si="106"/>
        <v>-7.6690240452616729E-2</v>
      </c>
      <c r="K1116" s="3" t="str">
        <f t="shared" si="107"/>
        <v/>
      </c>
      <c r="L1116" t="str">
        <f t="shared" si="108"/>
        <v/>
      </c>
      <c r="M1116" t="str">
        <f t="shared" si="109"/>
        <v/>
      </c>
      <c r="N1116">
        <v>353.5</v>
      </c>
      <c r="O1116" t="s">
        <v>113</v>
      </c>
      <c r="Q1116" t="s">
        <v>19</v>
      </c>
    </row>
    <row r="1117" spans="1:17" x14ac:dyDescent="0.3">
      <c r="A1117">
        <v>41695</v>
      </c>
      <c r="B1117" t="s">
        <v>114</v>
      </c>
      <c r="C1117" t="s">
        <v>611</v>
      </c>
      <c r="D1117" t="s">
        <v>115</v>
      </c>
      <c r="E1117" s="6">
        <v>4942.8</v>
      </c>
      <c r="F1117" t="s">
        <v>603</v>
      </c>
      <c r="G1117" s="4" t="str">
        <f t="shared" si="104"/>
        <v>4942.8</v>
      </c>
      <c r="H1117" t="str">
        <f t="shared" si="105"/>
        <v>4942.8</v>
      </c>
      <c r="I1117" s="1">
        <v>45716</v>
      </c>
      <c r="J1117" s="2">
        <f t="shared" si="106"/>
        <v>2.9458320142626365E-2</v>
      </c>
      <c r="K1117" s="3" t="str">
        <f t="shared" si="107"/>
        <v/>
      </c>
      <c r="L1117" t="str">
        <f t="shared" si="108"/>
        <v/>
      </c>
      <c r="M1117" t="str">
        <f t="shared" si="109"/>
        <v>Check</v>
      </c>
      <c r="N1117">
        <v>4801.3599999999997</v>
      </c>
      <c r="O1117" t="s">
        <v>116</v>
      </c>
      <c r="Q1117" t="s">
        <v>41</v>
      </c>
    </row>
    <row r="1118" spans="1:17" x14ac:dyDescent="0.3">
      <c r="A1118">
        <v>41695</v>
      </c>
      <c r="B1118" t="s">
        <v>114</v>
      </c>
      <c r="C1118" t="s">
        <v>606</v>
      </c>
      <c r="D1118" t="s">
        <v>614</v>
      </c>
      <c r="E1118" s="6">
        <v>547.58000000000004</v>
      </c>
      <c r="F1118" t="s">
        <v>603</v>
      </c>
      <c r="G1118" s="4" t="str">
        <f t="shared" si="104"/>
        <v>547.58</v>
      </c>
      <c r="H1118" t="str">
        <f t="shared" si="105"/>
        <v>547.58</v>
      </c>
      <c r="I1118" s="1">
        <v>45716</v>
      </c>
      <c r="J1118" s="2">
        <f t="shared" si="106"/>
        <v>1.2050419546815688E-2</v>
      </c>
      <c r="K1118" s="3" t="str">
        <f t="shared" si="107"/>
        <v/>
      </c>
      <c r="L1118" t="str">
        <f t="shared" si="108"/>
        <v/>
      </c>
      <c r="M1118" t="str">
        <f t="shared" si="109"/>
        <v/>
      </c>
      <c r="N1118">
        <v>541.05999999999995</v>
      </c>
      <c r="O1118" t="s">
        <v>648</v>
      </c>
      <c r="Q1118" t="s">
        <v>606</v>
      </c>
    </row>
    <row r="1119" spans="1:17" x14ac:dyDescent="0.3">
      <c r="A1119">
        <v>41695</v>
      </c>
      <c r="B1119" t="s">
        <v>114</v>
      </c>
      <c r="C1119" t="s">
        <v>590</v>
      </c>
      <c r="D1119" t="s">
        <v>117</v>
      </c>
      <c r="E1119" s="6">
        <v>36317.08</v>
      </c>
      <c r="F1119" t="s">
        <v>603</v>
      </c>
      <c r="G1119" s="4" t="str">
        <f t="shared" si="104"/>
        <v>36317.08</v>
      </c>
      <c r="H1119" t="str">
        <f t="shared" si="105"/>
        <v>36317.08</v>
      </c>
      <c r="I1119" s="1">
        <v>45716</v>
      </c>
      <c r="J1119" s="2">
        <f t="shared" si="106"/>
        <v>1.2648810976077446E-2</v>
      </c>
      <c r="K1119" s="3" t="str">
        <f t="shared" si="107"/>
        <v/>
      </c>
      <c r="L1119" t="str">
        <f t="shared" si="108"/>
        <v/>
      </c>
      <c r="M1119" t="str">
        <f t="shared" si="109"/>
        <v>Check</v>
      </c>
      <c r="N1119">
        <v>35863.449999999997</v>
      </c>
      <c r="O1119" t="s">
        <v>581</v>
      </c>
      <c r="Q1119" t="s">
        <v>16</v>
      </c>
    </row>
    <row r="1120" spans="1:17" x14ac:dyDescent="0.3">
      <c r="A1120">
        <v>46589</v>
      </c>
      <c r="B1120" t="s">
        <v>638</v>
      </c>
      <c r="C1120" t="s">
        <v>19</v>
      </c>
      <c r="D1120" t="s">
        <v>120</v>
      </c>
      <c r="E1120" s="6">
        <v>1386.56</v>
      </c>
      <c r="F1120" t="s">
        <v>603</v>
      </c>
      <c r="G1120" s="4" t="str">
        <f t="shared" si="104"/>
        <v>1386.56</v>
      </c>
      <c r="H1120" t="str">
        <f t="shared" si="105"/>
        <v>1386.56</v>
      </c>
      <c r="I1120" s="1">
        <v>45716</v>
      </c>
      <c r="J1120" s="2">
        <f t="shared" si="106"/>
        <v>-5.558304824608588E-3</v>
      </c>
      <c r="K1120" s="3" t="str">
        <f t="shared" si="107"/>
        <v/>
      </c>
      <c r="L1120" t="str">
        <f t="shared" si="108"/>
        <v/>
      </c>
      <c r="M1120" t="str">
        <f t="shared" si="109"/>
        <v/>
      </c>
      <c r="N1120">
        <v>1394.31</v>
      </c>
      <c r="O1120" t="s">
        <v>121</v>
      </c>
      <c r="Q1120" t="s">
        <v>19</v>
      </c>
    </row>
    <row r="1121" spans="1:17" x14ac:dyDescent="0.3">
      <c r="A1121">
        <v>46589</v>
      </c>
      <c r="B1121" t="s">
        <v>638</v>
      </c>
      <c r="C1121" t="s">
        <v>19</v>
      </c>
      <c r="D1121" t="s">
        <v>118</v>
      </c>
      <c r="E1121" s="6">
        <v>33641.519999999997</v>
      </c>
      <c r="F1121" t="s">
        <v>603</v>
      </c>
      <c r="G1121" s="4" t="str">
        <f t="shared" si="104"/>
        <v>33641.52</v>
      </c>
      <c r="H1121" t="str">
        <f t="shared" si="105"/>
        <v>33641.52</v>
      </c>
      <c r="I1121" s="1">
        <v>45716</v>
      </c>
      <c r="J1121" s="2">
        <f t="shared" si="106"/>
        <v>-1.6537444434245294E-2</v>
      </c>
      <c r="K1121" s="3" t="str">
        <f t="shared" si="107"/>
        <v/>
      </c>
      <c r="L1121" t="str">
        <f t="shared" si="108"/>
        <v/>
      </c>
      <c r="M1121" t="str">
        <f t="shared" si="109"/>
        <v/>
      </c>
      <c r="N1121">
        <v>34207.22</v>
      </c>
      <c r="O1121" t="s">
        <v>119</v>
      </c>
      <c r="Q1121" t="s">
        <v>19</v>
      </c>
    </row>
    <row r="1122" spans="1:17" x14ac:dyDescent="0.3">
      <c r="A1122">
        <v>54985</v>
      </c>
      <c r="B1122" t="s">
        <v>122</v>
      </c>
      <c r="C1122" t="s">
        <v>19</v>
      </c>
      <c r="D1122" t="s">
        <v>123</v>
      </c>
      <c r="E1122" s="6">
        <v>411.67</v>
      </c>
      <c r="F1122" t="s">
        <v>603</v>
      </c>
      <c r="G1122" s="4" t="str">
        <f t="shared" si="104"/>
        <v>411.67</v>
      </c>
      <c r="H1122" t="str">
        <f t="shared" si="105"/>
        <v>411.67</v>
      </c>
      <c r="I1122" s="1">
        <v>45716</v>
      </c>
      <c r="J1122" s="2">
        <f t="shared" si="106"/>
        <v>-0.30533900307110795</v>
      </c>
      <c r="K1122" s="3" t="str">
        <f t="shared" si="107"/>
        <v>Check!</v>
      </c>
      <c r="L1122" t="str">
        <f t="shared" si="108"/>
        <v/>
      </c>
      <c r="M1122" t="str">
        <f t="shared" si="109"/>
        <v/>
      </c>
      <c r="N1122">
        <v>592.62</v>
      </c>
      <c r="O1122" t="s">
        <v>124</v>
      </c>
      <c r="Q1122" t="s">
        <v>19</v>
      </c>
    </row>
    <row r="1123" spans="1:17" x14ac:dyDescent="0.3">
      <c r="A1123">
        <v>61172</v>
      </c>
      <c r="B1123" t="s">
        <v>125</v>
      </c>
      <c r="C1123" t="s">
        <v>611</v>
      </c>
      <c r="D1123" t="s">
        <v>126</v>
      </c>
      <c r="E1123" s="6">
        <v>38314.39</v>
      </c>
      <c r="F1123" t="s">
        <v>603</v>
      </c>
      <c r="G1123" s="4" t="str">
        <f t="shared" si="104"/>
        <v>38314.39</v>
      </c>
      <c r="H1123" t="str">
        <f t="shared" si="105"/>
        <v>38314.39</v>
      </c>
      <c r="I1123" s="1">
        <v>45716</v>
      </c>
      <c r="J1123" s="2">
        <f t="shared" si="106"/>
        <v>2.7315249901798143E-2</v>
      </c>
      <c r="K1123" s="3" t="str">
        <f t="shared" si="107"/>
        <v/>
      </c>
      <c r="L1123" t="str">
        <f t="shared" si="108"/>
        <v/>
      </c>
      <c r="M1123" t="str">
        <f t="shared" si="109"/>
        <v>Check</v>
      </c>
      <c r="N1123">
        <v>37295.65</v>
      </c>
      <c r="O1123" t="s">
        <v>127</v>
      </c>
      <c r="Q1123" t="s">
        <v>41</v>
      </c>
    </row>
    <row r="1124" spans="1:17" x14ac:dyDescent="0.3">
      <c r="A1124">
        <v>61172</v>
      </c>
      <c r="B1124" t="s">
        <v>125</v>
      </c>
      <c r="C1124" t="s">
        <v>606</v>
      </c>
      <c r="D1124" t="s">
        <v>615</v>
      </c>
      <c r="E1124" s="6">
        <v>3317.26</v>
      </c>
      <c r="F1124" t="s">
        <v>603</v>
      </c>
      <c r="G1124" s="4" t="str">
        <f t="shared" si="104"/>
        <v>3317.26</v>
      </c>
      <c r="H1124" t="str">
        <f t="shared" si="105"/>
        <v>3317.26</v>
      </c>
      <c r="I1124" s="1">
        <v>45716</v>
      </c>
      <c r="J1124" s="2">
        <f t="shared" si="106"/>
        <v>2.7887433922274621E-2</v>
      </c>
      <c r="K1124" s="3" t="str">
        <f t="shared" si="107"/>
        <v/>
      </c>
      <c r="L1124" t="str">
        <f t="shared" si="108"/>
        <v/>
      </c>
      <c r="M1124" t="str">
        <f t="shared" si="109"/>
        <v/>
      </c>
      <c r="N1124">
        <v>3227.26</v>
      </c>
      <c r="O1124" t="s">
        <v>649</v>
      </c>
      <c r="Q1124" t="s">
        <v>606</v>
      </c>
    </row>
    <row r="1125" spans="1:17" x14ac:dyDescent="0.3">
      <c r="A1125">
        <v>62166</v>
      </c>
      <c r="B1125" t="s">
        <v>128</v>
      </c>
      <c r="C1125" t="s">
        <v>611</v>
      </c>
      <c r="D1125" t="s">
        <v>129</v>
      </c>
      <c r="E1125" s="6">
        <v>33016.239999999998</v>
      </c>
      <c r="F1125" t="s">
        <v>603</v>
      </c>
      <c r="G1125" s="4" t="str">
        <f t="shared" si="104"/>
        <v>33016.24</v>
      </c>
      <c r="H1125" t="str">
        <f t="shared" si="105"/>
        <v>33016.24</v>
      </c>
      <c r="I1125" s="1">
        <v>45716</v>
      </c>
      <c r="J1125" s="2">
        <f t="shared" si="106"/>
        <v>2.6352152243201636E-2</v>
      </c>
      <c r="K1125" s="3" t="str">
        <f t="shared" si="107"/>
        <v/>
      </c>
      <c r="L1125" t="str">
        <f t="shared" si="108"/>
        <v/>
      </c>
      <c r="M1125" t="str">
        <f t="shared" si="109"/>
        <v>Check</v>
      </c>
      <c r="N1125">
        <v>32168.53</v>
      </c>
      <c r="O1125" t="s">
        <v>130</v>
      </c>
      <c r="Q1125" t="s">
        <v>41</v>
      </c>
    </row>
    <row r="1126" spans="1:17" x14ac:dyDescent="0.3">
      <c r="A1126">
        <v>62166</v>
      </c>
      <c r="B1126" t="s">
        <v>128</v>
      </c>
      <c r="C1126" t="s">
        <v>606</v>
      </c>
      <c r="D1126" t="s">
        <v>616</v>
      </c>
      <c r="E1126" s="6">
        <v>3295.05</v>
      </c>
      <c r="F1126" t="s">
        <v>603</v>
      </c>
      <c r="G1126" s="4" t="str">
        <f t="shared" si="104"/>
        <v>3295.05</v>
      </c>
      <c r="H1126" t="str">
        <f t="shared" si="105"/>
        <v>3295.05</v>
      </c>
      <c r="I1126" s="1">
        <v>45716</v>
      </c>
      <c r="J1126" s="2">
        <f t="shared" si="106"/>
        <v>2.6828006581571643E-2</v>
      </c>
      <c r="K1126" s="3" t="str">
        <f t="shared" si="107"/>
        <v/>
      </c>
      <c r="L1126" t="str">
        <f t="shared" si="108"/>
        <v/>
      </c>
      <c r="M1126" t="str">
        <f t="shared" si="109"/>
        <v/>
      </c>
      <c r="N1126">
        <v>3208.96</v>
      </c>
      <c r="O1126" t="s">
        <v>650</v>
      </c>
      <c r="Q1126" t="s">
        <v>606</v>
      </c>
    </row>
    <row r="1127" spans="1:17" x14ac:dyDescent="0.3">
      <c r="A1127">
        <v>69046</v>
      </c>
      <c r="B1127" t="s">
        <v>131</v>
      </c>
      <c r="C1127" t="s">
        <v>19</v>
      </c>
      <c r="D1127" t="s">
        <v>132</v>
      </c>
      <c r="E1127" s="6">
        <v>7749.42</v>
      </c>
      <c r="F1127" t="s">
        <v>603</v>
      </c>
      <c r="G1127" s="4" t="str">
        <f t="shared" si="104"/>
        <v>7749.42</v>
      </c>
      <c r="H1127" t="str">
        <f t="shared" si="105"/>
        <v>7749.42</v>
      </c>
      <c r="I1127" s="1">
        <v>45716</v>
      </c>
      <c r="J1127" s="2">
        <f t="shared" si="106"/>
        <v>-9.6598877367233729E-2</v>
      </c>
      <c r="K1127" s="3" t="str">
        <f t="shared" si="107"/>
        <v/>
      </c>
      <c r="L1127" t="str">
        <f t="shared" si="108"/>
        <v/>
      </c>
      <c r="M1127" t="str">
        <f t="shared" si="109"/>
        <v/>
      </c>
      <c r="N1127">
        <v>8578.0499999999993</v>
      </c>
      <c r="O1127" t="s">
        <v>133</v>
      </c>
      <c r="Q1127" t="s">
        <v>19</v>
      </c>
    </row>
    <row r="1128" spans="1:17" x14ac:dyDescent="0.3">
      <c r="A1128">
        <v>72002</v>
      </c>
      <c r="B1128" t="s">
        <v>134</v>
      </c>
      <c r="C1128" t="s">
        <v>590</v>
      </c>
      <c r="D1128" t="s">
        <v>135</v>
      </c>
      <c r="E1128" s="6">
        <v>9702.07</v>
      </c>
      <c r="F1128" t="s">
        <v>603</v>
      </c>
      <c r="G1128" s="4" t="str">
        <f t="shared" si="104"/>
        <v>9702.07</v>
      </c>
      <c r="H1128" t="str">
        <f t="shared" si="105"/>
        <v>9702.07</v>
      </c>
      <c r="I1128" s="1">
        <v>45716</v>
      </c>
      <c r="J1128" s="2">
        <f t="shared" si="106"/>
        <v>-0.19940603651084823</v>
      </c>
      <c r="K1128" s="3" t="str">
        <f t="shared" si="107"/>
        <v>Check!</v>
      </c>
      <c r="L1128" t="str">
        <f t="shared" si="108"/>
        <v/>
      </c>
      <c r="M1128" t="str">
        <f t="shared" si="109"/>
        <v>Check</v>
      </c>
      <c r="N1128">
        <v>12118.59</v>
      </c>
      <c r="O1128" t="s">
        <v>136</v>
      </c>
      <c r="Q1128" t="s">
        <v>16</v>
      </c>
    </row>
    <row r="1129" spans="1:17" x14ac:dyDescent="0.3">
      <c r="A1129">
        <v>72002</v>
      </c>
      <c r="B1129" t="s">
        <v>134</v>
      </c>
      <c r="C1129" t="s">
        <v>19</v>
      </c>
      <c r="D1129" t="s">
        <v>137</v>
      </c>
      <c r="E1129" s="6">
        <v>8083.44</v>
      </c>
      <c r="F1129" t="s">
        <v>603</v>
      </c>
      <c r="G1129" s="4" t="str">
        <f t="shared" si="104"/>
        <v>8083.44</v>
      </c>
      <c r="H1129" t="str">
        <f t="shared" si="105"/>
        <v>8083.44</v>
      </c>
      <c r="I1129" s="1">
        <v>45716</v>
      </c>
      <c r="J1129" s="2">
        <f t="shared" si="106"/>
        <v>-0.20942805727251387</v>
      </c>
      <c r="K1129" s="3" t="str">
        <f t="shared" si="107"/>
        <v>Check!</v>
      </c>
      <c r="L1129" t="str">
        <f t="shared" si="108"/>
        <v/>
      </c>
      <c r="M1129" t="str">
        <f t="shared" si="109"/>
        <v/>
      </c>
      <c r="N1129">
        <v>10224.799999999999</v>
      </c>
      <c r="O1129" t="s">
        <v>138</v>
      </c>
      <c r="Q1129" t="s">
        <v>19</v>
      </c>
    </row>
    <row r="1130" spans="1:17" x14ac:dyDescent="0.3">
      <c r="A1130">
        <v>72002</v>
      </c>
      <c r="B1130" t="s">
        <v>134</v>
      </c>
      <c r="C1130" t="s">
        <v>19</v>
      </c>
      <c r="D1130" t="s">
        <v>139</v>
      </c>
      <c r="E1130" s="6">
        <v>2918</v>
      </c>
      <c r="F1130" t="s">
        <v>603</v>
      </c>
      <c r="G1130" s="4" t="str">
        <f t="shared" si="104"/>
        <v>2918</v>
      </c>
      <c r="H1130" t="str">
        <f t="shared" si="105"/>
        <v>2918</v>
      </c>
      <c r="I1130" s="1">
        <v>45716</v>
      </c>
      <c r="J1130" s="2">
        <f t="shared" si="106"/>
        <v>-3.9594510087878149E-2</v>
      </c>
      <c r="K1130" s="3" t="str">
        <f t="shared" si="107"/>
        <v/>
      </c>
      <c r="L1130" t="str">
        <f t="shared" si="108"/>
        <v/>
      </c>
      <c r="M1130" t="str">
        <f t="shared" si="109"/>
        <v/>
      </c>
      <c r="N1130">
        <v>3038.3</v>
      </c>
      <c r="O1130" t="s">
        <v>140</v>
      </c>
      <c r="Q1130" t="s">
        <v>19</v>
      </c>
    </row>
    <row r="1131" spans="1:17" x14ac:dyDescent="0.3">
      <c r="A1131">
        <v>80212</v>
      </c>
      <c r="B1131" t="s">
        <v>141</v>
      </c>
      <c r="C1131" t="s">
        <v>590</v>
      </c>
      <c r="D1131" t="s">
        <v>142</v>
      </c>
      <c r="E1131" s="6">
        <v>234.64</v>
      </c>
      <c r="F1131" t="s">
        <v>603</v>
      </c>
      <c r="G1131" s="4" t="str">
        <f t="shared" si="104"/>
        <v>234.64</v>
      </c>
      <c r="H1131" t="str">
        <f t="shared" si="105"/>
        <v>234.64</v>
      </c>
      <c r="I1131" s="1">
        <v>45716</v>
      </c>
      <c r="J1131" s="2">
        <f t="shared" si="106"/>
        <v>-6.225911651349063E-3</v>
      </c>
      <c r="K1131" s="3" t="str">
        <f t="shared" si="107"/>
        <v/>
      </c>
      <c r="L1131" t="str">
        <f t="shared" si="108"/>
        <v/>
      </c>
      <c r="M1131" t="str">
        <f t="shared" si="109"/>
        <v>Check</v>
      </c>
      <c r="N1131">
        <v>236.11</v>
      </c>
      <c r="O1131" t="s">
        <v>143</v>
      </c>
      <c r="Q1131" t="s">
        <v>16</v>
      </c>
    </row>
    <row r="1132" spans="1:17" x14ac:dyDescent="0.3">
      <c r="A1132">
        <v>80212</v>
      </c>
      <c r="B1132" t="s">
        <v>141</v>
      </c>
      <c r="C1132" t="s">
        <v>611</v>
      </c>
      <c r="D1132" t="s">
        <v>144</v>
      </c>
      <c r="E1132" s="6">
        <v>13996.86</v>
      </c>
      <c r="F1132" t="s">
        <v>603</v>
      </c>
      <c r="G1132" s="4" t="str">
        <f t="shared" si="104"/>
        <v>13996.86</v>
      </c>
      <c r="H1132" t="str">
        <f t="shared" si="105"/>
        <v>13996.86</v>
      </c>
      <c r="I1132" s="1">
        <v>45716</v>
      </c>
      <c r="J1132" s="2">
        <f t="shared" si="106"/>
        <v>3.0130723475910986E-2</v>
      </c>
      <c r="K1132" s="3" t="str">
        <f t="shared" si="107"/>
        <v/>
      </c>
      <c r="L1132" t="str">
        <f t="shared" si="108"/>
        <v/>
      </c>
      <c r="M1132" t="str">
        <f t="shared" si="109"/>
        <v>Check</v>
      </c>
      <c r="N1132">
        <v>13587.46</v>
      </c>
      <c r="O1132" t="s">
        <v>145</v>
      </c>
      <c r="Q1132" t="s">
        <v>41</v>
      </c>
    </row>
    <row r="1133" spans="1:17" x14ac:dyDescent="0.3">
      <c r="A1133">
        <v>80212</v>
      </c>
      <c r="B1133" t="s">
        <v>141</v>
      </c>
      <c r="C1133" t="s">
        <v>606</v>
      </c>
      <c r="D1133" t="s">
        <v>617</v>
      </c>
      <c r="E1133" s="6">
        <v>1635.17</v>
      </c>
      <c r="F1133" t="s">
        <v>603</v>
      </c>
      <c r="G1133" s="4" t="str">
        <f t="shared" si="104"/>
        <v>1635.17</v>
      </c>
      <c r="H1133" t="str">
        <f t="shared" si="105"/>
        <v>1635.17</v>
      </c>
      <c r="I1133" s="1">
        <v>45716</v>
      </c>
      <c r="J1133" s="2">
        <f t="shared" si="106"/>
        <v>4.3829914906384305E-2</v>
      </c>
      <c r="K1133" s="3" t="str">
        <f t="shared" si="107"/>
        <v/>
      </c>
      <c r="L1133" t="str">
        <f t="shared" si="108"/>
        <v/>
      </c>
      <c r="M1133" t="str">
        <f t="shared" si="109"/>
        <v/>
      </c>
      <c r="N1133">
        <v>1566.51</v>
      </c>
      <c r="O1133" t="s">
        <v>651</v>
      </c>
      <c r="Q1133" t="s">
        <v>606</v>
      </c>
    </row>
    <row r="1134" spans="1:17" x14ac:dyDescent="0.3">
      <c r="A1134">
        <v>81381</v>
      </c>
      <c r="B1134" t="s">
        <v>593</v>
      </c>
      <c r="C1134" t="s">
        <v>19</v>
      </c>
      <c r="D1134" t="s">
        <v>146</v>
      </c>
      <c r="E1134" s="6">
        <v>2673.97</v>
      </c>
      <c r="F1134" t="s">
        <v>603</v>
      </c>
      <c r="G1134" s="4" t="str">
        <f t="shared" si="104"/>
        <v>2673.97</v>
      </c>
      <c r="H1134" t="str">
        <f t="shared" si="105"/>
        <v>2673.97</v>
      </c>
      <c r="I1134" s="1">
        <v>45716</v>
      </c>
      <c r="J1134" s="2">
        <f t="shared" si="106"/>
        <v>-0.15819182360237505</v>
      </c>
      <c r="K1134" s="3" t="str">
        <f t="shared" si="107"/>
        <v>Check!</v>
      </c>
      <c r="L1134" t="str">
        <f t="shared" si="108"/>
        <v/>
      </c>
      <c r="M1134" t="str">
        <f t="shared" si="109"/>
        <v/>
      </c>
      <c r="N1134">
        <v>3176.46</v>
      </c>
      <c r="O1134" t="s">
        <v>147</v>
      </c>
      <c r="Q1134" t="s">
        <v>19</v>
      </c>
    </row>
    <row r="1135" spans="1:17" x14ac:dyDescent="0.3">
      <c r="A1135">
        <v>81381</v>
      </c>
      <c r="B1135" t="s">
        <v>593</v>
      </c>
      <c r="C1135" t="s">
        <v>19</v>
      </c>
      <c r="D1135" t="s">
        <v>148</v>
      </c>
      <c r="E1135" s="6">
        <v>165893.63</v>
      </c>
      <c r="F1135" t="s">
        <v>603</v>
      </c>
      <c r="G1135" s="4" t="str">
        <f t="shared" si="104"/>
        <v>165893.63</v>
      </c>
      <c r="H1135" t="str">
        <f t="shared" si="105"/>
        <v>165893.63</v>
      </c>
      <c r="I1135" s="1">
        <v>45716</v>
      </c>
      <c r="J1135" s="2">
        <f t="shared" si="106"/>
        <v>-2.421756772272457E-2</v>
      </c>
      <c r="K1135" s="3" t="str">
        <f t="shared" si="107"/>
        <v/>
      </c>
      <c r="L1135" t="str">
        <f t="shared" si="108"/>
        <v/>
      </c>
      <c r="M1135" t="str">
        <f t="shared" si="109"/>
        <v/>
      </c>
      <c r="N1135">
        <v>170010.88</v>
      </c>
      <c r="O1135" t="s">
        <v>149</v>
      </c>
      <c r="Q1135" t="s">
        <v>19</v>
      </c>
    </row>
    <row r="1136" spans="1:17" x14ac:dyDescent="0.3">
      <c r="A1136">
        <v>113590</v>
      </c>
      <c r="B1136" t="s">
        <v>150</v>
      </c>
      <c r="C1136" t="s">
        <v>19</v>
      </c>
      <c r="D1136" t="s">
        <v>151</v>
      </c>
      <c r="E1136" s="6">
        <v>4505.45</v>
      </c>
      <c r="F1136" t="s">
        <v>603</v>
      </c>
      <c r="G1136" s="4" t="str">
        <f t="shared" si="104"/>
        <v>4505.45</v>
      </c>
      <c r="H1136" t="str">
        <f t="shared" si="105"/>
        <v>4505.45</v>
      </c>
      <c r="I1136" s="1">
        <v>45716</v>
      </c>
      <c r="J1136" s="2">
        <f t="shared" si="106"/>
        <v>-6.9794570042324797E-2</v>
      </c>
      <c r="K1136" s="3" t="str">
        <f t="shared" si="107"/>
        <v/>
      </c>
      <c r="L1136" t="str">
        <f t="shared" si="108"/>
        <v/>
      </c>
      <c r="M1136" t="str">
        <f t="shared" si="109"/>
        <v/>
      </c>
      <c r="N1136">
        <v>4843.5</v>
      </c>
      <c r="O1136" t="s">
        <v>152</v>
      </c>
      <c r="Q1136" t="s">
        <v>19</v>
      </c>
    </row>
    <row r="1137" spans="1:17" x14ac:dyDescent="0.3">
      <c r="A1137">
        <v>113590</v>
      </c>
      <c r="B1137" t="s">
        <v>150</v>
      </c>
      <c r="C1137" t="s">
        <v>19</v>
      </c>
      <c r="D1137" t="s">
        <v>153</v>
      </c>
      <c r="E1137" s="6">
        <v>1232.6300000000001</v>
      </c>
      <c r="F1137" t="s">
        <v>603</v>
      </c>
      <c r="G1137" s="4" t="str">
        <f t="shared" si="104"/>
        <v>1232.63</v>
      </c>
      <c r="H1137" t="str">
        <f t="shared" si="105"/>
        <v>1232.63</v>
      </c>
      <c r="I1137" s="1">
        <v>45716</v>
      </c>
      <c r="J1137" s="2">
        <f t="shared" si="106"/>
        <v>-6.7848905357885431E-2</v>
      </c>
      <c r="K1137" s="3" t="str">
        <f t="shared" si="107"/>
        <v/>
      </c>
      <c r="L1137" t="str">
        <f t="shared" si="108"/>
        <v/>
      </c>
      <c r="M1137" t="str">
        <f t="shared" si="109"/>
        <v/>
      </c>
      <c r="N1137">
        <v>1322.35</v>
      </c>
      <c r="O1137" t="s">
        <v>154</v>
      </c>
      <c r="Q1137" t="s">
        <v>19</v>
      </c>
    </row>
    <row r="1138" spans="1:17" x14ac:dyDescent="0.3">
      <c r="A1138">
        <v>130912</v>
      </c>
      <c r="B1138" t="s">
        <v>604</v>
      </c>
      <c r="C1138" t="s">
        <v>590</v>
      </c>
      <c r="D1138" t="s">
        <v>605</v>
      </c>
      <c r="E1138" s="6">
        <v>4697.68</v>
      </c>
      <c r="F1138" t="s">
        <v>603</v>
      </c>
      <c r="G1138" s="4" t="str">
        <f t="shared" si="104"/>
        <v>4697.68</v>
      </c>
      <c r="H1138" t="str">
        <f t="shared" si="105"/>
        <v>4697.68</v>
      </c>
      <c r="I1138" s="1">
        <v>45716</v>
      </c>
      <c r="J1138" s="2">
        <f t="shared" si="106"/>
        <v>-6.2636309598098853E-3</v>
      </c>
      <c r="K1138" s="3" t="str">
        <f t="shared" si="107"/>
        <v/>
      </c>
      <c r="L1138" t="str">
        <f t="shared" si="108"/>
        <v/>
      </c>
      <c r="M1138" t="str">
        <f t="shared" si="109"/>
        <v/>
      </c>
      <c r="N1138">
        <v>4727.29</v>
      </c>
      <c r="O1138" t="s">
        <v>652</v>
      </c>
      <c r="Q1138" t="s">
        <v>590</v>
      </c>
    </row>
    <row r="1139" spans="1:17" x14ac:dyDescent="0.3">
      <c r="A1139">
        <v>133380</v>
      </c>
      <c r="B1139" t="s">
        <v>155</v>
      </c>
      <c r="C1139" t="s">
        <v>611</v>
      </c>
      <c r="D1139" t="s">
        <v>156</v>
      </c>
      <c r="E1139" s="6">
        <v>8542.66</v>
      </c>
      <c r="F1139" t="s">
        <v>603</v>
      </c>
      <c r="G1139" s="4" t="str">
        <f t="shared" si="104"/>
        <v>8542.66</v>
      </c>
      <c r="H1139" t="str">
        <f t="shared" si="105"/>
        <v>8542.66</v>
      </c>
      <c r="I1139" s="1">
        <v>45716</v>
      </c>
      <c r="J1139" s="2">
        <f t="shared" si="106"/>
        <v>3.2668835321266715E-2</v>
      </c>
      <c r="K1139" s="3" t="str">
        <f t="shared" si="107"/>
        <v/>
      </c>
      <c r="L1139" t="str">
        <f t="shared" si="108"/>
        <v/>
      </c>
      <c r="M1139" t="str">
        <f t="shared" si="109"/>
        <v>Check</v>
      </c>
      <c r="N1139">
        <v>8272.41</v>
      </c>
      <c r="O1139" t="s">
        <v>157</v>
      </c>
      <c r="Q1139" t="s">
        <v>41</v>
      </c>
    </row>
    <row r="1140" spans="1:17" x14ac:dyDescent="0.3">
      <c r="A1140">
        <v>133380</v>
      </c>
      <c r="B1140" t="s">
        <v>155</v>
      </c>
      <c r="C1140" t="s">
        <v>606</v>
      </c>
      <c r="D1140" t="s">
        <v>618</v>
      </c>
      <c r="E1140" s="6">
        <v>974.32</v>
      </c>
      <c r="F1140" t="s">
        <v>603</v>
      </c>
      <c r="G1140" s="4" t="str">
        <f t="shared" si="104"/>
        <v>974.32</v>
      </c>
      <c r="H1140" t="str">
        <f t="shared" si="105"/>
        <v>974.32</v>
      </c>
      <c r="I1140" s="1">
        <v>45716</v>
      </c>
      <c r="J1140" s="2">
        <f t="shared" si="106"/>
        <v>1.2080732115218809E-2</v>
      </c>
      <c r="K1140" s="3" t="str">
        <f t="shared" si="107"/>
        <v/>
      </c>
      <c r="L1140" t="str">
        <f t="shared" si="108"/>
        <v/>
      </c>
      <c r="M1140" t="str">
        <f t="shared" si="109"/>
        <v/>
      </c>
      <c r="N1140">
        <v>962.69</v>
      </c>
      <c r="O1140" t="s">
        <v>653</v>
      </c>
      <c r="Q1140" t="s">
        <v>606</v>
      </c>
    </row>
    <row r="1141" spans="1:17" x14ac:dyDescent="0.3">
      <c r="A1141">
        <v>133382</v>
      </c>
      <c r="B1141" t="s">
        <v>158</v>
      </c>
      <c r="C1141" t="s">
        <v>611</v>
      </c>
      <c r="D1141" t="s">
        <v>159</v>
      </c>
      <c r="E1141" s="6">
        <v>989.49</v>
      </c>
      <c r="F1141" t="s">
        <v>603</v>
      </c>
      <c r="G1141" s="4" t="str">
        <f t="shared" si="104"/>
        <v>989.49</v>
      </c>
      <c r="H1141" t="str">
        <f t="shared" si="105"/>
        <v>989.49</v>
      </c>
      <c r="I1141" s="1">
        <v>45716</v>
      </c>
      <c r="J1141" s="2">
        <f t="shared" si="106"/>
        <v>1.2100321175050673E-2</v>
      </c>
      <c r="K1141" s="3" t="str">
        <f t="shared" si="107"/>
        <v/>
      </c>
      <c r="L1141" t="str">
        <f t="shared" si="108"/>
        <v/>
      </c>
      <c r="M1141" t="str">
        <f t="shared" si="109"/>
        <v>Check</v>
      </c>
      <c r="N1141">
        <v>977.66</v>
      </c>
      <c r="O1141" t="s">
        <v>160</v>
      </c>
      <c r="Q1141" t="s">
        <v>41</v>
      </c>
    </row>
    <row r="1142" spans="1:17" x14ac:dyDescent="0.3">
      <c r="A1142">
        <v>133382</v>
      </c>
      <c r="B1142" t="s">
        <v>158</v>
      </c>
      <c r="C1142" t="s">
        <v>606</v>
      </c>
      <c r="D1142" t="s">
        <v>619</v>
      </c>
      <c r="E1142" s="6">
        <v>113.24</v>
      </c>
      <c r="F1142" t="s">
        <v>603</v>
      </c>
      <c r="G1142" s="4" t="str">
        <f t="shared" si="104"/>
        <v>113.24</v>
      </c>
      <c r="H1142" t="str">
        <f t="shared" si="105"/>
        <v>113.24</v>
      </c>
      <c r="I1142" s="1">
        <v>45716</v>
      </c>
      <c r="J1142" s="2">
        <f t="shared" si="106"/>
        <v>1.2336849633470369E-2</v>
      </c>
      <c r="K1142" s="3" t="str">
        <f t="shared" si="107"/>
        <v/>
      </c>
      <c r="L1142" t="str">
        <f t="shared" si="108"/>
        <v/>
      </c>
      <c r="M1142" t="str">
        <f t="shared" si="109"/>
        <v/>
      </c>
      <c r="N1142">
        <v>111.86</v>
      </c>
      <c r="O1142" t="s">
        <v>654</v>
      </c>
      <c r="Q1142" t="s">
        <v>606</v>
      </c>
    </row>
    <row r="1143" spans="1:17" x14ac:dyDescent="0.3">
      <c r="A1143">
        <v>135931</v>
      </c>
      <c r="B1143" t="s">
        <v>161</v>
      </c>
      <c r="C1143" t="s">
        <v>590</v>
      </c>
      <c r="D1143" t="s">
        <v>162</v>
      </c>
      <c r="E1143" s="6">
        <v>438.53</v>
      </c>
      <c r="F1143" t="s">
        <v>603</v>
      </c>
      <c r="G1143" s="4" t="str">
        <f t="shared" si="104"/>
        <v>438.53</v>
      </c>
      <c r="H1143" t="str">
        <f t="shared" si="105"/>
        <v>438.53</v>
      </c>
      <c r="I1143" s="1">
        <v>45716</v>
      </c>
      <c r="J1143" s="2">
        <f t="shared" si="106"/>
        <v>-0.38365425158116656</v>
      </c>
      <c r="K1143" s="3" t="str">
        <f t="shared" si="107"/>
        <v>Check!</v>
      </c>
      <c r="L1143" t="str">
        <f t="shared" si="108"/>
        <v/>
      </c>
      <c r="M1143" t="str">
        <f t="shared" si="109"/>
        <v>Check</v>
      </c>
      <c r="N1143">
        <v>711.5</v>
      </c>
      <c r="O1143" t="s">
        <v>163</v>
      </c>
      <c r="Q1143" t="s">
        <v>16</v>
      </c>
    </row>
    <row r="1144" spans="1:17" x14ac:dyDescent="0.3">
      <c r="A1144">
        <v>100202693</v>
      </c>
      <c r="B1144" t="s">
        <v>594</v>
      </c>
      <c r="C1144" t="s">
        <v>590</v>
      </c>
      <c r="D1144" t="s">
        <v>599</v>
      </c>
      <c r="E1144" s="6">
        <v>33105.07</v>
      </c>
      <c r="F1144" t="s">
        <v>603</v>
      </c>
      <c r="G1144" s="4" t="str">
        <f t="shared" si="104"/>
        <v>33105.07</v>
      </c>
      <c r="H1144" t="str">
        <f t="shared" si="105"/>
        <v>33105.07</v>
      </c>
      <c r="I1144" s="1">
        <v>45716</v>
      </c>
      <c r="J1144" s="2">
        <f t="shared" si="106"/>
        <v>-7.5284377502347422E-3</v>
      </c>
      <c r="K1144" s="3" t="str">
        <f t="shared" si="107"/>
        <v/>
      </c>
      <c r="L1144" t="str">
        <f t="shared" si="108"/>
        <v/>
      </c>
      <c r="M1144" t="str">
        <f t="shared" si="109"/>
        <v/>
      </c>
      <c r="N1144">
        <v>33356.19</v>
      </c>
      <c r="O1144" t="s">
        <v>655</v>
      </c>
      <c r="Q1144" t="s">
        <v>590</v>
      </c>
    </row>
    <row r="1145" spans="1:17" x14ac:dyDescent="0.3">
      <c r="A1145">
        <v>100202693</v>
      </c>
      <c r="B1145" t="s">
        <v>594</v>
      </c>
      <c r="C1145" t="s">
        <v>19</v>
      </c>
      <c r="D1145" t="s">
        <v>597</v>
      </c>
      <c r="E1145" s="6">
        <v>23368.18</v>
      </c>
      <c r="F1145" t="s">
        <v>603</v>
      </c>
      <c r="G1145" s="4" t="str">
        <f t="shared" si="104"/>
        <v>23368.18</v>
      </c>
      <c r="H1145" t="str">
        <f t="shared" si="105"/>
        <v>23368.18</v>
      </c>
      <c r="I1145" s="1">
        <v>45716</v>
      </c>
      <c r="J1145" s="2">
        <f t="shared" si="106"/>
        <v>-6.8016223928636663E-3</v>
      </c>
      <c r="K1145" s="3" t="str">
        <f t="shared" si="107"/>
        <v/>
      </c>
      <c r="L1145" t="str">
        <f t="shared" si="108"/>
        <v/>
      </c>
      <c r="M1145" t="str">
        <f t="shared" si="109"/>
        <v/>
      </c>
      <c r="N1145">
        <v>23528.21</v>
      </c>
      <c r="O1145" t="s">
        <v>657</v>
      </c>
      <c r="Q1145" t="s">
        <v>19</v>
      </c>
    </row>
    <row r="1146" spans="1:17" x14ac:dyDescent="0.3">
      <c r="A1146">
        <v>100202693</v>
      </c>
      <c r="B1146" t="s">
        <v>594</v>
      </c>
      <c r="C1146" t="s">
        <v>19</v>
      </c>
      <c r="D1146" t="s">
        <v>598</v>
      </c>
      <c r="E1146" s="6">
        <v>91066.45</v>
      </c>
      <c r="F1146" t="s">
        <v>603</v>
      </c>
      <c r="G1146" s="4" t="str">
        <f t="shared" si="104"/>
        <v>91066.45</v>
      </c>
      <c r="H1146" t="str">
        <f t="shared" si="105"/>
        <v>91066.45</v>
      </c>
      <c r="I1146" s="1">
        <v>45716</v>
      </c>
      <c r="J1146" s="2">
        <f t="shared" si="106"/>
        <v>-6.5005998648735843E-3</v>
      </c>
      <c r="K1146" s="3" t="str">
        <f t="shared" si="107"/>
        <v/>
      </c>
      <c r="L1146" t="str">
        <f t="shared" si="108"/>
        <v/>
      </c>
      <c r="M1146" t="str">
        <f t="shared" si="109"/>
        <v/>
      </c>
      <c r="N1146">
        <v>91662.31</v>
      </c>
      <c r="O1146" t="s">
        <v>656</v>
      </c>
      <c r="Q1146" t="s">
        <v>19</v>
      </c>
    </row>
    <row r="1147" spans="1:17" x14ac:dyDescent="0.3">
      <c r="A1147">
        <v>100205932</v>
      </c>
      <c r="B1147" t="s">
        <v>165</v>
      </c>
      <c r="C1147" t="s">
        <v>19</v>
      </c>
      <c r="D1147" t="s">
        <v>586</v>
      </c>
      <c r="E1147" s="6">
        <v>40458.94</v>
      </c>
      <c r="F1147" t="s">
        <v>603</v>
      </c>
      <c r="G1147" s="4" t="str">
        <f t="shared" si="104"/>
        <v>40458.94</v>
      </c>
      <c r="H1147" t="str">
        <f t="shared" si="105"/>
        <v>40458.94</v>
      </c>
      <c r="I1147" s="1">
        <v>45716</v>
      </c>
      <c r="J1147" s="2">
        <f t="shared" si="106"/>
        <v>-5.8207452264138525E-3</v>
      </c>
      <c r="K1147" s="3" t="str">
        <f t="shared" si="107"/>
        <v/>
      </c>
      <c r="L1147" t="str">
        <f t="shared" si="108"/>
        <v/>
      </c>
      <c r="M1147" t="str">
        <f t="shared" si="109"/>
        <v/>
      </c>
      <c r="N1147">
        <v>40695.82</v>
      </c>
      <c r="O1147" t="s">
        <v>587</v>
      </c>
      <c r="Q1147" t="s">
        <v>19</v>
      </c>
    </row>
    <row r="1148" spans="1:17" x14ac:dyDescent="0.3">
      <c r="A1148">
        <v>100220898</v>
      </c>
      <c r="B1148" t="s">
        <v>166</v>
      </c>
      <c r="C1148" t="s">
        <v>19</v>
      </c>
      <c r="D1148" t="s">
        <v>167</v>
      </c>
      <c r="E1148" s="6">
        <v>36394.720000000001</v>
      </c>
      <c r="F1148" t="s">
        <v>603</v>
      </c>
      <c r="G1148" s="4" t="str">
        <f t="shared" si="104"/>
        <v>36394.72</v>
      </c>
      <c r="H1148" t="str">
        <f t="shared" si="105"/>
        <v>36394.72</v>
      </c>
      <c r="I1148" s="1">
        <v>45716</v>
      </c>
      <c r="J1148" s="2">
        <f t="shared" si="106"/>
        <v>-7.3515734396385158E-3</v>
      </c>
      <c r="K1148" s="3" t="str">
        <f t="shared" si="107"/>
        <v/>
      </c>
      <c r="L1148" t="str">
        <f t="shared" si="108"/>
        <v/>
      </c>
      <c r="M1148" t="str">
        <f t="shared" si="109"/>
        <v/>
      </c>
      <c r="N1148">
        <v>36664.26</v>
      </c>
      <c r="O1148" t="s">
        <v>168</v>
      </c>
      <c r="Q1148" t="s">
        <v>19</v>
      </c>
    </row>
    <row r="1149" spans="1:17" x14ac:dyDescent="0.3">
      <c r="A1149">
        <v>100220898</v>
      </c>
      <c r="B1149" t="s">
        <v>166</v>
      </c>
      <c r="C1149" t="s">
        <v>19</v>
      </c>
      <c r="D1149" t="s">
        <v>169</v>
      </c>
      <c r="E1149" s="6">
        <v>27099.45</v>
      </c>
      <c r="F1149" t="s">
        <v>603</v>
      </c>
      <c r="G1149" s="4" t="str">
        <f t="shared" si="104"/>
        <v>27099.45</v>
      </c>
      <c r="H1149" t="str">
        <f t="shared" si="105"/>
        <v>27099.45</v>
      </c>
      <c r="I1149" s="1">
        <v>45716</v>
      </c>
      <c r="J1149" s="2">
        <f t="shared" si="106"/>
        <v>-5.6904935828212599E-2</v>
      </c>
      <c r="K1149" s="3" t="str">
        <f t="shared" si="107"/>
        <v/>
      </c>
      <c r="L1149" t="str">
        <f t="shared" si="108"/>
        <v/>
      </c>
      <c r="M1149" t="str">
        <f t="shared" si="109"/>
        <v/>
      </c>
      <c r="N1149">
        <v>28734.59</v>
      </c>
      <c r="O1149" t="s">
        <v>170</v>
      </c>
      <c r="Q1149" t="s">
        <v>19</v>
      </c>
    </row>
    <row r="1150" spans="1:17" x14ac:dyDescent="0.3">
      <c r="A1150">
        <v>100247003</v>
      </c>
      <c r="B1150" t="s">
        <v>105</v>
      </c>
      <c r="C1150" t="s">
        <v>19</v>
      </c>
      <c r="D1150" t="s">
        <v>171</v>
      </c>
      <c r="E1150" s="6">
        <v>3611.12</v>
      </c>
      <c r="F1150" t="s">
        <v>603</v>
      </c>
      <c r="G1150" s="4" t="str">
        <f t="shared" si="104"/>
        <v>3611.12</v>
      </c>
      <c r="H1150" t="str">
        <f t="shared" si="105"/>
        <v>3611.12</v>
      </c>
      <c r="I1150" s="1">
        <v>45716</v>
      </c>
      <c r="J1150" s="2">
        <f t="shared" si="106"/>
        <v>-8.9360207262986716E-3</v>
      </c>
      <c r="K1150" s="3" t="str">
        <f t="shared" si="107"/>
        <v/>
      </c>
      <c r="L1150" t="str">
        <f t="shared" si="108"/>
        <v/>
      </c>
      <c r="M1150" t="str">
        <f t="shared" si="109"/>
        <v/>
      </c>
      <c r="N1150">
        <v>3643.68</v>
      </c>
      <c r="O1150" t="s">
        <v>172</v>
      </c>
      <c r="Q1150" t="s">
        <v>19</v>
      </c>
    </row>
    <row r="1151" spans="1:17" x14ac:dyDescent="0.3">
      <c r="A1151">
        <v>100249944</v>
      </c>
      <c r="B1151" t="s">
        <v>173</v>
      </c>
      <c r="C1151" t="s">
        <v>19</v>
      </c>
      <c r="D1151" t="s">
        <v>174</v>
      </c>
      <c r="E1151" s="6">
        <v>3739.66</v>
      </c>
      <c r="F1151" t="s">
        <v>603</v>
      </c>
      <c r="G1151" s="4" t="str">
        <f t="shared" si="104"/>
        <v>3739.66</v>
      </c>
      <c r="H1151" t="str">
        <f t="shared" si="105"/>
        <v>3739.66</v>
      </c>
      <c r="I1151" s="1">
        <v>45716</v>
      </c>
      <c r="J1151" s="2">
        <f t="shared" si="106"/>
        <v>-0.211075482047171</v>
      </c>
      <c r="K1151" s="3" t="str">
        <f t="shared" si="107"/>
        <v>Check!</v>
      </c>
      <c r="L1151" t="str">
        <f t="shared" si="108"/>
        <v/>
      </c>
      <c r="M1151" t="str">
        <f t="shared" si="109"/>
        <v/>
      </c>
      <c r="N1151">
        <v>4740.2</v>
      </c>
      <c r="O1151" t="s">
        <v>175</v>
      </c>
      <c r="Q1151" t="s">
        <v>19</v>
      </c>
    </row>
    <row r="1152" spans="1:17" x14ac:dyDescent="0.3">
      <c r="A1152">
        <v>100250182</v>
      </c>
      <c r="B1152" t="s">
        <v>176</v>
      </c>
      <c r="C1152" t="s">
        <v>19</v>
      </c>
      <c r="D1152" t="s">
        <v>177</v>
      </c>
      <c r="E1152" s="6">
        <v>51349.440000000002</v>
      </c>
      <c r="F1152" t="s">
        <v>603</v>
      </c>
      <c r="G1152" s="4" t="str">
        <f t="shared" si="104"/>
        <v>51349.44</v>
      </c>
      <c r="H1152" t="str">
        <f t="shared" si="105"/>
        <v>51349.44</v>
      </c>
      <c r="I1152" s="1">
        <v>45716</v>
      </c>
      <c r="J1152" s="2">
        <f t="shared" si="106"/>
        <v>-4.4645407019914089E-2</v>
      </c>
      <c r="K1152" s="3" t="str">
        <f t="shared" si="107"/>
        <v/>
      </c>
      <c r="L1152" t="str">
        <f t="shared" si="108"/>
        <v/>
      </c>
      <c r="M1152" t="str">
        <f t="shared" si="109"/>
        <v/>
      </c>
      <c r="N1152">
        <v>53749.09</v>
      </c>
      <c r="O1152" t="s">
        <v>178</v>
      </c>
      <c r="Q1152" t="s">
        <v>19</v>
      </c>
    </row>
    <row r="1153" spans="1:17" x14ac:dyDescent="0.3">
      <c r="A1153">
        <v>100271808</v>
      </c>
      <c r="B1153" t="s">
        <v>179</v>
      </c>
      <c r="C1153" t="s">
        <v>611</v>
      </c>
      <c r="D1153" t="s">
        <v>180</v>
      </c>
      <c r="E1153" s="6">
        <v>6548.19</v>
      </c>
      <c r="F1153" t="s">
        <v>603</v>
      </c>
      <c r="G1153" s="4" t="str">
        <f t="shared" si="104"/>
        <v>6548.19</v>
      </c>
      <c r="H1153" t="str">
        <f t="shared" si="105"/>
        <v>6548.19</v>
      </c>
      <c r="I1153" s="1">
        <v>45716</v>
      </c>
      <c r="J1153" s="2">
        <f t="shared" si="106"/>
        <v>3.4250253500838601E-2</v>
      </c>
      <c r="K1153" s="3" t="str">
        <f t="shared" si="107"/>
        <v/>
      </c>
      <c r="L1153" t="str">
        <f t="shared" si="108"/>
        <v/>
      </c>
      <c r="M1153" t="str">
        <f t="shared" si="109"/>
        <v>Check</v>
      </c>
      <c r="N1153">
        <v>6331.34</v>
      </c>
      <c r="O1153" t="s">
        <v>181</v>
      </c>
      <c r="Q1153" t="s">
        <v>41</v>
      </c>
    </row>
    <row r="1154" spans="1:17" x14ac:dyDescent="0.3">
      <c r="A1154">
        <v>100271808</v>
      </c>
      <c r="B1154" t="s">
        <v>179</v>
      </c>
      <c r="C1154" t="s">
        <v>606</v>
      </c>
      <c r="D1154" t="s">
        <v>620</v>
      </c>
      <c r="E1154" s="6">
        <v>751.82</v>
      </c>
      <c r="F1154" t="s">
        <v>603</v>
      </c>
      <c r="G1154" s="4" t="str">
        <f t="shared" si="104"/>
        <v>751.82</v>
      </c>
      <c r="H1154" t="str">
        <f t="shared" si="105"/>
        <v>751.82</v>
      </c>
      <c r="I1154" s="1">
        <v>45716</v>
      </c>
      <c r="J1154" s="2">
        <f t="shared" si="106"/>
        <v>1.211599041490536E-2</v>
      </c>
      <c r="K1154" s="3" t="str">
        <f t="shared" si="107"/>
        <v/>
      </c>
      <c r="L1154" t="str">
        <f t="shared" si="108"/>
        <v/>
      </c>
      <c r="M1154" t="str">
        <f t="shared" si="109"/>
        <v/>
      </c>
      <c r="N1154">
        <v>742.82</v>
      </c>
      <c r="O1154" t="s">
        <v>658</v>
      </c>
      <c r="Q1154" t="s">
        <v>606</v>
      </c>
    </row>
    <row r="1155" spans="1:17" x14ac:dyDescent="0.3">
      <c r="A1155">
        <v>100273792</v>
      </c>
      <c r="B1155" t="s">
        <v>182</v>
      </c>
      <c r="C1155" t="s">
        <v>19</v>
      </c>
      <c r="D1155" t="s">
        <v>183</v>
      </c>
      <c r="E1155" s="6">
        <v>3464.4</v>
      </c>
      <c r="F1155" t="s">
        <v>603</v>
      </c>
      <c r="G1155" s="4" t="str">
        <f t="shared" ref="G1155:G1218" si="110">SUBSTITUTE(E1155,"R","")</f>
        <v>3464.4</v>
      </c>
      <c r="H1155" t="str">
        <f t="shared" ref="H1155:H1218" si="111">SUBSTITUTE(G1155,",","")</f>
        <v>3464.4</v>
      </c>
      <c r="I1155" s="1">
        <v>45716</v>
      </c>
      <c r="J1155" s="2">
        <f t="shared" ref="J1155:J1218" si="112">(H1155-N1155)/N1155</f>
        <v>-3.3637471792110914E-2</v>
      </c>
      <c r="K1155" s="3" t="str">
        <f t="shared" ref="K1155:K1218" si="113">IF(ABS(J1155)&gt;0.1,"Check!","")</f>
        <v/>
      </c>
      <c r="L1155" t="str">
        <f t="shared" ref="L1155:L1218" si="114">IF(LEFT(O1155,10)&lt;&gt;LEFT(D1155,10),"Check","")</f>
        <v/>
      </c>
      <c r="M1155" t="str">
        <f t="shared" ref="M1155:M1218" si="115">IF(Q1155&lt;&gt;C1155,"Check","")</f>
        <v/>
      </c>
      <c r="N1155">
        <v>3584.99</v>
      </c>
      <c r="O1155" t="s">
        <v>184</v>
      </c>
      <c r="Q1155" t="s">
        <v>19</v>
      </c>
    </row>
    <row r="1156" spans="1:17" x14ac:dyDescent="0.3">
      <c r="A1156">
        <v>100273792</v>
      </c>
      <c r="B1156" t="s">
        <v>182</v>
      </c>
      <c r="C1156" t="s">
        <v>19</v>
      </c>
      <c r="D1156" t="s">
        <v>185</v>
      </c>
      <c r="E1156" s="6">
        <v>2995.96</v>
      </c>
      <c r="F1156" t="s">
        <v>603</v>
      </c>
      <c r="G1156" s="4" t="str">
        <f t="shared" si="110"/>
        <v>2995.96</v>
      </c>
      <c r="H1156" t="str">
        <f t="shared" si="111"/>
        <v>2995.96</v>
      </c>
      <c r="I1156" s="1">
        <v>45716</v>
      </c>
      <c r="J1156" s="2">
        <f t="shared" si="112"/>
        <v>-1.5273975079130761E-2</v>
      </c>
      <c r="K1156" s="3" t="str">
        <f t="shared" si="113"/>
        <v/>
      </c>
      <c r="L1156" t="str">
        <f t="shared" si="114"/>
        <v/>
      </c>
      <c r="M1156" t="str">
        <f t="shared" si="115"/>
        <v/>
      </c>
      <c r="N1156">
        <v>3042.43</v>
      </c>
      <c r="O1156" t="s">
        <v>186</v>
      </c>
      <c r="Q1156" t="s">
        <v>19</v>
      </c>
    </row>
    <row r="1157" spans="1:17" x14ac:dyDescent="0.3">
      <c r="A1157">
        <v>100278188</v>
      </c>
      <c r="B1157" t="s">
        <v>187</v>
      </c>
      <c r="C1157" t="s">
        <v>590</v>
      </c>
      <c r="D1157" t="s">
        <v>188</v>
      </c>
      <c r="E1157" s="6">
        <v>4877.43</v>
      </c>
      <c r="F1157" t="s">
        <v>603</v>
      </c>
      <c r="G1157" s="4" t="str">
        <f t="shared" si="110"/>
        <v>4877.43</v>
      </c>
      <c r="H1157" t="str">
        <f t="shared" si="111"/>
        <v>4877.43</v>
      </c>
      <c r="I1157" s="1">
        <v>45716</v>
      </c>
      <c r="J1157" s="2">
        <f t="shared" si="112"/>
        <v>-0.45063716865990711</v>
      </c>
      <c r="K1157" s="3" t="str">
        <f t="shared" si="113"/>
        <v>Check!</v>
      </c>
      <c r="L1157" t="str">
        <f t="shared" si="114"/>
        <v/>
      </c>
      <c r="M1157" t="str">
        <f t="shared" si="115"/>
        <v>Check</v>
      </c>
      <c r="N1157">
        <v>8878.34</v>
      </c>
      <c r="O1157" t="s">
        <v>189</v>
      </c>
      <c r="Q1157" t="s">
        <v>16</v>
      </c>
    </row>
    <row r="1158" spans="1:17" x14ac:dyDescent="0.3">
      <c r="A1158">
        <v>100278188</v>
      </c>
      <c r="B1158" t="s">
        <v>187</v>
      </c>
      <c r="C1158" t="s">
        <v>19</v>
      </c>
      <c r="D1158" t="s">
        <v>190</v>
      </c>
      <c r="E1158" s="6">
        <v>2473.4299999999998</v>
      </c>
      <c r="F1158" t="s">
        <v>603</v>
      </c>
      <c r="G1158" s="4" t="str">
        <f t="shared" si="110"/>
        <v>2473.43</v>
      </c>
      <c r="H1158" t="str">
        <f t="shared" si="111"/>
        <v>2473.43</v>
      </c>
      <c r="I1158" s="1">
        <v>45716</v>
      </c>
      <c r="J1158" s="2">
        <f t="shared" si="112"/>
        <v>1.8510567630403137E-3</v>
      </c>
      <c r="K1158" s="3" t="str">
        <f t="shared" si="113"/>
        <v/>
      </c>
      <c r="L1158" t="str">
        <f t="shared" si="114"/>
        <v/>
      </c>
      <c r="M1158" t="str">
        <f t="shared" si="115"/>
        <v/>
      </c>
      <c r="N1158">
        <v>2468.86</v>
      </c>
      <c r="O1158" t="s">
        <v>191</v>
      </c>
      <c r="Q1158" t="s">
        <v>19</v>
      </c>
    </row>
    <row r="1159" spans="1:17" x14ac:dyDescent="0.3">
      <c r="A1159">
        <v>100278188</v>
      </c>
      <c r="B1159" t="s">
        <v>187</v>
      </c>
      <c r="C1159" t="s">
        <v>19</v>
      </c>
      <c r="D1159" t="s">
        <v>192</v>
      </c>
      <c r="E1159" s="6">
        <v>8068.73</v>
      </c>
      <c r="F1159" t="s">
        <v>603</v>
      </c>
      <c r="G1159" s="4" t="str">
        <f t="shared" si="110"/>
        <v>8068.73</v>
      </c>
      <c r="H1159" t="str">
        <f t="shared" si="111"/>
        <v>8068.73</v>
      </c>
      <c r="I1159" s="1">
        <v>45716</v>
      </c>
      <c r="J1159" s="2">
        <f t="shared" si="112"/>
        <v>-1.7181925481650723E-2</v>
      </c>
      <c r="K1159" s="3" t="str">
        <f t="shared" si="113"/>
        <v/>
      </c>
      <c r="L1159" t="str">
        <f t="shared" si="114"/>
        <v/>
      </c>
      <c r="M1159" t="str">
        <f t="shared" si="115"/>
        <v/>
      </c>
      <c r="N1159">
        <v>8209.7900000000009</v>
      </c>
      <c r="O1159" t="s">
        <v>193</v>
      </c>
      <c r="Q1159" t="s">
        <v>19</v>
      </c>
    </row>
    <row r="1160" spans="1:17" x14ac:dyDescent="0.3">
      <c r="A1160">
        <v>100278188</v>
      </c>
      <c r="B1160" t="s">
        <v>187</v>
      </c>
      <c r="C1160" t="s">
        <v>19</v>
      </c>
      <c r="D1160" t="s">
        <v>194</v>
      </c>
      <c r="E1160" s="6">
        <v>1017.88</v>
      </c>
      <c r="F1160" t="s">
        <v>603</v>
      </c>
      <c r="G1160" s="4" t="str">
        <f t="shared" si="110"/>
        <v>1017.88</v>
      </c>
      <c r="H1160" t="str">
        <f t="shared" si="111"/>
        <v>1017.88</v>
      </c>
      <c r="I1160" s="1">
        <v>45716</v>
      </c>
      <c r="J1160" s="2">
        <f t="shared" si="112"/>
        <v>-1.068162158484541E-2</v>
      </c>
      <c r="K1160" s="3" t="str">
        <f t="shared" si="113"/>
        <v/>
      </c>
      <c r="L1160" t="str">
        <f t="shared" si="114"/>
        <v/>
      </c>
      <c r="M1160" t="str">
        <f t="shared" si="115"/>
        <v/>
      </c>
      <c r="N1160">
        <v>1028.8699999999999</v>
      </c>
      <c r="O1160" t="s">
        <v>195</v>
      </c>
      <c r="Q1160" t="s">
        <v>19</v>
      </c>
    </row>
    <row r="1161" spans="1:17" x14ac:dyDescent="0.3">
      <c r="A1161">
        <v>100309343</v>
      </c>
      <c r="B1161" t="s">
        <v>196</v>
      </c>
      <c r="C1161" t="s">
        <v>590</v>
      </c>
      <c r="D1161" t="s">
        <v>197</v>
      </c>
      <c r="E1161" s="6">
        <v>32790.44</v>
      </c>
      <c r="F1161" t="s">
        <v>603</v>
      </c>
      <c r="G1161" s="4" t="str">
        <f t="shared" si="110"/>
        <v>32790.44</v>
      </c>
      <c r="H1161" t="str">
        <f t="shared" si="111"/>
        <v>32790.44</v>
      </c>
      <c r="I1161" s="1">
        <v>45716</v>
      </c>
      <c r="J1161" s="2">
        <f t="shared" si="112"/>
        <v>-0.26010610644581311</v>
      </c>
      <c r="K1161" s="3" t="str">
        <f t="shared" si="113"/>
        <v>Check!</v>
      </c>
      <c r="L1161" t="str">
        <f t="shared" si="114"/>
        <v/>
      </c>
      <c r="M1161" t="str">
        <f t="shared" si="115"/>
        <v>Check</v>
      </c>
      <c r="N1161">
        <v>44317.760000000002</v>
      </c>
      <c r="O1161" t="s">
        <v>198</v>
      </c>
      <c r="Q1161" t="s">
        <v>16</v>
      </c>
    </row>
    <row r="1162" spans="1:17" x14ac:dyDescent="0.3">
      <c r="A1162">
        <v>100317997</v>
      </c>
      <c r="B1162" t="s">
        <v>199</v>
      </c>
      <c r="C1162" t="s">
        <v>611</v>
      </c>
      <c r="D1162" t="s">
        <v>200</v>
      </c>
      <c r="E1162" s="6">
        <v>1389.9</v>
      </c>
      <c r="F1162" t="s">
        <v>603</v>
      </c>
      <c r="G1162" s="4" t="str">
        <f t="shared" si="110"/>
        <v>1389.9</v>
      </c>
      <c r="H1162" t="str">
        <f t="shared" si="111"/>
        <v>1389.9</v>
      </c>
      <c r="I1162" s="1">
        <v>45716</v>
      </c>
      <c r="J1162" s="2">
        <f t="shared" si="112"/>
        <v>3.0250020384110902E-2</v>
      </c>
      <c r="K1162" s="3" t="str">
        <f t="shared" si="113"/>
        <v/>
      </c>
      <c r="L1162" t="str">
        <f t="shared" si="114"/>
        <v/>
      </c>
      <c r="M1162" t="str">
        <f t="shared" si="115"/>
        <v>Check</v>
      </c>
      <c r="N1162">
        <v>1349.09</v>
      </c>
      <c r="O1162" t="s">
        <v>201</v>
      </c>
      <c r="Q1162" t="s">
        <v>41</v>
      </c>
    </row>
    <row r="1163" spans="1:17" x14ac:dyDescent="0.3">
      <c r="A1163">
        <v>100317997</v>
      </c>
      <c r="B1163" t="s">
        <v>199</v>
      </c>
      <c r="C1163" t="s">
        <v>606</v>
      </c>
      <c r="D1163" t="s">
        <v>621</v>
      </c>
      <c r="E1163" s="6">
        <v>152.27000000000001</v>
      </c>
      <c r="F1163" t="s">
        <v>603</v>
      </c>
      <c r="G1163" s="4" t="str">
        <f t="shared" si="110"/>
        <v>152.27</v>
      </c>
      <c r="H1163" t="str">
        <f t="shared" si="111"/>
        <v>152.27</v>
      </c>
      <c r="I1163" s="1">
        <v>45716</v>
      </c>
      <c r="J1163" s="2">
        <f t="shared" si="112"/>
        <v>1.1156119264227417E-2</v>
      </c>
      <c r="K1163" s="3" t="str">
        <f t="shared" si="113"/>
        <v/>
      </c>
      <c r="L1163" t="str">
        <f t="shared" si="114"/>
        <v/>
      </c>
      <c r="M1163" t="str">
        <f t="shared" si="115"/>
        <v/>
      </c>
      <c r="N1163">
        <v>150.59</v>
      </c>
      <c r="O1163" t="s">
        <v>659</v>
      </c>
      <c r="Q1163" t="s">
        <v>606</v>
      </c>
    </row>
    <row r="1164" spans="1:17" x14ac:dyDescent="0.3">
      <c r="A1164">
        <v>100325823</v>
      </c>
      <c r="B1164" t="s">
        <v>202</v>
      </c>
      <c r="C1164" t="s">
        <v>19</v>
      </c>
      <c r="D1164" t="s">
        <v>203</v>
      </c>
      <c r="E1164" s="6">
        <v>5662.89</v>
      </c>
      <c r="F1164" t="s">
        <v>603</v>
      </c>
      <c r="G1164" s="4" t="str">
        <f t="shared" si="110"/>
        <v>5662.89</v>
      </c>
      <c r="H1164" t="str">
        <f t="shared" si="111"/>
        <v>5662.89</v>
      </c>
      <c r="I1164" s="1">
        <v>45716</v>
      </c>
      <c r="J1164" s="2">
        <f t="shared" si="112"/>
        <v>-7.5499871187545541E-3</v>
      </c>
      <c r="K1164" s="3" t="str">
        <f t="shared" si="113"/>
        <v/>
      </c>
      <c r="L1164" t="str">
        <f t="shared" si="114"/>
        <v/>
      </c>
      <c r="M1164" t="str">
        <f t="shared" si="115"/>
        <v/>
      </c>
      <c r="N1164">
        <v>5705.97</v>
      </c>
      <c r="O1164" t="s">
        <v>204</v>
      </c>
      <c r="Q1164" t="s">
        <v>19</v>
      </c>
    </row>
    <row r="1165" spans="1:17" x14ac:dyDescent="0.3">
      <c r="A1165">
        <v>100376880</v>
      </c>
      <c r="B1165" t="s">
        <v>205</v>
      </c>
      <c r="C1165" t="s">
        <v>590</v>
      </c>
      <c r="D1165" t="s">
        <v>206</v>
      </c>
      <c r="E1165" s="6">
        <v>65701.83</v>
      </c>
      <c r="F1165" t="s">
        <v>603</v>
      </c>
      <c r="G1165" s="4" t="str">
        <f t="shared" si="110"/>
        <v>65701.83</v>
      </c>
      <c r="H1165" t="str">
        <f t="shared" si="111"/>
        <v>65701.83</v>
      </c>
      <c r="I1165" s="1">
        <v>45716</v>
      </c>
      <c r="J1165" s="2">
        <f t="shared" si="112"/>
        <v>-5.2932970747354355E-3</v>
      </c>
      <c r="K1165" s="3" t="str">
        <f t="shared" si="113"/>
        <v/>
      </c>
      <c r="L1165" t="str">
        <f t="shared" si="114"/>
        <v/>
      </c>
      <c r="M1165" t="str">
        <f t="shared" si="115"/>
        <v>Check</v>
      </c>
      <c r="N1165">
        <v>66051.460000000006</v>
      </c>
      <c r="O1165" t="s">
        <v>207</v>
      </c>
      <c r="Q1165" t="s">
        <v>16</v>
      </c>
    </row>
    <row r="1166" spans="1:17" x14ac:dyDescent="0.3">
      <c r="A1166">
        <v>100376880</v>
      </c>
      <c r="B1166" t="s">
        <v>205</v>
      </c>
      <c r="C1166" t="s">
        <v>19</v>
      </c>
      <c r="D1166" t="s">
        <v>208</v>
      </c>
      <c r="E1166" s="6">
        <v>39.86</v>
      </c>
      <c r="F1166" t="s">
        <v>603</v>
      </c>
      <c r="G1166" s="4" t="str">
        <f t="shared" si="110"/>
        <v>39.86</v>
      </c>
      <c r="H1166" t="str">
        <f t="shared" si="111"/>
        <v>39.86</v>
      </c>
      <c r="I1166" s="1">
        <v>45716</v>
      </c>
      <c r="J1166" s="2">
        <f t="shared" si="112"/>
        <v>-0.3257780784844384</v>
      </c>
      <c r="K1166" s="3" t="str">
        <f t="shared" si="113"/>
        <v>Check!</v>
      </c>
      <c r="L1166" t="str">
        <f t="shared" si="114"/>
        <v/>
      </c>
      <c r="M1166" t="str">
        <f t="shared" si="115"/>
        <v/>
      </c>
      <c r="N1166">
        <v>59.12</v>
      </c>
      <c r="O1166" t="s">
        <v>209</v>
      </c>
      <c r="Q1166" t="s">
        <v>19</v>
      </c>
    </row>
    <row r="1167" spans="1:17" x14ac:dyDescent="0.3">
      <c r="A1167">
        <v>100388471</v>
      </c>
      <c r="B1167" t="s">
        <v>210</v>
      </c>
      <c r="C1167" t="s">
        <v>19</v>
      </c>
      <c r="D1167" t="s">
        <v>211</v>
      </c>
      <c r="E1167" s="6">
        <v>26842.9</v>
      </c>
      <c r="F1167" t="s">
        <v>603</v>
      </c>
      <c r="G1167" s="4" t="str">
        <f t="shared" si="110"/>
        <v>26842.9</v>
      </c>
      <c r="H1167" t="str">
        <f t="shared" si="111"/>
        <v>26842.9</v>
      </c>
      <c r="I1167" s="1">
        <v>45716</v>
      </c>
      <c r="J1167" s="2">
        <f t="shared" si="112"/>
        <v>-2.3007080613590053E-2</v>
      </c>
      <c r="K1167" s="3" t="str">
        <f t="shared" si="113"/>
        <v/>
      </c>
      <c r="L1167" t="str">
        <f t="shared" si="114"/>
        <v/>
      </c>
      <c r="M1167" t="str">
        <f t="shared" si="115"/>
        <v/>
      </c>
      <c r="N1167">
        <v>27475.02</v>
      </c>
      <c r="O1167" t="s">
        <v>212</v>
      </c>
      <c r="Q1167" t="s">
        <v>19</v>
      </c>
    </row>
    <row r="1168" spans="1:17" x14ac:dyDescent="0.3">
      <c r="A1168">
        <v>100388471</v>
      </c>
      <c r="B1168" t="s">
        <v>210</v>
      </c>
      <c r="C1168" t="s">
        <v>19</v>
      </c>
      <c r="D1168" t="s">
        <v>213</v>
      </c>
      <c r="E1168" s="6">
        <v>4782.4799999999996</v>
      </c>
      <c r="F1168" t="s">
        <v>603</v>
      </c>
      <c r="G1168" s="4" t="str">
        <f t="shared" si="110"/>
        <v>4782.48</v>
      </c>
      <c r="H1168" t="str">
        <f t="shared" si="111"/>
        <v>4782.48</v>
      </c>
      <c r="I1168" s="1">
        <v>45716</v>
      </c>
      <c r="J1168" s="2">
        <f t="shared" si="112"/>
        <v>-8.9760548448922756E-2</v>
      </c>
      <c r="K1168" s="3" t="str">
        <f t="shared" si="113"/>
        <v/>
      </c>
      <c r="L1168" t="str">
        <f t="shared" si="114"/>
        <v/>
      </c>
      <c r="M1168" t="str">
        <f t="shared" si="115"/>
        <v/>
      </c>
      <c r="N1168">
        <v>5254.09</v>
      </c>
      <c r="O1168" t="s">
        <v>214</v>
      </c>
      <c r="Q1168" t="s">
        <v>19</v>
      </c>
    </row>
    <row r="1169" spans="1:17" x14ac:dyDescent="0.3">
      <c r="A1169">
        <v>100408912</v>
      </c>
      <c r="B1169" t="s">
        <v>215</v>
      </c>
      <c r="C1169" t="s">
        <v>19</v>
      </c>
      <c r="D1169" t="s">
        <v>216</v>
      </c>
      <c r="E1169" s="6">
        <v>13015.85</v>
      </c>
      <c r="F1169" t="s">
        <v>603</v>
      </c>
      <c r="G1169" s="4" t="str">
        <f t="shared" si="110"/>
        <v>13015.85</v>
      </c>
      <c r="H1169" t="str">
        <f t="shared" si="111"/>
        <v>13015.85</v>
      </c>
      <c r="I1169" s="1">
        <v>45716</v>
      </c>
      <c r="J1169" s="2">
        <f t="shared" si="112"/>
        <v>-0.2773280150221562</v>
      </c>
      <c r="K1169" s="3" t="str">
        <f t="shared" si="113"/>
        <v>Check!</v>
      </c>
      <c r="L1169" t="str">
        <f t="shared" si="114"/>
        <v/>
      </c>
      <c r="M1169" t="str">
        <f t="shared" si="115"/>
        <v/>
      </c>
      <c r="N1169">
        <v>18010.73</v>
      </c>
      <c r="O1169" t="s">
        <v>217</v>
      </c>
      <c r="Q1169" t="s">
        <v>19</v>
      </c>
    </row>
    <row r="1170" spans="1:17" x14ac:dyDescent="0.3">
      <c r="A1170">
        <v>100421069</v>
      </c>
      <c r="B1170" t="s">
        <v>218</v>
      </c>
      <c r="C1170" t="s">
        <v>19</v>
      </c>
      <c r="D1170" t="s">
        <v>222</v>
      </c>
      <c r="E1170" s="6">
        <v>5003.79</v>
      </c>
      <c r="F1170" t="s">
        <v>603</v>
      </c>
      <c r="G1170" s="4" t="str">
        <f t="shared" si="110"/>
        <v>5003.79</v>
      </c>
      <c r="H1170" t="str">
        <f t="shared" si="111"/>
        <v>5003.79</v>
      </c>
      <c r="I1170" s="1">
        <v>45716</v>
      </c>
      <c r="J1170" s="2">
        <f t="shared" si="112"/>
        <v>-6.5482471458106484E-2</v>
      </c>
      <c r="K1170" s="3" t="str">
        <f t="shared" si="113"/>
        <v/>
      </c>
      <c r="L1170" t="str">
        <f t="shared" si="114"/>
        <v/>
      </c>
      <c r="M1170" t="str">
        <f t="shared" si="115"/>
        <v/>
      </c>
      <c r="N1170">
        <v>5354.41</v>
      </c>
      <c r="O1170" t="s">
        <v>223</v>
      </c>
      <c r="Q1170" t="s">
        <v>19</v>
      </c>
    </row>
    <row r="1171" spans="1:17" x14ac:dyDescent="0.3">
      <c r="A1171">
        <v>100421069</v>
      </c>
      <c r="B1171" t="s">
        <v>218</v>
      </c>
      <c r="C1171" t="s">
        <v>19</v>
      </c>
      <c r="D1171" t="s">
        <v>220</v>
      </c>
      <c r="E1171" s="6">
        <v>10966.78</v>
      </c>
      <c r="F1171" t="s">
        <v>603</v>
      </c>
      <c r="G1171" s="4" t="str">
        <f t="shared" si="110"/>
        <v>10966.78</v>
      </c>
      <c r="H1171" t="str">
        <f t="shared" si="111"/>
        <v>10966.78</v>
      </c>
      <c r="I1171" s="1">
        <v>45716</v>
      </c>
      <c r="J1171" s="2">
        <f t="shared" si="112"/>
        <v>-6.2838987432202398E-2</v>
      </c>
      <c r="K1171" s="3" t="str">
        <f t="shared" si="113"/>
        <v/>
      </c>
      <c r="L1171" t="str">
        <f t="shared" si="114"/>
        <v/>
      </c>
      <c r="M1171" t="str">
        <f t="shared" si="115"/>
        <v/>
      </c>
      <c r="N1171">
        <v>11702.13</v>
      </c>
      <c r="O1171" t="s">
        <v>221</v>
      </c>
      <c r="Q1171" t="s">
        <v>19</v>
      </c>
    </row>
    <row r="1172" spans="1:17" x14ac:dyDescent="0.3">
      <c r="A1172">
        <v>100421069</v>
      </c>
      <c r="B1172" t="s">
        <v>218</v>
      </c>
      <c r="C1172" t="s">
        <v>19</v>
      </c>
      <c r="D1172" t="s">
        <v>224</v>
      </c>
      <c r="E1172" s="6">
        <v>5943.71</v>
      </c>
      <c r="F1172" t="s">
        <v>603</v>
      </c>
      <c r="G1172" s="4" t="str">
        <f t="shared" si="110"/>
        <v>5943.71</v>
      </c>
      <c r="H1172" t="str">
        <f t="shared" si="111"/>
        <v>5943.71</v>
      </c>
      <c r="I1172" s="1">
        <v>45716</v>
      </c>
      <c r="J1172" s="2">
        <f t="shared" si="112"/>
        <v>-6.0054147571108225E-2</v>
      </c>
      <c r="K1172" s="3" t="str">
        <f t="shared" si="113"/>
        <v/>
      </c>
      <c r="L1172" t="str">
        <f t="shared" si="114"/>
        <v/>
      </c>
      <c r="M1172" t="str">
        <f t="shared" si="115"/>
        <v/>
      </c>
      <c r="N1172">
        <v>6323.46</v>
      </c>
      <c r="O1172" t="s">
        <v>225</v>
      </c>
      <c r="Q1172" t="s">
        <v>19</v>
      </c>
    </row>
    <row r="1173" spans="1:17" x14ac:dyDescent="0.3">
      <c r="A1173">
        <v>100489695</v>
      </c>
      <c r="B1173" t="s">
        <v>229</v>
      </c>
      <c r="C1173" t="s">
        <v>590</v>
      </c>
      <c r="D1173" t="s">
        <v>230</v>
      </c>
      <c r="E1173" s="6">
        <v>78977.66</v>
      </c>
      <c r="F1173" t="s">
        <v>603</v>
      </c>
      <c r="G1173" s="4" t="str">
        <f t="shared" si="110"/>
        <v>78977.66</v>
      </c>
      <c r="H1173" t="str">
        <f t="shared" si="111"/>
        <v>78977.66</v>
      </c>
      <c r="I1173" s="1">
        <v>45716</v>
      </c>
      <c r="J1173" s="2">
        <f t="shared" si="112"/>
        <v>-2.257178926814801E-3</v>
      </c>
      <c r="K1173" s="3" t="str">
        <f t="shared" si="113"/>
        <v/>
      </c>
      <c r="L1173" t="str">
        <f t="shared" si="114"/>
        <v/>
      </c>
      <c r="M1173" t="str">
        <f t="shared" si="115"/>
        <v>Check</v>
      </c>
      <c r="N1173">
        <v>79156.33</v>
      </c>
      <c r="O1173" t="s">
        <v>231</v>
      </c>
      <c r="Q1173" t="s">
        <v>16</v>
      </c>
    </row>
    <row r="1174" spans="1:17" x14ac:dyDescent="0.3">
      <c r="A1174">
        <v>100492707</v>
      </c>
      <c r="B1174" t="s">
        <v>232</v>
      </c>
      <c r="C1174" t="s">
        <v>19</v>
      </c>
      <c r="D1174" t="s">
        <v>233</v>
      </c>
      <c r="E1174" s="6">
        <v>8183.78</v>
      </c>
      <c r="F1174" t="s">
        <v>603</v>
      </c>
      <c r="G1174" s="4" t="str">
        <f t="shared" si="110"/>
        <v>8183.78</v>
      </c>
      <c r="H1174" t="str">
        <f t="shared" si="111"/>
        <v>8183.78</v>
      </c>
      <c r="I1174" s="1">
        <v>45716</v>
      </c>
      <c r="J1174" s="2">
        <f t="shared" si="112"/>
        <v>-3.358454827365509E-2</v>
      </c>
      <c r="K1174" s="3" t="str">
        <f t="shared" si="113"/>
        <v/>
      </c>
      <c r="L1174" t="str">
        <f t="shared" si="114"/>
        <v/>
      </c>
      <c r="M1174" t="str">
        <f t="shared" si="115"/>
        <v/>
      </c>
      <c r="N1174">
        <v>8468.18</v>
      </c>
      <c r="O1174" t="s">
        <v>234</v>
      </c>
      <c r="Q1174" t="s">
        <v>19</v>
      </c>
    </row>
    <row r="1175" spans="1:17" x14ac:dyDescent="0.3">
      <c r="A1175">
        <v>100492707</v>
      </c>
      <c r="B1175" t="s">
        <v>232</v>
      </c>
      <c r="C1175" t="s">
        <v>19</v>
      </c>
      <c r="D1175" t="s">
        <v>624</v>
      </c>
      <c r="E1175" s="6">
        <v>27393.07</v>
      </c>
      <c r="F1175" t="s">
        <v>603</v>
      </c>
      <c r="G1175" s="4" t="str">
        <f t="shared" si="110"/>
        <v>27393.07</v>
      </c>
      <c r="H1175" t="str">
        <f t="shared" si="111"/>
        <v>27393.07</v>
      </c>
      <c r="I1175" s="1">
        <v>45716</v>
      </c>
      <c r="J1175" s="2">
        <f t="shared" si="112"/>
        <v>-4.8546808577888005E-2</v>
      </c>
      <c r="K1175" s="3" t="str">
        <f t="shared" si="113"/>
        <v/>
      </c>
      <c r="L1175" t="str">
        <f t="shared" si="114"/>
        <v/>
      </c>
      <c r="M1175" t="str">
        <f t="shared" si="115"/>
        <v/>
      </c>
      <c r="N1175">
        <v>28790.77</v>
      </c>
      <c r="O1175" t="s">
        <v>672</v>
      </c>
      <c r="Q1175" t="s">
        <v>19</v>
      </c>
    </row>
    <row r="1176" spans="1:17" x14ac:dyDescent="0.3">
      <c r="A1176">
        <v>100497270</v>
      </c>
      <c r="B1176" t="s">
        <v>235</v>
      </c>
      <c r="C1176" t="s">
        <v>606</v>
      </c>
      <c r="D1176" t="s">
        <v>625</v>
      </c>
      <c r="E1176" s="6">
        <v>1260.0999999999999</v>
      </c>
      <c r="F1176" t="s">
        <v>603</v>
      </c>
      <c r="G1176" s="4" t="str">
        <f t="shared" si="110"/>
        <v>1260.1</v>
      </c>
      <c r="H1176" t="str">
        <f t="shared" si="111"/>
        <v>1260.1</v>
      </c>
      <c r="I1176" s="1">
        <v>45716</v>
      </c>
      <c r="J1176" s="2">
        <f t="shared" si="112"/>
        <v>3.8409875647924502E-2</v>
      </c>
      <c r="K1176" s="3" t="str">
        <f t="shared" si="113"/>
        <v/>
      </c>
      <c r="L1176" t="str">
        <f t="shared" si="114"/>
        <v/>
      </c>
      <c r="M1176" t="str">
        <f t="shared" si="115"/>
        <v/>
      </c>
      <c r="N1176">
        <v>1213.49</v>
      </c>
      <c r="O1176" t="s">
        <v>661</v>
      </c>
      <c r="Q1176" t="s">
        <v>606</v>
      </c>
    </row>
    <row r="1177" spans="1:17" x14ac:dyDescent="0.3">
      <c r="A1177">
        <v>100497270</v>
      </c>
      <c r="B1177" t="s">
        <v>235</v>
      </c>
      <c r="C1177" t="s">
        <v>611</v>
      </c>
      <c r="D1177" t="s">
        <v>236</v>
      </c>
      <c r="E1177" s="6">
        <v>10741.63</v>
      </c>
      <c r="F1177" t="s">
        <v>603</v>
      </c>
      <c r="G1177" s="4" t="str">
        <f t="shared" si="110"/>
        <v>10741.63</v>
      </c>
      <c r="H1177" t="str">
        <f t="shared" si="111"/>
        <v>10741.63</v>
      </c>
      <c r="I1177" s="1">
        <v>45716</v>
      </c>
      <c r="J1177" s="2">
        <f t="shared" si="112"/>
        <v>2.9336427901325134E-2</v>
      </c>
      <c r="K1177" s="3" t="str">
        <f t="shared" si="113"/>
        <v/>
      </c>
      <c r="L1177" t="str">
        <f t="shared" si="114"/>
        <v/>
      </c>
      <c r="M1177" t="str">
        <f t="shared" si="115"/>
        <v>Check</v>
      </c>
      <c r="N1177">
        <v>10435.49</v>
      </c>
      <c r="O1177" t="s">
        <v>237</v>
      </c>
      <c r="Q1177" t="s">
        <v>41</v>
      </c>
    </row>
    <row r="1178" spans="1:17" x14ac:dyDescent="0.3">
      <c r="A1178">
        <v>100562496</v>
      </c>
      <c r="B1178" t="s">
        <v>238</v>
      </c>
      <c r="C1178" t="s">
        <v>611</v>
      </c>
      <c r="D1178" t="s">
        <v>239</v>
      </c>
      <c r="E1178" s="6">
        <v>13304.74</v>
      </c>
      <c r="F1178" t="s">
        <v>603</v>
      </c>
      <c r="G1178" s="4" t="str">
        <f t="shared" si="110"/>
        <v>13304.74</v>
      </c>
      <c r="H1178" t="str">
        <f t="shared" si="111"/>
        <v>13304.74</v>
      </c>
      <c r="I1178" s="1">
        <v>45716</v>
      </c>
      <c r="J1178" s="2">
        <f t="shared" si="112"/>
        <v>2.9900599684018345E-2</v>
      </c>
      <c r="K1178" s="3" t="str">
        <f t="shared" si="113"/>
        <v/>
      </c>
      <c r="L1178" t="str">
        <f t="shared" si="114"/>
        <v/>
      </c>
      <c r="M1178" t="str">
        <f t="shared" si="115"/>
        <v>Check</v>
      </c>
      <c r="N1178">
        <v>12918.47</v>
      </c>
      <c r="O1178" t="s">
        <v>240</v>
      </c>
      <c r="Q1178" t="s">
        <v>41</v>
      </c>
    </row>
    <row r="1179" spans="1:17" x14ac:dyDescent="0.3">
      <c r="A1179">
        <v>100562496</v>
      </c>
      <c r="B1179" t="s">
        <v>238</v>
      </c>
      <c r="C1179" t="s">
        <v>606</v>
      </c>
      <c r="D1179" t="s">
        <v>626</v>
      </c>
      <c r="E1179" s="6">
        <v>1663</v>
      </c>
      <c r="F1179" t="s">
        <v>603</v>
      </c>
      <c r="G1179" s="4" t="str">
        <f t="shared" si="110"/>
        <v>1663</v>
      </c>
      <c r="H1179" t="str">
        <f t="shared" si="111"/>
        <v>1663</v>
      </c>
      <c r="I1179" s="1">
        <v>45716</v>
      </c>
      <c r="J1179" s="2">
        <f t="shared" si="112"/>
        <v>2.6251805043012454E-2</v>
      </c>
      <c r="K1179" s="3" t="str">
        <f t="shared" si="113"/>
        <v/>
      </c>
      <c r="L1179" t="str">
        <f t="shared" si="114"/>
        <v/>
      </c>
      <c r="M1179" t="str">
        <f t="shared" si="115"/>
        <v/>
      </c>
      <c r="N1179">
        <v>1620.46</v>
      </c>
      <c r="O1179" t="s">
        <v>663</v>
      </c>
      <c r="Q1179" t="s">
        <v>606</v>
      </c>
    </row>
    <row r="1180" spans="1:17" x14ac:dyDescent="0.3">
      <c r="A1180">
        <v>100562496</v>
      </c>
      <c r="B1180" t="s">
        <v>238</v>
      </c>
      <c r="C1180" t="s">
        <v>609</v>
      </c>
      <c r="D1180" t="s">
        <v>627</v>
      </c>
      <c r="E1180" s="6">
        <v>298.99</v>
      </c>
      <c r="F1180" t="s">
        <v>603</v>
      </c>
      <c r="G1180" s="4" t="str">
        <f t="shared" si="110"/>
        <v>298.99</v>
      </c>
      <c r="H1180" t="str">
        <f t="shared" si="111"/>
        <v>298.99</v>
      </c>
      <c r="I1180" s="1">
        <v>45716</v>
      </c>
      <c r="J1180" s="2">
        <f t="shared" si="112"/>
        <v>0.20965327507383591</v>
      </c>
      <c r="K1180" s="3" t="str">
        <f t="shared" si="113"/>
        <v>Check!</v>
      </c>
      <c r="L1180" t="str">
        <f t="shared" si="114"/>
        <v/>
      </c>
      <c r="M1180" t="str">
        <f t="shared" si="115"/>
        <v/>
      </c>
      <c r="N1180">
        <v>247.17</v>
      </c>
      <c r="O1180" t="s">
        <v>662</v>
      </c>
      <c r="Q1180" t="s">
        <v>609</v>
      </c>
    </row>
    <row r="1181" spans="1:17" x14ac:dyDescent="0.3">
      <c r="A1181">
        <v>100564770</v>
      </c>
      <c r="B1181" t="s">
        <v>241</v>
      </c>
      <c r="C1181" t="s">
        <v>19</v>
      </c>
      <c r="D1181" t="s">
        <v>242</v>
      </c>
      <c r="E1181" s="6">
        <v>28483.98</v>
      </c>
      <c r="F1181" t="s">
        <v>603</v>
      </c>
      <c r="G1181" s="4" t="str">
        <f t="shared" si="110"/>
        <v>28483.98</v>
      </c>
      <c r="H1181" t="str">
        <f t="shared" si="111"/>
        <v>28483.98</v>
      </c>
      <c r="I1181" s="1">
        <v>45716</v>
      </c>
      <c r="J1181" s="2">
        <f t="shared" si="112"/>
        <v>-1.9319934185180146E-2</v>
      </c>
      <c r="K1181" s="3" t="str">
        <f t="shared" si="113"/>
        <v/>
      </c>
      <c r="L1181" t="str">
        <f t="shared" si="114"/>
        <v/>
      </c>
      <c r="M1181" t="str">
        <f t="shared" si="115"/>
        <v/>
      </c>
      <c r="N1181">
        <v>29045.13</v>
      </c>
      <c r="O1181" t="s">
        <v>243</v>
      </c>
      <c r="Q1181" t="s">
        <v>19</v>
      </c>
    </row>
    <row r="1182" spans="1:17" x14ac:dyDescent="0.3">
      <c r="A1182">
        <v>100596195</v>
      </c>
      <c r="B1182" t="s">
        <v>244</v>
      </c>
      <c r="C1182" t="s">
        <v>590</v>
      </c>
      <c r="D1182" t="s">
        <v>245</v>
      </c>
      <c r="E1182" s="6">
        <v>80461.399999999994</v>
      </c>
      <c r="F1182" t="s">
        <v>603</v>
      </c>
      <c r="G1182" s="4" t="str">
        <f t="shared" si="110"/>
        <v>80461.4</v>
      </c>
      <c r="H1182" t="str">
        <f t="shared" si="111"/>
        <v>80461.4</v>
      </c>
      <c r="I1182" s="1">
        <v>45716</v>
      </c>
      <c r="J1182" s="2">
        <f t="shared" si="112"/>
        <v>18.676707009001824</v>
      </c>
      <c r="K1182" s="3" t="str">
        <f t="shared" si="113"/>
        <v>Check!</v>
      </c>
      <c r="L1182" t="str">
        <f t="shared" si="114"/>
        <v/>
      </c>
      <c r="M1182" t="str">
        <f t="shared" si="115"/>
        <v>Check</v>
      </c>
      <c r="N1182">
        <v>4089.17</v>
      </c>
      <c r="O1182" t="s">
        <v>246</v>
      </c>
      <c r="Q1182" t="s">
        <v>16</v>
      </c>
    </row>
    <row r="1183" spans="1:17" x14ac:dyDescent="0.3">
      <c r="A1183">
        <v>100596197</v>
      </c>
      <c r="B1183" t="s">
        <v>247</v>
      </c>
      <c r="C1183" t="s">
        <v>590</v>
      </c>
      <c r="D1183" t="s">
        <v>248</v>
      </c>
      <c r="E1183" s="6">
        <v>4011.9</v>
      </c>
      <c r="F1183" t="s">
        <v>603</v>
      </c>
      <c r="G1183" s="4" t="str">
        <f t="shared" si="110"/>
        <v>4011.9</v>
      </c>
      <c r="H1183" t="str">
        <f t="shared" si="111"/>
        <v>4011.9</v>
      </c>
      <c r="I1183" s="1">
        <v>45716</v>
      </c>
      <c r="J1183" s="2">
        <f t="shared" si="112"/>
        <v>-7.953333103899235E-2</v>
      </c>
      <c r="K1183" s="3" t="str">
        <f t="shared" si="113"/>
        <v/>
      </c>
      <c r="L1183" t="str">
        <f t="shared" si="114"/>
        <v/>
      </c>
      <c r="M1183" t="str">
        <f t="shared" si="115"/>
        <v>Check</v>
      </c>
      <c r="N1183">
        <v>4358.55</v>
      </c>
      <c r="O1183" t="s">
        <v>249</v>
      </c>
      <c r="Q1183" t="s">
        <v>16</v>
      </c>
    </row>
    <row r="1184" spans="1:17" x14ac:dyDescent="0.3">
      <c r="A1184">
        <v>100596689</v>
      </c>
      <c r="B1184" t="s">
        <v>250</v>
      </c>
      <c r="C1184" t="s">
        <v>590</v>
      </c>
      <c r="D1184" t="s">
        <v>251</v>
      </c>
      <c r="E1184" s="6">
        <v>1313.34</v>
      </c>
      <c r="F1184" t="s">
        <v>603</v>
      </c>
      <c r="G1184" s="4" t="str">
        <f t="shared" si="110"/>
        <v>1313.34</v>
      </c>
      <c r="H1184" t="str">
        <f t="shared" si="111"/>
        <v>1313.34</v>
      </c>
      <c r="I1184" s="1">
        <v>45716</v>
      </c>
      <c r="J1184" s="2">
        <f t="shared" si="112"/>
        <v>-1.0353558187901265E-2</v>
      </c>
      <c r="K1184" s="3" t="str">
        <f t="shared" si="113"/>
        <v/>
      </c>
      <c r="L1184" t="str">
        <f t="shared" si="114"/>
        <v/>
      </c>
      <c r="M1184" t="str">
        <f t="shared" si="115"/>
        <v>Check</v>
      </c>
      <c r="N1184">
        <v>1327.08</v>
      </c>
      <c r="O1184" t="s">
        <v>252</v>
      </c>
      <c r="Q1184" t="s">
        <v>16</v>
      </c>
    </row>
    <row r="1185" spans="1:17" x14ac:dyDescent="0.3">
      <c r="A1185">
        <v>100628018</v>
      </c>
      <c r="B1185" t="s">
        <v>253</v>
      </c>
      <c r="C1185" t="s">
        <v>590</v>
      </c>
      <c r="D1185" t="s">
        <v>254</v>
      </c>
      <c r="E1185" s="6">
        <v>30068.43</v>
      </c>
      <c r="F1185" t="s">
        <v>603</v>
      </c>
      <c r="G1185" s="4" t="str">
        <f t="shared" si="110"/>
        <v>30068.43</v>
      </c>
      <c r="H1185" t="str">
        <f t="shared" si="111"/>
        <v>30068.43</v>
      </c>
      <c r="I1185" s="1">
        <v>45716</v>
      </c>
      <c r="J1185" s="2">
        <f t="shared" si="112"/>
        <v>-0.86264777840252627</v>
      </c>
      <c r="K1185" s="3" t="str">
        <f t="shared" si="113"/>
        <v>Check!</v>
      </c>
      <c r="L1185" t="str">
        <f t="shared" si="114"/>
        <v/>
      </c>
      <c r="M1185" t="str">
        <f t="shared" si="115"/>
        <v>Check</v>
      </c>
      <c r="N1185">
        <v>218914.77</v>
      </c>
      <c r="O1185" t="s">
        <v>255</v>
      </c>
      <c r="Q1185" t="s">
        <v>16</v>
      </c>
    </row>
    <row r="1186" spans="1:17" x14ac:dyDescent="0.3">
      <c r="A1186">
        <v>100628990</v>
      </c>
      <c r="B1186" t="s">
        <v>256</v>
      </c>
      <c r="C1186" t="s">
        <v>19</v>
      </c>
      <c r="D1186" t="s">
        <v>257</v>
      </c>
      <c r="E1186" s="6">
        <v>387.75</v>
      </c>
      <c r="F1186" t="s">
        <v>603</v>
      </c>
      <c r="G1186" s="4" t="str">
        <f t="shared" si="110"/>
        <v>387.75</v>
      </c>
      <c r="H1186" t="str">
        <f t="shared" si="111"/>
        <v>387.75</v>
      </c>
      <c r="I1186" s="1">
        <v>45716</v>
      </c>
      <c r="J1186" s="2">
        <f t="shared" si="112"/>
        <v>2.0690199794677445E-2</v>
      </c>
      <c r="K1186" s="3" t="str">
        <f t="shared" si="113"/>
        <v/>
      </c>
      <c r="L1186" t="str">
        <f t="shared" si="114"/>
        <v/>
      </c>
      <c r="M1186" t="str">
        <f t="shared" si="115"/>
        <v/>
      </c>
      <c r="N1186">
        <v>379.89</v>
      </c>
      <c r="O1186" t="s">
        <v>258</v>
      </c>
      <c r="Q1186" t="s">
        <v>19</v>
      </c>
    </row>
    <row r="1187" spans="1:17" x14ac:dyDescent="0.3">
      <c r="A1187">
        <v>100630705</v>
      </c>
      <c r="B1187" t="s">
        <v>259</v>
      </c>
      <c r="C1187" t="s">
        <v>590</v>
      </c>
      <c r="D1187" t="s">
        <v>260</v>
      </c>
      <c r="E1187" s="6">
        <v>2614.42</v>
      </c>
      <c r="F1187" t="s">
        <v>603</v>
      </c>
      <c r="G1187" s="4" t="str">
        <f t="shared" si="110"/>
        <v>2614.42</v>
      </c>
      <c r="H1187" t="str">
        <f t="shared" si="111"/>
        <v>2614.42</v>
      </c>
      <c r="I1187" s="1">
        <v>45716</v>
      </c>
      <c r="J1187" s="2">
        <f t="shared" si="112"/>
        <v>-6.9434420936680015E-3</v>
      </c>
      <c r="K1187" s="3" t="str">
        <f t="shared" si="113"/>
        <v/>
      </c>
      <c r="L1187" t="str">
        <f t="shared" si="114"/>
        <v/>
      </c>
      <c r="M1187" t="str">
        <f t="shared" si="115"/>
        <v>Check</v>
      </c>
      <c r="N1187">
        <v>2632.7</v>
      </c>
      <c r="O1187" t="s">
        <v>261</v>
      </c>
      <c r="Q1187" t="s">
        <v>16</v>
      </c>
    </row>
    <row r="1188" spans="1:17" x14ac:dyDescent="0.3">
      <c r="A1188">
        <v>100630706</v>
      </c>
      <c r="B1188" t="s">
        <v>262</v>
      </c>
      <c r="C1188" t="s">
        <v>590</v>
      </c>
      <c r="D1188" t="s">
        <v>263</v>
      </c>
      <c r="E1188" s="6">
        <v>439.11</v>
      </c>
      <c r="F1188" t="s">
        <v>603</v>
      </c>
      <c r="G1188" s="4" t="str">
        <f t="shared" si="110"/>
        <v>439.11</v>
      </c>
      <c r="H1188" t="str">
        <f t="shared" si="111"/>
        <v>439.11</v>
      </c>
      <c r="I1188" s="1">
        <v>45716</v>
      </c>
      <c r="J1188" s="2">
        <f t="shared" si="112"/>
        <v>-1.9274578996739167E-2</v>
      </c>
      <c r="K1188" s="3" t="str">
        <f t="shared" si="113"/>
        <v/>
      </c>
      <c r="L1188" t="str">
        <f t="shared" si="114"/>
        <v/>
      </c>
      <c r="M1188" t="str">
        <f t="shared" si="115"/>
        <v>Check</v>
      </c>
      <c r="N1188">
        <v>447.74</v>
      </c>
      <c r="O1188" t="s">
        <v>264</v>
      </c>
      <c r="Q1188" t="s">
        <v>16</v>
      </c>
    </row>
    <row r="1189" spans="1:17" x14ac:dyDescent="0.3">
      <c r="A1189">
        <v>100633203</v>
      </c>
      <c r="B1189" t="s">
        <v>265</v>
      </c>
      <c r="C1189" t="s">
        <v>590</v>
      </c>
      <c r="D1189" t="s">
        <v>266</v>
      </c>
      <c r="E1189" s="6">
        <v>30475.279999999999</v>
      </c>
      <c r="F1189" t="s">
        <v>603</v>
      </c>
      <c r="G1189" s="4" t="str">
        <f t="shared" si="110"/>
        <v>30475.28</v>
      </c>
      <c r="H1189" t="str">
        <f t="shared" si="111"/>
        <v>30475.28</v>
      </c>
      <c r="I1189" s="1">
        <v>45716</v>
      </c>
      <c r="J1189" s="2">
        <f t="shared" si="112"/>
        <v>1.1173299169194468</v>
      </c>
      <c r="K1189" s="3" t="str">
        <f t="shared" si="113"/>
        <v>Check!</v>
      </c>
      <c r="L1189" t="str">
        <f t="shared" si="114"/>
        <v/>
      </c>
      <c r="M1189" t="str">
        <f t="shared" si="115"/>
        <v>Check</v>
      </c>
      <c r="N1189">
        <v>14393.26</v>
      </c>
      <c r="O1189" t="s">
        <v>267</v>
      </c>
      <c r="Q1189" t="s">
        <v>16</v>
      </c>
    </row>
    <row r="1190" spans="1:17" x14ac:dyDescent="0.3">
      <c r="A1190">
        <v>100637079</v>
      </c>
      <c r="B1190" t="s">
        <v>268</v>
      </c>
      <c r="C1190" t="s">
        <v>611</v>
      </c>
      <c r="D1190" t="s">
        <v>269</v>
      </c>
      <c r="E1190" s="6">
        <v>14872.93</v>
      </c>
      <c r="F1190" t="s">
        <v>603</v>
      </c>
      <c r="G1190" s="4" t="str">
        <f t="shared" si="110"/>
        <v>14872.93</v>
      </c>
      <c r="H1190" t="str">
        <f t="shared" si="111"/>
        <v>14872.93</v>
      </c>
      <c r="I1190" s="1">
        <v>45716</v>
      </c>
      <c r="J1190" s="2">
        <f t="shared" si="112"/>
        <v>2.9507899414673647E-2</v>
      </c>
      <c r="K1190" s="3" t="str">
        <f t="shared" si="113"/>
        <v/>
      </c>
      <c r="L1190" t="str">
        <f t="shared" si="114"/>
        <v/>
      </c>
      <c r="M1190" t="str">
        <f t="shared" si="115"/>
        <v>Check</v>
      </c>
      <c r="N1190">
        <v>14446.64</v>
      </c>
      <c r="O1190" t="s">
        <v>270</v>
      </c>
      <c r="Q1190" t="s">
        <v>41</v>
      </c>
    </row>
    <row r="1191" spans="1:17" x14ac:dyDescent="0.3">
      <c r="A1191">
        <v>100637079</v>
      </c>
      <c r="B1191" t="s">
        <v>268</v>
      </c>
      <c r="C1191" t="s">
        <v>611</v>
      </c>
      <c r="D1191" t="s">
        <v>271</v>
      </c>
      <c r="E1191" s="6">
        <v>20647.509999999998</v>
      </c>
      <c r="F1191" t="s">
        <v>603</v>
      </c>
      <c r="G1191" s="4" t="str">
        <f t="shared" si="110"/>
        <v>20647.51</v>
      </c>
      <c r="H1191" t="str">
        <f t="shared" si="111"/>
        <v>20647.51</v>
      </c>
      <c r="I1191" s="1">
        <v>45716</v>
      </c>
      <c r="J1191" s="2">
        <f t="shared" si="112"/>
        <v>2.6828061398295664E-2</v>
      </c>
      <c r="K1191" s="3" t="str">
        <f t="shared" si="113"/>
        <v/>
      </c>
      <c r="L1191" t="str">
        <f t="shared" si="114"/>
        <v/>
      </c>
      <c r="M1191" t="str">
        <f t="shared" si="115"/>
        <v>Check</v>
      </c>
      <c r="N1191">
        <v>20108.05</v>
      </c>
      <c r="O1191" t="s">
        <v>272</v>
      </c>
      <c r="Q1191" t="s">
        <v>41</v>
      </c>
    </row>
    <row r="1192" spans="1:17" x14ac:dyDescent="0.3">
      <c r="A1192">
        <v>100637079</v>
      </c>
      <c r="B1192" t="s">
        <v>268</v>
      </c>
      <c r="C1192" t="s">
        <v>606</v>
      </c>
      <c r="D1192" t="s">
        <v>628</v>
      </c>
      <c r="E1192" s="6">
        <v>1734.16</v>
      </c>
      <c r="F1192" t="s">
        <v>603</v>
      </c>
      <c r="G1192" s="4" t="str">
        <f t="shared" si="110"/>
        <v>1734.16</v>
      </c>
      <c r="H1192" t="str">
        <f t="shared" si="111"/>
        <v>1734.16</v>
      </c>
      <c r="I1192" s="1">
        <v>45716</v>
      </c>
      <c r="J1192" s="2">
        <f t="shared" si="112"/>
        <v>4.141869696551146E-2</v>
      </c>
      <c r="K1192" s="3" t="str">
        <f t="shared" si="113"/>
        <v/>
      </c>
      <c r="L1192" t="str">
        <f t="shared" si="114"/>
        <v/>
      </c>
      <c r="M1192" t="str">
        <f t="shared" si="115"/>
        <v/>
      </c>
      <c r="N1192">
        <v>1665.19</v>
      </c>
      <c r="O1192" t="s">
        <v>664</v>
      </c>
      <c r="Q1192" t="s">
        <v>606</v>
      </c>
    </row>
    <row r="1193" spans="1:17" x14ac:dyDescent="0.3">
      <c r="A1193">
        <v>100637079</v>
      </c>
      <c r="B1193" t="s">
        <v>268</v>
      </c>
      <c r="C1193" t="s">
        <v>606</v>
      </c>
      <c r="D1193" t="s">
        <v>629</v>
      </c>
      <c r="E1193" s="6">
        <v>2370.2199999999998</v>
      </c>
      <c r="F1193" t="s">
        <v>603</v>
      </c>
      <c r="G1193" s="4" t="str">
        <f t="shared" si="110"/>
        <v>2370.22</v>
      </c>
      <c r="H1193" t="str">
        <f t="shared" si="111"/>
        <v>2370.22</v>
      </c>
      <c r="I1193" s="1">
        <v>45716</v>
      </c>
      <c r="J1193" s="2">
        <f t="shared" si="112"/>
        <v>2.6945057039986307E-2</v>
      </c>
      <c r="K1193" s="3" t="str">
        <f t="shared" si="113"/>
        <v/>
      </c>
      <c r="L1193" t="str">
        <f t="shared" si="114"/>
        <v/>
      </c>
      <c r="M1193" t="str">
        <f t="shared" si="115"/>
        <v/>
      </c>
      <c r="N1193">
        <v>2308.0300000000002</v>
      </c>
      <c r="O1193" t="s">
        <v>665</v>
      </c>
      <c r="Q1193" t="s">
        <v>606</v>
      </c>
    </row>
    <row r="1194" spans="1:17" x14ac:dyDescent="0.3">
      <c r="A1194">
        <v>100641153</v>
      </c>
      <c r="B1194" t="s">
        <v>273</v>
      </c>
      <c r="C1194" t="s">
        <v>19</v>
      </c>
      <c r="D1194" t="s">
        <v>274</v>
      </c>
      <c r="E1194" s="6">
        <v>6080.71</v>
      </c>
      <c r="F1194" t="s">
        <v>603</v>
      </c>
      <c r="G1194" s="4" t="str">
        <f t="shared" si="110"/>
        <v>6080.71</v>
      </c>
      <c r="H1194" t="str">
        <f t="shared" si="111"/>
        <v>6080.71</v>
      </c>
      <c r="I1194" s="1">
        <v>45716</v>
      </c>
      <c r="J1194" s="2">
        <f t="shared" si="112"/>
        <v>-0.28873929724418662</v>
      </c>
      <c r="K1194" s="3" t="str">
        <f t="shared" si="113"/>
        <v>Check!</v>
      </c>
      <c r="L1194" t="str">
        <f t="shared" si="114"/>
        <v/>
      </c>
      <c r="M1194" t="str">
        <f t="shared" si="115"/>
        <v/>
      </c>
      <c r="N1194">
        <v>8549.2000000000007</v>
      </c>
      <c r="O1194" t="s">
        <v>275</v>
      </c>
      <c r="Q1194" t="s">
        <v>19</v>
      </c>
    </row>
    <row r="1195" spans="1:17" x14ac:dyDescent="0.3">
      <c r="A1195">
        <v>100651305</v>
      </c>
      <c r="B1195" t="s">
        <v>276</v>
      </c>
      <c r="C1195" t="s">
        <v>590</v>
      </c>
      <c r="D1195" t="s">
        <v>277</v>
      </c>
      <c r="E1195" s="6">
        <v>3964.44</v>
      </c>
      <c r="F1195" t="s">
        <v>603</v>
      </c>
      <c r="G1195" s="4" t="str">
        <f t="shared" si="110"/>
        <v>3964.44</v>
      </c>
      <c r="H1195" t="str">
        <f t="shared" si="111"/>
        <v>3964.44</v>
      </c>
      <c r="I1195" s="1">
        <v>45716</v>
      </c>
      <c r="J1195" s="2">
        <f t="shared" si="112"/>
        <v>-0.40169420670649897</v>
      </c>
      <c r="K1195" s="3" t="str">
        <f t="shared" si="113"/>
        <v>Check!</v>
      </c>
      <c r="L1195" t="str">
        <f t="shared" si="114"/>
        <v/>
      </c>
      <c r="M1195" t="str">
        <f t="shared" si="115"/>
        <v>Check</v>
      </c>
      <c r="N1195">
        <v>6626.11</v>
      </c>
      <c r="O1195" t="s">
        <v>278</v>
      </c>
      <c r="Q1195" t="s">
        <v>16</v>
      </c>
    </row>
    <row r="1196" spans="1:17" x14ac:dyDescent="0.3">
      <c r="A1196">
        <v>100651921</v>
      </c>
      <c r="B1196" t="s">
        <v>279</v>
      </c>
      <c r="C1196" t="s">
        <v>590</v>
      </c>
      <c r="D1196" t="s">
        <v>280</v>
      </c>
      <c r="E1196" s="6">
        <v>15923.47</v>
      </c>
      <c r="F1196" t="s">
        <v>603</v>
      </c>
      <c r="G1196" s="4" t="str">
        <f t="shared" si="110"/>
        <v>15923.47</v>
      </c>
      <c r="H1196" t="str">
        <f t="shared" si="111"/>
        <v>15923.47</v>
      </c>
      <c r="I1196" s="1">
        <v>45716</v>
      </c>
      <c r="J1196" s="2">
        <f t="shared" si="112"/>
        <v>1.2311453361410277E-3</v>
      </c>
      <c r="K1196" s="3" t="str">
        <f t="shared" si="113"/>
        <v/>
      </c>
      <c r="L1196" t="str">
        <f t="shared" si="114"/>
        <v/>
      </c>
      <c r="M1196" t="str">
        <f t="shared" si="115"/>
        <v>Check</v>
      </c>
      <c r="N1196">
        <v>15903.89</v>
      </c>
      <c r="O1196" t="s">
        <v>281</v>
      </c>
      <c r="Q1196" t="s">
        <v>16</v>
      </c>
    </row>
    <row r="1197" spans="1:17" x14ac:dyDescent="0.3">
      <c r="A1197">
        <v>100651921</v>
      </c>
      <c r="B1197" t="s">
        <v>279</v>
      </c>
      <c r="C1197" t="s">
        <v>590</v>
      </c>
      <c r="D1197" t="s">
        <v>282</v>
      </c>
      <c r="E1197" s="6">
        <v>2081.5100000000002</v>
      </c>
      <c r="F1197" t="s">
        <v>603</v>
      </c>
      <c r="G1197" s="4" t="str">
        <f t="shared" si="110"/>
        <v>2081.51</v>
      </c>
      <c r="H1197" t="str">
        <f t="shared" si="111"/>
        <v>2081.51</v>
      </c>
      <c r="I1197" s="1">
        <v>45716</v>
      </c>
      <c r="J1197" s="2">
        <f t="shared" si="112"/>
        <v>-2.3054948425936315E-3</v>
      </c>
      <c r="K1197" s="3" t="str">
        <f t="shared" si="113"/>
        <v/>
      </c>
      <c r="L1197" t="str">
        <f t="shared" si="114"/>
        <v/>
      </c>
      <c r="M1197" t="str">
        <f t="shared" si="115"/>
        <v>Check</v>
      </c>
      <c r="N1197">
        <v>2086.3200000000002</v>
      </c>
      <c r="O1197" t="s">
        <v>283</v>
      </c>
      <c r="Q1197" t="s">
        <v>16</v>
      </c>
    </row>
    <row r="1198" spans="1:17" x14ac:dyDescent="0.3">
      <c r="A1198">
        <v>100655835</v>
      </c>
      <c r="B1198" t="s">
        <v>284</v>
      </c>
      <c r="C1198" t="s">
        <v>19</v>
      </c>
      <c r="D1198" t="s">
        <v>285</v>
      </c>
      <c r="E1198" s="6">
        <v>586476.82999999996</v>
      </c>
      <c r="F1198" t="s">
        <v>603</v>
      </c>
      <c r="G1198" s="4" t="str">
        <f t="shared" si="110"/>
        <v>586476.83</v>
      </c>
      <c r="H1198" t="str">
        <f t="shared" si="111"/>
        <v>586476.83</v>
      </c>
      <c r="I1198" s="1">
        <v>45716</v>
      </c>
      <c r="J1198" s="2">
        <f t="shared" si="112"/>
        <v>4.5087697251394859E-3</v>
      </c>
      <c r="K1198" s="3" t="str">
        <f t="shared" si="113"/>
        <v/>
      </c>
      <c r="L1198" t="str">
        <f t="shared" si="114"/>
        <v/>
      </c>
      <c r="M1198" t="str">
        <f t="shared" si="115"/>
        <v/>
      </c>
      <c r="N1198">
        <v>583844.41</v>
      </c>
      <c r="O1198" t="s">
        <v>286</v>
      </c>
      <c r="Q1198" t="s">
        <v>19</v>
      </c>
    </row>
    <row r="1199" spans="1:17" x14ac:dyDescent="0.3">
      <c r="A1199">
        <v>100663638</v>
      </c>
      <c r="B1199" t="s">
        <v>287</v>
      </c>
      <c r="C1199" t="s">
        <v>19</v>
      </c>
      <c r="D1199" t="s">
        <v>288</v>
      </c>
      <c r="E1199" s="6">
        <v>65192.93</v>
      </c>
      <c r="F1199" t="s">
        <v>603</v>
      </c>
      <c r="G1199" s="4" t="str">
        <f t="shared" si="110"/>
        <v>65192.93</v>
      </c>
      <c r="H1199" t="str">
        <f t="shared" si="111"/>
        <v>65192.93</v>
      </c>
      <c r="I1199" s="1">
        <v>45716</v>
      </c>
      <c r="J1199" s="2">
        <f t="shared" si="112"/>
        <v>-5.9283947984304489E-2</v>
      </c>
      <c r="K1199" s="3" t="str">
        <f t="shared" si="113"/>
        <v/>
      </c>
      <c r="L1199" t="str">
        <f t="shared" si="114"/>
        <v/>
      </c>
      <c r="M1199" t="str">
        <f t="shared" si="115"/>
        <v/>
      </c>
      <c r="N1199">
        <v>69301.39</v>
      </c>
      <c r="O1199" t="s">
        <v>289</v>
      </c>
      <c r="Q1199" t="s">
        <v>19</v>
      </c>
    </row>
    <row r="1200" spans="1:17" x14ac:dyDescent="0.3">
      <c r="A1200">
        <v>100663638</v>
      </c>
      <c r="B1200" t="s">
        <v>287</v>
      </c>
      <c r="C1200" t="s">
        <v>19</v>
      </c>
      <c r="D1200" t="s">
        <v>290</v>
      </c>
      <c r="E1200" s="6">
        <v>2650.94</v>
      </c>
      <c r="F1200" t="s">
        <v>603</v>
      </c>
      <c r="G1200" s="4" t="str">
        <f t="shared" si="110"/>
        <v>2650.94</v>
      </c>
      <c r="H1200" t="str">
        <f t="shared" si="111"/>
        <v>2650.94</v>
      </c>
      <c r="I1200" s="1">
        <v>45716</v>
      </c>
      <c r="J1200" s="2">
        <f t="shared" si="112"/>
        <v>-4.3517165485017453E-2</v>
      </c>
      <c r="K1200" s="3" t="str">
        <f t="shared" si="113"/>
        <v/>
      </c>
      <c r="L1200" t="str">
        <f t="shared" si="114"/>
        <v/>
      </c>
      <c r="M1200" t="str">
        <f t="shared" si="115"/>
        <v/>
      </c>
      <c r="N1200">
        <v>2771.55</v>
      </c>
      <c r="O1200" t="s">
        <v>291</v>
      </c>
      <c r="Q1200" t="s">
        <v>19</v>
      </c>
    </row>
    <row r="1201" spans="1:17" x14ac:dyDescent="0.3">
      <c r="A1201">
        <v>100663638</v>
      </c>
      <c r="B1201" t="s">
        <v>287</v>
      </c>
      <c r="C1201" t="s">
        <v>590</v>
      </c>
      <c r="D1201" t="s">
        <v>600</v>
      </c>
      <c r="E1201" s="6">
        <v>80265.34</v>
      </c>
      <c r="F1201" t="s">
        <v>603</v>
      </c>
      <c r="G1201" s="4" t="str">
        <f t="shared" si="110"/>
        <v>80265.34</v>
      </c>
      <c r="H1201" t="str">
        <f t="shared" si="111"/>
        <v>80265.34</v>
      </c>
      <c r="I1201" s="1">
        <v>45716</v>
      </c>
      <c r="J1201" s="2">
        <f t="shared" si="112"/>
        <v>1.3647068736330039</v>
      </c>
      <c r="K1201" s="3" t="str">
        <f t="shared" si="113"/>
        <v>Check!</v>
      </c>
      <c r="L1201" t="str">
        <f t="shared" si="114"/>
        <v/>
      </c>
      <c r="M1201" t="str">
        <f t="shared" si="115"/>
        <v/>
      </c>
      <c r="N1201">
        <v>33943.040000000001</v>
      </c>
      <c r="O1201" t="s">
        <v>666</v>
      </c>
      <c r="Q1201" t="s">
        <v>590</v>
      </c>
    </row>
    <row r="1202" spans="1:17" x14ac:dyDescent="0.3">
      <c r="A1202">
        <v>100664029</v>
      </c>
      <c r="B1202" t="s">
        <v>292</v>
      </c>
      <c r="C1202" t="s">
        <v>19</v>
      </c>
      <c r="D1202" t="s">
        <v>293</v>
      </c>
      <c r="E1202" s="6">
        <v>10636.84</v>
      </c>
      <c r="F1202" t="s">
        <v>603</v>
      </c>
      <c r="G1202" s="4" t="str">
        <f t="shared" si="110"/>
        <v>10636.84</v>
      </c>
      <c r="H1202" t="str">
        <f t="shared" si="111"/>
        <v>10636.84</v>
      </c>
      <c r="I1202" s="1">
        <v>45716</v>
      </c>
      <c r="J1202" s="2">
        <f t="shared" si="112"/>
        <v>-4.785246638296653E-2</v>
      </c>
      <c r="K1202" s="3" t="str">
        <f t="shared" si="113"/>
        <v/>
      </c>
      <c r="L1202" t="str">
        <f t="shared" si="114"/>
        <v/>
      </c>
      <c r="M1202" t="str">
        <f t="shared" si="115"/>
        <v/>
      </c>
      <c r="N1202">
        <v>11171.42</v>
      </c>
      <c r="O1202" t="s">
        <v>294</v>
      </c>
      <c r="Q1202" t="s">
        <v>19</v>
      </c>
    </row>
    <row r="1203" spans="1:17" x14ac:dyDescent="0.3">
      <c r="A1203">
        <v>100664029</v>
      </c>
      <c r="B1203" t="s">
        <v>292</v>
      </c>
      <c r="C1203" t="s">
        <v>19</v>
      </c>
      <c r="D1203" t="s">
        <v>295</v>
      </c>
      <c r="E1203" s="6">
        <v>7758.54</v>
      </c>
      <c r="F1203" t="s">
        <v>603</v>
      </c>
      <c r="G1203" s="4" t="str">
        <f t="shared" si="110"/>
        <v>7758.54</v>
      </c>
      <c r="H1203" t="str">
        <f t="shared" si="111"/>
        <v>7758.54</v>
      </c>
      <c r="I1203" s="1">
        <v>45716</v>
      </c>
      <c r="J1203" s="2">
        <f t="shared" si="112"/>
        <v>-3.5664745919447891E-2</v>
      </c>
      <c r="K1203" s="3" t="str">
        <f t="shared" si="113"/>
        <v/>
      </c>
      <c r="L1203" t="str">
        <f t="shared" si="114"/>
        <v/>
      </c>
      <c r="M1203" t="str">
        <f t="shared" si="115"/>
        <v/>
      </c>
      <c r="N1203">
        <v>8045.48</v>
      </c>
      <c r="O1203" t="s">
        <v>296</v>
      </c>
      <c r="Q1203" t="s">
        <v>19</v>
      </c>
    </row>
    <row r="1204" spans="1:17" x14ac:dyDescent="0.3">
      <c r="A1204">
        <v>100664292</v>
      </c>
      <c r="B1204" t="s">
        <v>297</v>
      </c>
      <c r="C1204" t="s">
        <v>590</v>
      </c>
      <c r="D1204" t="s">
        <v>298</v>
      </c>
      <c r="E1204" s="6">
        <v>13127.37</v>
      </c>
      <c r="F1204" t="s">
        <v>603</v>
      </c>
      <c r="G1204" s="4" t="str">
        <f t="shared" si="110"/>
        <v>13127.37</v>
      </c>
      <c r="H1204" t="str">
        <f t="shared" si="111"/>
        <v>13127.37</v>
      </c>
      <c r="I1204" s="1">
        <v>45716</v>
      </c>
      <c r="J1204" s="2">
        <f t="shared" si="112"/>
        <v>-4.7279208899650531E-3</v>
      </c>
      <c r="K1204" s="3" t="str">
        <f t="shared" si="113"/>
        <v/>
      </c>
      <c r="L1204" t="str">
        <f t="shared" si="114"/>
        <v/>
      </c>
      <c r="M1204" t="str">
        <f t="shared" si="115"/>
        <v>Check</v>
      </c>
      <c r="N1204">
        <v>13189.73</v>
      </c>
      <c r="O1204" t="s">
        <v>299</v>
      </c>
      <c r="Q1204" t="s">
        <v>16</v>
      </c>
    </row>
    <row r="1205" spans="1:17" x14ac:dyDescent="0.3">
      <c r="A1205">
        <v>100664292</v>
      </c>
      <c r="B1205" t="s">
        <v>297</v>
      </c>
      <c r="C1205" t="s">
        <v>19</v>
      </c>
      <c r="D1205" t="s">
        <v>300</v>
      </c>
      <c r="E1205" s="6">
        <v>25026.880000000001</v>
      </c>
      <c r="F1205" t="s">
        <v>603</v>
      </c>
      <c r="G1205" s="4" t="str">
        <f t="shared" si="110"/>
        <v>25026.88</v>
      </c>
      <c r="H1205" t="str">
        <f t="shared" si="111"/>
        <v>25026.88</v>
      </c>
      <c r="I1205" s="1">
        <v>45716</v>
      </c>
      <c r="J1205" s="2">
        <f t="shared" si="112"/>
        <v>-0.11902557643608282</v>
      </c>
      <c r="K1205" s="3" t="str">
        <f t="shared" si="113"/>
        <v>Check!</v>
      </c>
      <c r="L1205" t="str">
        <f t="shared" si="114"/>
        <v/>
      </c>
      <c r="M1205" t="str">
        <f t="shared" si="115"/>
        <v/>
      </c>
      <c r="N1205">
        <v>28408.18</v>
      </c>
      <c r="O1205" t="s">
        <v>301</v>
      </c>
      <c r="Q1205" t="s">
        <v>19</v>
      </c>
    </row>
    <row r="1206" spans="1:17" x14ac:dyDescent="0.3">
      <c r="A1206">
        <v>100664348</v>
      </c>
      <c r="B1206" t="s">
        <v>302</v>
      </c>
      <c r="C1206" t="s">
        <v>19</v>
      </c>
      <c r="D1206" t="s">
        <v>303</v>
      </c>
      <c r="E1206" s="6">
        <v>28529.39</v>
      </c>
      <c r="F1206" t="s">
        <v>603</v>
      </c>
      <c r="G1206" s="4" t="str">
        <f t="shared" si="110"/>
        <v>28529.39</v>
      </c>
      <c r="H1206" t="str">
        <f t="shared" si="111"/>
        <v>28529.39</v>
      </c>
      <c r="I1206" s="1">
        <v>45716</v>
      </c>
      <c r="J1206" s="2">
        <f t="shared" si="112"/>
        <v>-3.8859799897988302E-2</v>
      </c>
      <c r="K1206" s="3" t="str">
        <f t="shared" si="113"/>
        <v/>
      </c>
      <c r="L1206" t="str">
        <f t="shared" si="114"/>
        <v/>
      </c>
      <c r="M1206" t="str">
        <f t="shared" si="115"/>
        <v/>
      </c>
      <c r="N1206">
        <v>29682.86</v>
      </c>
      <c r="O1206" t="s">
        <v>304</v>
      </c>
      <c r="Q1206" t="s">
        <v>19</v>
      </c>
    </row>
    <row r="1207" spans="1:17" x14ac:dyDescent="0.3">
      <c r="A1207">
        <v>100664351</v>
      </c>
      <c r="B1207" t="s">
        <v>305</v>
      </c>
      <c r="C1207" t="s">
        <v>19</v>
      </c>
      <c r="D1207" t="s">
        <v>306</v>
      </c>
      <c r="E1207" s="6">
        <v>249.78</v>
      </c>
      <c r="F1207" t="s">
        <v>603</v>
      </c>
      <c r="G1207" s="4" t="str">
        <f t="shared" si="110"/>
        <v>249.78</v>
      </c>
      <c r="H1207" t="str">
        <f t="shared" si="111"/>
        <v>249.78</v>
      </c>
      <c r="I1207" s="1">
        <v>45716</v>
      </c>
      <c r="J1207" s="2">
        <f t="shared" si="112"/>
        <v>-3.3658310120705727E-2</v>
      </c>
      <c r="K1207" s="3" t="str">
        <f t="shared" si="113"/>
        <v/>
      </c>
      <c r="L1207" t="str">
        <f t="shared" si="114"/>
        <v/>
      </c>
      <c r="M1207" t="str">
        <f t="shared" si="115"/>
        <v/>
      </c>
      <c r="N1207">
        <v>258.48</v>
      </c>
      <c r="O1207" t="s">
        <v>307</v>
      </c>
      <c r="Q1207" t="s">
        <v>19</v>
      </c>
    </row>
    <row r="1208" spans="1:17" x14ac:dyDescent="0.3">
      <c r="A1208">
        <v>100664601</v>
      </c>
      <c r="B1208" t="s">
        <v>308</v>
      </c>
      <c r="C1208" t="s">
        <v>623</v>
      </c>
      <c r="D1208" t="s">
        <v>309</v>
      </c>
      <c r="E1208" s="6">
        <v>218000.03</v>
      </c>
      <c r="F1208" t="s">
        <v>603</v>
      </c>
      <c r="G1208" s="4" t="str">
        <f t="shared" si="110"/>
        <v>218000.03</v>
      </c>
      <c r="H1208" t="str">
        <f t="shared" si="111"/>
        <v>218000.03</v>
      </c>
      <c r="I1208" s="1">
        <v>45716</v>
      </c>
      <c r="J1208" s="2">
        <f t="shared" si="112"/>
        <v>2.6017880194638424E-2</v>
      </c>
      <c r="K1208" s="3" t="str">
        <f t="shared" si="113"/>
        <v/>
      </c>
      <c r="L1208" t="str">
        <f t="shared" si="114"/>
        <v/>
      </c>
      <c r="M1208" t="str">
        <f t="shared" si="115"/>
        <v>Check</v>
      </c>
      <c r="N1208">
        <v>212471.96</v>
      </c>
      <c r="O1208" t="s">
        <v>310</v>
      </c>
      <c r="Q1208" t="s">
        <v>164</v>
      </c>
    </row>
    <row r="1209" spans="1:17" x14ac:dyDescent="0.3">
      <c r="A1209">
        <v>100664601</v>
      </c>
      <c r="B1209" t="s">
        <v>308</v>
      </c>
      <c r="C1209" t="s">
        <v>611</v>
      </c>
      <c r="D1209" t="s">
        <v>311</v>
      </c>
      <c r="E1209" s="6">
        <v>67379.199999999997</v>
      </c>
      <c r="F1209" t="s">
        <v>603</v>
      </c>
      <c r="G1209" s="4" t="str">
        <f t="shared" si="110"/>
        <v>67379.2</v>
      </c>
      <c r="H1209" t="str">
        <f t="shared" si="111"/>
        <v>67379.2</v>
      </c>
      <c r="I1209" s="1">
        <v>45716</v>
      </c>
      <c r="J1209" s="2">
        <f t="shared" si="112"/>
        <v>2.5953990183126958E-2</v>
      </c>
      <c r="K1209" s="3" t="str">
        <f t="shared" si="113"/>
        <v/>
      </c>
      <c r="L1209" t="str">
        <f t="shared" si="114"/>
        <v/>
      </c>
      <c r="M1209" t="str">
        <f t="shared" si="115"/>
        <v>Check</v>
      </c>
      <c r="N1209">
        <v>65674.679999999993</v>
      </c>
      <c r="O1209" t="s">
        <v>312</v>
      </c>
      <c r="Q1209" t="s">
        <v>41</v>
      </c>
    </row>
    <row r="1210" spans="1:17" x14ac:dyDescent="0.3">
      <c r="A1210">
        <v>100664601</v>
      </c>
      <c r="B1210" t="s">
        <v>308</v>
      </c>
      <c r="C1210" t="s">
        <v>622</v>
      </c>
      <c r="D1210" t="s">
        <v>630</v>
      </c>
      <c r="E1210" s="6">
        <v>3278.02</v>
      </c>
      <c r="F1210" t="s">
        <v>603</v>
      </c>
      <c r="G1210" s="4" t="str">
        <f t="shared" si="110"/>
        <v>3278.02</v>
      </c>
      <c r="H1210" t="str">
        <f t="shared" si="111"/>
        <v>3278.02</v>
      </c>
      <c r="I1210" s="1">
        <v>45716</v>
      </c>
      <c r="J1210" s="2">
        <f t="shared" si="112"/>
        <v>1.9088359831127114E-2</v>
      </c>
      <c r="K1210" s="3" t="str">
        <f t="shared" si="113"/>
        <v/>
      </c>
      <c r="L1210" t="str">
        <f t="shared" si="114"/>
        <v/>
      </c>
      <c r="M1210" t="str">
        <f t="shared" si="115"/>
        <v/>
      </c>
      <c r="N1210">
        <v>3216.62</v>
      </c>
      <c r="O1210" t="s">
        <v>667</v>
      </c>
      <c r="Q1210" t="s">
        <v>622</v>
      </c>
    </row>
    <row r="1211" spans="1:17" x14ac:dyDescent="0.3">
      <c r="A1211">
        <v>100664601</v>
      </c>
      <c r="B1211" t="s">
        <v>308</v>
      </c>
      <c r="C1211" t="s">
        <v>606</v>
      </c>
      <c r="D1211" t="s">
        <v>631</v>
      </c>
      <c r="E1211" s="6">
        <v>3297.61</v>
      </c>
      <c r="F1211" t="s">
        <v>603</v>
      </c>
      <c r="G1211" s="4" t="str">
        <f t="shared" si="110"/>
        <v>3297.61</v>
      </c>
      <c r="H1211" t="str">
        <f t="shared" si="111"/>
        <v>3297.61</v>
      </c>
      <c r="I1211" s="1">
        <v>45716</v>
      </c>
      <c r="J1211" s="2">
        <f t="shared" si="112"/>
        <v>2.6816213035071059E-2</v>
      </c>
      <c r="K1211" s="3" t="str">
        <f t="shared" si="113"/>
        <v/>
      </c>
      <c r="L1211" t="str">
        <f t="shared" si="114"/>
        <v/>
      </c>
      <c r="M1211" t="str">
        <f t="shared" si="115"/>
        <v/>
      </c>
      <c r="N1211">
        <v>3211.49</v>
      </c>
      <c r="O1211" t="s">
        <v>668</v>
      </c>
      <c r="Q1211" t="s">
        <v>606</v>
      </c>
    </row>
    <row r="1212" spans="1:17" x14ac:dyDescent="0.3">
      <c r="A1212">
        <v>100664737</v>
      </c>
      <c r="B1212" t="s">
        <v>313</v>
      </c>
      <c r="C1212" t="s">
        <v>19</v>
      </c>
      <c r="D1212" t="s">
        <v>314</v>
      </c>
      <c r="E1212" s="6">
        <v>13744.94</v>
      </c>
      <c r="F1212" t="s">
        <v>603</v>
      </c>
      <c r="G1212" s="4" t="str">
        <f t="shared" si="110"/>
        <v>13744.94</v>
      </c>
      <c r="H1212" t="str">
        <f t="shared" si="111"/>
        <v>13744.94</v>
      </c>
      <c r="I1212" s="1">
        <v>45716</v>
      </c>
      <c r="J1212" s="2">
        <f t="shared" si="112"/>
        <v>-1.7627744686447094E-2</v>
      </c>
      <c r="K1212" s="3" t="str">
        <f t="shared" si="113"/>
        <v/>
      </c>
      <c r="L1212" t="str">
        <f t="shared" si="114"/>
        <v/>
      </c>
      <c r="M1212" t="str">
        <f t="shared" si="115"/>
        <v/>
      </c>
      <c r="N1212">
        <v>13991.58</v>
      </c>
      <c r="O1212" t="s">
        <v>315</v>
      </c>
      <c r="Q1212" t="s">
        <v>19</v>
      </c>
    </row>
    <row r="1213" spans="1:17" x14ac:dyDescent="0.3">
      <c r="A1213">
        <v>100664737</v>
      </c>
      <c r="B1213" t="s">
        <v>313</v>
      </c>
      <c r="C1213" t="s">
        <v>19</v>
      </c>
      <c r="D1213" t="s">
        <v>316</v>
      </c>
      <c r="E1213" s="6">
        <v>4184.1099999999997</v>
      </c>
      <c r="F1213" t="s">
        <v>603</v>
      </c>
      <c r="G1213" s="4" t="str">
        <f t="shared" si="110"/>
        <v>4184.11</v>
      </c>
      <c r="H1213" t="str">
        <f t="shared" si="111"/>
        <v>4184.11</v>
      </c>
      <c r="I1213" s="1">
        <v>45716</v>
      </c>
      <c r="J1213" s="2">
        <f t="shared" si="112"/>
        <v>-7.6982001958938277E-3</v>
      </c>
      <c r="K1213" s="3" t="str">
        <f t="shared" si="113"/>
        <v/>
      </c>
      <c r="L1213" t="str">
        <f t="shared" si="114"/>
        <v/>
      </c>
      <c r="M1213" t="str">
        <f t="shared" si="115"/>
        <v/>
      </c>
      <c r="N1213">
        <v>4216.57</v>
      </c>
      <c r="O1213" t="s">
        <v>317</v>
      </c>
      <c r="Q1213" t="s">
        <v>19</v>
      </c>
    </row>
    <row r="1214" spans="1:17" x14ac:dyDescent="0.3">
      <c r="A1214">
        <v>100665510</v>
      </c>
      <c r="B1214" t="s">
        <v>318</v>
      </c>
      <c r="C1214" t="s">
        <v>19</v>
      </c>
      <c r="D1214" t="s">
        <v>319</v>
      </c>
      <c r="E1214" s="6">
        <v>2491.9499999999998</v>
      </c>
      <c r="F1214" t="s">
        <v>603</v>
      </c>
      <c r="G1214" s="4" t="str">
        <f t="shared" si="110"/>
        <v>2491.95</v>
      </c>
      <c r="H1214" t="str">
        <f t="shared" si="111"/>
        <v>2491.95</v>
      </c>
      <c r="I1214" s="1">
        <v>45716</v>
      </c>
      <c r="J1214" s="2">
        <f t="shared" si="112"/>
        <v>-7.0211231406178531E-3</v>
      </c>
      <c r="K1214" s="3" t="str">
        <f t="shared" si="113"/>
        <v/>
      </c>
      <c r="L1214" t="str">
        <f t="shared" si="114"/>
        <v/>
      </c>
      <c r="M1214" t="str">
        <f t="shared" si="115"/>
        <v/>
      </c>
      <c r="N1214">
        <v>2509.5700000000002</v>
      </c>
      <c r="O1214" t="s">
        <v>320</v>
      </c>
      <c r="Q1214" t="s">
        <v>19</v>
      </c>
    </row>
    <row r="1215" spans="1:17" x14ac:dyDescent="0.3">
      <c r="A1215">
        <v>100665581</v>
      </c>
      <c r="B1215" t="s">
        <v>321</v>
      </c>
      <c r="C1215" t="s">
        <v>623</v>
      </c>
      <c r="D1215" t="s">
        <v>322</v>
      </c>
      <c r="E1215" s="6">
        <v>130117.48</v>
      </c>
      <c r="F1215" t="s">
        <v>603</v>
      </c>
      <c r="G1215" s="4" t="str">
        <f t="shared" si="110"/>
        <v>130117.48</v>
      </c>
      <c r="H1215" t="str">
        <f t="shared" si="111"/>
        <v>130117.48</v>
      </c>
      <c r="I1215" s="1">
        <v>45716</v>
      </c>
      <c r="J1215" s="2">
        <f t="shared" si="112"/>
        <v>2.6038720700810956E-2</v>
      </c>
      <c r="K1215" s="3" t="str">
        <f t="shared" si="113"/>
        <v/>
      </c>
      <c r="L1215" t="str">
        <f t="shared" si="114"/>
        <v/>
      </c>
      <c r="M1215" t="str">
        <f t="shared" si="115"/>
        <v>Check</v>
      </c>
      <c r="N1215">
        <v>126815.37</v>
      </c>
      <c r="O1215" t="s">
        <v>323</v>
      </c>
      <c r="Q1215" t="s">
        <v>164</v>
      </c>
    </row>
    <row r="1216" spans="1:17" x14ac:dyDescent="0.3">
      <c r="A1216">
        <v>100665581</v>
      </c>
      <c r="B1216" t="s">
        <v>321</v>
      </c>
      <c r="C1216" t="s">
        <v>622</v>
      </c>
      <c r="D1216" t="s">
        <v>632</v>
      </c>
      <c r="E1216" s="6">
        <v>3278.76</v>
      </c>
      <c r="F1216" t="s">
        <v>603</v>
      </c>
      <c r="G1216" s="4" t="str">
        <f t="shared" si="110"/>
        <v>3278.76</v>
      </c>
      <c r="H1216" t="str">
        <f t="shared" si="111"/>
        <v>3278.76</v>
      </c>
      <c r="I1216" s="1">
        <v>45716</v>
      </c>
      <c r="J1216" s="2">
        <f t="shared" si="112"/>
        <v>1.9087136929460676E-2</v>
      </c>
      <c r="K1216" s="3" t="str">
        <f t="shared" si="113"/>
        <v/>
      </c>
      <c r="L1216" t="str">
        <f t="shared" si="114"/>
        <v/>
      </c>
      <c r="M1216" t="str">
        <f t="shared" si="115"/>
        <v/>
      </c>
      <c r="N1216">
        <v>3217.35</v>
      </c>
      <c r="O1216" t="s">
        <v>669</v>
      </c>
      <c r="Q1216" t="s">
        <v>622</v>
      </c>
    </row>
    <row r="1217" spans="1:17" x14ac:dyDescent="0.3">
      <c r="A1217">
        <v>100665581</v>
      </c>
      <c r="B1217" t="s">
        <v>321</v>
      </c>
      <c r="C1217" t="s">
        <v>590</v>
      </c>
      <c r="D1217" t="s">
        <v>639</v>
      </c>
      <c r="E1217" s="6">
        <v>58153.37</v>
      </c>
      <c r="F1217" t="s">
        <v>603</v>
      </c>
      <c r="G1217" s="4" t="str">
        <f t="shared" si="110"/>
        <v>58153.37</v>
      </c>
      <c r="H1217" t="str">
        <f t="shared" si="111"/>
        <v>58153.37</v>
      </c>
      <c r="I1217" s="1">
        <v>45716</v>
      </c>
      <c r="J1217" s="2">
        <f t="shared" si="112"/>
        <v>3.5936436818744455</v>
      </c>
      <c r="K1217" s="3" t="str">
        <f t="shared" si="113"/>
        <v>Check!</v>
      </c>
      <c r="L1217" t="str">
        <f t="shared" si="114"/>
        <v/>
      </c>
      <c r="M1217" t="str">
        <f t="shared" si="115"/>
        <v/>
      </c>
      <c r="N1217">
        <v>12659.53</v>
      </c>
      <c r="O1217" t="s">
        <v>673</v>
      </c>
      <c r="Q1217" t="s">
        <v>590</v>
      </c>
    </row>
    <row r="1218" spans="1:17" x14ac:dyDescent="0.3">
      <c r="A1218">
        <v>100666150</v>
      </c>
      <c r="B1218" t="s">
        <v>324</v>
      </c>
      <c r="C1218" t="s">
        <v>19</v>
      </c>
      <c r="D1218" t="s">
        <v>325</v>
      </c>
      <c r="E1218" s="6">
        <v>41977.41</v>
      </c>
      <c r="F1218" t="s">
        <v>603</v>
      </c>
      <c r="G1218" s="4" t="str">
        <f t="shared" si="110"/>
        <v>41977.41</v>
      </c>
      <c r="H1218" t="str">
        <f t="shared" si="111"/>
        <v>41977.41</v>
      </c>
      <c r="I1218" s="1">
        <v>45716</v>
      </c>
      <c r="J1218" s="2">
        <f t="shared" si="112"/>
        <v>-6.2013702416547446E-2</v>
      </c>
      <c r="K1218" s="3" t="str">
        <f t="shared" si="113"/>
        <v/>
      </c>
      <c r="L1218" t="str">
        <f t="shared" si="114"/>
        <v/>
      </c>
      <c r="M1218" t="str">
        <f t="shared" si="115"/>
        <v/>
      </c>
      <c r="N1218">
        <v>44752.69</v>
      </c>
      <c r="O1218" t="s">
        <v>326</v>
      </c>
      <c r="Q1218" t="s">
        <v>19</v>
      </c>
    </row>
    <row r="1219" spans="1:17" x14ac:dyDescent="0.3">
      <c r="A1219">
        <v>100668409</v>
      </c>
      <c r="B1219" t="s">
        <v>327</v>
      </c>
      <c r="C1219" t="s">
        <v>590</v>
      </c>
      <c r="D1219" t="s">
        <v>328</v>
      </c>
      <c r="E1219" s="6">
        <v>2188.1999999999998</v>
      </c>
      <c r="F1219" t="s">
        <v>603</v>
      </c>
      <c r="G1219" s="4" t="str">
        <f t="shared" ref="G1219:G1282" si="116">SUBSTITUTE(E1219,"R","")</f>
        <v>2188.2</v>
      </c>
      <c r="H1219" t="str">
        <f t="shared" ref="H1219:H1282" si="117">SUBSTITUTE(G1219,",","")</f>
        <v>2188.2</v>
      </c>
      <c r="I1219" s="1">
        <v>45716</v>
      </c>
      <c r="J1219" s="2">
        <f t="shared" ref="J1219:J1282" si="118">(H1219-N1219)/N1219</f>
        <v>-7.6640515169380486E-3</v>
      </c>
      <c r="K1219" s="3" t="str">
        <f t="shared" ref="K1219:K1282" si="119">IF(ABS(J1219)&gt;0.1,"Check!","")</f>
        <v/>
      </c>
      <c r="L1219" t="str">
        <f t="shared" ref="L1219:L1282" si="120">IF(LEFT(O1219,10)&lt;&gt;LEFT(D1219,10),"Check","")</f>
        <v/>
      </c>
      <c r="M1219" t="str">
        <f t="shared" ref="M1219:M1282" si="121">IF(Q1219&lt;&gt;C1219,"Check","")</f>
        <v>Check</v>
      </c>
      <c r="N1219">
        <v>2205.1</v>
      </c>
      <c r="O1219" t="s">
        <v>329</v>
      </c>
      <c r="Q1219" t="s">
        <v>16</v>
      </c>
    </row>
    <row r="1220" spans="1:17" x14ac:dyDescent="0.3">
      <c r="A1220">
        <v>100668534</v>
      </c>
      <c r="B1220" t="s">
        <v>330</v>
      </c>
      <c r="C1220" t="s">
        <v>590</v>
      </c>
      <c r="D1220" t="s">
        <v>331</v>
      </c>
      <c r="E1220" s="6">
        <v>2042.81</v>
      </c>
      <c r="F1220" t="s">
        <v>603</v>
      </c>
      <c r="G1220" s="4" t="str">
        <f t="shared" si="116"/>
        <v>2042.81</v>
      </c>
      <c r="H1220" t="str">
        <f t="shared" si="117"/>
        <v>2042.81</v>
      </c>
      <c r="I1220" s="1">
        <v>45716</v>
      </c>
      <c r="J1220" s="2">
        <f t="shared" si="118"/>
        <v>-7.7907569759817202E-3</v>
      </c>
      <c r="K1220" s="3" t="str">
        <f t="shared" si="119"/>
        <v/>
      </c>
      <c r="L1220" t="str">
        <f t="shared" si="120"/>
        <v/>
      </c>
      <c r="M1220" t="str">
        <f t="shared" si="121"/>
        <v>Check</v>
      </c>
      <c r="N1220">
        <v>2058.85</v>
      </c>
      <c r="O1220" t="s">
        <v>332</v>
      </c>
      <c r="Q1220" t="s">
        <v>16</v>
      </c>
    </row>
    <row r="1221" spans="1:17" x14ac:dyDescent="0.3">
      <c r="A1221">
        <v>100669580</v>
      </c>
      <c r="B1221" t="s">
        <v>333</v>
      </c>
      <c r="C1221" t="s">
        <v>19</v>
      </c>
      <c r="D1221" t="s">
        <v>334</v>
      </c>
      <c r="E1221" s="6">
        <v>6996.12</v>
      </c>
      <c r="F1221" t="s">
        <v>603</v>
      </c>
      <c r="G1221" s="4" t="str">
        <f t="shared" si="116"/>
        <v>6996.12</v>
      </c>
      <c r="H1221" t="str">
        <f t="shared" si="117"/>
        <v>6996.12</v>
      </c>
      <c r="I1221" s="1">
        <v>45716</v>
      </c>
      <c r="J1221" s="2">
        <f t="shared" si="118"/>
        <v>-6.7620230700976194E-3</v>
      </c>
      <c r="K1221" s="3" t="str">
        <f t="shared" si="119"/>
        <v/>
      </c>
      <c r="L1221" t="str">
        <f t="shared" si="120"/>
        <v/>
      </c>
      <c r="M1221" t="str">
        <f t="shared" si="121"/>
        <v/>
      </c>
      <c r="N1221">
        <v>7043.75</v>
      </c>
      <c r="O1221" t="s">
        <v>335</v>
      </c>
      <c r="Q1221" t="s">
        <v>19</v>
      </c>
    </row>
    <row r="1222" spans="1:17" x14ac:dyDescent="0.3">
      <c r="A1222">
        <v>100670671</v>
      </c>
      <c r="B1222" t="s">
        <v>336</v>
      </c>
      <c r="C1222" t="s">
        <v>590</v>
      </c>
      <c r="D1222" t="s">
        <v>337</v>
      </c>
      <c r="E1222" s="6">
        <v>31424.92</v>
      </c>
      <c r="F1222" t="s">
        <v>603</v>
      </c>
      <c r="G1222" s="4" t="str">
        <f t="shared" si="116"/>
        <v>31424.92</v>
      </c>
      <c r="H1222" t="str">
        <f t="shared" si="117"/>
        <v>31424.92</v>
      </c>
      <c r="I1222" s="1">
        <v>45716</v>
      </c>
      <c r="J1222" s="2">
        <f t="shared" si="118"/>
        <v>1.7857835584719064</v>
      </c>
      <c r="K1222" s="3" t="str">
        <f t="shared" si="119"/>
        <v>Check!</v>
      </c>
      <c r="L1222" t="str">
        <f t="shared" si="120"/>
        <v/>
      </c>
      <c r="M1222" t="str">
        <f t="shared" si="121"/>
        <v>Check</v>
      </c>
      <c r="N1222">
        <v>11280.46</v>
      </c>
      <c r="O1222" t="s">
        <v>338</v>
      </c>
      <c r="Q1222" t="s">
        <v>16</v>
      </c>
    </row>
    <row r="1223" spans="1:17" x14ac:dyDescent="0.3">
      <c r="A1223">
        <v>100670671</v>
      </c>
      <c r="B1223" t="s">
        <v>336</v>
      </c>
      <c r="C1223" t="s">
        <v>611</v>
      </c>
      <c r="D1223" t="s">
        <v>339</v>
      </c>
      <c r="E1223" s="6">
        <v>13804.64</v>
      </c>
      <c r="F1223" t="s">
        <v>603</v>
      </c>
      <c r="G1223" s="4" t="str">
        <f t="shared" si="116"/>
        <v>13804.64</v>
      </c>
      <c r="H1223" t="str">
        <f t="shared" si="117"/>
        <v>13804.64</v>
      </c>
      <c r="I1223" s="1">
        <v>45716</v>
      </c>
      <c r="J1223" s="2">
        <f t="shared" si="118"/>
        <v>2.9670653434624765E-2</v>
      </c>
      <c r="K1223" s="3" t="str">
        <f t="shared" si="119"/>
        <v/>
      </c>
      <c r="L1223" t="str">
        <f t="shared" si="120"/>
        <v/>
      </c>
      <c r="M1223" t="str">
        <f t="shared" si="121"/>
        <v>Check</v>
      </c>
      <c r="N1223">
        <v>13406.85</v>
      </c>
      <c r="O1223" t="s">
        <v>340</v>
      </c>
      <c r="Q1223" t="s">
        <v>41</v>
      </c>
    </row>
    <row r="1224" spans="1:17" x14ac:dyDescent="0.3">
      <c r="A1224">
        <v>100670671</v>
      </c>
      <c r="B1224" t="s">
        <v>336</v>
      </c>
      <c r="C1224" t="s">
        <v>606</v>
      </c>
      <c r="D1224" t="s">
        <v>633</v>
      </c>
      <c r="E1224" s="6">
        <v>1724.95</v>
      </c>
      <c r="F1224" t="s">
        <v>603</v>
      </c>
      <c r="G1224" s="4" t="str">
        <f t="shared" si="116"/>
        <v>1724.95</v>
      </c>
      <c r="H1224" t="str">
        <f t="shared" si="117"/>
        <v>1724.95</v>
      </c>
      <c r="I1224" s="1">
        <v>45716</v>
      </c>
      <c r="J1224" s="2">
        <f t="shared" si="118"/>
        <v>5.4699203296871293E-2</v>
      </c>
      <c r="K1224" s="3" t="str">
        <f t="shared" si="119"/>
        <v/>
      </c>
      <c r="L1224" t="str">
        <f t="shared" si="120"/>
        <v/>
      </c>
      <c r="M1224" t="str">
        <f t="shared" si="121"/>
        <v/>
      </c>
      <c r="N1224">
        <v>1635.49</v>
      </c>
      <c r="O1224" t="s">
        <v>671</v>
      </c>
      <c r="Q1224" t="s">
        <v>606</v>
      </c>
    </row>
    <row r="1225" spans="1:17" x14ac:dyDescent="0.3">
      <c r="A1225">
        <v>100670671</v>
      </c>
      <c r="B1225" t="s">
        <v>336</v>
      </c>
      <c r="C1225" t="s">
        <v>609</v>
      </c>
      <c r="D1225" t="s">
        <v>634</v>
      </c>
      <c r="E1225" s="6">
        <v>204.19</v>
      </c>
      <c r="F1225" t="s">
        <v>603</v>
      </c>
      <c r="G1225" s="4" t="str">
        <f t="shared" si="116"/>
        <v>204.19</v>
      </c>
      <c r="H1225" t="str">
        <f t="shared" si="117"/>
        <v>204.19</v>
      </c>
      <c r="I1225" s="1">
        <v>45716</v>
      </c>
      <c r="J1225" s="2">
        <f t="shared" si="118"/>
        <v>0.20965639810426531</v>
      </c>
      <c r="K1225" s="3" t="str">
        <f t="shared" si="119"/>
        <v>Check!</v>
      </c>
      <c r="L1225" t="str">
        <f t="shared" si="120"/>
        <v/>
      </c>
      <c r="M1225" t="str">
        <f t="shared" si="121"/>
        <v/>
      </c>
      <c r="N1225">
        <v>168.8</v>
      </c>
      <c r="O1225" t="s">
        <v>670</v>
      </c>
      <c r="Q1225" t="s">
        <v>609</v>
      </c>
    </row>
    <row r="1226" spans="1:17" x14ac:dyDescent="0.3">
      <c r="A1226">
        <v>100672294</v>
      </c>
      <c r="B1226" t="s">
        <v>341</v>
      </c>
      <c r="C1226" t="s">
        <v>590</v>
      </c>
      <c r="D1226" t="s">
        <v>342</v>
      </c>
      <c r="E1226" s="6">
        <v>9573.18</v>
      </c>
      <c r="F1226" t="s">
        <v>603</v>
      </c>
      <c r="G1226" s="4" t="str">
        <f t="shared" si="116"/>
        <v>9573.18</v>
      </c>
      <c r="H1226" t="str">
        <f t="shared" si="117"/>
        <v>9573.18</v>
      </c>
      <c r="I1226" s="1">
        <v>45716</v>
      </c>
      <c r="J1226" s="2">
        <f t="shared" si="118"/>
        <v>-0.2460353213957181</v>
      </c>
      <c r="K1226" s="3" t="str">
        <f t="shared" si="119"/>
        <v>Check!</v>
      </c>
      <c r="L1226" t="str">
        <f t="shared" si="120"/>
        <v/>
      </c>
      <c r="M1226" t="str">
        <f t="shared" si="121"/>
        <v>Check</v>
      </c>
      <c r="N1226">
        <v>12697.12</v>
      </c>
      <c r="O1226" t="s">
        <v>343</v>
      </c>
      <c r="Q1226" t="s">
        <v>16</v>
      </c>
    </row>
    <row r="1227" spans="1:17" x14ac:dyDescent="0.3">
      <c r="A1227">
        <v>100672395</v>
      </c>
      <c r="B1227" t="s">
        <v>344</v>
      </c>
      <c r="C1227" t="s">
        <v>590</v>
      </c>
      <c r="D1227" t="s">
        <v>345</v>
      </c>
      <c r="E1227" s="6">
        <v>1496.29</v>
      </c>
      <c r="F1227" t="s">
        <v>603</v>
      </c>
      <c r="G1227" s="4" t="str">
        <f t="shared" si="116"/>
        <v>1496.29</v>
      </c>
      <c r="H1227" t="str">
        <f t="shared" si="117"/>
        <v>1496.29</v>
      </c>
      <c r="I1227" s="1">
        <v>45716</v>
      </c>
      <c r="J1227" s="2">
        <f t="shared" si="118"/>
        <v>-0.57615062998549671</v>
      </c>
      <c r="K1227" s="3" t="str">
        <f t="shared" si="119"/>
        <v>Check!</v>
      </c>
      <c r="L1227" t="str">
        <f t="shared" si="120"/>
        <v/>
      </c>
      <c r="M1227" t="str">
        <f t="shared" si="121"/>
        <v>Check</v>
      </c>
      <c r="N1227">
        <v>3530.24</v>
      </c>
      <c r="O1227" t="s">
        <v>346</v>
      </c>
      <c r="Q1227" t="s">
        <v>16</v>
      </c>
    </row>
    <row r="1228" spans="1:17" x14ac:dyDescent="0.3">
      <c r="A1228">
        <v>100675336</v>
      </c>
      <c r="B1228" t="s">
        <v>347</v>
      </c>
      <c r="C1228" t="s">
        <v>19</v>
      </c>
      <c r="D1228" t="s">
        <v>348</v>
      </c>
      <c r="E1228" s="6">
        <v>1699.31</v>
      </c>
      <c r="F1228" t="s">
        <v>603</v>
      </c>
      <c r="G1228" s="4" t="str">
        <f t="shared" si="116"/>
        <v>1699.31</v>
      </c>
      <c r="H1228" t="str">
        <f t="shared" si="117"/>
        <v>1699.31</v>
      </c>
      <c r="I1228" s="1">
        <v>45716</v>
      </c>
      <c r="J1228" s="2">
        <f t="shared" si="118"/>
        <v>-0.61587270729821741</v>
      </c>
      <c r="K1228" s="3" t="str">
        <f t="shared" si="119"/>
        <v>Check!</v>
      </c>
      <c r="L1228" t="str">
        <f t="shared" si="120"/>
        <v/>
      </c>
      <c r="M1228" t="str">
        <f t="shared" si="121"/>
        <v/>
      </c>
      <c r="N1228">
        <v>4423.82</v>
      </c>
      <c r="O1228" t="s">
        <v>349</v>
      </c>
      <c r="Q1228" t="s">
        <v>19</v>
      </c>
    </row>
    <row r="1229" spans="1:17" x14ac:dyDescent="0.3">
      <c r="A1229">
        <v>100677278</v>
      </c>
      <c r="B1229" t="s">
        <v>350</v>
      </c>
      <c r="C1229" t="s">
        <v>19</v>
      </c>
      <c r="D1229" t="s">
        <v>351</v>
      </c>
      <c r="E1229" s="6">
        <v>23079.03</v>
      </c>
      <c r="F1229" t="s">
        <v>603</v>
      </c>
      <c r="G1229" s="4" t="str">
        <f t="shared" si="116"/>
        <v>23079.03</v>
      </c>
      <c r="H1229" t="str">
        <f t="shared" si="117"/>
        <v>23079.03</v>
      </c>
      <c r="I1229" s="1">
        <v>45716</v>
      </c>
      <c r="J1229" s="2">
        <f t="shared" si="118"/>
        <v>-0.11117174670565151</v>
      </c>
      <c r="K1229" s="3" t="str">
        <f t="shared" si="119"/>
        <v>Check!</v>
      </c>
      <c r="L1229" t="str">
        <f t="shared" si="120"/>
        <v/>
      </c>
      <c r="M1229" t="str">
        <f t="shared" si="121"/>
        <v/>
      </c>
      <c r="N1229">
        <v>25965.68</v>
      </c>
      <c r="O1229" t="s">
        <v>352</v>
      </c>
      <c r="Q1229" t="s">
        <v>19</v>
      </c>
    </row>
    <row r="1230" spans="1:17" x14ac:dyDescent="0.3">
      <c r="A1230">
        <v>100677585</v>
      </c>
      <c r="B1230" t="s">
        <v>353</v>
      </c>
      <c r="C1230" t="s">
        <v>19</v>
      </c>
      <c r="D1230" t="s">
        <v>354</v>
      </c>
      <c r="E1230" s="6">
        <v>2376.09</v>
      </c>
      <c r="F1230" t="s">
        <v>603</v>
      </c>
      <c r="G1230" s="4" t="str">
        <f t="shared" si="116"/>
        <v>2376.09</v>
      </c>
      <c r="H1230" t="str">
        <f t="shared" si="117"/>
        <v>2376.09</v>
      </c>
      <c r="I1230" s="1">
        <v>45716</v>
      </c>
      <c r="J1230" s="2">
        <f t="shared" si="118"/>
        <v>-0.20266774047415312</v>
      </c>
      <c r="K1230" s="3" t="str">
        <f t="shared" si="119"/>
        <v>Check!</v>
      </c>
      <c r="L1230" t="str">
        <f t="shared" si="120"/>
        <v/>
      </c>
      <c r="M1230" t="str">
        <f t="shared" si="121"/>
        <v/>
      </c>
      <c r="N1230">
        <v>2980.05</v>
      </c>
      <c r="O1230" t="s">
        <v>355</v>
      </c>
      <c r="Q1230" t="s">
        <v>19</v>
      </c>
    </row>
    <row r="1231" spans="1:17" x14ac:dyDescent="0.3">
      <c r="A1231">
        <v>100706842</v>
      </c>
      <c r="B1231" t="s">
        <v>356</v>
      </c>
      <c r="C1231" t="s">
        <v>19</v>
      </c>
      <c r="D1231" t="s">
        <v>357</v>
      </c>
      <c r="E1231" s="6">
        <v>26635.47</v>
      </c>
      <c r="F1231" t="s">
        <v>603</v>
      </c>
      <c r="G1231" s="4" t="str">
        <f t="shared" si="116"/>
        <v>26635.47</v>
      </c>
      <c r="H1231" t="str">
        <f t="shared" si="117"/>
        <v>26635.47</v>
      </c>
      <c r="I1231" s="1">
        <v>45716</v>
      </c>
      <c r="J1231" s="2">
        <f t="shared" si="118"/>
        <v>-7.5282692023215733E-3</v>
      </c>
      <c r="K1231" s="3" t="str">
        <f t="shared" si="119"/>
        <v/>
      </c>
      <c r="L1231" t="str">
        <f t="shared" si="120"/>
        <v/>
      </c>
      <c r="M1231" t="str">
        <f t="shared" si="121"/>
        <v/>
      </c>
      <c r="N1231">
        <v>26837.51</v>
      </c>
      <c r="O1231" t="s">
        <v>358</v>
      </c>
      <c r="Q1231" t="s">
        <v>19</v>
      </c>
    </row>
    <row r="1232" spans="1:17" x14ac:dyDescent="0.3">
      <c r="A1232">
        <v>100711105</v>
      </c>
      <c r="B1232" t="s">
        <v>359</v>
      </c>
      <c r="C1232" t="s">
        <v>590</v>
      </c>
      <c r="D1232" t="s">
        <v>360</v>
      </c>
      <c r="E1232" s="6">
        <v>87.93</v>
      </c>
      <c r="F1232" t="s">
        <v>603</v>
      </c>
      <c r="G1232" s="4" t="str">
        <f t="shared" si="116"/>
        <v>87.93</v>
      </c>
      <c r="H1232" t="str">
        <f t="shared" si="117"/>
        <v>87.93</v>
      </c>
      <c r="I1232" s="1">
        <v>45716</v>
      </c>
      <c r="J1232" s="2">
        <f t="shared" si="118"/>
        <v>4.3679525222552008E-2</v>
      </c>
      <c r="K1232" s="3" t="str">
        <f t="shared" si="119"/>
        <v/>
      </c>
      <c r="L1232" t="str">
        <f t="shared" si="120"/>
        <v/>
      </c>
      <c r="M1232" t="str">
        <f t="shared" si="121"/>
        <v>Check</v>
      </c>
      <c r="N1232">
        <v>84.25</v>
      </c>
      <c r="O1232" t="s">
        <v>361</v>
      </c>
      <c r="Q1232" t="s">
        <v>16</v>
      </c>
    </row>
    <row r="1233" spans="1:17" x14ac:dyDescent="0.3">
      <c r="A1233">
        <v>100786852</v>
      </c>
      <c r="B1233" t="s">
        <v>636</v>
      </c>
      <c r="C1233" t="s">
        <v>19</v>
      </c>
      <c r="D1233" t="s">
        <v>637</v>
      </c>
      <c r="E1233" s="6">
        <v>37654.69</v>
      </c>
      <c r="F1233" t="s">
        <v>603</v>
      </c>
      <c r="G1233" s="4" t="str">
        <f t="shared" si="116"/>
        <v>37654.69</v>
      </c>
      <c r="H1233" t="str">
        <f t="shared" si="117"/>
        <v>37654.69</v>
      </c>
      <c r="I1233" s="1">
        <v>45716</v>
      </c>
      <c r="J1233" s="2">
        <f t="shared" si="118"/>
        <v>-4.5738046791785593E-2</v>
      </c>
      <c r="K1233" s="3" t="str">
        <f t="shared" si="119"/>
        <v/>
      </c>
      <c r="L1233" t="str">
        <f t="shared" si="120"/>
        <v/>
      </c>
      <c r="M1233" t="str">
        <f t="shared" si="121"/>
        <v/>
      </c>
      <c r="N1233">
        <v>39459.49</v>
      </c>
      <c r="O1233" t="s">
        <v>674</v>
      </c>
      <c r="Q1233" t="s">
        <v>19</v>
      </c>
    </row>
    <row r="1234" spans="1:17" x14ac:dyDescent="0.3">
      <c r="A1234">
        <v>100799345</v>
      </c>
      <c r="B1234" t="s">
        <v>640</v>
      </c>
      <c r="C1234" t="s">
        <v>590</v>
      </c>
      <c r="D1234" t="s">
        <v>641</v>
      </c>
      <c r="E1234" s="6">
        <v>56675.99</v>
      </c>
      <c r="F1234" t="s">
        <v>603</v>
      </c>
      <c r="G1234" s="4" t="str">
        <f t="shared" si="116"/>
        <v>56675.99</v>
      </c>
      <c r="H1234" t="str">
        <f t="shared" si="117"/>
        <v>56675.99</v>
      </c>
      <c r="I1234" s="1">
        <v>45716</v>
      </c>
      <c r="J1234" s="2">
        <f t="shared" si="118"/>
        <v>-0.36262005981538964</v>
      </c>
      <c r="K1234" s="3" t="str">
        <f t="shared" si="119"/>
        <v>Check!</v>
      </c>
      <c r="L1234" t="str">
        <f t="shared" si="120"/>
        <v/>
      </c>
      <c r="M1234" t="str">
        <f t="shared" si="121"/>
        <v/>
      </c>
      <c r="N1234">
        <v>88920.26</v>
      </c>
      <c r="O1234" t="s">
        <v>675</v>
      </c>
      <c r="Q1234" t="s">
        <v>590</v>
      </c>
    </row>
    <row r="1235" spans="1:17" s="7" customFormat="1" x14ac:dyDescent="0.3">
      <c r="A1235" s="7">
        <v>32490</v>
      </c>
      <c r="B1235" s="7" t="s">
        <v>15</v>
      </c>
      <c r="C1235" s="7" t="s">
        <v>590</v>
      </c>
      <c r="D1235" s="7" t="s">
        <v>17</v>
      </c>
      <c r="E1235" s="8">
        <v>15613.97</v>
      </c>
      <c r="F1235" s="7" t="s">
        <v>642</v>
      </c>
      <c r="G1235" s="4" t="str">
        <f t="shared" si="116"/>
        <v>15613.97</v>
      </c>
      <c r="H1235" t="str">
        <f t="shared" si="117"/>
        <v>15613.97</v>
      </c>
      <c r="I1235" s="1">
        <v>45716</v>
      </c>
      <c r="J1235" s="2">
        <f t="shared" si="118"/>
        <v>0.98656578173943799</v>
      </c>
      <c r="K1235" s="3" t="str">
        <f t="shared" si="119"/>
        <v>Check!</v>
      </c>
      <c r="L1235" t="str">
        <f t="shared" si="120"/>
        <v/>
      </c>
      <c r="M1235" t="str">
        <f t="shared" si="121"/>
        <v>Check</v>
      </c>
      <c r="N1235" s="7">
        <v>7859.78</v>
      </c>
      <c r="O1235" s="7" t="s">
        <v>18</v>
      </c>
      <c r="Q1235" s="7" t="s">
        <v>16</v>
      </c>
    </row>
    <row r="1236" spans="1:17" x14ac:dyDescent="0.3">
      <c r="A1236">
        <v>32490</v>
      </c>
      <c r="B1236" t="s">
        <v>15</v>
      </c>
      <c r="C1236" t="s">
        <v>19</v>
      </c>
      <c r="D1236" t="s">
        <v>20</v>
      </c>
      <c r="E1236" s="6">
        <v>1906.63</v>
      </c>
      <c r="F1236" t="s">
        <v>642</v>
      </c>
      <c r="G1236" s="4" t="str">
        <f t="shared" si="116"/>
        <v>1906.63</v>
      </c>
      <c r="H1236" t="str">
        <f t="shared" si="117"/>
        <v>1906.63</v>
      </c>
      <c r="I1236" s="1">
        <v>45716</v>
      </c>
      <c r="J1236" s="2">
        <f t="shared" si="118"/>
        <v>0.54152079880341208</v>
      </c>
      <c r="K1236" s="3" t="str">
        <f t="shared" si="119"/>
        <v>Check!</v>
      </c>
      <c r="L1236" t="str">
        <f t="shared" si="120"/>
        <v/>
      </c>
      <c r="M1236" t="str">
        <f t="shared" si="121"/>
        <v/>
      </c>
      <c r="N1236">
        <v>1236.8499999999999</v>
      </c>
      <c r="O1236" t="s">
        <v>21</v>
      </c>
      <c r="Q1236" t="s">
        <v>19</v>
      </c>
    </row>
    <row r="1237" spans="1:17" x14ac:dyDescent="0.3">
      <c r="A1237">
        <v>32490</v>
      </c>
      <c r="B1237" t="s">
        <v>15</v>
      </c>
      <c r="C1237" t="s">
        <v>19</v>
      </c>
      <c r="D1237" t="s">
        <v>22</v>
      </c>
      <c r="E1237" s="6">
        <v>6345.03</v>
      </c>
      <c r="F1237" t="s">
        <v>642</v>
      </c>
      <c r="G1237" s="4" t="str">
        <f t="shared" si="116"/>
        <v>6345.03</v>
      </c>
      <c r="H1237" t="str">
        <f t="shared" si="117"/>
        <v>6345.03</v>
      </c>
      <c r="I1237" s="1">
        <v>45716</v>
      </c>
      <c r="J1237" s="2">
        <f t="shared" si="118"/>
        <v>0.46545966020897411</v>
      </c>
      <c r="K1237" s="3" t="str">
        <f t="shared" si="119"/>
        <v>Check!</v>
      </c>
      <c r="L1237" t="str">
        <f t="shared" si="120"/>
        <v/>
      </c>
      <c r="M1237" t="str">
        <f t="shared" si="121"/>
        <v/>
      </c>
      <c r="N1237">
        <v>4329.72</v>
      </c>
      <c r="O1237" t="s">
        <v>23</v>
      </c>
      <c r="Q1237" t="s">
        <v>19</v>
      </c>
    </row>
    <row r="1238" spans="1:17" x14ac:dyDescent="0.3">
      <c r="A1238">
        <v>33672</v>
      </c>
      <c r="B1238" t="s">
        <v>24</v>
      </c>
      <c r="C1238" t="s">
        <v>19</v>
      </c>
      <c r="D1238" t="s">
        <v>25</v>
      </c>
      <c r="E1238" s="6">
        <v>27368.01</v>
      </c>
      <c r="F1238" t="s">
        <v>642</v>
      </c>
      <c r="G1238" s="4" t="str">
        <f t="shared" si="116"/>
        <v>27368.01</v>
      </c>
      <c r="H1238" t="str">
        <f t="shared" si="117"/>
        <v>27368.01</v>
      </c>
      <c r="I1238" s="1">
        <v>45716</v>
      </c>
      <c r="J1238" s="2">
        <f t="shared" si="118"/>
        <v>0.64324467452743506</v>
      </c>
      <c r="K1238" s="3" t="str">
        <f t="shared" si="119"/>
        <v>Check!</v>
      </c>
      <c r="L1238" t="str">
        <f t="shared" si="120"/>
        <v/>
      </c>
      <c r="M1238" t="str">
        <f t="shared" si="121"/>
        <v/>
      </c>
      <c r="N1238">
        <v>16654.86</v>
      </c>
      <c r="O1238" t="s">
        <v>26</v>
      </c>
      <c r="Q1238" t="s">
        <v>19</v>
      </c>
    </row>
    <row r="1239" spans="1:17" x14ac:dyDescent="0.3">
      <c r="A1239">
        <v>34171</v>
      </c>
      <c r="B1239" t="s">
        <v>27</v>
      </c>
      <c r="C1239" t="s">
        <v>19</v>
      </c>
      <c r="D1239" t="s">
        <v>28</v>
      </c>
      <c r="E1239" s="6">
        <v>7973.78</v>
      </c>
      <c r="F1239" t="s">
        <v>642</v>
      </c>
      <c r="G1239" s="4" t="str">
        <f t="shared" si="116"/>
        <v>7973.78</v>
      </c>
      <c r="H1239" t="str">
        <f t="shared" si="117"/>
        <v>7973.78</v>
      </c>
      <c r="I1239" s="1">
        <v>45716</v>
      </c>
      <c r="J1239" s="2">
        <f t="shared" si="118"/>
        <v>0.99979434705188963</v>
      </c>
      <c r="K1239" s="3" t="str">
        <f t="shared" si="119"/>
        <v>Check!</v>
      </c>
      <c r="L1239" t="str">
        <f t="shared" si="120"/>
        <v/>
      </c>
      <c r="M1239" t="str">
        <f t="shared" si="121"/>
        <v/>
      </c>
      <c r="N1239">
        <v>3987.3</v>
      </c>
      <c r="O1239" t="s">
        <v>29</v>
      </c>
      <c r="Q1239" t="s">
        <v>19</v>
      </c>
    </row>
    <row r="1240" spans="1:17" x14ac:dyDescent="0.3">
      <c r="A1240">
        <v>34173</v>
      </c>
      <c r="B1240" t="s">
        <v>30</v>
      </c>
      <c r="C1240" t="s">
        <v>19</v>
      </c>
      <c r="D1240" t="s">
        <v>31</v>
      </c>
      <c r="E1240" s="6">
        <v>9460.7800000000007</v>
      </c>
      <c r="F1240" t="s">
        <v>642</v>
      </c>
      <c r="G1240" s="4" t="str">
        <f t="shared" si="116"/>
        <v>9460.78</v>
      </c>
      <c r="H1240" t="str">
        <f t="shared" si="117"/>
        <v>9460.78</v>
      </c>
      <c r="I1240" s="1">
        <v>45716</v>
      </c>
      <c r="J1240" s="2">
        <f t="shared" si="118"/>
        <v>0.97401031157997531</v>
      </c>
      <c r="K1240" s="3" t="str">
        <f t="shared" si="119"/>
        <v>Check!</v>
      </c>
      <c r="L1240" t="str">
        <f t="shared" si="120"/>
        <v/>
      </c>
      <c r="M1240" t="str">
        <f t="shared" si="121"/>
        <v/>
      </c>
      <c r="N1240">
        <v>4792.67</v>
      </c>
      <c r="O1240" t="s">
        <v>32</v>
      </c>
      <c r="Q1240" t="s">
        <v>19</v>
      </c>
    </row>
    <row r="1241" spans="1:17" x14ac:dyDescent="0.3">
      <c r="A1241">
        <v>34196</v>
      </c>
      <c r="B1241" t="s">
        <v>33</v>
      </c>
      <c r="C1241" t="s">
        <v>590</v>
      </c>
      <c r="D1241" t="s">
        <v>34</v>
      </c>
      <c r="E1241" s="6">
        <v>218493.87</v>
      </c>
      <c r="F1241" t="s">
        <v>642</v>
      </c>
      <c r="G1241" s="4" t="str">
        <f t="shared" si="116"/>
        <v>218493.87</v>
      </c>
      <c r="H1241" t="str">
        <f t="shared" si="117"/>
        <v>218493.87</v>
      </c>
      <c r="I1241" s="1">
        <v>45716</v>
      </c>
      <c r="J1241" s="2">
        <f t="shared" si="118"/>
        <v>0.98531128282692992</v>
      </c>
      <c r="K1241" s="3" t="str">
        <f t="shared" si="119"/>
        <v>Check!</v>
      </c>
      <c r="L1241" t="str">
        <f t="shared" si="120"/>
        <v/>
      </c>
      <c r="M1241" t="str">
        <f t="shared" si="121"/>
        <v>Check</v>
      </c>
      <c r="N1241">
        <v>110055.22</v>
      </c>
      <c r="O1241" t="s">
        <v>35</v>
      </c>
      <c r="Q1241" t="s">
        <v>16</v>
      </c>
    </row>
    <row r="1242" spans="1:17" x14ac:dyDescent="0.3">
      <c r="A1242">
        <v>34199</v>
      </c>
      <c r="B1242" t="s">
        <v>36</v>
      </c>
      <c r="C1242" t="s">
        <v>590</v>
      </c>
      <c r="D1242" t="s">
        <v>37</v>
      </c>
      <c r="E1242" s="6">
        <v>9487.3799999999992</v>
      </c>
      <c r="F1242" t="s">
        <v>642</v>
      </c>
      <c r="G1242" s="4" t="str">
        <f t="shared" si="116"/>
        <v>9487.38</v>
      </c>
      <c r="H1242" t="str">
        <f t="shared" si="117"/>
        <v>9487.38</v>
      </c>
      <c r="I1242" s="1">
        <v>45716</v>
      </c>
      <c r="J1242" s="2">
        <f t="shared" si="118"/>
        <v>0.59648440852344131</v>
      </c>
      <c r="K1242" s="3" t="str">
        <f t="shared" si="119"/>
        <v>Check!</v>
      </c>
      <c r="L1242" t="str">
        <f t="shared" si="120"/>
        <v/>
      </c>
      <c r="M1242" t="str">
        <f t="shared" si="121"/>
        <v>Check</v>
      </c>
      <c r="N1242">
        <v>5942.67</v>
      </c>
      <c r="O1242" t="s">
        <v>38</v>
      </c>
      <c r="Q1242" t="s">
        <v>16</v>
      </c>
    </row>
    <row r="1243" spans="1:17" x14ac:dyDescent="0.3">
      <c r="A1243">
        <v>34199</v>
      </c>
      <c r="B1243" t="s">
        <v>36</v>
      </c>
      <c r="C1243" t="s">
        <v>19</v>
      </c>
      <c r="D1243" t="s">
        <v>39</v>
      </c>
      <c r="E1243" s="6">
        <v>7334.71</v>
      </c>
      <c r="F1243" t="s">
        <v>642</v>
      </c>
      <c r="G1243" s="4" t="str">
        <f t="shared" si="116"/>
        <v>7334.71</v>
      </c>
      <c r="H1243" t="str">
        <f t="shared" si="117"/>
        <v>7334.71</v>
      </c>
      <c r="I1243" s="1">
        <v>45716</v>
      </c>
      <c r="J1243" s="2">
        <f t="shared" si="118"/>
        <v>0.98381242426865145</v>
      </c>
      <c r="K1243" s="3" t="str">
        <f t="shared" si="119"/>
        <v>Check!</v>
      </c>
      <c r="L1243" t="str">
        <f t="shared" si="120"/>
        <v/>
      </c>
      <c r="M1243" t="str">
        <f t="shared" si="121"/>
        <v/>
      </c>
      <c r="N1243">
        <v>3697.28</v>
      </c>
      <c r="O1243" t="s">
        <v>40</v>
      </c>
      <c r="Q1243" t="s">
        <v>19</v>
      </c>
    </row>
    <row r="1244" spans="1:17" x14ac:dyDescent="0.3">
      <c r="A1244">
        <v>34202</v>
      </c>
      <c r="B1244" t="s">
        <v>46</v>
      </c>
      <c r="C1244" t="s">
        <v>19</v>
      </c>
      <c r="D1244" t="s">
        <v>49</v>
      </c>
      <c r="E1244" s="6">
        <v>18015.759999999998</v>
      </c>
      <c r="F1244" t="s">
        <v>642</v>
      </c>
      <c r="G1244" s="4" t="str">
        <f t="shared" si="116"/>
        <v>18015.76</v>
      </c>
      <c r="H1244" t="str">
        <f t="shared" si="117"/>
        <v>18015.76</v>
      </c>
      <c r="I1244" s="1">
        <v>45716</v>
      </c>
      <c r="J1244" s="2">
        <f t="shared" si="118"/>
        <v>-0.16320350180961513</v>
      </c>
      <c r="K1244" s="3" t="str">
        <f t="shared" si="119"/>
        <v>Check!</v>
      </c>
      <c r="L1244" t="str">
        <f t="shared" si="120"/>
        <v/>
      </c>
      <c r="M1244" t="str">
        <f t="shared" si="121"/>
        <v/>
      </c>
      <c r="N1244">
        <v>21529.439999999999</v>
      </c>
      <c r="O1244" t="s">
        <v>50</v>
      </c>
      <c r="Q1244" t="s">
        <v>19</v>
      </c>
    </row>
    <row r="1245" spans="1:17" x14ac:dyDescent="0.3">
      <c r="A1245">
        <v>34202</v>
      </c>
      <c r="B1245" t="s">
        <v>46</v>
      </c>
      <c r="C1245" t="s">
        <v>19</v>
      </c>
      <c r="D1245" t="s">
        <v>47</v>
      </c>
      <c r="E1245" s="6">
        <v>4064.94</v>
      </c>
      <c r="F1245" t="s">
        <v>642</v>
      </c>
      <c r="G1245" s="4" t="str">
        <f t="shared" si="116"/>
        <v>4064.94</v>
      </c>
      <c r="H1245" t="str">
        <f t="shared" si="117"/>
        <v>4064.94</v>
      </c>
      <c r="I1245" s="1">
        <v>45716</v>
      </c>
      <c r="J1245" s="2">
        <f t="shared" si="118"/>
        <v>-7.8194731686078184E-2</v>
      </c>
      <c r="K1245" s="3" t="str">
        <f t="shared" si="119"/>
        <v/>
      </c>
      <c r="L1245" t="str">
        <f t="shared" si="120"/>
        <v/>
      </c>
      <c r="M1245" t="str">
        <f t="shared" si="121"/>
        <v/>
      </c>
      <c r="N1245">
        <v>4409.76</v>
      </c>
      <c r="O1245" t="s">
        <v>48</v>
      </c>
      <c r="Q1245" t="s">
        <v>19</v>
      </c>
    </row>
    <row r="1246" spans="1:17" x14ac:dyDescent="0.3">
      <c r="A1246">
        <v>34209</v>
      </c>
      <c r="B1246" t="s">
        <v>51</v>
      </c>
      <c r="C1246" t="s">
        <v>19</v>
      </c>
      <c r="D1246" t="s">
        <v>54</v>
      </c>
      <c r="E1246" s="6">
        <v>81676.679999999993</v>
      </c>
      <c r="F1246" t="s">
        <v>642</v>
      </c>
      <c r="G1246" s="4" t="str">
        <f t="shared" si="116"/>
        <v>81676.68</v>
      </c>
      <c r="H1246" t="str">
        <f t="shared" si="117"/>
        <v>81676.68</v>
      </c>
      <c r="I1246" s="1">
        <v>45716</v>
      </c>
      <c r="J1246" s="2">
        <f t="shared" si="118"/>
        <v>0.91324953390756569</v>
      </c>
      <c r="K1246" s="3" t="str">
        <f t="shared" si="119"/>
        <v>Check!</v>
      </c>
      <c r="L1246" t="str">
        <f t="shared" si="120"/>
        <v/>
      </c>
      <c r="M1246" t="str">
        <f t="shared" si="121"/>
        <v/>
      </c>
      <c r="N1246">
        <v>42690.03</v>
      </c>
      <c r="O1246" t="s">
        <v>55</v>
      </c>
      <c r="Q1246" t="s">
        <v>19</v>
      </c>
    </row>
    <row r="1247" spans="1:17" x14ac:dyDescent="0.3">
      <c r="A1247">
        <v>34209</v>
      </c>
      <c r="B1247" t="s">
        <v>51</v>
      </c>
      <c r="C1247" t="s">
        <v>19</v>
      </c>
      <c r="D1247" t="s">
        <v>52</v>
      </c>
      <c r="E1247" s="6">
        <v>64702.95</v>
      </c>
      <c r="F1247" t="s">
        <v>642</v>
      </c>
      <c r="G1247" s="4" t="str">
        <f t="shared" si="116"/>
        <v>64702.95</v>
      </c>
      <c r="H1247" t="str">
        <f t="shared" si="117"/>
        <v>64702.95</v>
      </c>
      <c r="I1247" s="1">
        <v>45716</v>
      </c>
      <c r="J1247" s="2">
        <f t="shared" si="118"/>
        <v>0.95728148114984901</v>
      </c>
      <c r="K1247" s="3" t="str">
        <f t="shared" si="119"/>
        <v>Check!</v>
      </c>
      <c r="L1247" t="str">
        <f t="shared" si="120"/>
        <v/>
      </c>
      <c r="M1247" t="str">
        <f t="shared" si="121"/>
        <v/>
      </c>
      <c r="N1247">
        <v>33057.56</v>
      </c>
      <c r="O1247" t="s">
        <v>53</v>
      </c>
      <c r="Q1247" t="s">
        <v>19</v>
      </c>
    </row>
    <row r="1248" spans="1:17" x14ac:dyDescent="0.3">
      <c r="A1248">
        <v>34216</v>
      </c>
      <c r="B1248" t="s">
        <v>59</v>
      </c>
      <c r="C1248" t="s">
        <v>19</v>
      </c>
      <c r="D1248" t="s">
        <v>60</v>
      </c>
      <c r="E1248" s="6">
        <v>4772.0600000000004</v>
      </c>
      <c r="F1248" t="s">
        <v>642</v>
      </c>
      <c r="G1248" s="4" t="str">
        <f t="shared" si="116"/>
        <v>4772.06</v>
      </c>
      <c r="H1248" t="str">
        <f t="shared" si="117"/>
        <v>4772.06</v>
      </c>
      <c r="I1248" s="1">
        <v>45716</v>
      </c>
      <c r="J1248" s="2">
        <f t="shared" si="118"/>
        <v>0.96731624664525684</v>
      </c>
      <c r="K1248" s="3" t="str">
        <f t="shared" si="119"/>
        <v>Check!</v>
      </c>
      <c r="L1248" t="str">
        <f t="shared" si="120"/>
        <v/>
      </c>
      <c r="M1248" t="str">
        <f t="shared" si="121"/>
        <v/>
      </c>
      <c r="N1248">
        <v>2425.67</v>
      </c>
      <c r="O1248" t="s">
        <v>61</v>
      </c>
      <c r="Q1248" t="s">
        <v>19</v>
      </c>
    </row>
    <row r="1249" spans="1:17" x14ac:dyDescent="0.3">
      <c r="A1249">
        <v>34216</v>
      </c>
      <c r="B1249" t="s">
        <v>59</v>
      </c>
      <c r="C1249" t="s">
        <v>590</v>
      </c>
      <c r="D1249" t="s">
        <v>62</v>
      </c>
      <c r="E1249" s="6">
        <v>15165.78</v>
      </c>
      <c r="F1249" t="s">
        <v>642</v>
      </c>
      <c r="G1249" s="4" t="str">
        <f t="shared" si="116"/>
        <v>15165.78</v>
      </c>
      <c r="H1249" t="str">
        <f t="shared" si="117"/>
        <v>15165.78</v>
      </c>
      <c r="I1249" s="1">
        <v>45716</v>
      </c>
      <c r="J1249" s="2">
        <f t="shared" si="118"/>
        <v>0.98336232263126933</v>
      </c>
      <c r="K1249" s="3" t="str">
        <f t="shared" si="119"/>
        <v>Check!</v>
      </c>
      <c r="L1249" t="str">
        <f t="shared" si="120"/>
        <v/>
      </c>
      <c r="M1249" t="str">
        <f t="shared" si="121"/>
        <v>Check</v>
      </c>
      <c r="N1249">
        <v>7646.5</v>
      </c>
      <c r="O1249" t="s">
        <v>63</v>
      </c>
      <c r="Q1249" t="s">
        <v>16</v>
      </c>
    </row>
    <row r="1250" spans="1:17" x14ac:dyDescent="0.3">
      <c r="A1250">
        <v>34337</v>
      </c>
      <c r="B1250" t="s">
        <v>64</v>
      </c>
      <c r="C1250" t="s">
        <v>590</v>
      </c>
      <c r="D1250" t="s">
        <v>65</v>
      </c>
      <c r="E1250" s="6">
        <v>3640.26</v>
      </c>
      <c r="F1250" t="s">
        <v>642</v>
      </c>
      <c r="G1250" s="4" t="str">
        <f t="shared" si="116"/>
        <v>3640.26</v>
      </c>
      <c r="H1250" t="str">
        <f t="shared" si="117"/>
        <v>3640.26</v>
      </c>
      <c r="I1250" s="1">
        <v>45716</v>
      </c>
      <c r="J1250" s="2">
        <f t="shared" si="118"/>
        <v>0.18077166350411147</v>
      </c>
      <c r="K1250" s="3" t="str">
        <f t="shared" si="119"/>
        <v>Check!</v>
      </c>
      <c r="L1250" t="str">
        <f t="shared" si="120"/>
        <v/>
      </c>
      <c r="M1250" t="str">
        <f t="shared" si="121"/>
        <v>Check</v>
      </c>
      <c r="N1250">
        <v>3082.95</v>
      </c>
      <c r="O1250" t="s">
        <v>66</v>
      </c>
      <c r="Q1250" t="s">
        <v>16</v>
      </c>
    </row>
    <row r="1251" spans="1:17" x14ac:dyDescent="0.3">
      <c r="A1251">
        <v>34337</v>
      </c>
      <c r="B1251" t="s">
        <v>64</v>
      </c>
      <c r="C1251" t="s">
        <v>19</v>
      </c>
      <c r="D1251" t="s">
        <v>67</v>
      </c>
      <c r="E1251" s="6">
        <v>62490.37</v>
      </c>
      <c r="F1251" t="s">
        <v>642</v>
      </c>
      <c r="G1251" s="4" t="str">
        <f t="shared" si="116"/>
        <v>62490.37</v>
      </c>
      <c r="H1251" t="str">
        <f t="shared" si="117"/>
        <v>62490.37</v>
      </c>
      <c r="I1251" s="1">
        <v>45716</v>
      </c>
      <c r="J1251" s="2">
        <f t="shared" si="118"/>
        <v>0.88272945648221202</v>
      </c>
      <c r="K1251" s="3" t="str">
        <f t="shared" si="119"/>
        <v>Check!</v>
      </c>
      <c r="L1251" t="str">
        <f t="shared" si="120"/>
        <v/>
      </c>
      <c r="M1251" t="str">
        <f t="shared" si="121"/>
        <v/>
      </c>
      <c r="N1251">
        <v>33191.370000000003</v>
      </c>
      <c r="O1251" t="s">
        <v>68</v>
      </c>
      <c r="Q1251" t="s">
        <v>19</v>
      </c>
    </row>
    <row r="1252" spans="1:17" x14ac:dyDescent="0.3">
      <c r="A1252">
        <v>34395</v>
      </c>
      <c r="B1252" t="s">
        <v>69</v>
      </c>
      <c r="C1252" t="s">
        <v>19</v>
      </c>
      <c r="D1252" t="s">
        <v>74</v>
      </c>
      <c r="E1252" s="6">
        <v>13734.33</v>
      </c>
      <c r="F1252" t="s">
        <v>642</v>
      </c>
      <c r="G1252" s="4" t="str">
        <f t="shared" si="116"/>
        <v>13734.33</v>
      </c>
      <c r="H1252" t="str">
        <f t="shared" si="117"/>
        <v>13734.33</v>
      </c>
      <c r="I1252" s="1">
        <v>45716</v>
      </c>
      <c r="J1252" s="2">
        <f t="shared" si="118"/>
        <v>0.80396089541770255</v>
      </c>
      <c r="K1252" s="3" t="str">
        <f t="shared" si="119"/>
        <v>Check!</v>
      </c>
      <c r="L1252" t="str">
        <f t="shared" si="120"/>
        <v/>
      </c>
      <c r="M1252" t="str">
        <f t="shared" si="121"/>
        <v/>
      </c>
      <c r="N1252">
        <v>7613.43</v>
      </c>
      <c r="O1252" t="s">
        <v>75</v>
      </c>
      <c r="Q1252" t="s">
        <v>19</v>
      </c>
    </row>
    <row r="1253" spans="1:17" x14ac:dyDescent="0.3">
      <c r="A1253">
        <v>34395</v>
      </c>
      <c r="B1253" t="s">
        <v>69</v>
      </c>
      <c r="C1253" t="s">
        <v>19</v>
      </c>
      <c r="D1253" t="s">
        <v>72</v>
      </c>
      <c r="E1253" s="6">
        <v>8599.1299999999992</v>
      </c>
      <c r="F1253" t="s">
        <v>642</v>
      </c>
      <c r="G1253" s="4" t="str">
        <f t="shared" si="116"/>
        <v>8599.13</v>
      </c>
      <c r="H1253" t="str">
        <f t="shared" si="117"/>
        <v>8599.13</v>
      </c>
      <c r="I1253" s="1">
        <v>45716</v>
      </c>
      <c r="J1253" s="2">
        <f t="shared" si="118"/>
        <v>0.82101237354860135</v>
      </c>
      <c r="K1253" s="3" t="str">
        <f t="shared" si="119"/>
        <v>Check!</v>
      </c>
      <c r="L1253" t="str">
        <f t="shared" si="120"/>
        <v/>
      </c>
      <c r="M1253" t="str">
        <f t="shared" si="121"/>
        <v/>
      </c>
      <c r="N1253">
        <v>4722.17</v>
      </c>
      <c r="O1253" t="s">
        <v>73</v>
      </c>
      <c r="Q1253" t="s">
        <v>19</v>
      </c>
    </row>
    <row r="1254" spans="1:17" x14ac:dyDescent="0.3">
      <c r="A1254">
        <v>34395</v>
      </c>
      <c r="B1254" t="s">
        <v>69</v>
      </c>
      <c r="C1254" t="s">
        <v>19</v>
      </c>
      <c r="D1254" t="s">
        <v>70</v>
      </c>
      <c r="E1254" s="6">
        <v>152674.35</v>
      </c>
      <c r="F1254" t="s">
        <v>642</v>
      </c>
      <c r="G1254" s="4" t="str">
        <f t="shared" si="116"/>
        <v>152674.35</v>
      </c>
      <c r="H1254" t="str">
        <f t="shared" si="117"/>
        <v>152674.35</v>
      </c>
      <c r="I1254" s="1">
        <v>45716</v>
      </c>
      <c r="J1254" s="2">
        <f t="shared" si="118"/>
        <v>0.85421356113265223</v>
      </c>
      <c r="K1254" s="3" t="str">
        <f t="shared" si="119"/>
        <v>Check!</v>
      </c>
      <c r="L1254" t="str">
        <f t="shared" si="120"/>
        <v/>
      </c>
      <c r="M1254" t="str">
        <f t="shared" si="121"/>
        <v/>
      </c>
      <c r="N1254">
        <v>82339.14</v>
      </c>
      <c r="O1254" t="s">
        <v>71</v>
      </c>
      <c r="Q1254" t="s">
        <v>19</v>
      </c>
    </row>
    <row r="1255" spans="1:17" x14ac:dyDescent="0.3">
      <c r="A1255">
        <v>36048</v>
      </c>
      <c r="B1255" t="s">
        <v>76</v>
      </c>
      <c r="C1255" t="s">
        <v>19</v>
      </c>
      <c r="D1255" t="s">
        <v>77</v>
      </c>
      <c r="E1255" s="6">
        <v>1874.89</v>
      </c>
      <c r="F1255" t="s">
        <v>642</v>
      </c>
      <c r="G1255" s="4" t="str">
        <f t="shared" si="116"/>
        <v>1874.89</v>
      </c>
      <c r="H1255" t="str">
        <f t="shared" si="117"/>
        <v>1874.89</v>
      </c>
      <c r="I1255" s="1">
        <v>45716</v>
      </c>
      <c r="J1255" s="2">
        <f t="shared" si="118"/>
        <v>0.58127825382902643</v>
      </c>
      <c r="K1255" s="3" t="str">
        <f t="shared" si="119"/>
        <v>Check!</v>
      </c>
      <c r="L1255" t="str">
        <f t="shared" si="120"/>
        <v/>
      </c>
      <c r="M1255" t="str">
        <f t="shared" si="121"/>
        <v/>
      </c>
      <c r="N1255">
        <v>1185.68</v>
      </c>
      <c r="O1255" t="s">
        <v>78</v>
      </c>
      <c r="Q1255" t="s">
        <v>19</v>
      </c>
    </row>
    <row r="1256" spans="1:17" x14ac:dyDescent="0.3">
      <c r="A1256">
        <v>36048</v>
      </c>
      <c r="B1256" t="s">
        <v>76</v>
      </c>
      <c r="C1256" t="s">
        <v>19</v>
      </c>
      <c r="D1256" t="s">
        <v>79</v>
      </c>
      <c r="E1256" s="6">
        <v>5052.2700000000004</v>
      </c>
      <c r="F1256" t="s">
        <v>642</v>
      </c>
      <c r="G1256" s="4" t="str">
        <f t="shared" si="116"/>
        <v>5052.27</v>
      </c>
      <c r="H1256" t="str">
        <f t="shared" si="117"/>
        <v>5052.27</v>
      </c>
      <c r="I1256" s="1">
        <v>45716</v>
      </c>
      <c r="J1256" s="2">
        <f t="shared" si="118"/>
        <v>0.49686688018298025</v>
      </c>
      <c r="K1256" s="3" t="str">
        <f t="shared" si="119"/>
        <v>Check!</v>
      </c>
      <c r="L1256" t="str">
        <f t="shared" si="120"/>
        <v/>
      </c>
      <c r="M1256" t="str">
        <f t="shared" si="121"/>
        <v/>
      </c>
      <c r="N1256">
        <v>3375.23</v>
      </c>
      <c r="O1256" t="s">
        <v>80</v>
      </c>
      <c r="Q1256" t="s">
        <v>19</v>
      </c>
    </row>
    <row r="1257" spans="1:17" x14ac:dyDescent="0.3">
      <c r="A1257">
        <v>36059</v>
      </c>
      <c r="B1257" t="s">
        <v>81</v>
      </c>
      <c r="C1257" t="s">
        <v>19</v>
      </c>
      <c r="D1257" t="s">
        <v>82</v>
      </c>
      <c r="E1257" s="6">
        <v>22142.81</v>
      </c>
      <c r="F1257" t="s">
        <v>642</v>
      </c>
      <c r="G1257" s="4" t="str">
        <f t="shared" si="116"/>
        <v>22142.81</v>
      </c>
      <c r="H1257" t="str">
        <f t="shared" si="117"/>
        <v>22142.81</v>
      </c>
      <c r="I1257" s="1">
        <v>45716</v>
      </c>
      <c r="J1257" s="2">
        <f t="shared" si="118"/>
        <v>0.73446542319032204</v>
      </c>
      <c r="K1257" s="3" t="str">
        <f t="shared" si="119"/>
        <v>Check!</v>
      </c>
      <c r="L1257" t="str">
        <f t="shared" si="120"/>
        <v/>
      </c>
      <c r="M1257" t="str">
        <f t="shared" si="121"/>
        <v/>
      </c>
      <c r="N1257">
        <v>12766.36</v>
      </c>
      <c r="O1257" t="s">
        <v>83</v>
      </c>
      <c r="Q1257" t="s">
        <v>19</v>
      </c>
    </row>
    <row r="1258" spans="1:17" x14ac:dyDescent="0.3">
      <c r="A1258">
        <v>36059</v>
      </c>
      <c r="B1258" t="s">
        <v>81</v>
      </c>
      <c r="C1258" t="s">
        <v>19</v>
      </c>
      <c r="D1258" t="s">
        <v>84</v>
      </c>
      <c r="E1258" s="6">
        <v>14549.46</v>
      </c>
      <c r="F1258" t="s">
        <v>642</v>
      </c>
      <c r="G1258" s="4" t="str">
        <f t="shared" si="116"/>
        <v>14549.46</v>
      </c>
      <c r="H1258" t="str">
        <f t="shared" si="117"/>
        <v>14549.46</v>
      </c>
      <c r="I1258" s="1">
        <v>45716</v>
      </c>
      <c r="J1258" s="2">
        <f t="shared" si="118"/>
        <v>0.73601146406680851</v>
      </c>
      <c r="K1258" s="3" t="str">
        <f t="shared" si="119"/>
        <v>Check!</v>
      </c>
      <c r="L1258" t="str">
        <f t="shared" si="120"/>
        <v/>
      </c>
      <c r="M1258" t="str">
        <f t="shared" si="121"/>
        <v/>
      </c>
      <c r="N1258">
        <v>8380.9699999999993</v>
      </c>
      <c r="O1258" t="s">
        <v>85</v>
      </c>
      <c r="Q1258" t="s">
        <v>19</v>
      </c>
    </row>
    <row r="1259" spans="1:17" x14ac:dyDescent="0.3">
      <c r="A1259">
        <v>36060</v>
      </c>
      <c r="B1259" t="s">
        <v>86</v>
      </c>
      <c r="C1259" t="s">
        <v>19</v>
      </c>
      <c r="D1259" t="s">
        <v>87</v>
      </c>
      <c r="E1259" s="6">
        <v>2647.64</v>
      </c>
      <c r="F1259" t="s">
        <v>642</v>
      </c>
      <c r="G1259" s="4" t="str">
        <f t="shared" si="116"/>
        <v>2647.64</v>
      </c>
      <c r="H1259" t="str">
        <f t="shared" si="117"/>
        <v>2647.64</v>
      </c>
      <c r="I1259" s="1">
        <v>45716</v>
      </c>
      <c r="J1259" s="2">
        <f t="shared" si="118"/>
        <v>-0.21229322860883018</v>
      </c>
      <c r="K1259" s="3" t="str">
        <f t="shared" si="119"/>
        <v>Check!</v>
      </c>
      <c r="L1259" t="str">
        <f t="shared" si="120"/>
        <v/>
      </c>
      <c r="M1259" t="str">
        <f t="shared" si="121"/>
        <v/>
      </c>
      <c r="N1259">
        <v>3361.2</v>
      </c>
      <c r="O1259" t="s">
        <v>88</v>
      </c>
      <c r="Q1259" t="s">
        <v>19</v>
      </c>
    </row>
    <row r="1260" spans="1:17" x14ac:dyDescent="0.3">
      <c r="A1260">
        <v>36060</v>
      </c>
      <c r="B1260" t="s">
        <v>86</v>
      </c>
      <c r="C1260" t="s">
        <v>19</v>
      </c>
      <c r="D1260" t="s">
        <v>89</v>
      </c>
      <c r="E1260" s="6">
        <v>1728.88</v>
      </c>
      <c r="F1260" t="s">
        <v>642</v>
      </c>
      <c r="G1260" s="4" t="str">
        <f t="shared" si="116"/>
        <v>1728.88</v>
      </c>
      <c r="H1260" t="str">
        <f t="shared" si="117"/>
        <v>1728.88</v>
      </c>
      <c r="I1260" s="1">
        <v>45716</v>
      </c>
      <c r="J1260" s="2">
        <f t="shared" si="118"/>
        <v>0.96488197388309915</v>
      </c>
      <c r="K1260" s="3" t="str">
        <f t="shared" si="119"/>
        <v>Check!</v>
      </c>
      <c r="L1260" t="str">
        <f t="shared" si="120"/>
        <v/>
      </c>
      <c r="M1260" t="str">
        <f t="shared" si="121"/>
        <v/>
      </c>
      <c r="N1260">
        <v>879.89</v>
      </c>
      <c r="O1260" t="s">
        <v>90</v>
      </c>
      <c r="Q1260" t="s">
        <v>19</v>
      </c>
    </row>
    <row r="1261" spans="1:17" x14ac:dyDescent="0.3">
      <c r="A1261">
        <v>36355</v>
      </c>
      <c r="B1261" t="s">
        <v>94</v>
      </c>
      <c r="C1261" t="s">
        <v>19</v>
      </c>
      <c r="D1261" t="s">
        <v>95</v>
      </c>
      <c r="E1261" s="6">
        <v>629.38</v>
      </c>
      <c r="F1261" t="s">
        <v>642</v>
      </c>
      <c r="G1261" s="4" t="str">
        <f t="shared" si="116"/>
        <v>629.38</v>
      </c>
      <c r="H1261" t="str">
        <f t="shared" si="117"/>
        <v>629.38</v>
      </c>
      <c r="I1261" s="1">
        <v>45716</v>
      </c>
      <c r="J1261" s="2">
        <f t="shared" si="118"/>
        <v>0.92818847461781184</v>
      </c>
      <c r="K1261" s="3" t="str">
        <f t="shared" si="119"/>
        <v>Check!</v>
      </c>
      <c r="L1261" t="str">
        <f t="shared" si="120"/>
        <v/>
      </c>
      <c r="M1261" t="str">
        <f t="shared" si="121"/>
        <v/>
      </c>
      <c r="N1261">
        <v>326.41000000000003</v>
      </c>
      <c r="O1261" t="s">
        <v>96</v>
      </c>
      <c r="Q1261" t="s">
        <v>19</v>
      </c>
    </row>
    <row r="1262" spans="1:17" x14ac:dyDescent="0.3">
      <c r="A1262">
        <v>37040</v>
      </c>
      <c r="B1262" t="s">
        <v>596</v>
      </c>
      <c r="C1262" t="s">
        <v>19</v>
      </c>
      <c r="D1262" t="s">
        <v>97</v>
      </c>
      <c r="E1262" s="6">
        <v>1587.2</v>
      </c>
      <c r="F1262" t="s">
        <v>642</v>
      </c>
      <c r="G1262" s="4" t="str">
        <f t="shared" si="116"/>
        <v>1587.2</v>
      </c>
      <c r="H1262" t="str">
        <f t="shared" si="117"/>
        <v>1587.2</v>
      </c>
      <c r="I1262" s="1">
        <v>45716</v>
      </c>
      <c r="J1262" s="2">
        <f t="shared" si="118"/>
        <v>-0.14396971102505746</v>
      </c>
      <c r="K1262" s="3" t="str">
        <f t="shared" si="119"/>
        <v>Check!</v>
      </c>
      <c r="L1262" t="str">
        <f t="shared" si="120"/>
        <v/>
      </c>
      <c r="M1262" t="str">
        <f t="shared" si="121"/>
        <v/>
      </c>
      <c r="N1262">
        <v>1854.14</v>
      </c>
      <c r="O1262" t="s">
        <v>98</v>
      </c>
      <c r="Q1262" t="s">
        <v>19</v>
      </c>
    </row>
    <row r="1263" spans="1:17" x14ac:dyDescent="0.3">
      <c r="A1263">
        <v>37041</v>
      </c>
      <c r="B1263" t="s">
        <v>99</v>
      </c>
      <c r="C1263" t="s">
        <v>19</v>
      </c>
      <c r="D1263" t="s">
        <v>100</v>
      </c>
      <c r="E1263" s="6">
        <v>3275.49</v>
      </c>
      <c r="F1263" t="s">
        <v>642</v>
      </c>
      <c r="G1263" s="4" t="str">
        <f t="shared" si="116"/>
        <v>3275.49</v>
      </c>
      <c r="H1263" t="str">
        <f t="shared" si="117"/>
        <v>3275.49</v>
      </c>
      <c r="I1263" s="1">
        <v>45716</v>
      </c>
      <c r="J1263" s="2">
        <f t="shared" si="118"/>
        <v>0.85471934225352897</v>
      </c>
      <c r="K1263" s="3" t="str">
        <f t="shared" si="119"/>
        <v>Check!</v>
      </c>
      <c r="L1263" t="str">
        <f t="shared" si="120"/>
        <v/>
      </c>
      <c r="M1263" t="str">
        <f t="shared" si="121"/>
        <v/>
      </c>
      <c r="N1263">
        <v>1766.03</v>
      </c>
      <c r="O1263" t="s">
        <v>101</v>
      </c>
      <c r="Q1263" t="s">
        <v>19</v>
      </c>
    </row>
    <row r="1264" spans="1:17" x14ac:dyDescent="0.3">
      <c r="A1264">
        <v>38586</v>
      </c>
      <c r="B1264" t="s">
        <v>102</v>
      </c>
      <c r="C1264" t="s">
        <v>19</v>
      </c>
      <c r="D1264" t="s">
        <v>103</v>
      </c>
      <c r="E1264" s="6">
        <v>2828.41</v>
      </c>
      <c r="F1264" t="s">
        <v>642</v>
      </c>
      <c r="G1264" s="4" t="str">
        <f t="shared" si="116"/>
        <v>2828.41</v>
      </c>
      <c r="H1264" t="str">
        <f t="shared" si="117"/>
        <v>2828.41</v>
      </c>
      <c r="I1264" s="1">
        <v>45716</v>
      </c>
      <c r="J1264" s="2">
        <f t="shared" si="118"/>
        <v>0.9871919174886884</v>
      </c>
      <c r="K1264" s="3" t="str">
        <f t="shared" si="119"/>
        <v>Check!</v>
      </c>
      <c r="L1264" t="str">
        <f t="shared" si="120"/>
        <v/>
      </c>
      <c r="M1264" t="str">
        <f t="shared" si="121"/>
        <v/>
      </c>
      <c r="N1264">
        <v>1423.32</v>
      </c>
      <c r="O1264" t="s">
        <v>104</v>
      </c>
      <c r="Q1264" t="s">
        <v>19</v>
      </c>
    </row>
    <row r="1265" spans="1:17" x14ac:dyDescent="0.3">
      <c r="A1265">
        <v>38842</v>
      </c>
      <c r="B1265" t="s">
        <v>105</v>
      </c>
      <c r="C1265" t="s">
        <v>19</v>
      </c>
      <c r="D1265" t="s">
        <v>106</v>
      </c>
      <c r="E1265" s="6">
        <v>2204.96</v>
      </c>
      <c r="F1265" t="s">
        <v>642</v>
      </c>
      <c r="G1265" s="4" t="str">
        <f t="shared" si="116"/>
        <v>2204.96</v>
      </c>
      <c r="H1265" t="str">
        <f t="shared" si="117"/>
        <v>2204.96</v>
      </c>
      <c r="I1265" s="1">
        <v>45716</v>
      </c>
      <c r="J1265" s="2">
        <f t="shared" si="118"/>
        <v>0.97784415561116955</v>
      </c>
      <c r="K1265" s="3" t="str">
        <f t="shared" si="119"/>
        <v>Check!</v>
      </c>
      <c r="L1265" t="str">
        <f t="shared" si="120"/>
        <v/>
      </c>
      <c r="M1265" t="str">
        <f t="shared" si="121"/>
        <v/>
      </c>
      <c r="N1265">
        <v>1114.83</v>
      </c>
      <c r="O1265" t="s">
        <v>107</v>
      </c>
      <c r="Q1265" t="s">
        <v>19</v>
      </c>
    </row>
    <row r="1266" spans="1:17" x14ac:dyDescent="0.3">
      <c r="A1266">
        <v>38851</v>
      </c>
      <c r="B1266" t="s">
        <v>108</v>
      </c>
      <c r="C1266" t="s">
        <v>19</v>
      </c>
      <c r="D1266" t="s">
        <v>109</v>
      </c>
      <c r="E1266" s="6">
        <v>209.57</v>
      </c>
      <c r="F1266" t="s">
        <v>642</v>
      </c>
      <c r="G1266" s="4" t="str">
        <f t="shared" si="116"/>
        <v>209.57</v>
      </c>
      <c r="H1266" t="str">
        <f t="shared" si="117"/>
        <v>209.57</v>
      </c>
      <c r="I1266" s="1">
        <v>45716</v>
      </c>
      <c r="J1266" s="2">
        <f t="shared" si="118"/>
        <v>0.92125045837917119</v>
      </c>
      <c r="K1266" s="3" t="str">
        <f t="shared" si="119"/>
        <v>Check!</v>
      </c>
      <c r="L1266" t="str">
        <f t="shared" si="120"/>
        <v/>
      </c>
      <c r="M1266" t="str">
        <f t="shared" si="121"/>
        <v/>
      </c>
      <c r="N1266">
        <v>109.08</v>
      </c>
      <c r="O1266" t="s">
        <v>110</v>
      </c>
      <c r="Q1266" t="s">
        <v>19</v>
      </c>
    </row>
    <row r="1267" spans="1:17" x14ac:dyDescent="0.3">
      <c r="A1267">
        <v>38887</v>
      </c>
      <c r="B1267" t="s">
        <v>111</v>
      </c>
      <c r="C1267" t="s">
        <v>19</v>
      </c>
      <c r="D1267" t="s">
        <v>112</v>
      </c>
      <c r="E1267" s="6">
        <v>652.04</v>
      </c>
      <c r="F1267" t="s">
        <v>642</v>
      </c>
      <c r="G1267" s="4" t="str">
        <f t="shared" si="116"/>
        <v>652.04</v>
      </c>
      <c r="H1267" t="str">
        <f t="shared" si="117"/>
        <v>652.04</v>
      </c>
      <c r="I1267" s="1">
        <v>45716</v>
      </c>
      <c r="J1267" s="2">
        <f t="shared" si="118"/>
        <v>0.84452616690240445</v>
      </c>
      <c r="K1267" s="3" t="str">
        <f t="shared" si="119"/>
        <v>Check!</v>
      </c>
      <c r="L1267" t="str">
        <f t="shared" si="120"/>
        <v/>
      </c>
      <c r="M1267" t="str">
        <f t="shared" si="121"/>
        <v/>
      </c>
      <c r="N1267">
        <v>353.5</v>
      </c>
      <c r="O1267" t="s">
        <v>113</v>
      </c>
      <c r="Q1267" t="s">
        <v>19</v>
      </c>
    </row>
    <row r="1268" spans="1:17" x14ac:dyDescent="0.3">
      <c r="A1268">
        <v>46589</v>
      </c>
      <c r="B1268" t="s">
        <v>638</v>
      </c>
      <c r="C1268" t="s">
        <v>19</v>
      </c>
      <c r="D1268" t="s">
        <v>120</v>
      </c>
      <c r="E1268" s="6">
        <v>2770.19</v>
      </c>
      <c r="F1268" t="s">
        <v>642</v>
      </c>
      <c r="G1268" s="4" t="str">
        <f t="shared" si="116"/>
        <v>2770.19</v>
      </c>
      <c r="H1268" t="str">
        <f t="shared" si="117"/>
        <v>2770.19</v>
      </c>
      <c r="I1268" s="1">
        <v>45716</v>
      </c>
      <c r="J1268" s="2">
        <f t="shared" si="118"/>
        <v>0.98678199252676968</v>
      </c>
      <c r="K1268" s="3" t="str">
        <f t="shared" si="119"/>
        <v>Check!</v>
      </c>
      <c r="L1268" t="str">
        <f t="shared" si="120"/>
        <v/>
      </c>
      <c r="M1268" t="str">
        <f t="shared" si="121"/>
        <v/>
      </c>
      <c r="N1268">
        <v>1394.31</v>
      </c>
      <c r="O1268" t="s">
        <v>121</v>
      </c>
      <c r="Q1268" t="s">
        <v>19</v>
      </c>
    </row>
    <row r="1269" spans="1:17" x14ac:dyDescent="0.3">
      <c r="A1269">
        <v>46589</v>
      </c>
      <c r="B1269" t="s">
        <v>638</v>
      </c>
      <c r="C1269" t="s">
        <v>19</v>
      </c>
      <c r="D1269" t="s">
        <v>118</v>
      </c>
      <c r="E1269" s="6">
        <v>67213.289999999994</v>
      </c>
      <c r="F1269" t="s">
        <v>642</v>
      </c>
      <c r="G1269" s="4" t="str">
        <f t="shared" si="116"/>
        <v>67213.29</v>
      </c>
      <c r="H1269" t="str">
        <f t="shared" si="117"/>
        <v>67213.29</v>
      </c>
      <c r="I1269" s="1">
        <v>45716</v>
      </c>
      <c r="J1269" s="2">
        <f t="shared" si="118"/>
        <v>0.96488606791197851</v>
      </c>
      <c r="K1269" s="3" t="str">
        <f t="shared" si="119"/>
        <v>Check!</v>
      </c>
      <c r="L1269" t="str">
        <f t="shared" si="120"/>
        <v/>
      </c>
      <c r="M1269" t="str">
        <f t="shared" si="121"/>
        <v/>
      </c>
      <c r="N1269">
        <v>34207.22</v>
      </c>
      <c r="O1269" t="s">
        <v>119</v>
      </c>
      <c r="Q1269" t="s">
        <v>19</v>
      </c>
    </row>
    <row r="1270" spans="1:17" x14ac:dyDescent="0.3">
      <c r="A1270">
        <v>54985</v>
      </c>
      <c r="B1270" t="s">
        <v>122</v>
      </c>
      <c r="C1270" t="s">
        <v>19</v>
      </c>
      <c r="D1270" t="s">
        <v>123</v>
      </c>
      <c r="E1270" s="6">
        <v>822.45</v>
      </c>
      <c r="F1270" t="s">
        <v>642</v>
      </c>
      <c r="G1270" s="4" t="str">
        <f t="shared" si="116"/>
        <v>822.45</v>
      </c>
      <c r="H1270" t="str">
        <f t="shared" si="117"/>
        <v>822.45</v>
      </c>
      <c r="I1270" s="1">
        <v>45716</v>
      </c>
      <c r="J1270" s="2">
        <f t="shared" si="118"/>
        <v>0.38782018831629045</v>
      </c>
      <c r="K1270" s="3" t="str">
        <f t="shared" si="119"/>
        <v>Check!</v>
      </c>
      <c r="L1270" t="str">
        <f t="shared" si="120"/>
        <v/>
      </c>
      <c r="M1270" t="str">
        <f t="shared" si="121"/>
        <v/>
      </c>
      <c r="N1270">
        <v>592.62</v>
      </c>
      <c r="O1270" t="s">
        <v>124</v>
      </c>
      <c r="Q1270" t="s">
        <v>19</v>
      </c>
    </row>
    <row r="1271" spans="1:17" x14ac:dyDescent="0.3">
      <c r="A1271">
        <v>69046</v>
      </c>
      <c r="B1271" t="s">
        <v>131</v>
      </c>
      <c r="C1271" t="s">
        <v>19</v>
      </c>
      <c r="D1271" t="s">
        <v>132</v>
      </c>
      <c r="E1271" s="6">
        <v>15482.84</v>
      </c>
      <c r="F1271" t="s">
        <v>642</v>
      </c>
      <c r="G1271" s="4" t="str">
        <f t="shared" si="116"/>
        <v>15482.84</v>
      </c>
      <c r="H1271" t="str">
        <f t="shared" si="117"/>
        <v>15482.84</v>
      </c>
      <c r="I1271" s="1">
        <v>45716</v>
      </c>
      <c r="J1271" s="2">
        <f t="shared" si="118"/>
        <v>0.80493701948578078</v>
      </c>
      <c r="K1271" s="3" t="str">
        <f t="shared" si="119"/>
        <v>Check!</v>
      </c>
      <c r="L1271" t="str">
        <f t="shared" si="120"/>
        <v/>
      </c>
      <c r="M1271" t="str">
        <f t="shared" si="121"/>
        <v/>
      </c>
      <c r="N1271">
        <v>8578.0499999999993</v>
      </c>
      <c r="O1271" t="s">
        <v>133</v>
      </c>
      <c r="Q1271" t="s">
        <v>19</v>
      </c>
    </row>
    <row r="1272" spans="1:17" x14ac:dyDescent="0.3">
      <c r="A1272">
        <v>72002</v>
      </c>
      <c r="B1272" t="s">
        <v>134</v>
      </c>
      <c r="C1272" t="s">
        <v>590</v>
      </c>
      <c r="D1272" t="s">
        <v>135</v>
      </c>
      <c r="E1272" s="6">
        <v>19384.09</v>
      </c>
      <c r="F1272" t="s">
        <v>642</v>
      </c>
      <c r="G1272" s="4" t="str">
        <f t="shared" si="116"/>
        <v>19384.09</v>
      </c>
      <c r="H1272" t="str">
        <f t="shared" si="117"/>
        <v>19384.09</v>
      </c>
      <c r="I1272" s="1">
        <v>45716</v>
      </c>
      <c r="J1272" s="2">
        <f t="shared" si="118"/>
        <v>0.59953344407228892</v>
      </c>
      <c r="K1272" s="3" t="str">
        <f t="shared" si="119"/>
        <v>Check!</v>
      </c>
      <c r="L1272" t="str">
        <f t="shared" si="120"/>
        <v/>
      </c>
      <c r="M1272" t="str">
        <f t="shared" si="121"/>
        <v>Check</v>
      </c>
      <c r="N1272">
        <v>12118.59</v>
      </c>
      <c r="O1272" t="s">
        <v>136</v>
      </c>
      <c r="Q1272" t="s">
        <v>16</v>
      </c>
    </row>
    <row r="1273" spans="1:17" x14ac:dyDescent="0.3">
      <c r="A1273">
        <v>72002</v>
      </c>
      <c r="B1273" t="s">
        <v>134</v>
      </c>
      <c r="C1273" t="s">
        <v>19</v>
      </c>
      <c r="D1273" t="s">
        <v>137</v>
      </c>
      <c r="E1273" s="6">
        <v>16150.17</v>
      </c>
      <c r="F1273" t="s">
        <v>642</v>
      </c>
      <c r="G1273" s="4" t="str">
        <f t="shared" si="116"/>
        <v>16150.17</v>
      </c>
      <c r="H1273" t="str">
        <f t="shared" si="117"/>
        <v>16150.17</v>
      </c>
      <c r="I1273" s="1">
        <v>45716</v>
      </c>
      <c r="J1273" s="2">
        <f t="shared" si="118"/>
        <v>0.5795096236601206</v>
      </c>
      <c r="K1273" s="3" t="str">
        <f t="shared" si="119"/>
        <v>Check!</v>
      </c>
      <c r="L1273" t="str">
        <f t="shared" si="120"/>
        <v/>
      </c>
      <c r="M1273" t="str">
        <f t="shared" si="121"/>
        <v/>
      </c>
      <c r="N1273">
        <v>10224.799999999999</v>
      </c>
      <c r="O1273" t="s">
        <v>138</v>
      </c>
      <c r="Q1273" t="s">
        <v>19</v>
      </c>
    </row>
    <row r="1274" spans="1:17" x14ac:dyDescent="0.3">
      <c r="A1274">
        <v>72002</v>
      </c>
      <c r="B1274" t="s">
        <v>134</v>
      </c>
      <c r="C1274" t="s">
        <v>19</v>
      </c>
      <c r="D1274" t="s">
        <v>139</v>
      </c>
      <c r="E1274" s="6">
        <v>5829.95</v>
      </c>
      <c r="F1274" t="s">
        <v>642</v>
      </c>
      <c r="G1274" s="4" t="str">
        <f t="shared" si="116"/>
        <v>5829.95</v>
      </c>
      <c r="H1274" t="str">
        <f t="shared" si="117"/>
        <v>5829.95</v>
      </c>
      <c r="I1274" s="1">
        <v>45716</v>
      </c>
      <c r="J1274" s="2">
        <f t="shared" si="118"/>
        <v>0.9188197347200735</v>
      </c>
      <c r="K1274" s="3" t="str">
        <f t="shared" si="119"/>
        <v>Check!</v>
      </c>
      <c r="L1274" t="str">
        <f t="shared" si="120"/>
        <v/>
      </c>
      <c r="M1274" t="str">
        <f t="shared" si="121"/>
        <v/>
      </c>
      <c r="N1274">
        <v>3038.3</v>
      </c>
      <c r="O1274" t="s">
        <v>140</v>
      </c>
      <c r="Q1274" t="s">
        <v>19</v>
      </c>
    </row>
    <row r="1275" spans="1:17" x14ac:dyDescent="0.3">
      <c r="A1275">
        <v>80212</v>
      </c>
      <c r="B1275" t="s">
        <v>141</v>
      </c>
      <c r="C1275" t="s">
        <v>590</v>
      </c>
      <c r="D1275" t="s">
        <v>142</v>
      </c>
      <c r="E1275" s="6">
        <v>468.78</v>
      </c>
      <c r="F1275" t="s">
        <v>642</v>
      </c>
      <c r="G1275" s="4" t="str">
        <f t="shared" si="116"/>
        <v>468.78</v>
      </c>
      <c r="H1275" t="str">
        <f t="shared" si="117"/>
        <v>468.78</v>
      </c>
      <c r="I1275" s="1">
        <v>45716</v>
      </c>
      <c r="J1275" s="2">
        <f t="shared" si="118"/>
        <v>0.98543051967303352</v>
      </c>
      <c r="K1275" s="3" t="str">
        <f t="shared" si="119"/>
        <v>Check!</v>
      </c>
      <c r="L1275" t="str">
        <f t="shared" si="120"/>
        <v/>
      </c>
      <c r="M1275" t="str">
        <f t="shared" si="121"/>
        <v>Check</v>
      </c>
      <c r="N1275">
        <v>236.11</v>
      </c>
      <c r="O1275" t="s">
        <v>143</v>
      </c>
      <c r="Q1275" t="s">
        <v>16</v>
      </c>
    </row>
    <row r="1276" spans="1:17" x14ac:dyDescent="0.3">
      <c r="A1276">
        <v>81381</v>
      </c>
      <c r="B1276" t="s">
        <v>593</v>
      </c>
      <c r="C1276" t="s">
        <v>19</v>
      </c>
      <c r="D1276" t="s">
        <v>146</v>
      </c>
      <c r="E1276" s="6">
        <v>5342.42</v>
      </c>
      <c r="F1276" t="s">
        <v>642</v>
      </c>
      <c r="G1276" s="4" t="str">
        <f t="shared" si="116"/>
        <v>5342.42</v>
      </c>
      <c r="H1276" t="str">
        <f t="shared" si="117"/>
        <v>5342.42</v>
      </c>
      <c r="I1276" s="1">
        <v>45716</v>
      </c>
      <c r="J1276" s="2">
        <f t="shared" si="118"/>
        <v>0.68187856922486034</v>
      </c>
      <c r="K1276" s="3" t="str">
        <f t="shared" si="119"/>
        <v>Check!</v>
      </c>
      <c r="L1276" t="str">
        <f t="shared" si="120"/>
        <v/>
      </c>
      <c r="M1276" t="str">
        <f t="shared" si="121"/>
        <v/>
      </c>
      <c r="N1276">
        <v>3176.46</v>
      </c>
      <c r="O1276" t="s">
        <v>147</v>
      </c>
      <c r="Q1276" t="s">
        <v>19</v>
      </c>
    </row>
    <row r="1277" spans="1:17" x14ac:dyDescent="0.3">
      <c r="A1277">
        <v>81381</v>
      </c>
      <c r="B1277" t="s">
        <v>593</v>
      </c>
      <c r="C1277" t="s">
        <v>19</v>
      </c>
      <c r="D1277" t="s">
        <v>148</v>
      </c>
      <c r="E1277" s="6">
        <v>331444.68</v>
      </c>
      <c r="F1277" t="s">
        <v>642</v>
      </c>
      <c r="G1277" s="4" t="str">
        <f t="shared" si="116"/>
        <v>331444.68</v>
      </c>
      <c r="H1277" t="str">
        <f t="shared" si="117"/>
        <v>331444.68</v>
      </c>
      <c r="I1277" s="1">
        <v>45716</v>
      </c>
      <c r="J1277" s="2">
        <f t="shared" si="118"/>
        <v>0.94954981704700303</v>
      </c>
      <c r="K1277" s="3" t="str">
        <f t="shared" si="119"/>
        <v>Check!</v>
      </c>
      <c r="L1277" t="str">
        <f t="shared" si="120"/>
        <v/>
      </c>
      <c r="M1277" t="str">
        <f t="shared" si="121"/>
        <v/>
      </c>
      <c r="N1277">
        <v>170010.88</v>
      </c>
      <c r="O1277" t="s">
        <v>149</v>
      </c>
      <c r="Q1277" t="s">
        <v>19</v>
      </c>
    </row>
    <row r="1278" spans="1:17" x14ac:dyDescent="0.3">
      <c r="A1278">
        <v>113590</v>
      </c>
      <c r="B1278" t="s">
        <v>150</v>
      </c>
      <c r="C1278" t="s">
        <v>19</v>
      </c>
      <c r="D1278" t="s">
        <v>151</v>
      </c>
      <c r="E1278" s="6">
        <v>9001.59</v>
      </c>
      <c r="F1278" t="s">
        <v>642</v>
      </c>
      <c r="G1278" s="4" t="str">
        <f t="shared" si="116"/>
        <v>9001.59</v>
      </c>
      <c r="H1278" t="str">
        <f t="shared" si="117"/>
        <v>9001.59</v>
      </c>
      <c r="I1278" s="1">
        <v>45716</v>
      </c>
      <c r="J1278" s="2">
        <f t="shared" si="118"/>
        <v>0.85848869619077117</v>
      </c>
      <c r="K1278" s="3" t="str">
        <f t="shared" si="119"/>
        <v>Check!</v>
      </c>
      <c r="L1278" t="str">
        <f t="shared" si="120"/>
        <v/>
      </c>
      <c r="M1278" t="str">
        <f t="shared" si="121"/>
        <v/>
      </c>
      <c r="N1278">
        <v>4843.5</v>
      </c>
      <c r="O1278" t="s">
        <v>152</v>
      </c>
      <c r="Q1278" t="s">
        <v>19</v>
      </c>
    </row>
    <row r="1279" spans="1:17" x14ac:dyDescent="0.3">
      <c r="A1279">
        <v>113590</v>
      </c>
      <c r="B1279" t="s">
        <v>150</v>
      </c>
      <c r="C1279" t="s">
        <v>19</v>
      </c>
      <c r="D1279" t="s">
        <v>153</v>
      </c>
      <c r="E1279" s="6">
        <v>2462.73</v>
      </c>
      <c r="F1279" t="s">
        <v>642</v>
      </c>
      <c r="G1279" s="4" t="str">
        <f t="shared" si="116"/>
        <v>2462.73</v>
      </c>
      <c r="H1279" t="str">
        <f t="shared" si="117"/>
        <v>2462.73</v>
      </c>
      <c r="I1279" s="1">
        <v>45716</v>
      </c>
      <c r="J1279" s="2">
        <f t="shared" si="118"/>
        <v>0.86238892880099838</v>
      </c>
      <c r="K1279" s="3" t="str">
        <f t="shared" si="119"/>
        <v>Check!</v>
      </c>
      <c r="L1279" t="str">
        <f t="shared" si="120"/>
        <v/>
      </c>
      <c r="M1279" t="str">
        <f t="shared" si="121"/>
        <v/>
      </c>
      <c r="N1279">
        <v>1322.35</v>
      </c>
      <c r="O1279" t="s">
        <v>154</v>
      </c>
      <c r="Q1279" t="s">
        <v>19</v>
      </c>
    </row>
    <row r="1280" spans="1:17" x14ac:dyDescent="0.3">
      <c r="A1280">
        <v>130912</v>
      </c>
      <c r="B1280" t="s">
        <v>604</v>
      </c>
      <c r="C1280" t="s">
        <v>590</v>
      </c>
      <c r="D1280" t="s">
        <v>605</v>
      </c>
      <c r="E1280" s="6">
        <v>9385.66</v>
      </c>
      <c r="F1280" t="s">
        <v>642</v>
      </c>
      <c r="G1280" s="4" t="str">
        <f t="shared" si="116"/>
        <v>9385.66</v>
      </c>
      <c r="H1280" t="str">
        <f t="shared" si="117"/>
        <v>9385.66</v>
      </c>
      <c r="I1280" s="1">
        <v>45716</v>
      </c>
      <c r="J1280" s="2">
        <f t="shared" si="118"/>
        <v>0.98542082250084084</v>
      </c>
      <c r="K1280" s="3" t="str">
        <f t="shared" si="119"/>
        <v>Check!</v>
      </c>
      <c r="L1280" t="str">
        <f t="shared" si="120"/>
        <v/>
      </c>
      <c r="M1280" t="str">
        <f t="shared" si="121"/>
        <v/>
      </c>
      <c r="N1280">
        <v>4727.29</v>
      </c>
      <c r="O1280" t="s">
        <v>652</v>
      </c>
      <c r="Q1280" t="s">
        <v>590</v>
      </c>
    </row>
    <row r="1281" spans="1:17" x14ac:dyDescent="0.3">
      <c r="A1281">
        <v>135931</v>
      </c>
      <c r="B1281" t="s">
        <v>161</v>
      </c>
      <c r="C1281" t="s">
        <v>590</v>
      </c>
      <c r="D1281" t="s">
        <v>162</v>
      </c>
      <c r="E1281" s="6">
        <v>876.13</v>
      </c>
      <c r="F1281" t="s">
        <v>642</v>
      </c>
      <c r="G1281" s="4" t="str">
        <f t="shared" si="116"/>
        <v>876.13</v>
      </c>
      <c r="H1281" t="str">
        <f t="shared" si="117"/>
        <v>876.13</v>
      </c>
      <c r="I1281" s="1">
        <v>45716</v>
      </c>
      <c r="J1281" s="2">
        <f t="shared" si="118"/>
        <v>0.23138439915671116</v>
      </c>
      <c r="K1281" s="3" t="str">
        <f t="shared" si="119"/>
        <v>Check!</v>
      </c>
      <c r="L1281" t="str">
        <f t="shared" si="120"/>
        <v/>
      </c>
      <c r="M1281" t="str">
        <f t="shared" si="121"/>
        <v>Check</v>
      </c>
      <c r="N1281">
        <v>711.5</v>
      </c>
      <c r="O1281" t="s">
        <v>163</v>
      </c>
      <c r="Q1281" t="s">
        <v>16</v>
      </c>
    </row>
    <row r="1282" spans="1:17" x14ac:dyDescent="0.3">
      <c r="A1282">
        <v>100202693</v>
      </c>
      <c r="B1282" t="s">
        <v>594</v>
      </c>
      <c r="C1282" t="s">
        <v>590</v>
      </c>
      <c r="D1282" t="s">
        <v>599</v>
      </c>
      <c r="E1282" s="6">
        <v>66141.7</v>
      </c>
      <c r="F1282" t="s">
        <v>642</v>
      </c>
      <c r="G1282" s="4" t="str">
        <f t="shared" si="116"/>
        <v>66141.7</v>
      </c>
      <c r="H1282" t="str">
        <f t="shared" si="117"/>
        <v>66141.7</v>
      </c>
      <c r="I1282" s="1">
        <v>45716</v>
      </c>
      <c r="J1282" s="2">
        <f t="shared" si="118"/>
        <v>0.98289133141404916</v>
      </c>
      <c r="K1282" s="3" t="str">
        <f t="shared" si="119"/>
        <v>Check!</v>
      </c>
      <c r="L1282" t="str">
        <f t="shared" si="120"/>
        <v/>
      </c>
      <c r="M1282" t="str">
        <f t="shared" si="121"/>
        <v/>
      </c>
      <c r="N1282">
        <v>33356.19</v>
      </c>
      <c r="O1282" t="s">
        <v>655</v>
      </c>
      <c r="Q1282" t="s">
        <v>590</v>
      </c>
    </row>
    <row r="1283" spans="1:17" x14ac:dyDescent="0.3">
      <c r="A1283">
        <v>100202693</v>
      </c>
      <c r="B1283" t="s">
        <v>594</v>
      </c>
      <c r="C1283" t="s">
        <v>19</v>
      </c>
      <c r="D1283" t="s">
        <v>597</v>
      </c>
      <c r="E1283" s="6">
        <v>46688.1</v>
      </c>
      <c r="F1283" t="s">
        <v>642</v>
      </c>
      <c r="G1283" s="4" t="str">
        <f t="shared" ref="G1283:G1346" si="122">SUBSTITUTE(E1283,"R","")</f>
        <v>46688.1</v>
      </c>
      <c r="H1283" t="str">
        <f t="shared" ref="H1283:H1346" si="123">SUBSTITUTE(G1283,",","")</f>
        <v>46688.1</v>
      </c>
      <c r="I1283" s="1">
        <v>45716</v>
      </c>
      <c r="J1283" s="2">
        <f t="shared" ref="J1283:J1346" si="124">(H1283-N1283)/N1283</f>
        <v>0.98434560045154307</v>
      </c>
      <c r="K1283" s="3" t="str">
        <f t="shared" ref="K1283:K1346" si="125">IF(ABS(J1283)&gt;0.1,"Check!","")</f>
        <v>Check!</v>
      </c>
      <c r="L1283" t="str">
        <f t="shared" ref="L1283:L1346" si="126">IF(LEFT(O1283,10)&lt;&gt;LEFT(D1283,10),"Check","")</f>
        <v/>
      </c>
      <c r="M1283" t="str">
        <f t="shared" ref="M1283:M1346" si="127">IF(Q1283&lt;&gt;C1283,"Check","")</f>
        <v/>
      </c>
      <c r="N1283">
        <v>23528.21</v>
      </c>
      <c r="O1283" t="s">
        <v>657</v>
      </c>
      <c r="Q1283" t="s">
        <v>19</v>
      </c>
    </row>
    <row r="1284" spans="1:17" x14ac:dyDescent="0.3">
      <c r="A1284">
        <v>100202693</v>
      </c>
      <c r="B1284" t="s">
        <v>594</v>
      </c>
      <c r="C1284" t="s">
        <v>19</v>
      </c>
      <c r="D1284" t="s">
        <v>598</v>
      </c>
      <c r="E1284" s="6">
        <v>181944.86</v>
      </c>
      <c r="F1284" t="s">
        <v>642</v>
      </c>
      <c r="G1284" s="4" t="str">
        <f t="shared" si="122"/>
        <v>181944.86</v>
      </c>
      <c r="H1284" t="str">
        <f t="shared" si="123"/>
        <v>181944.86</v>
      </c>
      <c r="I1284" s="1">
        <v>45716</v>
      </c>
      <c r="J1284" s="2">
        <f t="shared" si="124"/>
        <v>0.98494735731621852</v>
      </c>
      <c r="K1284" s="3" t="str">
        <f t="shared" si="125"/>
        <v>Check!</v>
      </c>
      <c r="L1284" t="str">
        <f t="shared" si="126"/>
        <v/>
      </c>
      <c r="M1284" t="str">
        <f t="shared" si="127"/>
        <v/>
      </c>
      <c r="N1284">
        <v>91662.31</v>
      </c>
      <c r="O1284" t="s">
        <v>656</v>
      </c>
      <c r="Q1284" t="s">
        <v>19</v>
      </c>
    </row>
    <row r="1285" spans="1:17" x14ac:dyDescent="0.3">
      <c r="A1285">
        <v>100205932</v>
      </c>
      <c r="B1285" t="s">
        <v>165</v>
      </c>
      <c r="C1285" t="s">
        <v>19</v>
      </c>
      <c r="D1285" t="s">
        <v>586</v>
      </c>
      <c r="E1285" s="6">
        <v>80834.320000000007</v>
      </c>
      <c r="F1285" t="s">
        <v>642</v>
      </c>
      <c r="G1285" s="4" t="str">
        <f t="shared" si="122"/>
        <v>80834.32</v>
      </c>
      <c r="H1285" t="str">
        <f t="shared" si="123"/>
        <v>80834.32</v>
      </c>
      <c r="I1285" s="1">
        <v>45716</v>
      </c>
      <c r="J1285" s="2">
        <f t="shared" si="124"/>
        <v>0.98630522741647686</v>
      </c>
      <c r="K1285" s="3" t="str">
        <f t="shared" si="125"/>
        <v>Check!</v>
      </c>
      <c r="L1285" t="str">
        <f t="shared" si="126"/>
        <v/>
      </c>
      <c r="M1285" t="str">
        <f t="shared" si="127"/>
        <v/>
      </c>
      <c r="N1285">
        <v>40695.82</v>
      </c>
      <c r="O1285" t="s">
        <v>587</v>
      </c>
      <c r="Q1285" t="s">
        <v>19</v>
      </c>
    </row>
    <row r="1286" spans="1:17" x14ac:dyDescent="0.3">
      <c r="A1286">
        <v>100220898</v>
      </c>
      <c r="B1286" t="s">
        <v>166</v>
      </c>
      <c r="C1286" t="s">
        <v>19</v>
      </c>
      <c r="D1286" t="s">
        <v>167</v>
      </c>
      <c r="E1286" s="6">
        <v>72714.259999999995</v>
      </c>
      <c r="F1286" t="s">
        <v>642</v>
      </c>
      <c r="G1286" s="4" t="str">
        <f t="shared" si="122"/>
        <v>72714.26</v>
      </c>
      <c r="H1286" t="str">
        <f t="shared" si="123"/>
        <v>72714.26</v>
      </c>
      <c r="I1286" s="1">
        <v>45716</v>
      </c>
      <c r="J1286" s="2">
        <f t="shared" si="124"/>
        <v>0.9832463548971121</v>
      </c>
      <c r="K1286" s="3" t="str">
        <f t="shared" si="125"/>
        <v>Check!</v>
      </c>
      <c r="L1286" t="str">
        <f t="shared" si="126"/>
        <v/>
      </c>
      <c r="M1286" t="str">
        <f t="shared" si="127"/>
        <v/>
      </c>
      <c r="N1286">
        <v>36664.26</v>
      </c>
      <c r="O1286" t="s">
        <v>168</v>
      </c>
      <c r="Q1286" t="s">
        <v>19</v>
      </c>
    </row>
    <row r="1287" spans="1:17" x14ac:dyDescent="0.3">
      <c r="A1287">
        <v>100220898</v>
      </c>
      <c r="B1287" t="s">
        <v>166</v>
      </c>
      <c r="C1287" t="s">
        <v>19</v>
      </c>
      <c r="D1287" t="s">
        <v>169</v>
      </c>
      <c r="E1287" s="6">
        <v>54142.78</v>
      </c>
      <c r="F1287" t="s">
        <v>642</v>
      </c>
      <c r="G1287" s="4" t="str">
        <f t="shared" si="122"/>
        <v>54142.78</v>
      </c>
      <c r="H1287" t="str">
        <f t="shared" si="123"/>
        <v>54142.78</v>
      </c>
      <c r="I1287" s="1">
        <v>45716</v>
      </c>
      <c r="J1287" s="2">
        <f t="shared" si="124"/>
        <v>0.8842370815104722</v>
      </c>
      <c r="K1287" s="3" t="str">
        <f t="shared" si="125"/>
        <v>Check!</v>
      </c>
      <c r="L1287" t="str">
        <f t="shared" si="126"/>
        <v/>
      </c>
      <c r="M1287" t="str">
        <f t="shared" si="127"/>
        <v/>
      </c>
      <c r="N1287">
        <v>28734.59</v>
      </c>
      <c r="O1287" t="s">
        <v>170</v>
      </c>
      <c r="Q1287" t="s">
        <v>19</v>
      </c>
    </row>
    <row r="1288" spans="1:17" x14ac:dyDescent="0.3">
      <c r="A1288">
        <v>100247003</v>
      </c>
      <c r="B1288" t="s">
        <v>105</v>
      </c>
      <c r="C1288" t="s">
        <v>19</v>
      </c>
      <c r="D1288" t="s">
        <v>171</v>
      </c>
      <c r="E1288" s="6">
        <v>7214.76</v>
      </c>
      <c r="F1288" t="s">
        <v>642</v>
      </c>
      <c r="G1288" s="4" t="str">
        <f t="shared" si="122"/>
        <v>7214.76</v>
      </c>
      <c r="H1288" t="str">
        <f t="shared" si="123"/>
        <v>7214.76</v>
      </c>
      <c r="I1288" s="1">
        <v>45716</v>
      </c>
      <c r="J1288" s="2">
        <f t="shared" si="124"/>
        <v>0.98007508892109096</v>
      </c>
      <c r="K1288" s="3" t="str">
        <f t="shared" si="125"/>
        <v>Check!</v>
      </c>
      <c r="L1288" t="str">
        <f t="shared" si="126"/>
        <v/>
      </c>
      <c r="M1288" t="str">
        <f t="shared" si="127"/>
        <v/>
      </c>
      <c r="N1288">
        <v>3643.68</v>
      </c>
      <c r="O1288" t="s">
        <v>172</v>
      </c>
      <c r="Q1288" t="s">
        <v>19</v>
      </c>
    </row>
    <row r="1289" spans="1:17" x14ac:dyDescent="0.3">
      <c r="A1289">
        <v>100249944</v>
      </c>
      <c r="B1289" t="s">
        <v>173</v>
      </c>
      <c r="C1289" t="s">
        <v>19</v>
      </c>
      <c r="D1289" t="s">
        <v>174</v>
      </c>
      <c r="E1289" s="6">
        <v>7471.58</v>
      </c>
      <c r="F1289" t="s">
        <v>642</v>
      </c>
      <c r="G1289" s="4" t="str">
        <f t="shared" si="122"/>
        <v>7471.58</v>
      </c>
      <c r="H1289" t="str">
        <f t="shared" si="123"/>
        <v>7471.58</v>
      </c>
      <c r="I1289" s="1">
        <v>45716</v>
      </c>
      <c r="J1289" s="2">
        <f t="shared" si="124"/>
        <v>0.57621619340956087</v>
      </c>
      <c r="K1289" s="3" t="str">
        <f t="shared" si="125"/>
        <v>Check!</v>
      </c>
      <c r="L1289" t="str">
        <f t="shared" si="126"/>
        <v/>
      </c>
      <c r="M1289" t="str">
        <f t="shared" si="127"/>
        <v/>
      </c>
      <c r="N1289">
        <v>4740.2</v>
      </c>
      <c r="O1289" t="s">
        <v>175</v>
      </c>
      <c r="Q1289" t="s">
        <v>19</v>
      </c>
    </row>
    <row r="1290" spans="1:17" x14ac:dyDescent="0.3">
      <c r="A1290">
        <v>100250182</v>
      </c>
      <c r="B1290" t="s">
        <v>176</v>
      </c>
      <c r="C1290" t="s">
        <v>19</v>
      </c>
      <c r="D1290" t="s">
        <v>177</v>
      </c>
      <c r="E1290" s="6">
        <v>102592.82</v>
      </c>
      <c r="F1290" t="s">
        <v>642</v>
      </c>
      <c r="G1290" s="4" t="str">
        <f t="shared" si="122"/>
        <v>102592.82</v>
      </c>
      <c r="H1290" t="str">
        <f t="shared" si="123"/>
        <v>102592.82</v>
      </c>
      <c r="I1290" s="1">
        <v>45716</v>
      </c>
      <c r="J1290" s="2">
        <f t="shared" si="124"/>
        <v>0.90873594325038831</v>
      </c>
      <c r="K1290" s="3" t="str">
        <f t="shared" si="125"/>
        <v>Check!</v>
      </c>
      <c r="L1290" t="str">
        <f t="shared" si="126"/>
        <v/>
      </c>
      <c r="M1290" t="str">
        <f t="shared" si="127"/>
        <v/>
      </c>
      <c r="N1290">
        <v>53749.09</v>
      </c>
      <c r="O1290" t="s">
        <v>178</v>
      </c>
      <c r="Q1290" t="s">
        <v>19</v>
      </c>
    </row>
    <row r="1291" spans="1:17" x14ac:dyDescent="0.3">
      <c r="A1291">
        <v>100273792</v>
      </c>
      <c r="B1291" t="s">
        <v>182</v>
      </c>
      <c r="C1291" t="s">
        <v>19</v>
      </c>
      <c r="D1291" t="s">
        <v>183</v>
      </c>
      <c r="E1291" s="6">
        <v>6921.54</v>
      </c>
      <c r="F1291" t="s">
        <v>642</v>
      </c>
      <c r="G1291" s="4" t="str">
        <f t="shared" si="122"/>
        <v>6921.54</v>
      </c>
      <c r="H1291" t="str">
        <f t="shared" si="123"/>
        <v>6921.54</v>
      </c>
      <c r="I1291" s="1">
        <v>45716</v>
      </c>
      <c r="J1291" s="2">
        <f t="shared" si="124"/>
        <v>0.93069994616442453</v>
      </c>
      <c r="K1291" s="3" t="str">
        <f t="shared" si="125"/>
        <v>Check!</v>
      </c>
      <c r="L1291" t="str">
        <f t="shared" si="126"/>
        <v/>
      </c>
      <c r="M1291" t="str">
        <f t="shared" si="127"/>
        <v/>
      </c>
      <c r="N1291">
        <v>3584.99</v>
      </c>
      <c r="O1291" t="s">
        <v>184</v>
      </c>
      <c r="Q1291" t="s">
        <v>19</v>
      </c>
    </row>
    <row r="1292" spans="1:17" x14ac:dyDescent="0.3">
      <c r="A1292">
        <v>100273792</v>
      </c>
      <c r="B1292" t="s">
        <v>182</v>
      </c>
      <c r="C1292" t="s">
        <v>19</v>
      </c>
      <c r="D1292" t="s">
        <v>185</v>
      </c>
      <c r="E1292" s="6">
        <v>5985.69</v>
      </c>
      <c r="F1292" t="s">
        <v>642</v>
      </c>
      <c r="G1292" s="4" t="str">
        <f t="shared" si="122"/>
        <v>5985.69</v>
      </c>
      <c r="H1292" t="str">
        <f t="shared" si="123"/>
        <v>5985.69</v>
      </c>
      <c r="I1292" s="1">
        <v>45716</v>
      </c>
      <c r="J1292" s="2">
        <f t="shared" si="124"/>
        <v>0.96740434455353119</v>
      </c>
      <c r="K1292" s="3" t="str">
        <f t="shared" si="125"/>
        <v>Check!</v>
      </c>
      <c r="L1292" t="str">
        <f t="shared" si="126"/>
        <v/>
      </c>
      <c r="M1292" t="str">
        <f t="shared" si="127"/>
        <v/>
      </c>
      <c r="N1292">
        <v>3042.43</v>
      </c>
      <c r="O1292" t="s">
        <v>186</v>
      </c>
      <c r="Q1292" t="s">
        <v>19</v>
      </c>
    </row>
    <row r="1293" spans="1:17" x14ac:dyDescent="0.3">
      <c r="A1293">
        <v>100278188</v>
      </c>
      <c r="B1293" t="s">
        <v>187</v>
      </c>
      <c r="C1293" t="s">
        <v>590</v>
      </c>
      <c r="D1293" t="s">
        <v>188</v>
      </c>
      <c r="E1293" s="6">
        <v>9744.84</v>
      </c>
      <c r="F1293" t="s">
        <v>642</v>
      </c>
      <c r="G1293" s="4" t="str">
        <f t="shared" si="122"/>
        <v>9744.84</v>
      </c>
      <c r="H1293" t="str">
        <f t="shared" si="123"/>
        <v>9744.84</v>
      </c>
      <c r="I1293" s="1">
        <v>45716</v>
      </c>
      <c r="J1293" s="2">
        <f t="shared" si="124"/>
        <v>9.7597073326770548E-2</v>
      </c>
      <c r="K1293" s="3" t="str">
        <f t="shared" si="125"/>
        <v/>
      </c>
      <c r="L1293" t="str">
        <f t="shared" si="126"/>
        <v/>
      </c>
      <c r="M1293" t="str">
        <f t="shared" si="127"/>
        <v>Check</v>
      </c>
      <c r="N1293">
        <v>8878.34</v>
      </c>
      <c r="O1293" t="s">
        <v>189</v>
      </c>
      <c r="Q1293" t="s">
        <v>16</v>
      </c>
    </row>
    <row r="1294" spans="1:17" x14ac:dyDescent="0.3">
      <c r="A1294">
        <v>100278188</v>
      </c>
      <c r="B1294" t="s">
        <v>187</v>
      </c>
      <c r="C1294" t="s">
        <v>19</v>
      </c>
      <c r="D1294" t="s">
        <v>190</v>
      </c>
      <c r="E1294" s="6">
        <v>4941.75</v>
      </c>
      <c r="F1294" t="s">
        <v>642</v>
      </c>
      <c r="G1294" s="4" t="str">
        <f t="shared" si="122"/>
        <v>4941.75</v>
      </c>
      <c r="H1294" t="str">
        <f t="shared" si="123"/>
        <v>4941.75</v>
      </c>
      <c r="I1294" s="1">
        <v>45716</v>
      </c>
      <c r="J1294" s="2">
        <f t="shared" si="124"/>
        <v>1.0016323323315213</v>
      </c>
      <c r="K1294" s="3" t="str">
        <f t="shared" si="125"/>
        <v>Check!</v>
      </c>
      <c r="L1294" t="str">
        <f t="shared" si="126"/>
        <v/>
      </c>
      <c r="M1294" t="str">
        <f t="shared" si="127"/>
        <v/>
      </c>
      <c r="N1294">
        <v>2468.86</v>
      </c>
      <c r="O1294" t="s">
        <v>191</v>
      </c>
      <c r="Q1294" t="s">
        <v>19</v>
      </c>
    </row>
    <row r="1295" spans="1:17" x14ac:dyDescent="0.3">
      <c r="A1295">
        <v>100278188</v>
      </c>
      <c r="B1295" t="s">
        <v>187</v>
      </c>
      <c r="C1295" t="s">
        <v>19</v>
      </c>
      <c r="D1295" t="s">
        <v>192</v>
      </c>
      <c r="E1295" s="6">
        <v>16120.8</v>
      </c>
      <c r="F1295" t="s">
        <v>642</v>
      </c>
      <c r="G1295" s="4" t="str">
        <f t="shared" si="122"/>
        <v>16120.8</v>
      </c>
      <c r="H1295" t="str">
        <f t="shared" si="123"/>
        <v>16120.8</v>
      </c>
      <c r="I1295" s="1">
        <v>45716</v>
      </c>
      <c r="J1295" s="2">
        <f t="shared" si="124"/>
        <v>0.9636068644873983</v>
      </c>
      <c r="K1295" s="3" t="str">
        <f t="shared" si="125"/>
        <v>Check!</v>
      </c>
      <c r="L1295" t="str">
        <f t="shared" si="126"/>
        <v/>
      </c>
      <c r="M1295" t="str">
        <f t="shared" si="127"/>
        <v/>
      </c>
      <c r="N1295">
        <v>8209.7900000000009</v>
      </c>
      <c r="O1295" t="s">
        <v>193</v>
      </c>
      <c r="Q1295" t="s">
        <v>19</v>
      </c>
    </row>
    <row r="1296" spans="1:17" x14ac:dyDescent="0.3">
      <c r="A1296">
        <v>100278188</v>
      </c>
      <c r="B1296" t="s">
        <v>187</v>
      </c>
      <c r="C1296" t="s">
        <v>19</v>
      </c>
      <c r="D1296" t="s">
        <v>194</v>
      </c>
      <c r="E1296" s="6">
        <v>2033.66</v>
      </c>
      <c r="F1296" t="s">
        <v>642</v>
      </c>
      <c r="G1296" s="4" t="str">
        <f t="shared" si="122"/>
        <v>2033.66</v>
      </c>
      <c r="H1296" t="str">
        <f t="shared" si="123"/>
        <v>2033.66</v>
      </c>
      <c r="I1296" s="1">
        <v>45716</v>
      </c>
      <c r="J1296" s="2">
        <f t="shared" si="124"/>
        <v>0.97659568264212226</v>
      </c>
      <c r="K1296" s="3" t="str">
        <f t="shared" si="125"/>
        <v>Check!</v>
      </c>
      <c r="L1296" t="str">
        <f t="shared" si="126"/>
        <v/>
      </c>
      <c r="M1296" t="str">
        <f t="shared" si="127"/>
        <v/>
      </c>
      <c r="N1296">
        <v>1028.8699999999999</v>
      </c>
      <c r="O1296" t="s">
        <v>195</v>
      </c>
      <c r="Q1296" t="s">
        <v>19</v>
      </c>
    </row>
    <row r="1297" spans="1:17" x14ac:dyDescent="0.3">
      <c r="A1297">
        <v>100309343</v>
      </c>
      <c r="B1297" t="s">
        <v>196</v>
      </c>
      <c r="C1297" t="s">
        <v>590</v>
      </c>
      <c r="D1297" t="s">
        <v>197</v>
      </c>
      <c r="E1297" s="6">
        <v>65513.86</v>
      </c>
      <c r="F1297" t="s">
        <v>642</v>
      </c>
      <c r="G1297" s="4" t="str">
        <f t="shared" si="122"/>
        <v>65513.86</v>
      </c>
      <c r="H1297" t="str">
        <f t="shared" si="123"/>
        <v>65513.86</v>
      </c>
      <c r="I1297" s="1">
        <v>45716</v>
      </c>
      <c r="J1297" s="2">
        <f t="shared" si="124"/>
        <v>0.47827552656090916</v>
      </c>
      <c r="K1297" s="3" t="str">
        <f t="shared" si="125"/>
        <v>Check!</v>
      </c>
      <c r="L1297" t="str">
        <f t="shared" si="126"/>
        <v/>
      </c>
      <c r="M1297" t="str">
        <f t="shared" si="127"/>
        <v>Check</v>
      </c>
      <c r="N1297">
        <v>44317.760000000002</v>
      </c>
      <c r="O1297" t="s">
        <v>198</v>
      </c>
      <c r="Q1297" t="s">
        <v>16</v>
      </c>
    </row>
    <row r="1298" spans="1:17" x14ac:dyDescent="0.3">
      <c r="A1298">
        <v>100325823</v>
      </c>
      <c r="B1298" t="s">
        <v>202</v>
      </c>
      <c r="C1298" t="s">
        <v>19</v>
      </c>
      <c r="D1298" t="s">
        <v>203</v>
      </c>
      <c r="E1298" s="6">
        <v>11314.06</v>
      </c>
      <c r="F1298" t="s">
        <v>642</v>
      </c>
      <c r="G1298" s="4" t="str">
        <f t="shared" si="122"/>
        <v>11314.06</v>
      </c>
      <c r="H1298" t="str">
        <f t="shared" si="123"/>
        <v>11314.06</v>
      </c>
      <c r="I1298" s="1">
        <v>45716</v>
      </c>
      <c r="J1298" s="2">
        <f t="shared" si="124"/>
        <v>0.98284603669490012</v>
      </c>
      <c r="K1298" s="3" t="str">
        <f t="shared" si="125"/>
        <v>Check!</v>
      </c>
      <c r="L1298" t="str">
        <f t="shared" si="126"/>
        <v/>
      </c>
      <c r="M1298" t="str">
        <f t="shared" si="127"/>
        <v/>
      </c>
      <c r="N1298">
        <v>5705.97</v>
      </c>
      <c r="O1298" t="s">
        <v>204</v>
      </c>
      <c r="Q1298" t="s">
        <v>19</v>
      </c>
    </row>
    <row r="1299" spans="1:17" x14ac:dyDescent="0.3">
      <c r="A1299">
        <v>100376880</v>
      </c>
      <c r="B1299" t="s">
        <v>205</v>
      </c>
      <c r="C1299" t="s">
        <v>590</v>
      </c>
      <c r="D1299" t="s">
        <v>206</v>
      </c>
      <c r="E1299" s="6">
        <v>131268.07999999999</v>
      </c>
      <c r="F1299" t="s">
        <v>642</v>
      </c>
      <c r="G1299" s="4" t="str">
        <f t="shared" si="122"/>
        <v>131268.08</v>
      </c>
      <c r="H1299" t="str">
        <f t="shared" si="123"/>
        <v>131268.08</v>
      </c>
      <c r="I1299" s="1">
        <v>45716</v>
      </c>
      <c r="J1299" s="2">
        <f t="shared" si="124"/>
        <v>0.98736076386502247</v>
      </c>
      <c r="K1299" s="3" t="str">
        <f t="shared" si="125"/>
        <v>Check!</v>
      </c>
      <c r="L1299" t="str">
        <f t="shared" si="126"/>
        <v/>
      </c>
      <c r="M1299" t="str">
        <f t="shared" si="127"/>
        <v>Check</v>
      </c>
      <c r="N1299">
        <v>66051.460000000006</v>
      </c>
      <c r="O1299" t="s">
        <v>207</v>
      </c>
      <c r="Q1299" t="s">
        <v>16</v>
      </c>
    </row>
    <row r="1300" spans="1:17" x14ac:dyDescent="0.3">
      <c r="A1300">
        <v>100376880</v>
      </c>
      <c r="B1300" t="s">
        <v>205</v>
      </c>
      <c r="C1300" t="s">
        <v>19</v>
      </c>
      <c r="D1300" t="s">
        <v>208</v>
      </c>
      <c r="E1300" s="6">
        <v>79.64</v>
      </c>
      <c r="F1300" t="s">
        <v>642</v>
      </c>
      <c r="G1300" s="4" t="str">
        <f t="shared" si="122"/>
        <v>79.64</v>
      </c>
      <c r="H1300" t="str">
        <f t="shared" si="123"/>
        <v>79.64</v>
      </c>
      <c r="I1300" s="1">
        <v>45716</v>
      </c>
      <c r="J1300" s="2">
        <f t="shared" si="124"/>
        <v>0.34709066305818681</v>
      </c>
      <c r="K1300" s="3" t="str">
        <f t="shared" si="125"/>
        <v>Check!</v>
      </c>
      <c r="L1300" t="str">
        <f t="shared" si="126"/>
        <v/>
      </c>
      <c r="M1300" t="str">
        <f t="shared" si="127"/>
        <v/>
      </c>
      <c r="N1300">
        <v>59.12</v>
      </c>
      <c r="O1300" t="s">
        <v>209</v>
      </c>
      <c r="Q1300" t="s">
        <v>19</v>
      </c>
    </row>
    <row r="1301" spans="1:17" x14ac:dyDescent="0.3">
      <c r="A1301">
        <v>100388471</v>
      </c>
      <c r="B1301" t="s">
        <v>210</v>
      </c>
      <c r="C1301" t="s">
        <v>19</v>
      </c>
      <c r="D1301" t="s">
        <v>211</v>
      </c>
      <c r="E1301" s="6">
        <v>53630.19</v>
      </c>
      <c r="F1301" t="s">
        <v>642</v>
      </c>
      <c r="G1301" s="4" t="str">
        <f t="shared" si="122"/>
        <v>53630.19</v>
      </c>
      <c r="H1301" t="str">
        <f t="shared" si="123"/>
        <v>53630.19</v>
      </c>
      <c r="I1301" s="1">
        <v>45716</v>
      </c>
      <c r="J1301" s="2">
        <f t="shared" si="124"/>
        <v>0.95196181840813954</v>
      </c>
      <c r="K1301" s="3" t="str">
        <f t="shared" si="125"/>
        <v>Check!</v>
      </c>
      <c r="L1301" t="str">
        <f t="shared" si="126"/>
        <v/>
      </c>
      <c r="M1301" t="str">
        <f t="shared" si="127"/>
        <v/>
      </c>
      <c r="N1301">
        <v>27475.02</v>
      </c>
      <c r="O1301" t="s">
        <v>212</v>
      </c>
      <c r="Q1301" t="s">
        <v>19</v>
      </c>
    </row>
    <row r="1302" spans="1:17" x14ac:dyDescent="0.3">
      <c r="A1302">
        <v>100388471</v>
      </c>
      <c r="B1302" t="s">
        <v>210</v>
      </c>
      <c r="C1302" t="s">
        <v>19</v>
      </c>
      <c r="D1302" t="s">
        <v>213</v>
      </c>
      <c r="E1302" s="6">
        <v>9555.09</v>
      </c>
      <c r="F1302" t="s">
        <v>642</v>
      </c>
      <c r="G1302" s="4" t="str">
        <f t="shared" si="122"/>
        <v>9555.09</v>
      </c>
      <c r="H1302" t="str">
        <f t="shared" si="123"/>
        <v>9555.09</v>
      </c>
      <c r="I1302" s="1">
        <v>45716</v>
      </c>
      <c r="J1302" s="2">
        <f t="shared" si="124"/>
        <v>0.8186003665715661</v>
      </c>
      <c r="K1302" s="3" t="str">
        <f t="shared" si="125"/>
        <v>Check!</v>
      </c>
      <c r="L1302" t="str">
        <f t="shared" si="126"/>
        <v/>
      </c>
      <c r="M1302" t="str">
        <f t="shared" si="127"/>
        <v/>
      </c>
      <c r="N1302">
        <v>5254.09</v>
      </c>
      <c r="O1302" t="s">
        <v>214</v>
      </c>
      <c r="Q1302" t="s">
        <v>19</v>
      </c>
    </row>
    <row r="1303" spans="1:17" x14ac:dyDescent="0.3">
      <c r="A1303">
        <v>100408912</v>
      </c>
      <c r="B1303" t="s">
        <v>215</v>
      </c>
      <c r="C1303" t="s">
        <v>19</v>
      </c>
      <c r="D1303" t="s">
        <v>216</v>
      </c>
      <c r="E1303" s="6">
        <v>26004.83</v>
      </c>
      <c r="F1303" t="s">
        <v>642</v>
      </c>
      <c r="G1303" s="4" t="str">
        <f t="shared" si="122"/>
        <v>26004.83</v>
      </c>
      <c r="H1303" t="str">
        <f t="shared" si="123"/>
        <v>26004.83</v>
      </c>
      <c r="I1303" s="1">
        <v>45716</v>
      </c>
      <c r="J1303" s="2">
        <f t="shared" si="124"/>
        <v>0.44385208150918937</v>
      </c>
      <c r="K1303" s="3" t="str">
        <f t="shared" si="125"/>
        <v>Check!</v>
      </c>
      <c r="L1303" t="str">
        <f t="shared" si="126"/>
        <v/>
      </c>
      <c r="M1303" t="str">
        <f t="shared" si="127"/>
        <v/>
      </c>
      <c r="N1303">
        <v>18010.73</v>
      </c>
      <c r="O1303" t="s">
        <v>217</v>
      </c>
      <c r="Q1303" t="s">
        <v>19</v>
      </c>
    </row>
    <row r="1304" spans="1:17" x14ac:dyDescent="0.3">
      <c r="A1304">
        <v>100421069</v>
      </c>
      <c r="B1304" t="s">
        <v>218</v>
      </c>
      <c r="C1304" t="s">
        <v>19</v>
      </c>
      <c r="D1304" t="s">
        <v>222</v>
      </c>
      <c r="E1304" s="6">
        <v>9997.2000000000007</v>
      </c>
      <c r="F1304" t="s">
        <v>642</v>
      </c>
      <c r="G1304" s="4" t="str">
        <f t="shared" si="122"/>
        <v>9997.2</v>
      </c>
      <c r="H1304" t="str">
        <f t="shared" si="123"/>
        <v>9997.2</v>
      </c>
      <c r="I1304" s="1">
        <v>45716</v>
      </c>
      <c r="J1304" s="2">
        <f t="shared" si="124"/>
        <v>0.86709646814494989</v>
      </c>
      <c r="K1304" s="3" t="str">
        <f t="shared" si="125"/>
        <v>Check!</v>
      </c>
      <c r="L1304" t="str">
        <f t="shared" si="126"/>
        <v/>
      </c>
      <c r="M1304" t="str">
        <f t="shared" si="127"/>
        <v/>
      </c>
      <c r="N1304">
        <v>5354.41</v>
      </c>
      <c r="O1304" t="s">
        <v>223</v>
      </c>
      <c r="Q1304" t="s">
        <v>19</v>
      </c>
    </row>
    <row r="1305" spans="1:17" x14ac:dyDescent="0.3">
      <c r="A1305">
        <v>100421069</v>
      </c>
      <c r="B1305" t="s">
        <v>218</v>
      </c>
      <c r="C1305" t="s">
        <v>19</v>
      </c>
      <c r="D1305" t="s">
        <v>220</v>
      </c>
      <c r="E1305" s="6">
        <v>21910.880000000001</v>
      </c>
      <c r="F1305" t="s">
        <v>642</v>
      </c>
      <c r="G1305" s="4" t="str">
        <f t="shared" si="122"/>
        <v>21910.88</v>
      </c>
      <c r="H1305" t="str">
        <f t="shared" si="123"/>
        <v>21910.88</v>
      </c>
      <c r="I1305" s="1">
        <v>45716</v>
      </c>
      <c r="J1305" s="2">
        <f t="shared" si="124"/>
        <v>0.87238391643230784</v>
      </c>
      <c r="K1305" s="3" t="str">
        <f t="shared" si="125"/>
        <v>Check!</v>
      </c>
      <c r="L1305" t="str">
        <f t="shared" si="126"/>
        <v/>
      </c>
      <c r="M1305" t="str">
        <f t="shared" si="127"/>
        <v/>
      </c>
      <c r="N1305">
        <v>11702.13</v>
      </c>
      <c r="O1305" t="s">
        <v>221</v>
      </c>
      <c r="Q1305" t="s">
        <v>19</v>
      </c>
    </row>
    <row r="1306" spans="1:17" x14ac:dyDescent="0.3">
      <c r="A1306">
        <v>100421069</v>
      </c>
      <c r="B1306" t="s">
        <v>218</v>
      </c>
      <c r="C1306" t="s">
        <v>19</v>
      </c>
      <c r="D1306" t="s">
        <v>224</v>
      </c>
      <c r="E1306" s="6">
        <v>11875.15</v>
      </c>
      <c r="F1306" t="s">
        <v>642</v>
      </c>
      <c r="G1306" s="4" t="str">
        <f t="shared" si="122"/>
        <v>11875.15</v>
      </c>
      <c r="H1306" t="str">
        <f t="shared" si="123"/>
        <v>11875.15</v>
      </c>
      <c r="I1306" s="1">
        <v>45716</v>
      </c>
      <c r="J1306" s="2">
        <f t="shared" si="124"/>
        <v>0.87795131146555838</v>
      </c>
      <c r="K1306" s="3" t="str">
        <f t="shared" si="125"/>
        <v>Check!</v>
      </c>
      <c r="L1306" t="str">
        <f t="shared" si="126"/>
        <v/>
      </c>
      <c r="M1306" t="str">
        <f t="shared" si="127"/>
        <v/>
      </c>
      <c r="N1306">
        <v>6323.46</v>
      </c>
      <c r="O1306" t="s">
        <v>225</v>
      </c>
      <c r="Q1306" t="s">
        <v>19</v>
      </c>
    </row>
    <row r="1307" spans="1:17" x14ac:dyDescent="0.3">
      <c r="A1307">
        <v>100489695</v>
      </c>
      <c r="B1307" t="s">
        <v>229</v>
      </c>
      <c r="C1307" t="s">
        <v>590</v>
      </c>
      <c r="D1307" t="s">
        <v>230</v>
      </c>
      <c r="E1307" s="6">
        <v>157792.35999999999</v>
      </c>
      <c r="F1307" t="s">
        <v>642</v>
      </c>
      <c r="G1307" s="4" t="str">
        <f t="shared" si="122"/>
        <v>157792.36</v>
      </c>
      <c r="H1307" t="str">
        <f t="shared" si="123"/>
        <v>157792.36</v>
      </c>
      <c r="I1307" s="1">
        <v>45716</v>
      </c>
      <c r="J1307" s="2">
        <f t="shared" si="124"/>
        <v>0.99342693123847436</v>
      </c>
      <c r="K1307" s="3" t="str">
        <f t="shared" si="125"/>
        <v>Check!</v>
      </c>
      <c r="L1307" t="str">
        <f t="shared" si="126"/>
        <v/>
      </c>
      <c r="M1307" t="str">
        <f t="shared" si="127"/>
        <v>Check</v>
      </c>
      <c r="N1307">
        <v>79156.33</v>
      </c>
      <c r="O1307" t="s">
        <v>231</v>
      </c>
      <c r="Q1307" t="s">
        <v>16</v>
      </c>
    </row>
    <row r="1308" spans="1:17" x14ac:dyDescent="0.3">
      <c r="A1308">
        <v>100492707</v>
      </c>
      <c r="B1308" t="s">
        <v>232</v>
      </c>
      <c r="C1308" t="s">
        <v>19</v>
      </c>
      <c r="D1308" t="s">
        <v>233</v>
      </c>
      <c r="E1308" s="6">
        <v>16350.62</v>
      </c>
      <c r="F1308" t="s">
        <v>642</v>
      </c>
      <c r="G1308" s="4" t="str">
        <f t="shared" si="122"/>
        <v>16350.62</v>
      </c>
      <c r="H1308" t="str">
        <f t="shared" si="123"/>
        <v>16350.62</v>
      </c>
      <c r="I1308" s="1">
        <v>45716</v>
      </c>
      <c r="J1308" s="2">
        <f t="shared" si="124"/>
        <v>0.93083047360826054</v>
      </c>
      <c r="K1308" s="3" t="str">
        <f t="shared" si="125"/>
        <v>Check!</v>
      </c>
      <c r="L1308" t="str">
        <f t="shared" si="126"/>
        <v/>
      </c>
      <c r="M1308" t="str">
        <f t="shared" si="127"/>
        <v/>
      </c>
      <c r="N1308">
        <v>8468.18</v>
      </c>
      <c r="O1308" t="s">
        <v>234</v>
      </c>
      <c r="Q1308" t="s">
        <v>19</v>
      </c>
    </row>
    <row r="1309" spans="1:17" x14ac:dyDescent="0.3">
      <c r="A1309">
        <v>100492707</v>
      </c>
      <c r="B1309" t="s">
        <v>232</v>
      </c>
      <c r="C1309" t="s">
        <v>19</v>
      </c>
      <c r="D1309" t="s">
        <v>624</v>
      </c>
      <c r="E1309" s="6">
        <v>54731</v>
      </c>
      <c r="F1309" t="s">
        <v>642</v>
      </c>
      <c r="G1309" s="4" t="str">
        <f t="shared" si="122"/>
        <v>54731</v>
      </c>
      <c r="H1309" t="str">
        <f t="shared" si="123"/>
        <v>54731</v>
      </c>
      <c r="I1309" s="1">
        <v>45716</v>
      </c>
      <c r="J1309" s="2">
        <f t="shared" si="124"/>
        <v>0.90099118571681125</v>
      </c>
      <c r="K1309" s="3" t="str">
        <f t="shared" si="125"/>
        <v>Check!</v>
      </c>
      <c r="L1309" t="str">
        <f t="shared" si="126"/>
        <v/>
      </c>
      <c r="M1309" t="str">
        <f t="shared" si="127"/>
        <v/>
      </c>
      <c r="N1309">
        <v>28790.77</v>
      </c>
      <c r="O1309" t="s">
        <v>672</v>
      </c>
      <c r="Q1309" t="s">
        <v>19</v>
      </c>
    </row>
    <row r="1310" spans="1:17" x14ac:dyDescent="0.3">
      <c r="A1310">
        <v>100564770</v>
      </c>
      <c r="B1310" t="s">
        <v>241</v>
      </c>
      <c r="C1310" t="s">
        <v>19</v>
      </c>
      <c r="D1310" t="s">
        <v>242</v>
      </c>
      <c r="E1310" s="6">
        <v>56909.19</v>
      </c>
      <c r="F1310" t="s">
        <v>642</v>
      </c>
      <c r="G1310" s="4" t="str">
        <f t="shared" si="122"/>
        <v>56909.19</v>
      </c>
      <c r="H1310" t="str">
        <f t="shared" si="123"/>
        <v>56909.19</v>
      </c>
      <c r="I1310" s="1">
        <v>45716</v>
      </c>
      <c r="J1310" s="2">
        <f t="shared" si="124"/>
        <v>0.95933672873903475</v>
      </c>
      <c r="K1310" s="3" t="str">
        <f t="shared" si="125"/>
        <v>Check!</v>
      </c>
      <c r="L1310" t="str">
        <f t="shared" si="126"/>
        <v/>
      </c>
      <c r="M1310" t="str">
        <f t="shared" si="127"/>
        <v/>
      </c>
      <c r="N1310">
        <v>29045.13</v>
      </c>
      <c r="O1310" t="s">
        <v>243</v>
      </c>
      <c r="Q1310" t="s">
        <v>19</v>
      </c>
    </row>
    <row r="1311" spans="1:17" x14ac:dyDescent="0.3">
      <c r="A1311">
        <v>100596195</v>
      </c>
      <c r="B1311" t="s">
        <v>244</v>
      </c>
      <c r="C1311" t="s">
        <v>590</v>
      </c>
      <c r="D1311" t="s">
        <v>245</v>
      </c>
      <c r="E1311" s="6">
        <v>160761.4</v>
      </c>
      <c r="F1311" t="s">
        <v>642</v>
      </c>
      <c r="G1311" s="4" t="str">
        <f t="shared" si="122"/>
        <v>160761.4</v>
      </c>
      <c r="H1311" t="str">
        <f t="shared" si="123"/>
        <v>160761.4</v>
      </c>
      <c r="I1311" s="1">
        <v>45716</v>
      </c>
      <c r="J1311" s="2">
        <f t="shared" si="124"/>
        <v>38.31394390548693</v>
      </c>
      <c r="K1311" s="3" t="str">
        <f t="shared" si="125"/>
        <v>Check!</v>
      </c>
      <c r="L1311" t="str">
        <f t="shared" si="126"/>
        <v/>
      </c>
      <c r="M1311" t="str">
        <f t="shared" si="127"/>
        <v>Check</v>
      </c>
      <c r="N1311">
        <v>4089.17</v>
      </c>
      <c r="O1311" t="s">
        <v>246</v>
      </c>
      <c r="Q1311" t="s">
        <v>16</v>
      </c>
    </row>
    <row r="1312" spans="1:17" x14ac:dyDescent="0.3">
      <c r="A1312">
        <v>100596197</v>
      </c>
      <c r="B1312" t="s">
        <v>247</v>
      </c>
      <c r="C1312" t="s">
        <v>590</v>
      </c>
      <c r="D1312" t="s">
        <v>248</v>
      </c>
      <c r="E1312" s="6">
        <v>8015.73</v>
      </c>
      <c r="F1312" t="s">
        <v>642</v>
      </c>
      <c r="G1312" s="4" t="str">
        <f t="shared" si="122"/>
        <v>8015.73</v>
      </c>
      <c r="H1312" t="str">
        <f t="shared" si="123"/>
        <v>8015.73</v>
      </c>
      <c r="I1312" s="1">
        <v>45716</v>
      </c>
      <c r="J1312" s="2">
        <f t="shared" si="124"/>
        <v>0.83908180472863669</v>
      </c>
      <c r="K1312" s="3" t="str">
        <f t="shared" si="125"/>
        <v>Check!</v>
      </c>
      <c r="L1312" t="str">
        <f t="shared" si="126"/>
        <v/>
      </c>
      <c r="M1312" t="str">
        <f t="shared" si="127"/>
        <v>Check</v>
      </c>
      <c r="N1312">
        <v>4358.55</v>
      </c>
      <c r="O1312" t="s">
        <v>249</v>
      </c>
      <c r="Q1312" t="s">
        <v>16</v>
      </c>
    </row>
    <row r="1313" spans="1:17" x14ac:dyDescent="0.3">
      <c r="A1313">
        <v>100596689</v>
      </c>
      <c r="B1313" t="s">
        <v>250</v>
      </c>
      <c r="C1313" t="s">
        <v>590</v>
      </c>
      <c r="D1313" t="s">
        <v>251</v>
      </c>
      <c r="E1313" s="6">
        <v>2623.95</v>
      </c>
      <c r="F1313" t="s">
        <v>642</v>
      </c>
      <c r="G1313" s="4" t="str">
        <f t="shared" si="122"/>
        <v>2623.95</v>
      </c>
      <c r="H1313" t="str">
        <f t="shared" si="123"/>
        <v>2623.95</v>
      </c>
      <c r="I1313" s="1">
        <v>45716</v>
      </c>
      <c r="J1313" s="2">
        <f t="shared" si="124"/>
        <v>0.9772357355999638</v>
      </c>
      <c r="K1313" s="3" t="str">
        <f t="shared" si="125"/>
        <v>Check!</v>
      </c>
      <c r="L1313" t="str">
        <f t="shared" si="126"/>
        <v/>
      </c>
      <c r="M1313" t="str">
        <f t="shared" si="127"/>
        <v>Check</v>
      </c>
      <c r="N1313">
        <v>1327.08</v>
      </c>
      <c r="O1313" t="s">
        <v>252</v>
      </c>
      <c r="Q1313" t="s">
        <v>16</v>
      </c>
    </row>
    <row r="1314" spans="1:17" x14ac:dyDescent="0.3">
      <c r="A1314">
        <v>100628018</v>
      </c>
      <c r="B1314" t="s">
        <v>253</v>
      </c>
      <c r="C1314" t="s">
        <v>590</v>
      </c>
      <c r="D1314" t="s">
        <v>254</v>
      </c>
      <c r="E1314" s="6">
        <v>60076.27</v>
      </c>
      <c r="F1314" t="s">
        <v>642</v>
      </c>
      <c r="G1314" s="4" t="str">
        <f t="shared" si="122"/>
        <v>60076.27</v>
      </c>
      <c r="H1314" t="str">
        <f t="shared" si="123"/>
        <v>60076.27</v>
      </c>
      <c r="I1314" s="1">
        <v>45716</v>
      </c>
      <c r="J1314" s="2">
        <f t="shared" si="124"/>
        <v>-0.72557233118624209</v>
      </c>
      <c r="K1314" s="3" t="str">
        <f t="shared" si="125"/>
        <v>Check!</v>
      </c>
      <c r="L1314" t="str">
        <f t="shared" si="126"/>
        <v/>
      </c>
      <c r="M1314" t="str">
        <f t="shared" si="127"/>
        <v>Check</v>
      </c>
      <c r="N1314">
        <v>218914.77</v>
      </c>
      <c r="O1314" t="s">
        <v>255</v>
      </c>
      <c r="Q1314" t="s">
        <v>16</v>
      </c>
    </row>
    <row r="1315" spans="1:17" x14ac:dyDescent="0.3">
      <c r="A1315">
        <v>100628990</v>
      </c>
      <c r="B1315" t="s">
        <v>256</v>
      </c>
      <c r="C1315" t="s">
        <v>19</v>
      </c>
      <c r="D1315" t="s">
        <v>257</v>
      </c>
      <c r="E1315" s="6">
        <v>774.71</v>
      </c>
      <c r="F1315" t="s">
        <v>642</v>
      </c>
      <c r="G1315" s="4" t="str">
        <f t="shared" si="122"/>
        <v>774.71</v>
      </c>
      <c r="H1315" t="str">
        <f t="shared" si="123"/>
        <v>774.71</v>
      </c>
      <c r="I1315" s="1">
        <v>45716</v>
      </c>
      <c r="J1315" s="2">
        <f t="shared" si="124"/>
        <v>1.0393008502461241</v>
      </c>
      <c r="K1315" s="3" t="str">
        <f t="shared" si="125"/>
        <v>Check!</v>
      </c>
      <c r="L1315" t="str">
        <f t="shared" si="126"/>
        <v/>
      </c>
      <c r="M1315" t="str">
        <f t="shared" si="127"/>
        <v/>
      </c>
      <c r="N1315">
        <v>379.89</v>
      </c>
      <c r="O1315" t="s">
        <v>258</v>
      </c>
      <c r="Q1315" t="s">
        <v>19</v>
      </c>
    </row>
    <row r="1316" spans="1:17" x14ac:dyDescent="0.3">
      <c r="A1316">
        <v>100630705</v>
      </c>
      <c r="B1316" t="s">
        <v>259</v>
      </c>
      <c r="C1316" t="s">
        <v>590</v>
      </c>
      <c r="D1316" t="s">
        <v>260</v>
      </c>
      <c r="E1316" s="6">
        <v>5223.41</v>
      </c>
      <c r="F1316" t="s">
        <v>642</v>
      </c>
      <c r="G1316" s="4" t="str">
        <f t="shared" si="122"/>
        <v>5223.41</v>
      </c>
      <c r="H1316" t="str">
        <f t="shared" si="123"/>
        <v>5223.41</v>
      </c>
      <c r="I1316" s="1">
        <v>45716</v>
      </c>
      <c r="J1316" s="2">
        <f t="shared" si="124"/>
        <v>0.98405059444676579</v>
      </c>
      <c r="K1316" s="3" t="str">
        <f t="shared" si="125"/>
        <v>Check!</v>
      </c>
      <c r="L1316" t="str">
        <f t="shared" si="126"/>
        <v/>
      </c>
      <c r="M1316" t="str">
        <f t="shared" si="127"/>
        <v>Check</v>
      </c>
      <c r="N1316">
        <v>2632.7</v>
      </c>
      <c r="O1316" t="s">
        <v>261</v>
      </c>
      <c r="Q1316" t="s">
        <v>16</v>
      </c>
    </row>
    <row r="1317" spans="1:17" x14ac:dyDescent="0.3">
      <c r="A1317">
        <v>100630706</v>
      </c>
      <c r="B1317" t="s">
        <v>262</v>
      </c>
      <c r="C1317" t="s">
        <v>590</v>
      </c>
      <c r="D1317" t="s">
        <v>263</v>
      </c>
      <c r="E1317" s="6">
        <v>877.27</v>
      </c>
      <c r="F1317" t="s">
        <v>642</v>
      </c>
      <c r="G1317" s="4" t="str">
        <f t="shared" si="122"/>
        <v>877.27</v>
      </c>
      <c r="H1317" t="str">
        <f t="shared" si="123"/>
        <v>877.27</v>
      </c>
      <c r="I1317" s="1">
        <v>45716</v>
      </c>
      <c r="J1317" s="2">
        <f t="shared" si="124"/>
        <v>0.95932907490954566</v>
      </c>
      <c r="K1317" s="3" t="str">
        <f t="shared" si="125"/>
        <v>Check!</v>
      </c>
      <c r="L1317" t="str">
        <f t="shared" si="126"/>
        <v/>
      </c>
      <c r="M1317" t="str">
        <f t="shared" si="127"/>
        <v>Check</v>
      </c>
      <c r="N1317">
        <v>447.74</v>
      </c>
      <c r="O1317" t="s">
        <v>264</v>
      </c>
      <c r="Q1317" t="s">
        <v>16</v>
      </c>
    </row>
    <row r="1318" spans="1:17" x14ac:dyDescent="0.3">
      <c r="A1318">
        <v>100633203</v>
      </c>
      <c r="B1318" t="s">
        <v>265</v>
      </c>
      <c r="C1318" t="s">
        <v>590</v>
      </c>
      <c r="D1318" t="s">
        <v>266</v>
      </c>
      <c r="E1318" s="6">
        <v>60888.68</v>
      </c>
      <c r="F1318" t="s">
        <v>642</v>
      </c>
      <c r="G1318" s="4" t="str">
        <f t="shared" si="122"/>
        <v>60888.68</v>
      </c>
      <c r="H1318" t="str">
        <f t="shared" si="123"/>
        <v>60888.68</v>
      </c>
      <c r="I1318" s="1">
        <v>45716</v>
      </c>
      <c r="J1318" s="2">
        <f t="shared" si="124"/>
        <v>3.2303605993360778</v>
      </c>
      <c r="K1318" s="3" t="str">
        <f t="shared" si="125"/>
        <v>Check!</v>
      </c>
      <c r="L1318" t="str">
        <f t="shared" si="126"/>
        <v/>
      </c>
      <c r="M1318" t="str">
        <f t="shared" si="127"/>
        <v>Check</v>
      </c>
      <c r="N1318">
        <v>14393.26</v>
      </c>
      <c r="O1318" t="s">
        <v>267</v>
      </c>
      <c r="Q1318" t="s">
        <v>16</v>
      </c>
    </row>
    <row r="1319" spans="1:17" x14ac:dyDescent="0.3">
      <c r="A1319">
        <v>100641153</v>
      </c>
      <c r="B1319" t="s">
        <v>273</v>
      </c>
      <c r="C1319" t="s">
        <v>19</v>
      </c>
      <c r="D1319" t="s">
        <v>274</v>
      </c>
      <c r="E1319" s="6">
        <v>12148.88</v>
      </c>
      <c r="F1319" t="s">
        <v>642</v>
      </c>
      <c r="G1319" s="4" t="str">
        <f t="shared" si="122"/>
        <v>12148.88</v>
      </c>
      <c r="H1319" t="str">
        <f t="shared" si="123"/>
        <v>12148.88</v>
      </c>
      <c r="I1319" s="1">
        <v>45716</v>
      </c>
      <c r="J1319" s="2">
        <f t="shared" si="124"/>
        <v>0.42105460160014951</v>
      </c>
      <c r="K1319" s="3" t="str">
        <f t="shared" si="125"/>
        <v>Check!</v>
      </c>
      <c r="L1319" t="str">
        <f t="shared" si="126"/>
        <v/>
      </c>
      <c r="M1319" t="str">
        <f t="shared" si="127"/>
        <v/>
      </c>
      <c r="N1319">
        <v>8549.2000000000007</v>
      </c>
      <c r="O1319" t="s">
        <v>275</v>
      </c>
      <c r="Q1319" t="s">
        <v>19</v>
      </c>
    </row>
    <row r="1320" spans="1:17" x14ac:dyDescent="0.3">
      <c r="A1320">
        <v>100651305</v>
      </c>
      <c r="B1320" t="s">
        <v>276</v>
      </c>
      <c r="C1320" t="s">
        <v>590</v>
      </c>
      <c r="D1320" t="s">
        <v>277</v>
      </c>
      <c r="E1320" s="6">
        <v>7920.69</v>
      </c>
      <c r="F1320" t="s">
        <v>642</v>
      </c>
      <c r="G1320" s="4" t="str">
        <f t="shared" si="122"/>
        <v>7920.69</v>
      </c>
      <c r="H1320" t="str">
        <f t="shared" si="123"/>
        <v>7920.69</v>
      </c>
      <c r="I1320" s="1">
        <v>45716</v>
      </c>
      <c r="J1320" s="2">
        <f t="shared" si="124"/>
        <v>0.19537556726344718</v>
      </c>
      <c r="K1320" s="3" t="str">
        <f t="shared" si="125"/>
        <v>Check!</v>
      </c>
      <c r="L1320" t="str">
        <f t="shared" si="126"/>
        <v/>
      </c>
      <c r="M1320" t="str">
        <f t="shared" si="127"/>
        <v>Check</v>
      </c>
      <c r="N1320">
        <v>6626.11</v>
      </c>
      <c r="O1320" t="s">
        <v>278</v>
      </c>
      <c r="Q1320" t="s">
        <v>16</v>
      </c>
    </row>
    <row r="1321" spans="1:17" x14ac:dyDescent="0.3">
      <c r="A1321">
        <v>100651921</v>
      </c>
      <c r="B1321" t="s">
        <v>279</v>
      </c>
      <c r="C1321" t="s">
        <v>590</v>
      </c>
      <c r="D1321" t="s">
        <v>280</v>
      </c>
      <c r="E1321" s="6">
        <v>31814.04</v>
      </c>
      <c r="F1321" t="s">
        <v>642</v>
      </c>
      <c r="G1321" s="4" t="str">
        <f t="shared" si="122"/>
        <v>31814.04</v>
      </c>
      <c r="H1321" t="str">
        <f t="shared" si="123"/>
        <v>31814.04</v>
      </c>
      <c r="I1321" s="1">
        <v>45716</v>
      </c>
      <c r="J1321" s="2">
        <f t="shared" si="124"/>
        <v>1.0003936143924539</v>
      </c>
      <c r="K1321" s="3" t="str">
        <f t="shared" si="125"/>
        <v>Check!</v>
      </c>
      <c r="L1321" t="str">
        <f t="shared" si="126"/>
        <v/>
      </c>
      <c r="M1321" t="str">
        <f t="shared" si="127"/>
        <v>Check</v>
      </c>
      <c r="N1321">
        <v>15903.89</v>
      </c>
      <c r="O1321" t="s">
        <v>281</v>
      </c>
      <c r="Q1321" t="s">
        <v>16</v>
      </c>
    </row>
    <row r="1322" spans="1:17" x14ac:dyDescent="0.3">
      <c r="A1322">
        <v>100651921</v>
      </c>
      <c r="B1322" t="s">
        <v>279</v>
      </c>
      <c r="C1322" t="s">
        <v>590</v>
      </c>
      <c r="D1322" t="s">
        <v>282</v>
      </c>
      <c r="E1322" s="6">
        <v>4158.71</v>
      </c>
      <c r="F1322" t="s">
        <v>642</v>
      </c>
      <c r="G1322" s="4" t="str">
        <f t="shared" si="122"/>
        <v>4158.71</v>
      </c>
      <c r="H1322" t="str">
        <f t="shared" si="123"/>
        <v>4158.71</v>
      </c>
      <c r="I1322" s="1">
        <v>45716</v>
      </c>
      <c r="J1322" s="2">
        <f t="shared" si="124"/>
        <v>0.99332317190076291</v>
      </c>
      <c r="K1322" s="3" t="str">
        <f t="shared" si="125"/>
        <v>Check!</v>
      </c>
      <c r="L1322" t="str">
        <f t="shared" si="126"/>
        <v/>
      </c>
      <c r="M1322" t="str">
        <f t="shared" si="127"/>
        <v>Check</v>
      </c>
      <c r="N1322">
        <v>2086.3200000000002</v>
      </c>
      <c r="O1322" t="s">
        <v>283</v>
      </c>
      <c r="Q1322" t="s">
        <v>16</v>
      </c>
    </row>
    <row r="1323" spans="1:17" x14ac:dyDescent="0.3">
      <c r="A1323">
        <v>100655835</v>
      </c>
      <c r="B1323" t="s">
        <v>284</v>
      </c>
      <c r="C1323" t="s">
        <v>19</v>
      </c>
      <c r="D1323" t="s">
        <v>285</v>
      </c>
      <c r="E1323" s="6">
        <v>1171756.3400000001</v>
      </c>
      <c r="F1323" t="s">
        <v>642</v>
      </c>
      <c r="G1323" s="4" t="str">
        <f t="shared" si="122"/>
        <v>1171756.34</v>
      </c>
      <c r="H1323" t="str">
        <f t="shared" si="123"/>
        <v>1171756.34</v>
      </c>
      <c r="I1323" s="1">
        <v>45716</v>
      </c>
      <c r="J1323" s="2">
        <f t="shared" si="124"/>
        <v>1.0069667876069928</v>
      </c>
      <c r="K1323" s="3" t="str">
        <f t="shared" si="125"/>
        <v>Check!</v>
      </c>
      <c r="L1323" t="str">
        <f t="shared" si="126"/>
        <v/>
      </c>
      <c r="M1323" t="str">
        <f t="shared" si="127"/>
        <v/>
      </c>
      <c r="N1323">
        <v>583844.41</v>
      </c>
      <c r="O1323" t="s">
        <v>286</v>
      </c>
      <c r="Q1323" t="s">
        <v>19</v>
      </c>
    </row>
    <row r="1324" spans="1:17" x14ac:dyDescent="0.3">
      <c r="A1324">
        <v>100663638</v>
      </c>
      <c r="B1324" t="s">
        <v>287</v>
      </c>
      <c r="C1324" t="s">
        <v>19</v>
      </c>
      <c r="D1324" t="s">
        <v>288</v>
      </c>
      <c r="E1324" s="6">
        <v>130251.19</v>
      </c>
      <c r="F1324" t="s">
        <v>642</v>
      </c>
      <c r="G1324" s="4" t="str">
        <f t="shared" si="122"/>
        <v>130251.19</v>
      </c>
      <c r="H1324" t="str">
        <f t="shared" si="123"/>
        <v>130251.19</v>
      </c>
      <c r="I1324" s="1">
        <v>45716</v>
      </c>
      <c r="J1324" s="2">
        <f t="shared" si="124"/>
        <v>0.87948885296528689</v>
      </c>
      <c r="K1324" s="3" t="str">
        <f t="shared" si="125"/>
        <v>Check!</v>
      </c>
      <c r="L1324" t="str">
        <f t="shared" si="126"/>
        <v/>
      </c>
      <c r="M1324" t="str">
        <f t="shared" si="127"/>
        <v/>
      </c>
      <c r="N1324">
        <v>69301.39</v>
      </c>
      <c r="O1324" t="s">
        <v>289</v>
      </c>
      <c r="Q1324" t="s">
        <v>19</v>
      </c>
    </row>
    <row r="1325" spans="1:17" x14ac:dyDescent="0.3">
      <c r="A1325">
        <v>100663638</v>
      </c>
      <c r="B1325" t="s">
        <v>287</v>
      </c>
      <c r="C1325" t="s">
        <v>19</v>
      </c>
      <c r="D1325" t="s">
        <v>290</v>
      </c>
      <c r="E1325" s="6">
        <v>5296.35</v>
      </c>
      <c r="F1325" t="s">
        <v>642</v>
      </c>
      <c r="G1325" s="4" t="str">
        <f t="shared" si="122"/>
        <v>5296.35</v>
      </c>
      <c r="H1325" t="str">
        <f t="shared" si="123"/>
        <v>5296.35</v>
      </c>
      <c r="I1325" s="1">
        <v>45716</v>
      </c>
      <c r="J1325" s="2">
        <f t="shared" si="124"/>
        <v>0.91097039562699578</v>
      </c>
      <c r="K1325" s="3" t="str">
        <f t="shared" si="125"/>
        <v>Check!</v>
      </c>
      <c r="L1325" t="str">
        <f t="shared" si="126"/>
        <v/>
      </c>
      <c r="M1325" t="str">
        <f t="shared" si="127"/>
        <v/>
      </c>
      <c r="N1325">
        <v>2771.55</v>
      </c>
      <c r="O1325" t="s">
        <v>291</v>
      </c>
      <c r="Q1325" t="s">
        <v>19</v>
      </c>
    </row>
    <row r="1326" spans="1:17" x14ac:dyDescent="0.3">
      <c r="A1326">
        <v>100663638</v>
      </c>
      <c r="B1326" t="s">
        <v>287</v>
      </c>
      <c r="C1326" t="s">
        <v>590</v>
      </c>
      <c r="D1326" t="s">
        <v>600</v>
      </c>
      <c r="E1326" s="6">
        <v>160368.64000000001</v>
      </c>
      <c r="F1326" t="s">
        <v>642</v>
      </c>
      <c r="G1326" s="4" t="str">
        <f t="shared" si="122"/>
        <v>160368.64</v>
      </c>
      <c r="H1326" t="str">
        <f t="shared" si="123"/>
        <v>160368.64</v>
      </c>
      <c r="I1326" s="1">
        <v>45716</v>
      </c>
      <c r="J1326" s="2">
        <f t="shared" si="124"/>
        <v>3.7246398672599743</v>
      </c>
      <c r="K1326" s="3" t="str">
        <f t="shared" si="125"/>
        <v>Check!</v>
      </c>
      <c r="L1326" t="str">
        <f t="shared" si="126"/>
        <v/>
      </c>
      <c r="M1326" t="str">
        <f t="shared" si="127"/>
        <v/>
      </c>
      <c r="N1326">
        <v>33943.040000000001</v>
      </c>
      <c r="O1326" t="s">
        <v>666</v>
      </c>
      <c r="Q1326" t="s">
        <v>590</v>
      </c>
    </row>
    <row r="1327" spans="1:17" x14ac:dyDescent="0.3">
      <c r="A1327">
        <v>100664029</v>
      </c>
      <c r="B1327" t="s">
        <v>292</v>
      </c>
      <c r="C1327" t="s">
        <v>19</v>
      </c>
      <c r="D1327" t="s">
        <v>293</v>
      </c>
      <c r="E1327" s="6">
        <v>21251.67</v>
      </c>
      <c r="F1327" t="s">
        <v>642</v>
      </c>
      <c r="G1327" s="4" t="str">
        <f t="shared" si="122"/>
        <v>21251.67</v>
      </c>
      <c r="H1327" t="str">
        <f t="shared" si="123"/>
        <v>21251.67</v>
      </c>
      <c r="I1327" s="1">
        <v>45716</v>
      </c>
      <c r="J1327" s="2">
        <f t="shared" si="124"/>
        <v>0.90232486111881915</v>
      </c>
      <c r="K1327" s="3" t="str">
        <f t="shared" si="125"/>
        <v>Check!</v>
      </c>
      <c r="L1327" t="str">
        <f t="shared" si="126"/>
        <v/>
      </c>
      <c r="M1327" t="str">
        <f t="shared" si="127"/>
        <v/>
      </c>
      <c r="N1327">
        <v>11171.42</v>
      </c>
      <c r="O1327" t="s">
        <v>294</v>
      </c>
      <c r="Q1327" t="s">
        <v>19</v>
      </c>
    </row>
    <row r="1328" spans="1:17" x14ac:dyDescent="0.3">
      <c r="A1328">
        <v>100664029</v>
      </c>
      <c r="B1328" t="s">
        <v>292</v>
      </c>
      <c r="C1328" t="s">
        <v>19</v>
      </c>
      <c r="D1328" t="s">
        <v>295</v>
      </c>
      <c r="E1328" s="6">
        <v>15500.99</v>
      </c>
      <c r="F1328" t="s">
        <v>642</v>
      </c>
      <c r="G1328" s="4" t="str">
        <f t="shared" si="122"/>
        <v>15500.99</v>
      </c>
      <c r="H1328" t="str">
        <f t="shared" si="123"/>
        <v>15500.99</v>
      </c>
      <c r="I1328" s="1">
        <v>45716</v>
      </c>
      <c r="J1328" s="2">
        <f t="shared" si="124"/>
        <v>0.92667062748276063</v>
      </c>
      <c r="K1328" s="3" t="str">
        <f t="shared" si="125"/>
        <v>Check!</v>
      </c>
      <c r="L1328" t="str">
        <f t="shared" si="126"/>
        <v/>
      </c>
      <c r="M1328" t="str">
        <f t="shared" si="127"/>
        <v/>
      </c>
      <c r="N1328">
        <v>8045.48</v>
      </c>
      <c r="O1328" t="s">
        <v>296</v>
      </c>
      <c r="Q1328" t="s">
        <v>19</v>
      </c>
    </row>
    <row r="1329" spans="1:17" x14ac:dyDescent="0.3">
      <c r="A1329">
        <v>100664292</v>
      </c>
      <c r="B1329" t="s">
        <v>297</v>
      </c>
      <c r="C1329" t="s">
        <v>590</v>
      </c>
      <c r="D1329" t="s">
        <v>298</v>
      </c>
      <c r="E1329" s="6">
        <v>26227.57</v>
      </c>
      <c r="F1329" t="s">
        <v>642</v>
      </c>
      <c r="G1329" s="4" t="str">
        <f t="shared" si="122"/>
        <v>26227.57</v>
      </c>
      <c r="H1329" t="str">
        <f t="shared" si="123"/>
        <v>26227.57</v>
      </c>
      <c r="I1329" s="1">
        <v>45716</v>
      </c>
      <c r="J1329" s="2">
        <f t="shared" si="124"/>
        <v>0.98848422219408594</v>
      </c>
      <c r="K1329" s="3" t="str">
        <f t="shared" si="125"/>
        <v>Check!</v>
      </c>
      <c r="L1329" t="str">
        <f t="shared" si="126"/>
        <v/>
      </c>
      <c r="M1329" t="str">
        <f t="shared" si="127"/>
        <v>Check</v>
      </c>
      <c r="N1329">
        <v>13189.73</v>
      </c>
      <c r="O1329" t="s">
        <v>299</v>
      </c>
      <c r="Q1329" t="s">
        <v>16</v>
      </c>
    </row>
    <row r="1330" spans="1:17" x14ac:dyDescent="0.3">
      <c r="A1330">
        <v>100664292</v>
      </c>
      <c r="B1330" t="s">
        <v>297</v>
      </c>
      <c r="C1330" t="s">
        <v>19</v>
      </c>
      <c r="D1330" t="s">
        <v>300</v>
      </c>
      <c r="E1330" s="6">
        <v>50002.080000000002</v>
      </c>
      <c r="F1330" t="s">
        <v>642</v>
      </c>
      <c r="G1330" s="4" t="str">
        <f t="shared" si="122"/>
        <v>50002.08</v>
      </c>
      <c r="H1330" t="str">
        <f t="shared" si="123"/>
        <v>50002.08</v>
      </c>
      <c r="I1330" s="1">
        <v>45716</v>
      </c>
      <c r="J1330" s="2">
        <f t="shared" si="124"/>
        <v>0.76012965279718736</v>
      </c>
      <c r="K1330" s="3" t="str">
        <f t="shared" si="125"/>
        <v>Check!</v>
      </c>
      <c r="L1330" t="str">
        <f t="shared" si="126"/>
        <v/>
      </c>
      <c r="M1330" t="str">
        <f t="shared" si="127"/>
        <v/>
      </c>
      <c r="N1330">
        <v>28408.18</v>
      </c>
      <c r="O1330" t="s">
        <v>301</v>
      </c>
      <c r="Q1330" t="s">
        <v>19</v>
      </c>
    </row>
    <row r="1331" spans="1:17" x14ac:dyDescent="0.3">
      <c r="A1331">
        <v>100664348</v>
      </c>
      <c r="B1331" t="s">
        <v>302</v>
      </c>
      <c r="C1331" t="s">
        <v>19</v>
      </c>
      <c r="D1331" t="s">
        <v>303</v>
      </c>
      <c r="E1331" s="6">
        <v>56999.9</v>
      </c>
      <c r="F1331" t="s">
        <v>642</v>
      </c>
      <c r="G1331" s="4" t="str">
        <f t="shared" si="122"/>
        <v>56999.9</v>
      </c>
      <c r="H1331" t="str">
        <f t="shared" si="123"/>
        <v>56999.9</v>
      </c>
      <c r="I1331" s="1">
        <v>45716</v>
      </c>
      <c r="J1331" s="2">
        <f t="shared" si="124"/>
        <v>0.92029676385631309</v>
      </c>
      <c r="K1331" s="3" t="str">
        <f t="shared" si="125"/>
        <v>Check!</v>
      </c>
      <c r="L1331" t="str">
        <f t="shared" si="126"/>
        <v/>
      </c>
      <c r="M1331" t="str">
        <f t="shared" si="127"/>
        <v/>
      </c>
      <c r="N1331">
        <v>29682.86</v>
      </c>
      <c r="O1331" t="s">
        <v>304</v>
      </c>
      <c r="Q1331" t="s">
        <v>19</v>
      </c>
    </row>
    <row r="1332" spans="1:17" x14ac:dyDescent="0.3">
      <c r="A1332">
        <v>100664351</v>
      </c>
      <c r="B1332" t="s">
        <v>305</v>
      </c>
      <c r="C1332" t="s">
        <v>19</v>
      </c>
      <c r="D1332" t="s">
        <v>306</v>
      </c>
      <c r="E1332" s="6">
        <v>499.05</v>
      </c>
      <c r="F1332" t="s">
        <v>642</v>
      </c>
      <c r="G1332" s="4" t="str">
        <f t="shared" si="122"/>
        <v>499.05</v>
      </c>
      <c r="H1332" t="str">
        <f t="shared" si="123"/>
        <v>499.05</v>
      </c>
      <c r="I1332" s="1">
        <v>45716</v>
      </c>
      <c r="J1332" s="2">
        <f t="shared" si="124"/>
        <v>0.93071030640668517</v>
      </c>
      <c r="K1332" s="3" t="str">
        <f t="shared" si="125"/>
        <v>Check!</v>
      </c>
      <c r="L1332" t="str">
        <f t="shared" si="126"/>
        <v/>
      </c>
      <c r="M1332" t="str">
        <f t="shared" si="127"/>
        <v/>
      </c>
      <c r="N1332">
        <v>258.48</v>
      </c>
      <c r="O1332" t="s">
        <v>307</v>
      </c>
      <c r="Q1332" t="s">
        <v>19</v>
      </c>
    </row>
    <row r="1333" spans="1:17" x14ac:dyDescent="0.3">
      <c r="A1333">
        <v>100664737</v>
      </c>
      <c r="B1333" t="s">
        <v>313</v>
      </c>
      <c r="C1333" t="s">
        <v>19</v>
      </c>
      <c r="D1333" t="s">
        <v>314</v>
      </c>
      <c r="E1333" s="6">
        <v>27461.47</v>
      </c>
      <c r="F1333" t="s">
        <v>642</v>
      </c>
      <c r="G1333" s="4" t="str">
        <f t="shared" si="122"/>
        <v>27461.47</v>
      </c>
      <c r="H1333" t="str">
        <f t="shared" si="123"/>
        <v>27461.47</v>
      </c>
      <c r="I1333" s="1">
        <v>45716</v>
      </c>
      <c r="J1333" s="2">
        <f t="shared" si="124"/>
        <v>0.96271400370794447</v>
      </c>
      <c r="K1333" s="3" t="str">
        <f t="shared" si="125"/>
        <v>Check!</v>
      </c>
      <c r="L1333" t="str">
        <f t="shared" si="126"/>
        <v/>
      </c>
      <c r="M1333" t="str">
        <f t="shared" si="127"/>
        <v/>
      </c>
      <c r="N1333">
        <v>13991.58</v>
      </c>
      <c r="O1333" t="s">
        <v>315</v>
      </c>
      <c r="Q1333" t="s">
        <v>19</v>
      </c>
    </row>
    <row r="1334" spans="1:17" x14ac:dyDescent="0.3">
      <c r="A1334">
        <v>100664737</v>
      </c>
      <c r="B1334" t="s">
        <v>313</v>
      </c>
      <c r="C1334" t="s">
        <v>19</v>
      </c>
      <c r="D1334" t="s">
        <v>316</v>
      </c>
      <c r="E1334" s="6">
        <v>8359.56</v>
      </c>
      <c r="F1334" t="s">
        <v>642</v>
      </c>
      <c r="G1334" s="4" t="str">
        <f t="shared" si="122"/>
        <v>8359.56</v>
      </c>
      <c r="H1334" t="str">
        <f t="shared" si="123"/>
        <v>8359.56</v>
      </c>
      <c r="I1334" s="1">
        <v>45716</v>
      </c>
      <c r="J1334" s="2">
        <f t="shared" si="124"/>
        <v>0.98254979758429251</v>
      </c>
      <c r="K1334" s="3" t="str">
        <f t="shared" si="125"/>
        <v>Check!</v>
      </c>
      <c r="L1334" t="str">
        <f t="shared" si="126"/>
        <v/>
      </c>
      <c r="M1334" t="str">
        <f t="shared" si="127"/>
        <v/>
      </c>
      <c r="N1334">
        <v>4216.57</v>
      </c>
      <c r="O1334" t="s">
        <v>317</v>
      </c>
      <c r="Q1334" t="s">
        <v>19</v>
      </c>
    </row>
    <row r="1335" spans="1:17" x14ac:dyDescent="0.3">
      <c r="A1335">
        <v>100665510</v>
      </c>
      <c r="B1335" t="s">
        <v>318</v>
      </c>
      <c r="C1335" t="s">
        <v>19</v>
      </c>
      <c r="D1335" t="s">
        <v>319</v>
      </c>
      <c r="E1335" s="6">
        <v>4978.75</v>
      </c>
      <c r="F1335" t="s">
        <v>642</v>
      </c>
      <c r="G1335" s="4" t="str">
        <f t="shared" si="122"/>
        <v>4978.75</v>
      </c>
      <c r="H1335" t="str">
        <f t="shared" si="123"/>
        <v>4978.75</v>
      </c>
      <c r="I1335" s="1">
        <v>45716</v>
      </c>
      <c r="J1335" s="2">
        <f t="shared" si="124"/>
        <v>0.98390560932749427</v>
      </c>
      <c r="K1335" s="3" t="str">
        <f t="shared" si="125"/>
        <v>Check!</v>
      </c>
      <c r="L1335" t="str">
        <f t="shared" si="126"/>
        <v/>
      </c>
      <c r="M1335" t="str">
        <f t="shared" si="127"/>
        <v/>
      </c>
      <c r="N1335">
        <v>2509.5700000000002</v>
      </c>
      <c r="O1335" t="s">
        <v>320</v>
      </c>
      <c r="Q1335" t="s">
        <v>19</v>
      </c>
    </row>
    <row r="1336" spans="1:17" x14ac:dyDescent="0.3">
      <c r="A1336">
        <v>100665581</v>
      </c>
      <c r="B1336" t="s">
        <v>321</v>
      </c>
      <c r="C1336" t="s">
        <v>590</v>
      </c>
      <c r="D1336" t="s">
        <v>639</v>
      </c>
      <c r="E1336" s="6">
        <v>116189.72</v>
      </c>
      <c r="F1336" t="s">
        <v>642</v>
      </c>
      <c r="G1336" s="4" t="str">
        <f t="shared" si="122"/>
        <v>116189.72</v>
      </c>
      <c r="H1336" t="str">
        <f t="shared" si="123"/>
        <v>116189.72</v>
      </c>
      <c r="I1336" s="1">
        <v>45716</v>
      </c>
      <c r="J1336" s="2">
        <f t="shared" si="124"/>
        <v>8.1780437346410171</v>
      </c>
      <c r="K1336" s="3" t="str">
        <f t="shared" si="125"/>
        <v>Check!</v>
      </c>
      <c r="L1336" t="str">
        <f t="shared" si="126"/>
        <v/>
      </c>
      <c r="M1336" t="str">
        <f t="shared" si="127"/>
        <v/>
      </c>
      <c r="N1336">
        <v>12659.53</v>
      </c>
      <c r="O1336" t="s">
        <v>673</v>
      </c>
      <c r="Q1336" t="s">
        <v>590</v>
      </c>
    </row>
    <row r="1337" spans="1:17" x14ac:dyDescent="0.3">
      <c r="A1337">
        <v>100666150</v>
      </c>
      <c r="B1337" t="s">
        <v>324</v>
      </c>
      <c r="C1337" t="s">
        <v>19</v>
      </c>
      <c r="D1337" t="s">
        <v>325</v>
      </c>
      <c r="E1337" s="6">
        <v>83868.100000000006</v>
      </c>
      <c r="F1337" t="s">
        <v>642</v>
      </c>
      <c r="G1337" s="4" t="str">
        <f t="shared" si="122"/>
        <v>83868.1</v>
      </c>
      <c r="H1337" t="str">
        <f t="shared" si="123"/>
        <v>83868.1</v>
      </c>
      <c r="I1337" s="1">
        <v>45716</v>
      </c>
      <c r="J1337" s="2">
        <f t="shared" si="124"/>
        <v>0.87403483455407938</v>
      </c>
      <c r="K1337" s="3" t="str">
        <f t="shared" si="125"/>
        <v>Check!</v>
      </c>
      <c r="L1337" t="str">
        <f t="shared" si="126"/>
        <v/>
      </c>
      <c r="M1337" t="str">
        <f t="shared" si="127"/>
        <v/>
      </c>
      <c r="N1337">
        <v>44752.69</v>
      </c>
      <c r="O1337" t="s">
        <v>326</v>
      </c>
      <c r="Q1337" t="s">
        <v>19</v>
      </c>
    </row>
    <row r="1338" spans="1:17" x14ac:dyDescent="0.3">
      <c r="A1338">
        <v>100668409</v>
      </c>
      <c r="B1338" t="s">
        <v>327</v>
      </c>
      <c r="C1338" t="s">
        <v>590</v>
      </c>
      <c r="D1338" t="s">
        <v>328</v>
      </c>
      <c r="E1338" s="6">
        <v>4371.84</v>
      </c>
      <c r="F1338" t="s">
        <v>642</v>
      </c>
      <c r="G1338" s="4" t="str">
        <f t="shared" si="122"/>
        <v>4371.84</v>
      </c>
      <c r="H1338" t="str">
        <f t="shared" si="123"/>
        <v>4371.84</v>
      </c>
      <c r="I1338" s="1">
        <v>45716</v>
      </c>
      <c r="J1338" s="2">
        <f t="shared" si="124"/>
        <v>0.98260396353906865</v>
      </c>
      <c r="K1338" s="3" t="str">
        <f t="shared" si="125"/>
        <v>Check!</v>
      </c>
      <c r="L1338" t="str">
        <f t="shared" si="126"/>
        <v/>
      </c>
      <c r="M1338" t="str">
        <f t="shared" si="127"/>
        <v>Check</v>
      </c>
      <c r="N1338">
        <v>2205.1</v>
      </c>
      <c r="O1338" t="s">
        <v>329</v>
      </c>
      <c r="Q1338" t="s">
        <v>16</v>
      </c>
    </row>
    <row r="1339" spans="1:17" x14ac:dyDescent="0.3">
      <c r="A1339">
        <v>100668534</v>
      </c>
      <c r="B1339" t="s">
        <v>330</v>
      </c>
      <c r="C1339" t="s">
        <v>590</v>
      </c>
      <c r="D1339" t="s">
        <v>331</v>
      </c>
      <c r="E1339" s="6">
        <v>4081.39</v>
      </c>
      <c r="F1339" t="s">
        <v>642</v>
      </c>
      <c r="G1339" s="4" t="str">
        <f t="shared" si="122"/>
        <v>4081.39</v>
      </c>
      <c r="H1339" t="str">
        <f t="shared" si="123"/>
        <v>4081.39</v>
      </c>
      <c r="I1339" s="1">
        <v>45716</v>
      </c>
      <c r="J1339" s="2">
        <f t="shared" si="124"/>
        <v>0.98236394103504387</v>
      </c>
      <c r="K1339" s="3" t="str">
        <f t="shared" si="125"/>
        <v>Check!</v>
      </c>
      <c r="L1339" t="str">
        <f t="shared" si="126"/>
        <v/>
      </c>
      <c r="M1339" t="str">
        <f t="shared" si="127"/>
        <v>Check</v>
      </c>
      <c r="N1339">
        <v>2058.85</v>
      </c>
      <c r="O1339" t="s">
        <v>332</v>
      </c>
      <c r="Q1339" t="s">
        <v>16</v>
      </c>
    </row>
    <row r="1340" spans="1:17" x14ac:dyDescent="0.3">
      <c r="A1340">
        <v>100669580</v>
      </c>
      <c r="B1340" t="s">
        <v>333</v>
      </c>
      <c r="C1340" t="s">
        <v>19</v>
      </c>
      <c r="D1340" t="s">
        <v>334</v>
      </c>
      <c r="E1340" s="6">
        <v>13977.8</v>
      </c>
      <c r="F1340" t="s">
        <v>642</v>
      </c>
      <c r="G1340" s="4" t="str">
        <f t="shared" si="122"/>
        <v>13977.8</v>
      </c>
      <c r="H1340" t="str">
        <f t="shared" si="123"/>
        <v>13977.8</v>
      </c>
      <c r="I1340" s="1">
        <v>45716</v>
      </c>
      <c r="J1340" s="2">
        <f t="shared" si="124"/>
        <v>0.98442590949423237</v>
      </c>
      <c r="K1340" s="3" t="str">
        <f t="shared" si="125"/>
        <v>Check!</v>
      </c>
      <c r="L1340" t="str">
        <f t="shared" si="126"/>
        <v/>
      </c>
      <c r="M1340" t="str">
        <f t="shared" si="127"/>
        <v/>
      </c>
      <c r="N1340">
        <v>7043.75</v>
      </c>
      <c r="O1340" t="s">
        <v>335</v>
      </c>
      <c r="Q1340" t="s">
        <v>19</v>
      </c>
    </row>
    <row r="1341" spans="1:17" x14ac:dyDescent="0.3">
      <c r="A1341">
        <v>100670671</v>
      </c>
      <c r="B1341" t="s">
        <v>336</v>
      </c>
      <c r="C1341" t="s">
        <v>590</v>
      </c>
      <c r="D1341" t="s">
        <v>337</v>
      </c>
      <c r="E1341" s="6">
        <v>62786.06</v>
      </c>
      <c r="F1341" t="s">
        <v>642</v>
      </c>
      <c r="G1341" s="4" t="str">
        <f t="shared" si="122"/>
        <v>62786.06</v>
      </c>
      <c r="H1341" t="str">
        <f t="shared" si="123"/>
        <v>62786.06</v>
      </c>
      <c r="I1341" s="1">
        <v>45716</v>
      </c>
      <c r="J1341" s="2">
        <f t="shared" si="124"/>
        <v>4.5659130921965954</v>
      </c>
      <c r="K1341" s="3" t="str">
        <f t="shared" si="125"/>
        <v>Check!</v>
      </c>
      <c r="L1341" t="str">
        <f t="shared" si="126"/>
        <v/>
      </c>
      <c r="M1341" t="str">
        <f t="shared" si="127"/>
        <v>Check</v>
      </c>
      <c r="N1341">
        <v>11280.46</v>
      </c>
      <c r="O1341" t="s">
        <v>338</v>
      </c>
      <c r="Q1341" t="s">
        <v>16</v>
      </c>
    </row>
    <row r="1342" spans="1:17" x14ac:dyDescent="0.3">
      <c r="A1342">
        <v>100672294</v>
      </c>
      <c r="B1342" t="s">
        <v>341</v>
      </c>
      <c r="C1342" t="s">
        <v>590</v>
      </c>
      <c r="D1342" t="s">
        <v>342</v>
      </c>
      <c r="E1342" s="6">
        <v>19126.830000000002</v>
      </c>
      <c r="F1342" t="s">
        <v>642</v>
      </c>
      <c r="G1342" s="4" t="str">
        <f t="shared" si="122"/>
        <v>19126.83</v>
      </c>
      <c r="H1342" t="str">
        <f t="shared" si="123"/>
        <v>19126.83</v>
      </c>
      <c r="I1342" s="1">
        <v>45716</v>
      </c>
      <c r="J1342" s="2">
        <f t="shared" si="124"/>
        <v>0.50639121312549618</v>
      </c>
      <c r="K1342" s="3" t="str">
        <f t="shared" si="125"/>
        <v>Check!</v>
      </c>
      <c r="L1342" t="str">
        <f t="shared" si="126"/>
        <v/>
      </c>
      <c r="M1342" t="str">
        <f t="shared" si="127"/>
        <v>Check</v>
      </c>
      <c r="N1342">
        <v>12697.12</v>
      </c>
      <c r="O1342" t="s">
        <v>343</v>
      </c>
      <c r="Q1342" t="s">
        <v>16</v>
      </c>
    </row>
    <row r="1343" spans="1:17" x14ac:dyDescent="0.3">
      <c r="A1343">
        <v>100672395</v>
      </c>
      <c r="B1343" t="s">
        <v>344</v>
      </c>
      <c r="C1343" t="s">
        <v>590</v>
      </c>
      <c r="D1343" t="s">
        <v>345</v>
      </c>
      <c r="E1343" s="6">
        <v>2989.47</v>
      </c>
      <c r="F1343" t="s">
        <v>642</v>
      </c>
      <c r="G1343" s="4" t="str">
        <f t="shared" si="122"/>
        <v>2989.47</v>
      </c>
      <c r="H1343" t="str">
        <f t="shared" si="123"/>
        <v>2989.47</v>
      </c>
      <c r="I1343" s="1">
        <v>45716</v>
      </c>
      <c r="J1343" s="2">
        <f t="shared" si="124"/>
        <v>-0.15318221990572881</v>
      </c>
      <c r="K1343" s="3" t="str">
        <f t="shared" si="125"/>
        <v>Check!</v>
      </c>
      <c r="L1343" t="str">
        <f t="shared" si="126"/>
        <v/>
      </c>
      <c r="M1343" t="str">
        <f t="shared" si="127"/>
        <v>Check</v>
      </c>
      <c r="N1343">
        <v>3530.24</v>
      </c>
      <c r="O1343" t="s">
        <v>346</v>
      </c>
      <c r="Q1343" t="s">
        <v>16</v>
      </c>
    </row>
    <row r="1344" spans="1:17" x14ac:dyDescent="0.3">
      <c r="A1344">
        <v>100675336</v>
      </c>
      <c r="B1344" t="s">
        <v>347</v>
      </c>
      <c r="C1344" t="s">
        <v>19</v>
      </c>
      <c r="D1344" t="s">
        <v>348</v>
      </c>
      <c r="E1344" s="6">
        <v>3395.11</v>
      </c>
      <c r="F1344" t="s">
        <v>642</v>
      </c>
      <c r="G1344" s="4" t="str">
        <f t="shared" si="122"/>
        <v>3395.11</v>
      </c>
      <c r="H1344" t="str">
        <f t="shared" si="123"/>
        <v>3395.11</v>
      </c>
      <c r="I1344" s="1">
        <v>45716</v>
      </c>
      <c r="J1344" s="2">
        <f t="shared" si="124"/>
        <v>-0.23253884651726328</v>
      </c>
      <c r="K1344" s="3" t="str">
        <f t="shared" si="125"/>
        <v>Check!</v>
      </c>
      <c r="L1344" t="str">
        <f t="shared" si="126"/>
        <v/>
      </c>
      <c r="M1344" t="str">
        <f t="shared" si="127"/>
        <v/>
      </c>
      <c r="N1344">
        <v>4423.82</v>
      </c>
      <c r="O1344" t="s">
        <v>349</v>
      </c>
      <c r="Q1344" t="s">
        <v>19</v>
      </c>
    </row>
    <row r="1345" spans="1:17" x14ac:dyDescent="0.3">
      <c r="A1345">
        <v>100677278</v>
      </c>
      <c r="B1345" t="s">
        <v>350</v>
      </c>
      <c r="C1345" t="s">
        <v>19</v>
      </c>
      <c r="D1345" t="s">
        <v>351</v>
      </c>
      <c r="E1345" s="6">
        <v>46110.34</v>
      </c>
      <c r="F1345" t="s">
        <v>642</v>
      </c>
      <c r="G1345" s="4" t="str">
        <f t="shared" si="122"/>
        <v>46110.34</v>
      </c>
      <c r="H1345" t="str">
        <f t="shared" si="123"/>
        <v>46110.34</v>
      </c>
      <c r="I1345" s="1">
        <v>45716</v>
      </c>
      <c r="J1345" s="2">
        <f t="shared" si="124"/>
        <v>0.77581869606341891</v>
      </c>
      <c r="K1345" s="3" t="str">
        <f t="shared" si="125"/>
        <v>Check!</v>
      </c>
      <c r="L1345" t="str">
        <f t="shared" si="126"/>
        <v/>
      </c>
      <c r="M1345" t="str">
        <f t="shared" si="127"/>
        <v/>
      </c>
      <c r="N1345">
        <v>25965.68</v>
      </c>
      <c r="O1345" t="s">
        <v>352</v>
      </c>
      <c r="Q1345" t="s">
        <v>19</v>
      </c>
    </row>
    <row r="1346" spans="1:17" x14ac:dyDescent="0.3">
      <c r="A1346">
        <v>100677585</v>
      </c>
      <c r="B1346" t="s">
        <v>353</v>
      </c>
      <c r="C1346" t="s">
        <v>19</v>
      </c>
      <c r="D1346" t="s">
        <v>354</v>
      </c>
      <c r="E1346" s="6">
        <v>4747.1899999999996</v>
      </c>
      <c r="F1346" t="s">
        <v>642</v>
      </c>
      <c r="G1346" s="4" t="str">
        <f t="shared" si="122"/>
        <v>4747.19</v>
      </c>
      <c r="H1346" t="str">
        <f t="shared" si="123"/>
        <v>4747.19</v>
      </c>
      <c r="I1346" s="1">
        <v>45716</v>
      </c>
      <c r="J1346" s="2">
        <f t="shared" si="124"/>
        <v>0.59299005050250808</v>
      </c>
      <c r="K1346" s="3" t="str">
        <f t="shared" si="125"/>
        <v>Check!</v>
      </c>
      <c r="L1346" t="str">
        <f t="shared" si="126"/>
        <v/>
      </c>
      <c r="M1346" t="str">
        <f t="shared" si="127"/>
        <v/>
      </c>
      <c r="N1346">
        <v>2980.05</v>
      </c>
      <c r="O1346" t="s">
        <v>355</v>
      </c>
      <c r="Q1346" t="s">
        <v>19</v>
      </c>
    </row>
    <row r="1347" spans="1:17" x14ac:dyDescent="0.3">
      <c r="A1347">
        <v>100706842</v>
      </c>
      <c r="B1347" t="s">
        <v>356</v>
      </c>
      <c r="C1347" t="s">
        <v>19</v>
      </c>
      <c r="D1347" t="s">
        <v>357</v>
      </c>
      <c r="E1347" s="6">
        <v>53215.88</v>
      </c>
      <c r="F1347" t="s">
        <v>642</v>
      </c>
      <c r="G1347" s="4" t="str">
        <f t="shared" ref="G1347:G1350" si="128">SUBSTITUTE(E1347,"R","")</f>
        <v>53215.88</v>
      </c>
      <c r="H1347" t="str">
        <f t="shared" ref="H1347:H1350" si="129">SUBSTITUTE(G1347,",","")</f>
        <v>53215.88</v>
      </c>
      <c r="I1347" s="1">
        <v>45716</v>
      </c>
      <c r="J1347" s="2">
        <f t="shared" ref="J1347:J1350" si="130">(H1347-N1347)/N1347</f>
        <v>0.98289185546647218</v>
      </c>
      <c r="K1347" s="3" t="str">
        <f t="shared" ref="K1347:K1350" si="131">IF(ABS(J1347)&gt;0.1,"Check!","")</f>
        <v>Check!</v>
      </c>
      <c r="L1347" t="str">
        <f t="shared" ref="L1347:L1350" si="132">IF(LEFT(O1347,10)&lt;&gt;LEFT(D1347,10),"Check","")</f>
        <v/>
      </c>
      <c r="M1347" t="str">
        <f t="shared" ref="M1347:M1350" si="133">IF(Q1347&lt;&gt;C1347,"Check","")</f>
        <v/>
      </c>
      <c r="N1347">
        <v>26837.51</v>
      </c>
      <c r="O1347" t="s">
        <v>358</v>
      </c>
      <c r="Q1347" t="s">
        <v>19</v>
      </c>
    </row>
    <row r="1348" spans="1:17" x14ac:dyDescent="0.3">
      <c r="A1348">
        <v>100711105</v>
      </c>
      <c r="B1348" t="s">
        <v>359</v>
      </c>
      <c r="C1348" t="s">
        <v>590</v>
      </c>
      <c r="D1348" t="s">
        <v>360</v>
      </c>
      <c r="E1348" s="6">
        <v>175.71</v>
      </c>
      <c r="F1348" t="s">
        <v>642</v>
      </c>
      <c r="G1348" s="4" t="str">
        <f t="shared" si="128"/>
        <v>175.71</v>
      </c>
      <c r="H1348" t="str">
        <f t="shared" si="129"/>
        <v>175.71</v>
      </c>
      <c r="I1348" s="1">
        <v>45716</v>
      </c>
      <c r="J1348" s="2">
        <f t="shared" si="130"/>
        <v>1.0855786350148369</v>
      </c>
      <c r="K1348" s="3" t="str">
        <f t="shared" si="131"/>
        <v>Check!</v>
      </c>
      <c r="L1348" t="str">
        <f t="shared" si="132"/>
        <v/>
      </c>
      <c r="M1348" t="str">
        <f t="shared" si="133"/>
        <v>Check</v>
      </c>
      <c r="N1348">
        <v>84.25</v>
      </c>
      <c r="O1348" t="s">
        <v>361</v>
      </c>
      <c r="Q1348" t="s">
        <v>16</v>
      </c>
    </row>
    <row r="1349" spans="1:17" x14ac:dyDescent="0.3">
      <c r="A1349">
        <v>100786852</v>
      </c>
      <c r="B1349" t="s">
        <v>636</v>
      </c>
      <c r="C1349" t="s">
        <v>19</v>
      </c>
      <c r="D1349" t="s">
        <v>637</v>
      </c>
      <c r="E1349" s="6">
        <v>75233.64</v>
      </c>
      <c r="F1349" t="s">
        <v>642</v>
      </c>
      <c r="G1349" s="4" t="str">
        <f t="shared" si="128"/>
        <v>75233.64</v>
      </c>
      <c r="H1349" t="str">
        <f t="shared" si="129"/>
        <v>75233.64</v>
      </c>
      <c r="I1349" s="1">
        <v>45716</v>
      </c>
      <c r="J1349" s="2">
        <f t="shared" si="130"/>
        <v>0.90660446954585583</v>
      </c>
      <c r="K1349" s="3" t="str">
        <f t="shared" si="131"/>
        <v>Check!</v>
      </c>
      <c r="L1349" t="str">
        <f t="shared" si="132"/>
        <v/>
      </c>
      <c r="M1349" t="str">
        <f t="shared" si="133"/>
        <v/>
      </c>
      <c r="N1349">
        <v>39459.49</v>
      </c>
      <c r="O1349" t="s">
        <v>674</v>
      </c>
      <c r="Q1349" t="s">
        <v>19</v>
      </c>
    </row>
    <row r="1350" spans="1:17" x14ac:dyDescent="0.3">
      <c r="A1350">
        <v>100799345</v>
      </c>
      <c r="B1350" t="s">
        <v>640</v>
      </c>
      <c r="C1350" t="s">
        <v>590</v>
      </c>
      <c r="D1350" t="s">
        <v>641</v>
      </c>
      <c r="E1350" s="6">
        <v>113237.95</v>
      </c>
      <c r="F1350" t="s">
        <v>642</v>
      </c>
      <c r="G1350" s="4" t="str">
        <f t="shared" si="128"/>
        <v>113237.95</v>
      </c>
      <c r="H1350" t="str">
        <f t="shared" si="129"/>
        <v>113237.95</v>
      </c>
      <c r="I1350" s="1">
        <v>45716</v>
      </c>
      <c r="J1350" s="2">
        <f t="shared" si="130"/>
        <v>0.27347749545491662</v>
      </c>
      <c r="K1350" s="3" t="str">
        <f t="shared" si="131"/>
        <v>Check!</v>
      </c>
      <c r="L1350" t="str">
        <f t="shared" si="132"/>
        <v/>
      </c>
      <c r="M1350" t="str">
        <f t="shared" si="133"/>
        <v/>
      </c>
      <c r="N1350">
        <v>88920.26</v>
      </c>
      <c r="O1350" t="s">
        <v>675</v>
      </c>
      <c r="Q1350" t="s">
        <v>590</v>
      </c>
    </row>
    <row r="1352" spans="1:17" x14ac:dyDescent="0.3">
      <c r="K1352" s="3"/>
      <c r="L1352" s="3"/>
      <c r="M1352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29A46-5151-461E-BF7C-CC90E258472D}">
  <sheetPr codeName="Sheet2"/>
  <dimension ref="A1:Q1317"/>
  <sheetViews>
    <sheetView zoomScaleNormal="100" workbookViewId="0">
      <selection activeCell="C4" sqref="C4"/>
    </sheetView>
  </sheetViews>
  <sheetFormatPr defaultRowHeight="14.4" x14ac:dyDescent="0.3"/>
  <cols>
    <col min="1" max="1" width="10" bestFit="1" customWidth="1"/>
    <col min="2" max="2" width="20.21875" bestFit="1" customWidth="1"/>
    <col min="3" max="3" width="46.21875" bestFit="1" customWidth="1"/>
    <col min="4" max="4" width="11.33203125" bestFit="1" customWidth="1"/>
    <col min="5" max="5" width="18.5546875" bestFit="1" customWidth="1"/>
    <col min="9" max="9" width="9.21875" bestFit="1" customWidth="1"/>
    <col min="10" max="10" width="10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4"/>
      <c r="H1" t="s">
        <v>6</v>
      </c>
      <c r="I1" t="s">
        <v>7</v>
      </c>
      <c r="J1" t="s">
        <v>8</v>
      </c>
      <c r="K1" s="3" t="s">
        <v>9</v>
      </c>
      <c r="L1" s="5" t="s">
        <v>10</v>
      </c>
      <c r="M1" s="3" t="s">
        <v>11</v>
      </c>
      <c r="N1" t="s">
        <v>12</v>
      </c>
      <c r="O1" s="3" t="s">
        <v>13</v>
      </c>
      <c r="P1" s="1"/>
      <c r="Q1" t="s">
        <v>14</v>
      </c>
    </row>
    <row r="2" spans="1:17" x14ac:dyDescent="0.3">
      <c r="A2">
        <v>32490</v>
      </c>
      <c r="B2" t="s">
        <v>15</v>
      </c>
      <c r="C2" t="s">
        <v>590</v>
      </c>
      <c r="D2" t="s">
        <v>17</v>
      </c>
      <c r="E2" s="6">
        <v>256.76</v>
      </c>
      <c r="F2" t="s">
        <v>643</v>
      </c>
      <c r="G2" s="4" t="str">
        <f>SUBSTITUTE(E2,"R","")</f>
        <v>256.76</v>
      </c>
      <c r="H2" t="str">
        <f>SUBSTITUTE(G2,",","")</f>
        <v>256.76</v>
      </c>
      <c r="I2" s="1">
        <v>45761</v>
      </c>
      <c r="J2" s="2">
        <f t="shared" ref="J2" si="0">(H2-N2)/N2</f>
        <v>7.0153558344378687E-4</v>
      </c>
      <c r="K2" s="3" t="str">
        <f t="shared" ref="K2" si="1">IF(ABS(J2)&gt;0.1,"Check!","")</f>
        <v/>
      </c>
      <c r="L2" t="str">
        <f>IF(LEFT(O2,10)&lt;&gt;LEFT(D2,10),"Check","")</f>
        <v/>
      </c>
      <c r="M2" t="str">
        <f>IF(Q2&lt;&gt;C2,"Check","")</f>
        <v>Check</v>
      </c>
      <c r="N2">
        <v>256.58</v>
      </c>
      <c r="O2" s="3" t="s">
        <v>18</v>
      </c>
      <c r="Q2" t="s">
        <v>16</v>
      </c>
    </row>
    <row r="3" spans="1:17" x14ac:dyDescent="0.3">
      <c r="A3">
        <v>33672</v>
      </c>
      <c r="B3" t="s">
        <v>24</v>
      </c>
      <c r="C3" t="s">
        <v>19</v>
      </c>
      <c r="D3" t="s">
        <v>25</v>
      </c>
      <c r="E3" s="6">
        <v>632.91</v>
      </c>
      <c r="F3" t="s">
        <v>643</v>
      </c>
      <c r="G3" s="4" t="str">
        <f t="shared" ref="G3:G66" si="2">SUBSTITUTE(E3,"R","")</f>
        <v>632.91</v>
      </c>
      <c r="H3" t="str">
        <f t="shared" ref="H3:H66" si="3">SUBSTITUTE(G3,",","")</f>
        <v>632.91</v>
      </c>
      <c r="I3" s="1">
        <v>45761</v>
      </c>
      <c r="J3" s="2">
        <f t="shared" ref="J3:J66" si="4">(H3-N3)/N3</f>
        <v>-6.7169917920872676E-3</v>
      </c>
      <c r="K3" s="3" t="str">
        <f t="shared" ref="K3:K66" si="5">IF(ABS(J3)&gt;0.1,"Check!","")</f>
        <v/>
      </c>
      <c r="L3" t="str">
        <f t="shared" ref="L3:L66" si="6">IF(LEFT(O3,10)&lt;&gt;LEFT(D3,10),"Check","")</f>
        <v/>
      </c>
      <c r="M3" t="str">
        <f t="shared" ref="M3:M66" si="7">IF(Q3&lt;&gt;C3,"Check","")</f>
        <v/>
      </c>
      <c r="N3">
        <v>637.19000000000005</v>
      </c>
      <c r="O3" t="s">
        <v>26</v>
      </c>
      <c r="Q3" t="s">
        <v>19</v>
      </c>
    </row>
    <row r="4" spans="1:17" x14ac:dyDescent="0.3">
      <c r="A4">
        <v>34171</v>
      </c>
      <c r="B4" t="s">
        <v>27</v>
      </c>
      <c r="C4" t="s">
        <v>19</v>
      </c>
      <c r="D4" t="s">
        <v>28</v>
      </c>
      <c r="E4" s="6">
        <v>131.27000000000001</v>
      </c>
      <c r="F4" t="s">
        <v>643</v>
      </c>
      <c r="G4" s="4" t="str">
        <f t="shared" si="2"/>
        <v>131.27</v>
      </c>
      <c r="H4" t="str">
        <f t="shared" si="3"/>
        <v>131.27</v>
      </c>
      <c r="I4" s="1">
        <v>45761</v>
      </c>
      <c r="J4" s="2">
        <f t="shared" si="4"/>
        <v>2.3671350030543851E-3</v>
      </c>
      <c r="K4" s="3" t="str">
        <f t="shared" si="5"/>
        <v/>
      </c>
      <c r="L4" t="str">
        <f t="shared" si="6"/>
        <v/>
      </c>
      <c r="M4" t="str">
        <f t="shared" si="7"/>
        <v/>
      </c>
      <c r="N4">
        <v>130.96</v>
      </c>
      <c r="O4" t="s">
        <v>29</v>
      </c>
      <c r="Q4" t="s">
        <v>19</v>
      </c>
    </row>
    <row r="5" spans="1:17" x14ac:dyDescent="0.3">
      <c r="A5">
        <v>34196</v>
      </c>
      <c r="B5" t="s">
        <v>33</v>
      </c>
      <c r="C5" t="s">
        <v>590</v>
      </c>
      <c r="D5" t="s">
        <v>34</v>
      </c>
      <c r="E5" s="6">
        <v>3572.94</v>
      </c>
      <c r="F5" t="s">
        <v>643</v>
      </c>
      <c r="G5" s="4" t="str">
        <f t="shared" si="2"/>
        <v>3572.94</v>
      </c>
      <c r="H5" t="str">
        <f t="shared" si="3"/>
        <v>3572.94</v>
      </c>
      <c r="I5" s="1">
        <v>45761</v>
      </c>
      <c r="J5" s="2">
        <f t="shared" si="4"/>
        <v>-5.6218238087020877E-3</v>
      </c>
      <c r="K5" s="3" t="str">
        <f t="shared" si="5"/>
        <v/>
      </c>
      <c r="L5" t="str">
        <f t="shared" si="6"/>
        <v/>
      </c>
      <c r="M5" t="str">
        <f t="shared" si="7"/>
        <v>Check</v>
      </c>
      <c r="N5">
        <v>3593.14</v>
      </c>
      <c r="O5" t="s">
        <v>35</v>
      </c>
      <c r="Q5" t="s">
        <v>16</v>
      </c>
    </row>
    <row r="6" spans="1:17" x14ac:dyDescent="0.3">
      <c r="A6">
        <v>34199</v>
      </c>
      <c r="B6" t="s">
        <v>36</v>
      </c>
      <c r="C6" t="s">
        <v>590</v>
      </c>
      <c r="D6" t="s">
        <v>37</v>
      </c>
      <c r="E6" s="6">
        <v>252.61</v>
      </c>
      <c r="F6" t="s">
        <v>643</v>
      </c>
      <c r="G6" s="4" t="str">
        <f t="shared" si="2"/>
        <v>252.61</v>
      </c>
      <c r="H6" t="str">
        <f t="shared" si="3"/>
        <v>252.61</v>
      </c>
      <c r="I6" s="1">
        <v>45761</v>
      </c>
      <c r="J6" s="2">
        <f t="shared" si="4"/>
        <v>-6.5284933338576965E-3</v>
      </c>
      <c r="K6" s="3" t="str">
        <f t="shared" si="5"/>
        <v/>
      </c>
      <c r="L6" t="str">
        <f t="shared" si="6"/>
        <v/>
      </c>
      <c r="M6" t="str">
        <f t="shared" si="7"/>
        <v>Check</v>
      </c>
      <c r="N6">
        <v>254.27</v>
      </c>
      <c r="O6" t="s">
        <v>38</v>
      </c>
      <c r="Q6" t="s">
        <v>16</v>
      </c>
    </row>
    <row r="7" spans="1:17" x14ac:dyDescent="0.3">
      <c r="A7">
        <v>34199</v>
      </c>
      <c r="B7" t="s">
        <v>36</v>
      </c>
      <c r="C7" t="s">
        <v>19</v>
      </c>
      <c r="D7" t="s">
        <v>39</v>
      </c>
      <c r="E7" s="6">
        <v>121.21</v>
      </c>
      <c r="F7" t="s">
        <v>643</v>
      </c>
      <c r="G7" s="4" t="str">
        <f t="shared" si="2"/>
        <v>121.21</v>
      </c>
      <c r="H7" t="str">
        <f t="shared" si="3"/>
        <v>121.21</v>
      </c>
      <c r="I7" s="1">
        <v>45761</v>
      </c>
      <c r="J7" s="2">
        <f t="shared" si="4"/>
        <v>5.8086465853455201E-3</v>
      </c>
      <c r="K7" s="3" t="str">
        <f t="shared" si="5"/>
        <v/>
      </c>
      <c r="L7" t="str">
        <f t="shared" si="6"/>
        <v/>
      </c>
      <c r="M7" t="str">
        <f t="shared" si="7"/>
        <v/>
      </c>
      <c r="N7">
        <v>120.51</v>
      </c>
      <c r="O7" t="s">
        <v>40</v>
      </c>
      <c r="Q7" t="s">
        <v>19</v>
      </c>
    </row>
    <row r="8" spans="1:17" x14ac:dyDescent="0.3">
      <c r="A8">
        <v>34200</v>
      </c>
      <c r="B8" t="s">
        <v>592</v>
      </c>
      <c r="C8" t="s">
        <v>611</v>
      </c>
      <c r="D8" t="s">
        <v>42</v>
      </c>
      <c r="E8" s="6">
        <v>157191.01999999999</v>
      </c>
      <c r="F8" t="s">
        <v>643</v>
      </c>
      <c r="G8" s="4" t="str">
        <f t="shared" si="2"/>
        <v>157191.02</v>
      </c>
      <c r="H8" t="str">
        <f t="shared" si="3"/>
        <v>157191.02</v>
      </c>
      <c r="I8" s="1">
        <v>45761</v>
      </c>
      <c r="J8" s="2">
        <f t="shared" si="4"/>
        <v>-2.5011073145156073E-2</v>
      </c>
      <c r="K8" s="3" t="str">
        <f t="shared" si="5"/>
        <v/>
      </c>
      <c r="L8" t="str">
        <f t="shared" si="6"/>
        <v/>
      </c>
      <c r="M8" t="str">
        <f t="shared" si="7"/>
        <v>Check</v>
      </c>
      <c r="N8">
        <v>161223.39000000001</v>
      </c>
      <c r="O8" t="s">
        <v>43</v>
      </c>
      <c r="Q8" t="s">
        <v>41</v>
      </c>
    </row>
    <row r="9" spans="1:17" x14ac:dyDescent="0.3">
      <c r="A9">
        <v>34200</v>
      </c>
      <c r="B9" t="s">
        <v>592</v>
      </c>
      <c r="C9" t="s">
        <v>611</v>
      </c>
      <c r="D9" t="s">
        <v>44</v>
      </c>
      <c r="E9" s="6">
        <v>87312.23</v>
      </c>
      <c r="F9" t="s">
        <v>643</v>
      </c>
      <c r="G9" s="4" t="str">
        <f t="shared" si="2"/>
        <v>87312.23</v>
      </c>
      <c r="H9" t="str">
        <f t="shared" si="3"/>
        <v>87312.23</v>
      </c>
      <c r="I9" s="1">
        <v>45761</v>
      </c>
      <c r="J9" s="2">
        <f t="shared" si="4"/>
        <v>-2.4182249623250874E-2</v>
      </c>
      <c r="K9" s="3" t="str">
        <f t="shared" si="5"/>
        <v/>
      </c>
      <c r="L9" t="str">
        <f t="shared" si="6"/>
        <v/>
      </c>
      <c r="M9" t="str">
        <f t="shared" si="7"/>
        <v>Check</v>
      </c>
      <c r="N9">
        <v>89475.96</v>
      </c>
      <c r="O9" t="s">
        <v>45</v>
      </c>
      <c r="Q9" t="s">
        <v>41</v>
      </c>
    </row>
    <row r="10" spans="1:17" x14ac:dyDescent="0.3">
      <c r="A10">
        <v>34200</v>
      </c>
      <c r="B10" t="s">
        <v>592</v>
      </c>
      <c r="C10" t="s">
        <v>609</v>
      </c>
      <c r="D10" t="s">
        <v>610</v>
      </c>
      <c r="E10" s="6">
        <v>9164.2800000000007</v>
      </c>
      <c r="F10" t="s">
        <v>643</v>
      </c>
      <c r="G10" s="4" t="str">
        <f t="shared" si="2"/>
        <v>9164.28</v>
      </c>
      <c r="H10" t="str">
        <f t="shared" si="3"/>
        <v>9164.28</v>
      </c>
      <c r="I10" s="1">
        <v>45761</v>
      </c>
      <c r="J10" s="2">
        <f t="shared" si="4"/>
        <v>411.80540540540539</v>
      </c>
      <c r="K10" s="3" t="str">
        <f t="shared" si="5"/>
        <v>Check!</v>
      </c>
      <c r="L10" t="str">
        <f t="shared" si="6"/>
        <v/>
      </c>
      <c r="M10" t="str">
        <f t="shared" si="7"/>
        <v/>
      </c>
      <c r="N10">
        <v>22.2</v>
      </c>
      <c r="O10" t="s">
        <v>644</v>
      </c>
      <c r="Q10" t="s">
        <v>609</v>
      </c>
    </row>
    <row r="11" spans="1:17" x14ac:dyDescent="0.3">
      <c r="A11">
        <v>34200</v>
      </c>
      <c r="B11" t="s">
        <v>592</v>
      </c>
      <c r="C11" t="s">
        <v>606</v>
      </c>
      <c r="D11" t="s">
        <v>607</v>
      </c>
      <c r="E11" s="6">
        <v>163.69</v>
      </c>
      <c r="F11" t="s">
        <v>643</v>
      </c>
      <c r="G11" s="4" t="str">
        <f t="shared" si="2"/>
        <v>163.69</v>
      </c>
      <c r="H11" t="str">
        <f t="shared" si="3"/>
        <v>163.69</v>
      </c>
      <c r="I11" s="1">
        <v>45761</v>
      </c>
      <c r="J11" s="2">
        <f t="shared" si="4"/>
        <v>5.0346902437526445E-3</v>
      </c>
      <c r="K11" s="3" t="str">
        <f t="shared" si="5"/>
        <v/>
      </c>
      <c r="L11" t="str">
        <f t="shared" si="6"/>
        <v/>
      </c>
      <c r="M11" t="str">
        <f t="shared" si="7"/>
        <v/>
      </c>
      <c r="N11">
        <v>162.87</v>
      </c>
      <c r="O11" t="s">
        <v>645</v>
      </c>
      <c r="Q11" t="s">
        <v>606</v>
      </c>
    </row>
    <row r="12" spans="1:17" x14ac:dyDescent="0.3">
      <c r="A12">
        <v>34200</v>
      </c>
      <c r="B12" t="s">
        <v>592</v>
      </c>
      <c r="C12" t="s">
        <v>606</v>
      </c>
      <c r="D12" t="s">
        <v>607</v>
      </c>
      <c r="E12" s="6">
        <v>12198.59</v>
      </c>
      <c r="F12" t="s">
        <v>643</v>
      </c>
      <c r="G12" s="4" t="str">
        <f t="shared" si="2"/>
        <v>12198.59</v>
      </c>
      <c r="H12" t="str">
        <f t="shared" si="3"/>
        <v>12198.59</v>
      </c>
      <c r="I12" s="1">
        <v>45761</v>
      </c>
      <c r="J12" s="2">
        <f t="shared" si="4"/>
        <v>8.0600883537623083E-2</v>
      </c>
      <c r="K12" s="3" t="str">
        <f t="shared" si="5"/>
        <v/>
      </c>
      <c r="L12" t="str">
        <f t="shared" si="6"/>
        <v/>
      </c>
      <c r="M12" t="str">
        <f t="shared" si="7"/>
        <v/>
      </c>
      <c r="N12">
        <v>11288.71</v>
      </c>
      <c r="O12" t="s">
        <v>645</v>
      </c>
      <c r="Q12" t="s">
        <v>606</v>
      </c>
    </row>
    <row r="13" spans="1:17" x14ac:dyDescent="0.3">
      <c r="A13">
        <v>34200</v>
      </c>
      <c r="B13" t="s">
        <v>592</v>
      </c>
      <c r="C13" t="s">
        <v>606</v>
      </c>
      <c r="D13" t="s">
        <v>608</v>
      </c>
      <c r="E13" s="6">
        <v>151.59</v>
      </c>
      <c r="F13" t="s">
        <v>643</v>
      </c>
      <c r="G13" s="4" t="str">
        <f t="shared" si="2"/>
        <v>151.59</v>
      </c>
      <c r="H13" t="str">
        <f t="shared" si="3"/>
        <v>151.59</v>
      </c>
      <c r="I13" s="1">
        <v>45761</v>
      </c>
      <c r="J13" s="2">
        <f t="shared" si="4"/>
        <v>3.0437371799113874E-3</v>
      </c>
      <c r="K13" s="3" t="str">
        <f t="shared" si="5"/>
        <v/>
      </c>
      <c r="L13" t="str">
        <f t="shared" si="6"/>
        <v/>
      </c>
      <c r="M13" t="str">
        <f t="shared" si="7"/>
        <v/>
      </c>
      <c r="N13">
        <v>151.13</v>
      </c>
      <c r="O13" t="s">
        <v>646</v>
      </c>
      <c r="Q13" t="s">
        <v>606</v>
      </c>
    </row>
    <row r="14" spans="1:17" x14ac:dyDescent="0.3">
      <c r="A14">
        <v>34200</v>
      </c>
      <c r="B14" t="s">
        <v>592</v>
      </c>
      <c r="C14" t="s">
        <v>606</v>
      </c>
      <c r="D14" t="s">
        <v>608</v>
      </c>
      <c r="E14" s="6">
        <v>7767.76</v>
      </c>
      <c r="F14" t="s">
        <v>643</v>
      </c>
      <c r="G14" s="4" t="str">
        <f t="shared" si="2"/>
        <v>7767.76</v>
      </c>
      <c r="H14" t="str">
        <f t="shared" si="3"/>
        <v>7767.76</v>
      </c>
      <c r="I14" s="1">
        <v>45761</v>
      </c>
      <c r="J14" s="2">
        <f t="shared" si="4"/>
        <v>-1.5615297466220843E-2</v>
      </c>
      <c r="K14" s="3" t="str">
        <f t="shared" si="5"/>
        <v/>
      </c>
      <c r="L14" t="str">
        <f t="shared" si="6"/>
        <v/>
      </c>
      <c r="M14" t="str">
        <f t="shared" si="7"/>
        <v/>
      </c>
      <c r="N14">
        <v>7890.98</v>
      </c>
      <c r="O14" t="s">
        <v>646</v>
      </c>
      <c r="Q14" t="s">
        <v>606</v>
      </c>
    </row>
    <row r="15" spans="1:17" x14ac:dyDescent="0.3">
      <c r="A15">
        <v>34202</v>
      </c>
      <c r="B15" t="s">
        <v>46</v>
      </c>
      <c r="C15" t="s">
        <v>19</v>
      </c>
      <c r="D15" t="s">
        <v>49</v>
      </c>
      <c r="E15" s="6">
        <v>1310.1300000000001</v>
      </c>
      <c r="F15" t="s">
        <v>643</v>
      </c>
      <c r="G15" s="4" t="str">
        <f t="shared" si="2"/>
        <v>1310.13</v>
      </c>
      <c r="H15" t="str">
        <f t="shared" si="3"/>
        <v>1310.13</v>
      </c>
      <c r="I15" s="1">
        <v>45761</v>
      </c>
      <c r="J15" s="2">
        <f t="shared" si="4"/>
        <v>-6.8979632058093808E-3</v>
      </c>
      <c r="K15" s="3" t="str">
        <f t="shared" si="5"/>
        <v/>
      </c>
      <c r="L15" t="str">
        <f t="shared" si="6"/>
        <v/>
      </c>
      <c r="M15" t="str">
        <f t="shared" si="7"/>
        <v/>
      </c>
      <c r="N15">
        <v>1319.23</v>
      </c>
      <c r="O15" t="s">
        <v>50</v>
      </c>
      <c r="Q15" t="s">
        <v>19</v>
      </c>
    </row>
    <row r="16" spans="1:17" x14ac:dyDescent="0.3">
      <c r="A16">
        <v>34202</v>
      </c>
      <c r="B16" t="s">
        <v>46</v>
      </c>
      <c r="C16" t="s">
        <v>19</v>
      </c>
      <c r="D16" t="s">
        <v>47</v>
      </c>
      <c r="E16" s="6">
        <v>259.92</v>
      </c>
      <c r="F16" t="s">
        <v>643</v>
      </c>
      <c r="G16" s="4" t="str">
        <f t="shared" si="2"/>
        <v>259.92</v>
      </c>
      <c r="H16" t="str">
        <f t="shared" si="3"/>
        <v>259.92</v>
      </c>
      <c r="I16" s="1">
        <v>45761</v>
      </c>
      <c r="J16" s="2">
        <f t="shared" si="4"/>
        <v>-6.5359477124182228E-3</v>
      </c>
      <c r="K16" s="3" t="str">
        <f t="shared" si="5"/>
        <v/>
      </c>
      <c r="L16" t="str">
        <f t="shared" si="6"/>
        <v/>
      </c>
      <c r="M16" t="str">
        <f t="shared" si="7"/>
        <v/>
      </c>
      <c r="N16">
        <v>261.63</v>
      </c>
      <c r="O16" t="s">
        <v>48</v>
      </c>
      <c r="Q16" t="s">
        <v>19</v>
      </c>
    </row>
    <row r="17" spans="1:17" x14ac:dyDescent="0.3">
      <c r="A17">
        <v>34209</v>
      </c>
      <c r="B17" t="s">
        <v>51</v>
      </c>
      <c r="C17" t="s">
        <v>612</v>
      </c>
      <c r="D17" t="s">
        <v>57</v>
      </c>
      <c r="E17" s="6">
        <v>30963.96</v>
      </c>
      <c r="F17" t="s">
        <v>643</v>
      </c>
      <c r="G17" s="4" t="str">
        <f t="shared" si="2"/>
        <v>30963.96</v>
      </c>
      <c r="H17" t="str">
        <f t="shared" si="3"/>
        <v>30963.96</v>
      </c>
      <c r="I17" s="1">
        <v>45761</v>
      </c>
      <c r="J17" s="2">
        <f t="shared" si="4"/>
        <v>-2.3299959656344026E-2</v>
      </c>
      <c r="K17" s="3" t="str">
        <f t="shared" si="5"/>
        <v/>
      </c>
      <c r="L17" t="str">
        <f t="shared" si="6"/>
        <v/>
      </c>
      <c r="M17" t="str">
        <f t="shared" si="7"/>
        <v>Check</v>
      </c>
      <c r="N17">
        <v>31702.63</v>
      </c>
      <c r="O17" t="s">
        <v>58</v>
      </c>
      <c r="Q17" t="s">
        <v>56</v>
      </c>
    </row>
    <row r="18" spans="1:17" x14ac:dyDescent="0.3">
      <c r="A18">
        <v>34216</v>
      </c>
      <c r="B18" t="s">
        <v>59</v>
      </c>
      <c r="C18" t="s">
        <v>590</v>
      </c>
      <c r="D18" t="s">
        <v>62</v>
      </c>
      <c r="E18" s="6">
        <v>247.71</v>
      </c>
      <c r="F18" t="s">
        <v>643</v>
      </c>
      <c r="G18" s="4" t="str">
        <f t="shared" si="2"/>
        <v>247.71</v>
      </c>
      <c r="H18" t="str">
        <f t="shared" si="3"/>
        <v>247.71</v>
      </c>
      <c r="I18" s="1">
        <v>45761</v>
      </c>
      <c r="J18" s="2">
        <f t="shared" si="4"/>
        <v>-6.6169393647738436E-3</v>
      </c>
      <c r="K18" s="3" t="str">
        <f t="shared" si="5"/>
        <v/>
      </c>
      <c r="L18" t="str">
        <f t="shared" si="6"/>
        <v/>
      </c>
      <c r="M18" t="str">
        <f t="shared" si="7"/>
        <v>Check</v>
      </c>
      <c r="N18">
        <v>249.36</v>
      </c>
      <c r="O18" t="s">
        <v>63</v>
      </c>
      <c r="Q18" t="s">
        <v>16</v>
      </c>
    </row>
    <row r="19" spans="1:17" x14ac:dyDescent="0.3">
      <c r="A19">
        <v>34337</v>
      </c>
      <c r="B19" t="s">
        <v>64</v>
      </c>
      <c r="C19" t="s">
        <v>590</v>
      </c>
      <c r="D19" t="s">
        <v>65</v>
      </c>
      <c r="E19" s="6">
        <v>169.77</v>
      </c>
      <c r="F19" t="s">
        <v>643</v>
      </c>
      <c r="G19" s="4" t="str">
        <f t="shared" si="2"/>
        <v>169.77</v>
      </c>
      <c r="H19" t="str">
        <f t="shared" si="3"/>
        <v>169.77</v>
      </c>
      <c r="I19" s="1">
        <v>45761</v>
      </c>
      <c r="J19" s="2">
        <f t="shared" si="4"/>
        <v>2.7414669571532321E-2</v>
      </c>
      <c r="K19" s="3" t="str">
        <f t="shared" si="5"/>
        <v/>
      </c>
      <c r="L19" t="str">
        <f t="shared" si="6"/>
        <v/>
      </c>
      <c r="M19" t="str">
        <f t="shared" si="7"/>
        <v>Check</v>
      </c>
      <c r="N19">
        <v>165.24</v>
      </c>
      <c r="O19" t="s">
        <v>66</v>
      </c>
      <c r="Q19" t="s">
        <v>16</v>
      </c>
    </row>
    <row r="20" spans="1:17" x14ac:dyDescent="0.3">
      <c r="A20">
        <v>34337</v>
      </c>
      <c r="B20" t="s">
        <v>64</v>
      </c>
      <c r="C20" t="s">
        <v>19</v>
      </c>
      <c r="D20" t="s">
        <v>67</v>
      </c>
      <c r="E20" s="6">
        <v>1163.17</v>
      </c>
      <c r="F20" t="s">
        <v>643</v>
      </c>
      <c r="G20" s="4" t="str">
        <f t="shared" si="2"/>
        <v>1163.17</v>
      </c>
      <c r="H20" t="str">
        <f t="shared" si="3"/>
        <v>1163.17</v>
      </c>
      <c r="I20" s="1">
        <v>45761</v>
      </c>
      <c r="J20" s="2">
        <f t="shared" si="4"/>
        <v>-5.3870556747928162E-3</v>
      </c>
      <c r="K20" s="3" t="str">
        <f t="shared" si="5"/>
        <v/>
      </c>
      <c r="L20" t="str">
        <f t="shared" si="6"/>
        <v/>
      </c>
      <c r="M20" t="str">
        <f t="shared" si="7"/>
        <v/>
      </c>
      <c r="N20">
        <v>1169.47</v>
      </c>
      <c r="O20" t="s">
        <v>68</v>
      </c>
      <c r="Q20" t="s">
        <v>19</v>
      </c>
    </row>
    <row r="21" spans="1:17" x14ac:dyDescent="0.3">
      <c r="A21">
        <v>34395</v>
      </c>
      <c r="B21" t="s">
        <v>69</v>
      </c>
      <c r="C21" t="s">
        <v>19</v>
      </c>
      <c r="D21" t="s">
        <v>74</v>
      </c>
      <c r="E21" s="6">
        <v>282.2</v>
      </c>
      <c r="F21" t="s">
        <v>643</v>
      </c>
      <c r="G21" s="4" t="str">
        <f t="shared" si="2"/>
        <v>282.2</v>
      </c>
      <c r="H21" t="str">
        <f t="shared" si="3"/>
        <v>282.2</v>
      </c>
      <c r="I21" s="1">
        <v>45761</v>
      </c>
      <c r="J21" s="2">
        <f t="shared" si="4"/>
        <v>9.9318955732112914E-4</v>
      </c>
      <c r="K21" s="3" t="str">
        <f t="shared" si="5"/>
        <v/>
      </c>
      <c r="L21" t="str">
        <f t="shared" si="6"/>
        <v/>
      </c>
      <c r="M21" t="str">
        <f t="shared" si="7"/>
        <v/>
      </c>
      <c r="N21">
        <v>281.92</v>
      </c>
      <c r="O21" t="s">
        <v>75</v>
      </c>
      <c r="Q21" t="s">
        <v>19</v>
      </c>
    </row>
    <row r="22" spans="1:17" x14ac:dyDescent="0.3">
      <c r="A22">
        <v>34395</v>
      </c>
      <c r="B22" t="s">
        <v>69</v>
      </c>
      <c r="C22" t="s">
        <v>19</v>
      </c>
      <c r="D22" t="s">
        <v>72</v>
      </c>
      <c r="E22" s="6">
        <v>175.94</v>
      </c>
      <c r="F22" t="s">
        <v>643</v>
      </c>
      <c r="G22" s="4" t="str">
        <f t="shared" si="2"/>
        <v>175.94</v>
      </c>
      <c r="H22" t="str">
        <f t="shared" si="3"/>
        <v>175.94</v>
      </c>
      <c r="I22" s="1">
        <v>45761</v>
      </c>
      <c r="J22" s="2">
        <f t="shared" si="4"/>
        <v>6.752117189288206E-3</v>
      </c>
      <c r="K22" s="3" t="str">
        <f t="shared" si="5"/>
        <v/>
      </c>
      <c r="L22" t="str">
        <f t="shared" si="6"/>
        <v/>
      </c>
      <c r="M22" t="str">
        <f t="shared" si="7"/>
        <v/>
      </c>
      <c r="N22">
        <v>174.76</v>
      </c>
      <c r="O22" t="s">
        <v>73</v>
      </c>
      <c r="Q22" t="s">
        <v>19</v>
      </c>
    </row>
    <row r="23" spans="1:17" x14ac:dyDescent="0.3">
      <c r="A23">
        <v>36059</v>
      </c>
      <c r="B23" t="s">
        <v>81</v>
      </c>
      <c r="C23" t="s">
        <v>19</v>
      </c>
      <c r="D23" t="s">
        <v>82</v>
      </c>
      <c r="E23" s="6">
        <v>518.63</v>
      </c>
      <c r="F23" t="s">
        <v>643</v>
      </c>
      <c r="G23" s="4" t="str">
        <f t="shared" si="2"/>
        <v>518.63</v>
      </c>
      <c r="H23" t="str">
        <f t="shared" si="3"/>
        <v>518.63</v>
      </c>
      <c r="I23" s="1">
        <v>45761</v>
      </c>
      <c r="J23" s="2">
        <f t="shared" si="4"/>
        <v>4.4866629059553513E-2</v>
      </c>
      <c r="K23" s="3" t="str">
        <f t="shared" si="5"/>
        <v/>
      </c>
      <c r="L23" t="str">
        <f t="shared" si="6"/>
        <v/>
      </c>
      <c r="M23" t="str">
        <f t="shared" si="7"/>
        <v/>
      </c>
      <c r="N23">
        <v>496.36</v>
      </c>
      <c r="O23" t="s">
        <v>83</v>
      </c>
      <c r="Q23" t="s">
        <v>19</v>
      </c>
    </row>
    <row r="24" spans="1:17" x14ac:dyDescent="0.3">
      <c r="A24">
        <v>36059</v>
      </c>
      <c r="B24" t="s">
        <v>81</v>
      </c>
      <c r="C24" t="s">
        <v>19</v>
      </c>
      <c r="D24" t="s">
        <v>84</v>
      </c>
      <c r="E24" s="6">
        <v>324.93</v>
      </c>
      <c r="F24" t="s">
        <v>643</v>
      </c>
      <c r="G24" s="4" t="str">
        <f t="shared" si="2"/>
        <v>324.93</v>
      </c>
      <c r="H24" t="str">
        <f t="shared" si="3"/>
        <v>324.93</v>
      </c>
      <c r="I24" s="1">
        <v>45761</v>
      </c>
      <c r="J24" s="2">
        <f t="shared" si="4"/>
        <v>-1.5385562188445864E-4</v>
      </c>
      <c r="K24" s="3" t="str">
        <f t="shared" si="5"/>
        <v/>
      </c>
      <c r="L24" t="str">
        <f t="shared" si="6"/>
        <v/>
      </c>
      <c r="M24" t="str">
        <f t="shared" si="7"/>
        <v/>
      </c>
      <c r="N24">
        <v>324.98</v>
      </c>
      <c r="O24" t="s">
        <v>85</v>
      </c>
      <c r="Q24" t="s">
        <v>19</v>
      </c>
    </row>
    <row r="25" spans="1:17" x14ac:dyDescent="0.3">
      <c r="A25">
        <v>36060</v>
      </c>
      <c r="B25" t="s">
        <v>86</v>
      </c>
      <c r="C25" t="s">
        <v>19</v>
      </c>
      <c r="D25" t="s">
        <v>87</v>
      </c>
      <c r="E25" s="6">
        <v>211.46</v>
      </c>
      <c r="F25" t="s">
        <v>643</v>
      </c>
      <c r="G25" s="4" t="str">
        <f t="shared" si="2"/>
        <v>211.46</v>
      </c>
      <c r="H25" t="str">
        <f t="shared" si="3"/>
        <v>211.46</v>
      </c>
      <c r="I25" s="1">
        <v>45761</v>
      </c>
      <c r="J25" s="2">
        <f t="shared" si="4"/>
        <v>4.3220137734504708E-3</v>
      </c>
      <c r="K25" s="3" t="str">
        <f t="shared" si="5"/>
        <v/>
      </c>
      <c r="L25" t="str">
        <f t="shared" si="6"/>
        <v/>
      </c>
      <c r="M25" t="str">
        <f t="shared" si="7"/>
        <v/>
      </c>
      <c r="N25">
        <v>210.55</v>
      </c>
      <c r="O25" t="s">
        <v>88</v>
      </c>
      <c r="Q25" t="s">
        <v>19</v>
      </c>
    </row>
    <row r="26" spans="1:17" x14ac:dyDescent="0.3">
      <c r="A26">
        <v>36062</v>
      </c>
      <c r="B26" t="s">
        <v>91</v>
      </c>
      <c r="C26" t="s">
        <v>611</v>
      </c>
      <c r="D26" t="s">
        <v>92</v>
      </c>
      <c r="E26" s="6">
        <v>45067.43</v>
      </c>
      <c r="F26" t="s">
        <v>643</v>
      </c>
      <c r="G26" s="4" t="str">
        <f t="shared" si="2"/>
        <v>45067.43</v>
      </c>
      <c r="H26" t="str">
        <f t="shared" si="3"/>
        <v>45067.43</v>
      </c>
      <c r="I26" s="1">
        <v>45761</v>
      </c>
      <c r="J26" s="2">
        <f t="shared" si="4"/>
        <v>-2.3231171690944651E-2</v>
      </c>
      <c r="K26" s="3" t="str">
        <f t="shared" si="5"/>
        <v/>
      </c>
      <c r="L26" t="str">
        <f t="shared" si="6"/>
        <v/>
      </c>
      <c r="M26" t="str">
        <f t="shared" si="7"/>
        <v>Check</v>
      </c>
      <c r="N26">
        <v>46139.3</v>
      </c>
      <c r="O26" t="s">
        <v>93</v>
      </c>
      <c r="Q26" t="s">
        <v>41</v>
      </c>
    </row>
    <row r="27" spans="1:17" x14ac:dyDescent="0.3">
      <c r="A27">
        <v>36062</v>
      </c>
      <c r="B27" t="s">
        <v>91</v>
      </c>
      <c r="C27" t="s">
        <v>606</v>
      </c>
      <c r="D27" t="s">
        <v>613</v>
      </c>
      <c r="E27" s="6">
        <v>100.7</v>
      </c>
      <c r="F27" t="s">
        <v>643</v>
      </c>
      <c r="G27" s="4" t="str">
        <f t="shared" si="2"/>
        <v>100.7</v>
      </c>
      <c r="H27" t="str">
        <f t="shared" si="3"/>
        <v>100.7</v>
      </c>
      <c r="I27" s="1">
        <v>45761</v>
      </c>
      <c r="J27" s="2">
        <f t="shared" si="4"/>
        <v>6.7986402719456794E-3</v>
      </c>
      <c r="K27" s="3" t="str">
        <f t="shared" si="5"/>
        <v/>
      </c>
      <c r="L27" t="str">
        <f t="shared" si="6"/>
        <v/>
      </c>
      <c r="M27" t="str">
        <f t="shared" si="7"/>
        <v/>
      </c>
      <c r="N27">
        <v>100.02</v>
      </c>
      <c r="O27" t="s">
        <v>647</v>
      </c>
      <c r="Q27" t="s">
        <v>606</v>
      </c>
    </row>
    <row r="28" spans="1:17" x14ac:dyDescent="0.3">
      <c r="A28">
        <v>36062</v>
      </c>
      <c r="B28" t="s">
        <v>91</v>
      </c>
      <c r="C28" t="s">
        <v>606</v>
      </c>
      <c r="D28" t="s">
        <v>613</v>
      </c>
      <c r="E28" s="6">
        <v>5158.24</v>
      </c>
      <c r="F28" t="s">
        <v>643</v>
      </c>
      <c r="G28" s="4" t="str">
        <f t="shared" si="2"/>
        <v>5158.24</v>
      </c>
      <c r="H28" t="str">
        <f t="shared" si="3"/>
        <v>5158.24</v>
      </c>
      <c r="I28" s="1">
        <v>45761</v>
      </c>
      <c r="J28" s="2">
        <f t="shared" si="4"/>
        <v>-1.1939309309136729E-2</v>
      </c>
      <c r="K28" s="3" t="str">
        <f t="shared" si="5"/>
        <v/>
      </c>
      <c r="L28" t="str">
        <f t="shared" si="6"/>
        <v/>
      </c>
      <c r="M28" t="str">
        <f t="shared" si="7"/>
        <v/>
      </c>
      <c r="N28">
        <v>5220.57</v>
      </c>
      <c r="O28" t="s">
        <v>647</v>
      </c>
      <c r="Q28" t="s">
        <v>606</v>
      </c>
    </row>
    <row r="29" spans="1:17" x14ac:dyDescent="0.3">
      <c r="A29">
        <v>37040</v>
      </c>
      <c r="B29" t="s">
        <v>596</v>
      </c>
      <c r="C29" t="s">
        <v>19</v>
      </c>
      <c r="D29" t="s">
        <v>97</v>
      </c>
      <c r="E29" s="6">
        <v>114.87</v>
      </c>
      <c r="F29" t="s">
        <v>643</v>
      </c>
      <c r="G29" s="4" t="str">
        <f t="shared" si="2"/>
        <v>114.87</v>
      </c>
      <c r="H29" t="str">
        <f t="shared" si="3"/>
        <v>114.87</v>
      </c>
      <c r="I29" s="1">
        <v>45761</v>
      </c>
      <c r="J29" s="2">
        <f t="shared" si="4"/>
        <v>1.511134676564164E-2</v>
      </c>
      <c r="K29" s="3" t="str">
        <f t="shared" si="5"/>
        <v/>
      </c>
      <c r="L29" t="str">
        <f t="shared" si="6"/>
        <v/>
      </c>
      <c r="M29" t="str">
        <f t="shared" si="7"/>
        <v/>
      </c>
      <c r="N29">
        <v>113.16</v>
      </c>
      <c r="O29" t="s">
        <v>98</v>
      </c>
      <c r="Q29" t="s">
        <v>19</v>
      </c>
    </row>
    <row r="30" spans="1:17" x14ac:dyDescent="0.3">
      <c r="A30">
        <v>37041</v>
      </c>
      <c r="B30" t="s">
        <v>99</v>
      </c>
      <c r="C30" t="s">
        <v>19</v>
      </c>
      <c r="D30" t="s">
        <v>100</v>
      </c>
      <c r="E30" s="6">
        <v>85.21</v>
      </c>
      <c r="F30" t="s">
        <v>643</v>
      </c>
      <c r="G30" s="4" t="str">
        <f t="shared" si="2"/>
        <v>85.21</v>
      </c>
      <c r="H30" t="str">
        <f t="shared" si="3"/>
        <v>85.21</v>
      </c>
      <c r="I30" s="1">
        <v>45761</v>
      </c>
      <c r="J30" s="2">
        <f t="shared" si="4"/>
        <v>0.34634223416021481</v>
      </c>
      <c r="K30" s="3" t="str">
        <f t="shared" si="5"/>
        <v>Check!</v>
      </c>
      <c r="L30" t="str">
        <f t="shared" si="6"/>
        <v/>
      </c>
      <c r="M30" t="str">
        <f t="shared" si="7"/>
        <v/>
      </c>
      <c r="N30">
        <v>63.29</v>
      </c>
      <c r="O30" t="s">
        <v>101</v>
      </c>
      <c r="Q30" t="s">
        <v>19</v>
      </c>
    </row>
    <row r="31" spans="1:17" x14ac:dyDescent="0.3">
      <c r="A31">
        <v>41695</v>
      </c>
      <c r="B31" t="s">
        <v>114</v>
      </c>
      <c r="C31" t="s">
        <v>590</v>
      </c>
      <c r="D31" t="s">
        <v>117</v>
      </c>
      <c r="E31" s="6">
        <v>40298.699999999997</v>
      </c>
      <c r="F31" t="s">
        <v>643</v>
      </c>
      <c r="G31" s="4" t="str">
        <f t="shared" si="2"/>
        <v>40298.7</v>
      </c>
      <c r="H31" t="str">
        <f t="shared" si="3"/>
        <v>40298.7</v>
      </c>
      <c r="I31" s="1">
        <v>45761</v>
      </c>
      <c r="J31" s="2">
        <f t="shared" si="4"/>
        <v>-4.7312601274330781E-3</v>
      </c>
      <c r="K31" s="3" t="str">
        <f t="shared" si="5"/>
        <v/>
      </c>
      <c r="L31" t="str">
        <f t="shared" si="6"/>
        <v/>
      </c>
      <c r="M31" t="str">
        <f t="shared" si="7"/>
        <v>Check</v>
      </c>
      <c r="N31">
        <v>40490.269999999997</v>
      </c>
      <c r="O31" t="s">
        <v>581</v>
      </c>
      <c r="Q31" t="s">
        <v>16</v>
      </c>
    </row>
    <row r="32" spans="1:17" x14ac:dyDescent="0.3">
      <c r="A32">
        <v>41695</v>
      </c>
      <c r="B32" t="s">
        <v>114</v>
      </c>
      <c r="C32" t="s">
        <v>611</v>
      </c>
      <c r="D32" t="s">
        <v>115</v>
      </c>
      <c r="E32" s="6">
        <v>12138.84</v>
      </c>
      <c r="F32" t="s">
        <v>643</v>
      </c>
      <c r="G32" s="4" t="str">
        <f t="shared" si="2"/>
        <v>12138.84</v>
      </c>
      <c r="H32" t="str">
        <f t="shared" si="3"/>
        <v>12138.84</v>
      </c>
      <c r="I32" s="1">
        <v>45761</v>
      </c>
      <c r="J32" s="2">
        <f t="shared" si="4"/>
        <v>-1.403309559025996E-2</v>
      </c>
      <c r="K32" s="3" t="str">
        <f t="shared" si="5"/>
        <v/>
      </c>
      <c r="L32" t="str">
        <f t="shared" si="6"/>
        <v/>
      </c>
      <c r="M32" t="str">
        <f t="shared" si="7"/>
        <v>Check</v>
      </c>
      <c r="N32">
        <v>12311.61</v>
      </c>
      <c r="O32" t="s">
        <v>116</v>
      </c>
      <c r="Q32" t="s">
        <v>41</v>
      </c>
    </row>
    <row r="33" spans="1:17" x14ac:dyDescent="0.3">
      <c r="A33">
        <v>41695</v>
      </c>
      <c r="B33" t="s">
        <v>114</v>
      </c>
      <c r="C33" t="s">
        <v>606</v>
      </c>
      <c r="D33" t="s">
        <v>614</v>
      </c>
      <c r="E33" s="6">
        <v>1281.6500000000001</v>
      </c>
      <c r="F33" t="s">
        <v>643</v>
      </c>
      <c r="G33" s="4" t="str">
        <f t="shared" si="2"/>
        <v>1281.65</v>
      </c>
      <c r="H33" t="str">
        <f t="shared" si="3"/>
        <v>1281.65</v>
      </c>
      <c r="I33" s="1">
        <v>45761</v>
      </c>
      <c r="J33" s="2">
        <f t="shared" si="4"/>
        <v>-2.3608910287664559E-2</v>
      </c>
      <c r="K33" s="3" t="str">
        <f t="shared" si="5"/>
        <v/>
      </c>
      <c r="L33" t="str">
        <f t="shared" si="6"/>
        <v/>
      </c>
      <c r="M33" t="str">
        <f t="shared" si="7"/>
        <v/>
      </c>
      <c r="N33">
        <v>1312.64</v>
      </c>
      <c r="O33" t="s">
        <v>648</v>
      </c>
      <c r="Q33" t="s">
        <v>606</v>
      </c>
    </row>
    <row r="34" spans="1:17" x14ac:dyDescent="0.3">
      <c r="A34">
        <v>61172</v>
      </c>
      <c r="B34" t="s">
        <v>125</v>
      </c>
      <c r="C34" t="s">
        <v>611</v>
      </c>
      <c r="D34" t="s">
        <v>126</v>
      </c>
      <c r="E34" s="6">
        <v>91812.32</v>
      </c>
      <c r="F34" t="s">
        <v>643</v>
      </c>
      <c r="G34" s="4" t="str">
        <f t="shared" si="2"/>
        <v>91812.32</v>
      </c>
      <c r="H34" t="str">
        <f t="shared" si="3"/>
        <v>91812.32</v>
      </c>
      <c r="I34" s="1">
        <v>45761</v>
      </c>
      <c r="J34" s="2">
        <f t="shared" si="4"/>
        <v>-2.223051475317922E-2</v>
      </c>
      <c r="K34" s="3" t="str">
        <f t="shared" si="5"/>
        <v/>
      </c>
      <c r="L34" t="str">
        <f t="shared" si="6"/>
        <v/>
      </c>
      <c r="M34" t="str">
        <f t="shared" si="7"/>
        <v>Check</v>
      </c>
      <c r="N34">
        <v>93899.76</v>
      </c>
      <c r="O34" t="s">
        <v>127</v>
      </c>
      <c r="Q34" t="s">
        <v>41</v>
      </c>
    </row>
    <row r="35" spans="1:17" x14ac:dyDescent="0.3">
      <c r="A35">
        <v>61172</v>
      </c>
      <c r="B35" t="s">
        <v>125</v>
      </c>
      <c r="C35" t="s">
        <v>606</v>
      </c>
      <c r="D35" t="s">
        <v>615</v>
      </c>
      <c r="E35" s="6">
        <v>152.94</v>
      </c>
      <c r="F35" t="s">
        <v>643</v>
      </c>
      <c r="G35" s="4" t="str">
        <f t="shared" si="2"/>
        <v>152.94</v>
      </c>
      <c r="H35" t="str">
        <f t="shared" si="3"/>
        <v>152.94</v>
      </c>
      <c r="I35" s="1">
        <v>45761</v>
      </c>
      <c r="J35" s="2">
        <f t="shared" si="4"/>
        <v>4.3341213553979288E-3</v>
      </c>
      <c r="K35" s="3" t="str">
        <f t="shared" si="5"/>
        <v/>
      </c>
      <c r="L35" t="str">
        <f t="shared" si="6"/>
        <v/>
      </c>
      <c r="M35" t="str">
        <f t="shared" si="7"/>
        <v/>
      </c>
      <c r="N35">
        <v>152.28</v>
      </c>
      <c r="O35" t="s">
        <v>649</v>
      </c>
      <c r="Q35" t="s">
        <v>606</v>
      </c>
    </row>
    <row r="36" spans="1:17" x14ac:dyDescent="0.3">
      <c r="A36">
        <v>61172</v>
      </c>
      <c r="B36" t="s">
        <v>125</v>
      </c>
      <c r="C36" t="s">
        <v>606</v>
      </c>
      <c r="D36" t="s">
        <v>615</v>
      </c>
      <c r="E36" s="6">
        <v>7837.04</v>
      </c>
      <c r="F36" t="s">
        <v>643</v>
      </c>
      <c r="G36" s="4" t="str">
        <f t="shared" si="2"/>
        <v>7837.04</v>
      </c>
      <c r="H36" t="str">
        <f t="shared" si="3"/>
        <v>7837.04</v>
      </c>
      <c r="I36" s="1">
        <v>45761</v>
      </c>
      <c r="J36" s="2">
        <f t="shared" si="4"/>
        <v>-1.4192684911828738E-2</v>
      </c>
      <c r="K36" s="3" t="str">
        <f t="shared" si="5"/>
        <v/>
      </c>
      <c r="L36" t="str">
        <f t="shared" si="6"/>
        <v/>
      </c>
      <c r="M36" t="str">
        <f t="shared" si="7"/>
        <v/>
      </c>
      <c r="N36">
        <v>7949.87</v>
      </c>
      <c r="O36" t="s">
        <v>649</v>
      </c>
      <c r="Q36" t="s">
        <v>606</v>
      </c>
    </row>
    <row r="37" spans="1:17" x14ac:dyDescent="0.3">
      <c r="A37">
        <v>62166</v>
      </c>
      <c r="B37" t="s">
        <v>128</v>
      </c>
      <c r="C37" t="s">
        <v>606</v>
      </c>
      <c r="D37" t="s">
        <v>616</v>
      </c>
      <c r="E37" s="6">
        <v>151.68</v>
      </c>
      <c r="F37" t="s">
        <v>643</v>
      </c>
      <c r="G37" s="4" t="str">
        <f t="shared" si="2"/>
        <v>151.68</v>
      </c>
      <c r="H37" t="str">
        <f t="shared" si="3"/>
        <v>151.68</v>
      </c>
      <c r="I37" s="1">
        <v>45761</v>
      </c>
      <c r="J37" s="2">
        <f t="shared" si="4"/>
        <v>2.5115664243225079E-3</v>
      </c>
      <c r="K37" s="3" t="str">
        <f t="shared" si="5"/>
        <v/>
      </c>
      <c r="L37" t="str">
        <f t="shared" si="6"/>
        <v/>
      </c>
      <c r="M37" t="str">
        <f t="shared" si="7"/>
        <v/>
      </c>
      <c r="N37">
        <v>151.30000000000001</v>
      </c>
      <c r="O37" t="s">
        <v>650</v>
      </c>
      <c r="Q37" t="s">
        <v>606</v>
      </c>
    </row>
    <row r="38" spans="1:17" x14ac:dyDescent="0.3">
      <c r="A38">
        <v>62166</v>
      </c>
      <c r="B38" t="s">
        <v>128</v>
      </c>
      <c r="C38" t="s">
        <v>606</v>
      </c>
      <c r="D38" t="s">
        <v>616</v>
      </c>
      <c r="E38" s="6">
        <v>7772.47</v>
      </c>
      <c r="F38" t="s">
        <v>643</v>
      </c>
      <c r="G38" s="4" t="str">
        <f t="shared" si="2"/>
        <v>7772.47</v>
      </c>
      <c r="H38" t="str">
        <f t="shared" si="3"/>
        <v>7772.47</v>
      </c>
      <c r="I38" s="1">
        <v>45761</v>
      </c>
      <c r="J38" s="2">
        <f t="shared" si="4"/>
        <v>-1.6042151157270472E-2</v>
      </c>
      <c r="K38" s="3" t="str">
        <f t="shared" si="5"/>
        <v/>
      </c>
      <c r="L38" t="str">
        <f t="shared" si="6"/>
        <v/>
      </c>
      <c r="M38" t="str">
        <f t="shared" si="7"/>
        <v/>
      </c>
      <c r="N38">
        <v>7899.19</v>
      </c>
      <c r="O38" t="s">
        <v>650</v>
      </c>
      <c r="Q38" t="s">
        <v>606</v>
      </c>
    </row>
    <row r="39" spans="1:17" x14ac:dyDescent="0.3">
      <c r="A39">
        <v>62166</v>
      </c>
      <c r="B39" t="s">
        <v>128</v>
      </c>
      <c r="C39" t="s">
        <v>611</v>
      </c>
      <c r="D39" t="s">
        <v>129</v>
      </c>
      <c r="E39" s="6">
        <v>83330.28</v>
      </c>
      <c r="F39" t="s">
        <v>643</v>
      </c>
      <c r="G39" s="4" t="str">
        <f t="shared" si="2"/>
        <v>83330.28</v>
      </c>
      <c r="H39" t="str">
        <f t="shared" si="3"/>
        <v>83330.28</v>
      </c>
      <c r="I39" s="1">
        <v>45761</v>
      </c>
      <c r="J39" s="2">
        <f t="shared" si="4"/>
        <v>-2.4217201284473872E-2</v>
      </c>
      <c r="K39" s="3" t="str">
        <f t="shared" si="5"/>
        <v/>
      </c>
      <c r="L39" t="str">
        <f t="shared" si="6"/>
        <v/>
      </c>
      <c r="M39" t="str">
        <f t="shared" si="7"/>
        <v>Check</v>
      </c>
      <c r="N39">
        <v>85398.39</v>
      </c>
      <c r="O39" t="s">
        <v>130</v>
      </c>
      <c r="Q39" t="s">
        <v>41</v>
      </c>
    </row>
    <row r="40" spans="1:17" x14ac:dyDescent="0.3">
      <c r="A40">
        <v>69046</v>
      </c>
      <c r="B40" t="s">
        <v>131</v>
      </c>
      <c r="C40" t="s">
        <v>19</v>
      </c>
      <c r="D40" t="s">
        <v>132</v>
      </c>
      <c r="E40" s="6">
        <v>321.20999999999998</v>
      </c>
      <c r="F40" t="s">
        <v>643</v>
      </c>
      <c r="G40" s="4" t="str">
        <f t="shared" si="2"/>
        <v>321.21</v>
      </c>
      <c r="H40" t="str">
        <f t="shared" si="3"/>
        <v>321.21</v>
      </c>
      <c r="I40" s="1">
        <v>45761</v>
      </c>
      <c r="J40" s="2">
        <f t="shared" si="4"/>
        <v>-1.5231582219459407E-3</v>
      </c>
      <c r="K40" s="3" t="str">
        <f t="shared" si="5"/>
        <v/>
      </c>
      <c r="L40" t="str">
        <f t="shared" si="6"/>
        <v/>
      </c>
      <c r="M40" t="str">
        <f t="shared" si="7"/>
        <v/>
      </c>
      <c r="N40">
        <v>321.7</v>
      </c>
      <c r="O40" t="s">
        <v>133</v>
      </c>
      <c r="Q40" t="s">
        <v>19</v>
      </c>
    </row>
    <row r="41" spans="1:17" x14ac:dyDescent="0.3">
      <c r="A41">
        <v>72002</v>
      </c>
      <c r="B41" t="s">
        <v>134</v>
      </c>
      <c r="C41" t="s">
        <v>590</v>
      </c>
      <c r="D41" t="s">
        <v>135</v>
      </c>
      <c r="E41" s="6">
        <v>401.63</v>
      </c>
      <c r="F41" t="s">
        <v>643</v>
      </c>
      <c r="G41" s="4" t="str">
        <f t="shared" si="2"/>
        <v>401.63</v>
      </c>
      <c r="H41" t="str">
        <f t="shared" si="3"/>
        <v>401.63</v>
      </c>
      <c r="I41" s="1">
        <v>45761</v>
      </c>
      <c r="J41" s="2">
        <f t="shared" si="4"/>
        <v>-0.12681537525002171</v>
      </c>
      <c r="K41" s="3" t="str">
        <f t="shared" si="5"/>
        <v>Check!</v>
      </c>
      <c r="L41" t="str">
        <f t="shared" si="6"/>
        <v/>
      </c>
      <c r="M41" t="str">
        <f t="shared" si="7"/>
        <v>Check</v>
      </c>
      <c r="N41">
        <v>459.96</v>
      </c>
      <c r="O41" t="s">
        <v>136</v>
      </c>
      <c r="Q41" t="s">
        <v>16</v>
      </c>
    </row>
    <row r="42" spans="1:17" x14ac:dyDescent="0.3">
      <c r="A42">
        <v>72002</v>
      </c>
      <c r="B42" t="s">
        <v>134</v>
      </c>
      <c r="C42" t="s">
        <v>19</v>
      </c>
      <c r="D42" t="s">
        <v>137</v>
      </c>
      <c r="E42" s="6">
        <v>436.53</v>
      </c>
      <c r="F42" t="s">
        <v>643</v>
      </c>
      <c r="G42" s="4" t="str">
        <f t="shared" si="2"/>
        <v>436.53</v>
      </c>
      <c r="H42" t="str">
        <f t="shared" si="3"/>
        <v>436.53</v>
      </c>
      <c r="I42" s="1">
        <v>45761</v>
      </c>
      <c r="J42" s="2">
        <f t="shared" si="4"/>
        <v>-2.3995612230906611E-3</v>
      </c>
      <c r="K42" s="3" t="str">
        <f t="shared" si="5"/>
        <v/>
      </c>
      <c r="L42" t="str">
        <f t="shared" si="6"/>
        <v/>
      </c>
      <c r="M42" t="str">
        <f t="shared" si="7"/>
        <v/>
      </c>
      <c r="N42">
        <v>437.58</v>
      </c>
      <c r="O42" t="s">
        <v>138</v>
      </c>
      <c r="Q42" t="s">
        <v>19</v>
      </c>
    </row>
    <row r="43" spans="1:17" x14ac:dyDescent="0.3">
      <c r="A43">
        <v>72002</v>
      </c>
      <c r="B43" t="s">
        <v>134</v>
      </c>
      <c r="C43" t="s">
        <v>19</v>
      </c>
      <c r="D43" t="s">
        <v>139</v>
      </c>
      <c r="E43" s="6">
        <v>148.22999999999999</v>
      </c>
      <c r="F43" t="s">
        <v>643</v>
      </c>
      <c r="G43" s="4" t="str">
        <f t="shared" si="2"/>
        <v>148.23</v>
      </c>
      <c r="H43" t="str">
        <f t="shared" si="3"/>
        <v>148.23</v>
      </c>
      <c r="I43" s="1">
        <v>45761</v>
      </c>
      <c r="J43" s="2">
        <f t="shared" si="4"/>
        <v>0.41144543896400682</v>
      </c>
      <c r="K43" s="3" t="str">
        <f t="shared" si="5"/>
        <v>Check!</v>
      </c>
      <c r="L43" t="str">
        <f t="shared" si="6"/>
        <v/>
      </c>
      <c r="M43" t="str">
        <f t="shared" si="7"/>
        <v/>
      </c>
      <c r="N43">
        <v>105.02</v>
      </c>
      <c r="O43" t="s">
        <v>140</v>
      </c>
      <c r="Q43" t="s">
        <v>19</v>
      </c>
    </row>
    <row r="44" spans="1:17" x14ac:dyDescent="0.3">
      <c r="A44">
        <v>80212</v>
      </c>
      <c r="B44" t="s">
        <v>141</v>
      </c>
      <c r="C44" t="s">
        <v>611</v>
      </c>
      <c r="D44" t="s">
        <v>144</v>
      </c>
      <c r="E44" s="6">
        <v>33486.589999999997</v>
      </c>
      <c r="F44" t="s">
        <v>643</v>
      </c>
      <c r="G44" s="4" t="str">
        <f t="shared" si="2"/>
        <v>33486.59</v>
      </c>
      <c r="H44" t="str">
        <f t="shared" si="3"/>
        <v>33486.59</v>
      </c>
      <c r="I44" s="1">
        <v>45761</v>
      </c>
      <c r="J44" s="2">
        <f t="shared" si="4"/>
        <v>-2.2515662796905818E-2</v>
      </c>
      <c r="K44" s="3" t="str">
        <f t="shared" si="5"/>
        <v/>
      </c>
      <c r="L44" t="str">
        <f t="shared" si="6"/>
        <v/>
      </c>
      <c r="M44" t="str">
        <f t="shared" si="7"/>
        <v>Check</v>
      </c>
      <c r="N44">
        <v>34257.93</v>
      </c>
      <c r="O44" t="s">
        <v>145</v>
      </c>
      <c r="Q44" t="s">
        <v>41</v>
      </c>
    </row>
    <row r="45" spans="1:17" x14ac:dyDescent="0.3">
      <c r="A45">
        <v>80212</v>
      </c>
      <c r="B45" t="s">
        <v>141</v>
      </c>
      <c r="C45" t="s">
        <v>606</v>
      </c>
      <c r="D45" t="s">
        <v>617</v>
      </c>
      <c r="E45" s="6">
        <v>74.44</v>
      </c>
      <c r="F45" t="s">
        <v>643</v>
      </c>
      <c r="G45" s="4" t="str">
        <f t="shared" si="2"/>
        <v>74.44</v>
      </c>
      <c r="H45" t="str">
        <f t="shared" si="3"/>
        <v>74.44</v>
      </c>
      <c r="I45" s="1">
        <v>45761</v>
      </c>
      <c r="J45" s="2">
        <f t="shared" si="4"/>
        <v>-5.7432883665020276E-3</v>
      </c>
      <c r="K45" s="3" t="str">
        <f t="shared" si="5"/>
        <v/>
      </c>
      <c r="L45" t="str">
        <f t="shared" si="6"/>
        <v/>
      </c>
      <c r="M45" t="str">
        <f t="shared" si="7"/>
        <v/>
      </c>
      <c r="N45">
        <v>74.87</v>
      </c>
      <c r="O45" t="s">
        <v>651</v>
      </c>
      <c r="Q45" t="s">
        <v>606</v>
      </c>
    </row>
    <row r="46" spans="1:17" x14ac:dyDescent="0.3">
      <c r="A46">
        <v>80212</v>
      </c>
      <c r="B46" t="s">
        <v>141</v>
      </c>
      <c r="C46" t="s">
        <v>606</v>
      </c>
      <c r="D46" t="s">
        <v>617</v>
      </c>
      <c r="E46" s="6">
        <v>3812.15</v>
      </c>
      <c r="F46" t="s">
        <v>643</v>
      </c>
      <c r="G46" s="4" t="str">
        <f t="shared" si="2"/>
        <v>3812.15</v>
      </c>
      <c r="H46" t="str">
        <f t="shared" si="3"/>
        <v>3812.15</v>
      </c>
      <c r="I46" s="1">
        <v>45761</v>
      </c>
      <c r="J46" s="2">
        <f t="shared" si="4"/>
        <v>-2.4399294687894198E-2</v>
      </c>
      <c r="K46" s="3" t="str">
        <f t="shared" si="5"/>
        <v/>
      </c>
      <c r="L46" t="str">
        <f t="shared" si="6"/>
        <v/>
      </c>
      <c r="M46" t="str">
        <f t="shared" si="7"/>
        <v/>
      </c>
      <c r="N46">
        <v>3907.49</v>
      </c>
      <c r="O46" t="s">
        <v>651</v>
      </c>
      <c r="Q46" t="s">
        <v>606</v>
      </c>
    </row>
    <row r="47" spans="1:17" x14ac:dyDescent="0.3">
      <c r="A47">
        <v>81381</v>
      </c>
      <c r="B47" t="s">
        <v>593</v>
      </c>
      <c r="C47" t="s">
        <v>19</v>
      </c>
      <c r="D47" t="s">
        <v>146</v>
      </c>
      <c r="E47" s="6">
        <v>171.82</v>
      </c>
      <c r="F47" t="s">
        <v>643</v>
      </c>
      <c r="G47" s="4" t="str">
        <f t="shared" si="2"/>
        <v>171.82</v>
      </c>
      <c r="H47" t="str">
        <f t="shared" si="3"/>
        <v>171.82</v>
      </c>
      <c r="I47" s="1">
        <v>45761</v>
      </c>
      <c r="J47" s="2">
        <f t="shared" si="4"/>
        <v>0.35312647661048974</v>
      </c>
      <c r="K47" s="3" t="str">
        <f t="shared" si="5"/>
        <v>Check!</v>
      </c>
      <c r="L47" t="str">
        <f t="shared" si="6"/>
        <v/>
      </c>
      <c r="M47" t="str">
        <f t="shared" si="7"/>
        <v/>
      </c>
      <c r="N47">
        <v>126.98</v>
      </c>
      <c r="O47" t="s">
        <v>147</v>
      </c>
      <c r="Q47" t="s">
        <v>19</v>
      </c>
    </row>
    <row r="48" spans="1:17" x14ac:dyDescent="0.3">
      <c r="A48">
        <v>81381</v>
      </c>
      <c r="B48" t="s">
        <v>593</v>
      </c>
      <c r="C48" t="s">
        <v>19</v>
      </c>
      <c r="D48" t="s">
        <v>148</v>
      </c>
      <c r="E48" s="6">
        <v>5652.28</v>
      </c>
      <c r="F48" t="s">
        <v>643</v>
      </c>
      <c r="G48" s="4" t="str">
        <f t="shared" si="2"/>
        <v>5652.28</v>
      </c>
      <c r="H48" t="str">
        <f t="shared" si="3"/>
        <v>5652.28</v>
      </c>
      <c r="I48" s="1">
        <v>45761</v>
      </c>
      <c r="J48" s="2">
        <f t="shared" si="4"/>
        <v>-6.7723104930396613E-3</v>
      </c>
      <c r="K48" s="3" t="str">
        <f t="shared" si="5"/>
        <v/>
      </c>
      <c r="L48" t="str">
        <f t="shared" si="6"/>
        <v/>
      </c>
      <c r="M48" t="str">
        <f t="shared" si="7"/>
        <v/>
      </c>
      <c r="N48">
        <v>5690.82</v>
      </c>
      <c r="O48" t="s">
        <v>149</v>
      </c>
      <c r="Q48" t="s">
        <v>19</v>
      </c>
    </row>
    <row r="49" spans="1:17" x14ac:dyDescent="0.3">
      <c r="A49">
        <v>113590</v>
      </c>
      <c r="B49" t="s">
        <v>150</v>
      </c>
      <c r="C49" t="s">
        <v>19</v>
      </c>
      <c r="D49" t="s">
        <v>151</v>
      </c>
      <c r="E49" s="6">
        <v>172.23</v>
      </c>
      <c r="F49" t="s">
        <v>643</v>
      </c>
      <c r="G49" s="4" t="str">
        <f t="shared" si="2"/>
        <v>172.23</v>
      </c>
      <c r="H49" t="str">
        <f t="shared" si="3"/>
        <v>172.23</v>
      </c>
      <c r="I49" s="1">
        <v>45761</v>
      </c>
      <c r="J49" s="2">
        <f t="shared" si="4"/>
        <v>-6.9192181283515945E-3</v>
      </c>
      <c r="K49" s="3" t="str">
        <f t="shared" si="5"/>
        <v/>
      </c>
      <c r="L49" t="str">
        <f t="shared" si="6"/>
        <v/>
      </c>
      <c r="M49" t="str">
        <f t="shared" si="7"/>
        <v/>
      </c>
      <c r="N49">
        <v>173.43</v>
      </c>
      <c r="O49" t="s">
        <v>152</v>
      </c>
      <c r="Q49" t="s">
        <v>19</v>
      </c>
    </row>
    <row r="50" spans="1:17" x14ac:dyDescent="0.3">
      <c r="A50">
        <v>130912</v>
      </c>
      <c r="B50" t="s">
        <v>604</v>
      </c>
      <c r="C50" t="s">
        <v>590</v>
      </c>
      <c r="D50" t="s">
        <v>605</v>
      </c>
      <c r="E50" s="6">
        <v>155.07</v>
      </c>
      <c r="F50" t="s">
        <v>643</v>
      </c>
      <c r="G50" s="4" t="str">
        <f t="shared" si="2"/>
        <v>155.07</v>
      </c>
      <c r="H50" t="str">
        <f t="shared" si="3"/>
        <v>155.07</v>
      </c>
      <c r="I50" s="1">
        <v>45761</v>
      </c>
      <c r="J50" s="2">
        <f t="shared" si="4"/>
        <v>2.7806518365235829E-3</v>
      </c>
      <c r="K50" s="3" t="str">
        <f t="shared" si="5"/>
        <v/>
      </c>
      <c r="L50" t="str">
        <f t="shared" si="6"/>
        <v/>
      </c>
      <c r="M50" t="str">
        <f t="shared" si="7"/>
        <v/>
      </c>
      <c r="N50">
        <v>154.63999999999999</v>
      </c>
      <c r="O50" t="s">
        <v>652</v>
      </c>
      <c r="Q50" t="s">
        <v>590</v>
      </c>
    </row>
    <row r="51" spans="1:17" x14ac:dyDescent="0.3">
      <c r="A51">
        <v>133380</v>
      </c>
      <c r="B51" t="s">
        <v>155</v>
      </c>
      <c r="C51" t="s">
        <v>611</v>
      </c>
      <c r="D51" t="s">
        <v>156</v>
      </c>
      <c r="E51" s="6">
        <v>20486.48</v>
      </c>
      <c r="F51" t="s">
        <v>643</v>
      </c>
      <c r="G51" s="4" t="str">
        <f t="shared" si="2"/>
        <v>20486.48</v>
      </c>
      <c r="H51" t="str">
        <f t="shared" si="3"/>
        <v>20486.48</v>
      </c>
      <c r="I51" s="1">
        <v>45761</v>
      </c>
      <c r="J51" s="2">
        <f t="shared" si="4"/>
        <v>-2.0227715437484462E-2</v>
      </c>
      <c r="K51" s="3" t="str">
        <f t="shared" si="5"/>
        <v/>
      </c>
      <c r="L51" t="str">
        <f t="shared" si="6"/>
        <v/>
      </c>
      <c r="M51" t="str">
        <f t="shared" si="7"/>
        <v>Check</v>
      </c>
      <c r="N51">
        <v>20909.43</v>
      </c>
      <c r="O51" t="s">
        <v>157</v>
      </c>
      <c r="Q51" t="s">
        <v>41</v>
      </c>
    </row>
    <row r="52" spans="1:17" x14ac:dyDescent="0.3">
      <c r="A52">
        <v>133380</v>
      </c>
      <c r="B52" t="s">
        <v>155</v>
      </c>
      <c r="C52" t="s">
        <v>606</v>
      </c>
      <c r="D52" t="s">
        <v>618</v>
      </c>
      <c r="E52" s="6">
        <v>2277.37</v>
      </c>
      <c r="F52" t="s">
        <v>643</v>
      </c>
      <c r="G52" s="4" t="str">
        <f t="shared" si="2"/>
        <v>2277.37</v>
      </c>
      <c r="H52" t="str">
        <f t="shared" si="3"/>
        <v>2277.37</v>
      </c>
      <c r="I52" s="1">
        <v>45761</v>
      </c>
      <c r="J52" s="2">
        <f t="shared" si="4"/>
        <v>-2.3497429432674369E-2</v>
      </c>
      <c r="K52" s="3" t="str">
        <f t="shared" si="5"/>
        <v/>
      </c>
      <c r="L52" t="str">
        <f t="shared" si="6"/>
        <v/>
      </c>
      <c r="M52" t="str">
        <f t="shared" si="7"/>
        <v/>
      </c>
      <c r="N52">
        <v>2332.17</v>
      </c>
      <c r="O52" t="s">
        <v>653</v>
      </c>
      <c r="Q52" t="s">
        <v>606</v>
      </c>
    </row>
    <row r="53" spans="1:17" x14ac:dyDescent="0.3">
      <c r="A53">
        <v>133382</v>
      </c>
      <c r="B53" t="s">
        <v>158</v>
      </c>
      <c r="C53" t="s">
        <v>611</v>
      </c>
      <c r="D53" t="s">
        <v>159</v>
      </c>
      <c r="E53" s="6">
        <v>2349.44</v>
      </c>
      <c r="F53" t="s">
        <v>643</v>
      </c>
      <c r="G53" s="4" t="str">
        <f t="shared" si="2"/>
        <v>2349.44</v>
      </c>
      <c r="H53" t="str">
        <f t="shared" si="3"/>
        <v>2349.44</v>
      </c>
      <c r="I53" s="1">
        <v>45761</v>
      </c>
      <c r="J53" s="2">
        <f t="shared" si="4"/>
        <v>-2.439186439551852E-2</v>
      </c>
      <c r="K53" s="3" t="str">
        <f t="shared" si="5"/>
        <v/>
      </c>
      <c r="L53" t="str">
        <f t="shared" si="6"/>
        <v/>
      </c>
      <c r="M53" t="str">
        <f t="shared" si="7"/>
        <v>Check</v>
      </c>
      <c r="N53">
        <v>2408.1799999999998</v>
      </c>
      <c r="O53" t="s">
        <v>160</v>
      </c>
      <c r="Q53" t="s">
        <v>41</v>
      </c>
    </row>
    <row r="54" spans="1:17" x14ac:dyDescent="0.3">
      <c r="A54">
        <v>133382</v>
      </c>
      <c r="B54" t="s">
        <v>158</v>
      </c>
      <c r="C54" t="s">
        <v>606</v>
      </c>
      <c r="D54" t="s">
        <v>619</v>
      </c>
      <c r="E54" s="6">
        <v>263.52</v>
      </c>
      <c r="F54" t="s">
        <v>643</v>
      </c>
      <c r="G54" s="4" t="str">
        <f t="shared" si="2"/>
        <v>263.52</v>
      </c>
      <c r="H54" t="str">
        <f t="shared" si="3"/>
        <v>263.52</v>
      </c>
      <c r="I54" s="1">
        <v>45761</v>
      </c>
      <c r="J54" s="2">
        <f t="shared" si="4"/>
        <v>-2.2878119322184788E-2</v>
      </c>
      <c r="K54" s="3" t="str">
        <f t="shared" si="5"/>
        <v/>
      </c>
      <c r="L54" t="str">
        <f t="shared" si="6"/>
        <v/>
      </c>
      <c r="M54" t="str">
        <f t="shared" si="7"/>
        <v/>
      </c>
      <c r="N54">
        <v>269.69</v>
      </c>
      <c r="O54" t="s">
        <v>654</v>
      </c>
      <c r="Q54" t="s">
        <v>606</v>
      </c>
    </row>
    <row r="55" spans="1:17" x14ac:dyDescent="0.3">
      <c r="A55">
        <v>100202693</v>
      </c>
      <c r="B55" t="s">
        <v>594</v>
      </c>
      <c r="C55" t="s">
        <v>590</v>
      </c>
      <c r="D55" t="s">
        <v>599</v>
      </c>
      <c r="E55" s="6">
        <v>1079.8499999999999</v>
      </c>
      <c r="F55" t="s">
        <v>643</v>
      </c>
      <c r="G55" s="4" t="str">
        <f t="shared" si="2"/>
        <v>1079.85</v>
      </c>
      <c r="H55" t="str">
        <f t="shared" si="3"/>
        <v>1079.85</v>
      </c>
      <c r="I55" s="1">
        <v>45761</v>
      </c>
      <c r="J55" s="2">
        <f t="shared" si="4"/>
        <v>-6.4314894556696568E-3</v>
      </c>
      <c r="K55" s="3" t="str">
        <f t="shared" si="5"/>
        <v/>
      </c>
      <c r="L55" t="str">
        <f t="shared" si="6"/>
        <v/>
      </c>
      <c r="M55" t="str">
        <f t="shared" si="7"/>
        <v/>
      </c>
      <c r="N55">
        <v>1086.8399999999999</v>
      </c>
      <c r="O55" t="s">
        <v>655</v>
      </c>
      <c r="Q55" t="s">
        <v>590</v>
      </c>
    </row>
    <row r="56" spans="1:17" x14ac:dyDescent="0.3">
      <c r="A56">
        <v>100202693</v>
      </c>
      <c r="B56" t="s">
        <v>594</v>
      </c>
      <c r="C56" t="s">
        <v>19</v>
      </c>
      <c r="D56" t="s">
        <v>598</v>
      </c>
      <c r="E56" s="6">
        <v>2972.96</v>
      </c>
      <c r="F56" t="s">
        <v>643</v>
      </c>
      <c r="G56" s="4" t="str">
        <f t="shared" si="2"/>
        <v>2972.96</v>
      </c>
      <c r="H56" t="str">
        <f t="shared" si="3"/>
        <v>2972.96</v>
      </c>
      <c r="I56" s="1">
        <v>45761</v>
      </c>
      <c r="J56" s="2">
        <f t="shared" si="4"/>
        <v>-6.4001657693066394E-3</v>
      </c>
      <c r="K56" s="3" t="str">
        <f t="shared" si="5"/>
        <v/>
      </c>
      <c r="L56" t="str">
        <f t="shared" si="6"/>
        <v/>
      </c>
      <c r="M56" t="str">
        <f t="shared" si="7"/>
        <v/>
      </c>
      <c r="N56">
        <v>2992.11</v>
      </c>
      <c r="O56" t="s">
        <v>656</v>
      </c>
      <c r="Q56" t="s">
        <v>19</v>
      </c>
    </row>
    <row r="57" spans="1:17" x14ac:dyDescent="0.3">
      <c r="A57">
        <v>100202693</v>
      </c>
      <c r="B57" t="s">
        <v>594</v>
      </c>
      <c r="C57" t="s">
        <v>19</v>
      </c>
      <c r="D57" t="s">
        <v>597</v>
      </c>
      <c r="E57" s="6">
        <v>762.79</v>
      </c>
      <c r="F57" t="s">
        <v>643</v>
      </c>
      <c r="G57" s="4" t="str">
        <f t="shared" si="2"/>
        <v>762.79</v>
      </c>
      <c r="H57" t="str">
        <f t="shared" si="3"/>
        <v>762.79</v>
      </c>
      <c r="I57" s="1">
        <v>45761</v>
      </c>
      <c r="J57" s="2">
        <f t="shared" si="4"/>
        <v>-6.5251367543631041E-3</v>
      </c>
      <c r="K57" s="3" t="str">
        <f t="shared" si="5"/>
        <v/>
      </c>
      <c r="L57" t="str">
        <f t="shared" si="6"/>
        <v/>
      </c>
      <c r="M57" t="str">
        <f t="shared" si="7"/>
        <v/>
      </c>
      <c r="N57">
        <v>767.8</v>
      </c>
      <c r="O57" t="s">
        <v>657</v>
      </c>
      <c r="Q57" t="s">
        <v>19</v>
      </c>
    </row>
    <row r="58" spans="1:17" x14ac:dyDescent="0.3">
      <c r="A58">
        <v>100220898</v>
      </c>
      <c r="B58" t="s">
        <v>166</v>
      </c>
      <c r="C58" t="s">
        <v>19</v>
      </c>
      <c r="D58" t="s">
        <v>167</v>
      </c>
      <c r="E58" s="6">
        <v>1187.8399999999999</v>
      </c>
      <c r="F58" t="s">
        <v>643</v>
      </c>
      <c r="G58" s="4" t="str">
        <f t="shared" si="2"/>
        <v>1187.84</v>
      </c>
      <c r="H58" t="str">
        <f t="shared" si="3"/>
        <v>1187.84</v>
      </c>
      <c r="I58" s="1">
        <v>45761</v>
      </c>
      <c r="J58" s="2">
        <f t="shared" si="4"/>
        <v>-6.4406042457801878E-3</v>
      </c>
      <c r="K58" s="3" t="str">
        <f t="shared" si="5"/>
        <v/>
      </c>
      <c r="L58" t="str">
        <f t="shared" si="6"/>
        <v/>
      </c>
      <c r="M58" t="str">
        <f t="shared" si="7"/>
        <v/>
      </c>
      <c r="N58">
        <v>1195.54</v>
      </c>
      <c r="O58" t="s">
        <v>168</v>
      </c>
      <c r="Q58" t="s">
        <v>19</v>
      </c>
    </row>
    <row r="59" spans="1:17" x14ac:dyDescent="0.3">
      <c r="A59">
        <v>100249944</v>
      </c>
      <c r="B59" t="s">
        <v>173</v>
      </c>
      <c r="C59" t="s">
        <v>19</v>
      </c>
      <c r="D59" t="s">
        <v>174</v>
      </c>
      <c r="E59" s="6">
        <v>201.8</v>
      </c>
      <c r="F59" t="s">
        <v>643</v>
      </c>
      <c r="G59" s="4" t="str">
        <f t="shared" si="2"/>
        <v>201.8</v>
      </c>
      <c r="H59" t="str">
        <f t="shared" si="3"/>
        <v>201.8</v>
      </c>
      <c r="I59" s="1">
        <v>45761</v>
      </c>
      <c r="J59" s="2">
        <f t="shared" si="4"/>
        <v>-6.547531137694994E-3</v>
      </c>
      <c r="K59" s="3" t="str">
        <f t="shared" si="5"/>
        <v/>
      </c>
      <c r="L59" t="str">
        <f t="shared" si="6"/>
        <v/>
      </c>
      <c r="M59" t="str">
        <f t="shared" si="7"/>
        <v/>
      </c>
      <c r="N59">
        <v>203.13</v>
      </c>
      <c r="O59" t="s">
        <v>175</v>
      </c>
      <c r="Q59" t="s">
        <v>19</v>
      </c>
    </row>
    <row r="60" spans="1:17" x14ac:dyDescent="0.3">
      <c r="A60">
        <v>100250182</v>
      </c>
      <c r="B60" t="s">
        <v>176</v>
      </c>
      <c r="C60" t="s">
        <v>19</v>
      </c>
      <c r="D60" t="s">
        <v>177</v>
      </c>
      <c r="E60" s="6">
        <v>1819.73</v>
      </c>
      <c r="F60" t="s">
        <v>643</v>
      </c>
      <c r="G60" s="4" t="str">
        <f t="shared" si="2"/>
        <v>1819.73</v>
      </c>
      <c r="H60" t="str">
        <f t="shared" si="3"/>
        <v>1819.73</v>
      </c>
      <c r="I60" s="1">
        <v>45761</v>
      </c>
      <c r="J60" s="2">
        <f t="shared" si="4"/>
        <v>-6.7897629586774451E-3</v>
      </c>
      <c r="K60" s="3" t="str">
        <f t="shared" si="5"/>
        <v/>
      </c>
      <c r="L60" t="str">
        <f t="shared" si="6"/>
        <v/>
      </c>
      <c r="M60" t="str">
        <f t="shared" si="7"/>
        <v/>
      </c>
      <c r="N60">
        <v>1832.17</v>
      </c>
      <c r="O60" t="s">
        <v>178</v>
      </c>
      <c r="Q60" t="s">
        <v>19</v>
      </c>
    </row>
    <row r="61" spans="1:17" x14ac:dyDescent="0.3">
      <c r="A61">
        <v>100271808</v>
      </c>
      <c r="B61" t="s">
        <v>179</v>
      </c>
      <c r="C61" t="s">
        <v>611</v>
      </c>
      <c r="D61" t="s">
        <v>180</v>
      </c>
      <c r="E61" s="6">
        <v>15710.45</v>
      </c>
      <c r="F61" t="s">
        <v>643</v>
      </c>
      <c r="G61" s="4" t="str">
        <f t="shared" si="2"/>
        <v>15710.45</v>
      </c>
      <c r="H61" t="str">
        <f t="shared" si="3"/>
        <v>15710.45</v>
      </c>
      <c r="I61" s="1">
        <v>45761</v>
      </c>
      <c r="J61" s="2">
        <f t="shared" si="4"/>
        <v>-1.920517315433555E-2</v>
      </c>
      <c r="K61" s="3" t="str">
        <f t="shared" si="5"/>
        <v/>
      </c>
      <c r="L61" t="str">
        <f t="shared" si="6"/>
        <v/>
      </c>
      <c r="M61" t="str">
        <f t="shared" si="7"/>
        <v>Check</v>
      </c>
      <c r="N61">
        <v>16018.08</v>
      </c>
      <c r="O61" t="s">
        <v>181</v>
      </c>
      <c r="Q61" t="s">
        <v>41</v>
      </c>
    </row>
    <row r="62" spans="1:17" x14ac:dyDescent="0.3">
      <c r="A62">
        <v>100278188</v>
      </c>
      <c r="B62" t="s">
        <v>187</v>
      </c>
      <c r="C62" t="s">
        <v>590</v>
      </c>
      <c r="D62" t="s">
        <v>188</v>
      </c>
      <c r="E62" s="6">
        <v>159.16</v>
      </c>
      <c r="F62" t="s">
        <v>643</v>
      </c>
      <c r="G62" s="4" t="str">
        <f t="shared" si="2"/>
        <v>159.16</v>
      </c>
      <c r="H62" t="str">
        <f t="shared" si="3"/>
        <v>159.16</v>
      </c>
      <c r="I62" s="1">
        <v>45761</v>
      </c>
      <c r="J62" s="2">
        <f t="shared" si="4"/>
        <v>-1.0014306151645292E-2</v>
      </c>
      <c r="K62" s="3" t="str">
        <f t="shared" si="5"/>
        <v/>
      </c>
      <c r="L62" t="str">
        <f t="shared" si="6"/>
        <v/>
      </c>
      <c r="M62" t="str">
        <f t="shared" si="7"/>
        <v>Check</v>
      </c>
      <c r="N62">
        <v>160.77000000000001</v>
      </c>
      <c r="O62" t="s">
        <v>189</v>
      </c>
      <c r="Q62" t="s">
        <v>16</v>
      </c>
    </row>
    <row r="63" spans="1:17" x14ac:dyDescent="0.3">
      <c r="A63">
        <v>100278188</v>
      </c>
      <c r="B63" t="s">
        <v>187</v>
      </c>
      <c r="C63" t="s">
        <v>19</v>
      </c>
      <c r="D63" t="s">
        <v>190</v>
      </c>
      <c r="E63" s="6">
        <v>170.25</v>
      </c>
      <c r="F63" t="s">
        <v>643</v>
      </c>
      <c r="G63" s="4" t="str">
        <f t="shared" si="2"/>
        <v>170.25</v>
      </c>
      <c r="H63" t="str">
        <f t="shared" si="3"/>
        <v>170.25</v>
      </c>
      <c r="I63" s="1">
        <v>45761</v>
      </c>
      <c r="J63" s="2">
        <f t="shared" si="4"/>
        <v>-1.9345761519522363E-3</v>
      </c>
      <c r="K63" s="3" t="str">
        <f t="shared" si="5"/>
        <v/>
      </c>
      <c r="L63" t="str">
        <f t="shared" si="6"/>
        <v/>
      </c>
      <c r="M63" t="str">
        <f t="shared" si="7"/>
        <v/>
      </c>
      <c r="N63">
        <v>170.58</v>
      </c>
      <c r="O63" t="s">
        <v>191</v>
      </c>
      <c r="Q63" t="s">
        <v>19</v>
      </c>
    </row>
    <row r="64" spans="1:17" x14ac:dyDescent="0.3">
      <c r="A64">
        <v>100278188</v>
      </c>
      <c r="B64" t="s">
        <v>187</v>
      </c>
      <c r="C64" t="s">
        <v>19</v>
      </c>
      <c r="D64" t="s">
        <v>192</v>
      </c>
      <c r="E64" s="6">
        <v>275.37</v>
      </c>
      <c r="F64" t="s">
        <v>643</v>
      </c>
      <c r="G64" s="4" t="str">
        <f t="shared" si="2"/>
        <v>275.37</v>
      </c>
      <c r="H64" t="str">
        <f t="shared" si="3"/>
        <v>275.37</v>
      </c>
      <c r="I64" s="1">
        <v>45761</v>
      </c>
      <c r="J64" s="2">
        <f t="shared" si="4"/>
        <v>5.2568174351111515E-3</v>
      </c>
      <c r="K64" s="3" t="str">
        <f t="shared" si="5"/>
        <v/>
      </c>
      <c r="L64" t="str">
        <f t="shared" si="6"/>
        <v/>
      </c>
      <c r="M64" t="str">
        <f t="shared" si="7"/>
        <v/>
      </c>
      <c r="N64">
        <v>273.93</v>
      </c>
      <c r="O64" t="s">
        <v>193</v>
      </c>
      <c r="Q64" t="s">
        <v>19</v>
      </c>
    </row>
    <row r="65" spans="1:17" x14ac:dyDescent="0.3">
      <c r="A65">
        <v>100278188</v>
      </c>
      <c r="B65" t="s">
        <v>187</v>
      </c>
      <c r="C65" t="s">
        <v>19</v>
      </c>
      <c r="D65" t="s">
        <v>194</v>
      </c>
      <c r="E65" s="6">
        <v>271.48</v>
      </c>
      <c r="F65" t="s">
        <v>643</v>
      </c>
      <c r="G65" s="4" t="str">
        <f t="shared" si="2"/>
        <v>271.48</v>
      </c>
      <c r="H65" t="str">
        <f t="shared" si="3"/>
        <v>271.48</v>
      </c>
      <c r="I65" s="1">
        <v>45761</v>
      </c>
      <c r="J65" s="2">
        <f t="shared" si="4"/>
        <v>7.9079264896974016E-3</v>
      </c>
      <c r="K65" s="3" t="str">
        <f t="shared" si="5"/>
        <v/>
      </c>
      <c r="L65" t="str">
        <f t="shared" si="6"/>
        <v/>
      </c>
      <c r="M65" t="str">
        <f t="shared" si="7"/>
        <v/>
      </c>
      <c r="N65">
        <v>269.35000000000002</v>
      </c>
      <c r="O65" t="s">
        <v>195</v>
      </c>
      <c r="Q65" t="s">
        <v>19</v>
      </c>
    </row>
    <row r="66" spans="1:17" x14ac:dyDescent="0.3">
      <c r="A66">
        <v>100317997</v>
      </c>
      <c r="B66" t="s">
        <v>199</v>
      </c>
      <c r="C66" t="s">
        <v>606</v>
      </c>
      <c r="D66" t="s">
        <v>621</v>
      </c>
      <c r="E66" s="6">
        <v>353.91</v>
      </c>
      <c r="F66" t="s">
        <v>643</v>
      </c>
      <c r="G66" s="4" t="str">
        <f t="shared" si="2"/>
        <v>353.91</v>
      </c>
      <c r="H66" t="str">
        <f t="shared" si="3"/>
        <v>353.91</v>
      </c>
      <c r="I66" s="1">
        <v>45761</v>
      </c>
      <c r="J66" s="2">
        <f t="shared" si="4"/>
        <v>-2.5256141897102454E-2</v>
      </c>
      <c r="K66" s="3" t="str">
        <f t="shared" si="5"/>
        <v/>
      </c>
      <c r="L66" t="str">
        <f t="shared" si="6"/>
        <v/>
      </c>
      <c r="M66" t="str">
        <f t="shared" si="7"/>
        <v/>
      </c>
      <c r="N66">
        <v>363.08</v>
      </c>
      <c r="O66" t="s">
        <v>659</v>
      </c>
      <c r="Q66" t="s">
        <v>606</v>
      </c>
    </row>
    <row r="67" spans="1:17" x14ac:dyDescent="0.3">
      <c r="A67">
        <v>100317997</v>
      </c>
      <c r="B67" t="s">
        <v>199</v>
      </c>
      <c r="C67" t="s">
        <v>611</v>
      </c>
      <c r="D67" t="s">
        <v>200</v>
      </c>
      <c r="E67" s="6">
        <v>3290.5</v>
      </c>
      <c r="F67" t="s">
        <v>643</v>
      </c>
      <c r="G67" s="4" t="str">
        <f t="shared" ref="G67:G130" si="8">SUBSTITUTE(E67,"R","")</f>
        <v>3290.5</v>
      </c>
      <c r="H67" t="str">
        <f t="shared" ref="H67:H130" si="9">SUBSTITUTE(G67,",","")</f>
        <v>3290.5</v>
      </c>
      <c r="I67" s="1">
        <v>45761</v>
      </c>
      <c r="J67" s="2">
        <f t="shared" ref="J67:J130" si="10">(H67-N67)/N67</f>
        <v>-2.5963454018548295E-2</v>
      </c>
      <c r="K67" s="3" t="str">
        <f t="shared" ref="K67:K130" si="11">IF(ABS(J67)&gt;0.1,"Check!","")</f>
        <v/>
      </c>
      <c r="L67" t="str">
        <f t="shared" ref="L67:L130" si="12">IF(LEFT(O67,10)&lt;&gt;LEFT(D67,10),"Check","")</f>
        <v/>
      </c>
      <c r="M67" t="str">
        <f t="shared" ref="M67:M130" si="13">IF(Q67&lt;&gt;C67,"Check","")</f>
        <v>Check</v>
      </c>
      <c r="N67">
        <v>3378.21</v>
      </c>
      <c r="O67" t="s">
        <v>201</v>
      </c>
      <c r="Q67" t="s">
        <v>41</v>
      </c>
    </row>
    <row r="68" spans="1:17" x14ac:dyDescent="0.3">
      <c r="A68">
        <v>100325823</v>
      </c>
      <c r="B68" t="s">
        <v>202</v>
      </c>
      <c r="C68" t="s">
        <v>19</v>
      </c>
      <c r="D68" t="s">
        <v>203</v>
      </c>
      <c r="E68" s="6">
        <v>184.8</v>
      </c>
      <c r="F68" t="s">
        <v>643</v>
      </c>
      <c r="G68" s="4" t="str">
        <f t="shared" si="8"/>
        <v>184.8</v>
      </c>
      <c r="H68" t="str">
        <f t="shared" si="9"/>
        <v>184.8</v>
      </c>
      <c r="I68" s="1">
        <v>45761</v>
      </c>
      <c r="J68" s="2">
        <f t="shared" si="10"/>
        <v>-6.5050266114723915E-3</v>
      </c>
      <c r="K68" s="3" t="str">
        <f t="shared" si="11"/>
        <v/>
      </c>
      <c r="L68" t="str">
        <f t="shared" si="12"/>
        <v/>
      </c>
      <c r="M68" t="str">
        <f t="shared" si="13"/>
        <v/>
      </c>
      <c r="N68">
        <v>186.01</v>
      </c>
      <c r="O68" t="s">
        <v>204</v>
      </c>
      <c r="Q68" t="s">
        <v>19</v>
      </c>
    </row>
    <row r="69" spans="1:17" x14ac:dyDescent="0.3">
      <c r="A69">
        <v>100376880</v>
      </c>
      <c r="B69" t="s">
        <v>205</v>
      </c>
      <c r="C69" t="s">
        <v>590</v>
      </c>
      <c r="D69" t="s">
        <v>206</v>
      </c>
      <c r="E69" s="6">
        <v>2149</v>
      </c>
      <c r="F69" t="s">
        <v>643</v>
      </c>
      <c r="G69" s="4" t="str">
        <f t="shared" si="8"/>
        <v>2149</v>
      </c>
      <c r="H69" t="str">
        <f t="shared" si="9"/>
        <v>2149</v>
      </c>
      <c r="I69" s="1">
        <v>45761</v>
      </c>
      <c r="J69" s="2">
        <f t="shared" si="10"/>
        <v>-4.7101432494894204E-3</v>
      </c>
      <c r="K69" s="3" t="str">
        <f t="shared" si="11"/>
        <v/>
      </c>
      <c r="L69" t="str">
        <f t="shared" si="12"/>
        <v/>
      </c>
      <c r="M69" t="str">
        <f t="shared" si="13"/>
        <v>Check</v>
      </c>
      <c r="N69">
        <v>2159.17</v>
      </c>
      <c r="O69" t="s">
        <v>207</v>
      </c>
      <c r="Q69" t="s">
        <v>16</v>
      </c>
    </row>
    <row r="70" spans="1:17" x14ac:dyDescent="0.3">
      <c r="A70">
        <v>100408912</v>
      </c>
      <c r="B70" t="s">
        <v>215</v>
      </c>
      <c r="C70" t="s">
        <v>19</v>
      </c>
      <c r="D70" t="s">
        <v>216</v>
      </c>
      <c r="E70" s="6">
        <v>826.23</v>
      </c>
      <c r="F70" t="s">
        <v>643</v>
      </c>
      <c r="G70" s="4" t="str">
        <f t="shared" si="8"/>
        <v>826.23</v>
      </c>
      <c r="H70" t="str">
        <f t="shared" si="9"/>
        <v>826.23</v>
      </c>
      <c r="I70" s="1">
        <v>45761</v>
      </c>
      <c r="J70" s="2">
        <f t="shared" si="10"/>
        <v>-6.4335361600808367E-3</v>
      </c>
      <c r="K70" s="3" t="str">
        <f t="shared" si="11"/>
        <v/>
      </c>
      <c r="L70" t="str">
        <f t="shared" si="12"/>
        <v/>
      </c>
      <c r="M70" t="str">
        <f t="shared" si="13"/>
        <v/>
      </c>
      <c r="N70">
        <v>831.58</v>
      </c>
      <c r="O70" t="s">
        <v>217</v>
      </c>
      <c r="Q70" t="s">
        <v>19</v>
      </c>
    </row>
    <row r="71" spans="1:17" x14ac:dyDescent="0.3">
      <c r="A71">
        <v>100421069</v>
      </c>
      <c r="B71" t="s">
        <v>218</v>
      </c>
      <c r="C71" t="s">
        <v>590</v>
      </c>
      <c r="D71" t="s">
        <v>219</v>
      </c>
      <c r="E71" s="6">
        <v>168326.71</v>
      </c>
      <c r="F71" t="s">
        <v>643</v>
      </c>
      <c r="G71" s="4" t="str">
        <f t="shared" si="8"/>
        <v>168326.71</v>
      </c>
      <c r="H71" t="str">
        <f t="shared" si="9"/>
        <v>168326.71</v>
      </c>
      <c r="I71" s="1">
        <v>45761</v>
      </c>
      <c r="J71" s="2">
        <f t="shared" si="10"/>
        <v>-1.1464371529406112E-2</v>
      </c>
      <c r="K71" s="3" t="str">
        <f t="shared" si="11"/>
        <v/>
      </c>
      <c r="L71" t="str">
        <f t="shared" si="12"/>
        <v/>
      </c>
      <c r="M71" t="str">
        <f t="shared" si="13"/>
        <v>Check</v>
      </c>
      <c r="N71">
        <v>170278.85</v>
      </c>
      <c r="O71" t="s">
        <v>660</v>
      </c>
      <c r="Q71" t="s">
        <v>16</v>
      </c>
    </row>
    <row r="72" spans="1:17" x14ac:dyDescent="0.3">
      <c r="A72">
        <v>100421069</v>
      </c>
      <c r="B72" t="s">
        <v>218</v>
      </c>
      <c r="C72" t="s">
        <v>19</v>
      </c>
      <c r="D72" t="s">
        <v>220</v>
      </c>
      <c r="E72" s="6">
        <v>411.88</v>
      </c>
      <c r="F72" t="s">
        <v>643</v>
      </c>
      <c r="G72" s="4" t="str">
        <f t="shared" si="8"/>
        <v>411.88</v>
      </c>
      <c r="H72" t="str">
        <f t="shared" si="9"/>
        <v>411.88</v>
      </c>
      <c r="I72" s="1">
        <v>45761</v>
      </c>
      <c r="J72" s="2">
        <f t="shared" si="10"/>
        <v>-6.5605402797878128E-3</v>
      </c>
      <c r="K72" s="3" t="str">
        <f t="shared" si="11"/>
        <v/>
      </c>
      <c r="L72" t="str">
        <f t="shared" si="12"/>
        <v/>
      </c>
      <c r="M72" t="str">
        <f t="shared" si="13"/>
        <v/>
      </c>
      <c r="N72">
        <v>414.6</v>
      </c>
      <c r="O72" t="s">
        <v>221</v>
      </c>
      <c r="Q72" t="s">
        <v>19</v>
      </c>
    </row>
    <row r="73" spans="1:17" x14ac:dyDescent="0.3">
      <c r="A73">
        <v>100421069</v>
      </c>
      <c r="B73" t="s">
        <v>218</v>
      </c>
      <c r="C73" t="s">
        <v>19</v>
      </c>
      <c r="D73" t="s">
        <v>224</v>
      </c>
      <c r="E73" s="6">
        <v>225.23</v>
      </c>
      <c r="F73" t="s">
        <v>643</v>
      </c>
      <c r="G73" s="4" t="str">
        <f t="shared" si="8"/>
        <v>225.23</v>
      </c>
      <c r="H73" t="str">
        <f t="shared" si="9"/>
        <v>225.23</v>
      </c>
      <c r="I73" s="1">
        <v>45761</v>
      </c>
      <c r="J73" s="2">
        <f t="shared" si="10"/>
        <v>-1.0201366095982354E-3</v>
      </c>
      <c r="K73" s="3" t="str">
        <f t="shared" si="11"/>
        <v/>
      </c>
      <c r="L73" t="str">
        <f t="shared" si="12"/>
        <v/>
      </c>
      <c r="M73" t="str">
        <f t="shared" si="13"/>
        <v/>
      </c>
      <c r="N73">
        <v>225.46</v>
      </c>
      <c r="O73" t="s">
        <v>225</v>
      </c>
      <c r="Q73" t="s">
        <v>19</v>
      </c>
    </row>
    <row r="74" spans="1:17" x14ac:dyDescent="0.3">
      <c r="A74">
        <v>100463771</v>
      </c>
      <c r="B74" t="s">
        <v>226</v>
      </c>
      <c r="C74" t="s">
        <v>590</v>
      </c>
      <c r="D74" t="s">
        <v>227</v>
      </c>
      <c r="E74" s="6">
        <v>1418.86</v>
      </c>
      <c r="F74" t="s">
        <v>643</v>
      </c>
      <c r="G74" s="4" t="str">
        <f t="shared" si="8"/>
        <v>1418.86</v>
      </c>
      <c r="H74" t="str">
        <f t="shared" si="9"/>
        <v>1418.86</v>
      </c>
      <c r="I74" s="1">
        <v>45761</v>
      </c>
      <c r="J74" s="2">
        <f t="shared" si="10"/>
        <v>-4.8325442749430824E-3</v>
      </c>
      <c r="K74" s="3" t="str">
        <f t="shared" si="11"/>
        <v/>
      </c>
      <c r="L74" t="str">
        <f t="shared" si="12"/>
        <v/>
      </c>
      <c r="M74" t="str">
        <f t="shared" si="13"/>
        <v>Check</v>
      </c>
      <c r="N74">
        <v>1425.75</v>
      </c>
      <c r="O74" t="s">
        <v>228</v>
      </c>
      <c r="Q74" t="s">
        <v>16</v>
      </c>
    </row>
    <row r="75" spans="1:17" x14ac:dyDescent="0.3">
      <c r="A75">
        <v>100492707</v>
      </c>
      <c r="B75" t="s">
        <v>232</v>
      </c>
      <c r="C75" t="s">
        <v>19</v>
      </c>
      <c r="D75" t="s">
        <v>233</v>
      </c>
      <c r="E75" s="6">
        <v>285.08999999999997</v>
      </c>
      <c r="F75" t="s">
        <v>643</v>
      </c>
      <c r="G75" s="4" t="str">
        <f t="shared" si="8"/>
        <v>285.09</v>
      </c>
      <c r="H75" t="str">
        <f t="shared" si="9"/>
        <v>285.09</v>
      </c>
      <c r="I75" s="1">
        <v>45761</v>
      </c>
      <c r="J75" s="2">
        <f t="shared" si="10"/>
        <v>-3.4257349599748949E-3</v>
      </c>
      <c r="K75" s="3" t="str">
        <f t="shared" si="11"/>
        <v/>
      </c>
      <c r="L75" t="str">
        <f t="shared" si="12"/>
        <v/>
      </c>
      <c r="M75" t="str">
        <f t="shared" si="13"/>
        <v/>
      </c>
      <c r="N75">
        <v>286.07</v>
      </c>
      <c r="O75" t="s">
        <v>234</v>
      </c>
      <c r="Q75" t="s">
        <v>19</v>
      </c>
    </row>
    <row r="76" spans="1:17" x14ac:dyDescent="0.3">
      <c r="A76">
        <v>100497270</v>
      </c>
      <c r="B76" t="s">
        <v>235</v>
      </c>
      <c r="C76" t="s">
        <v>606</v>
      </c>
      <c r="D76" t="s">
        <v>625</v>
      </c>
      <c r="E76" s="6">
        <v>57.2</v>
      </c>
      <c r="F76" t="s">
        <v>643</v>
      </c>
      <c r="G76" s="4" t="str">
        <f t="shared" si="8"/>
        <v>57.2</v>
      </c>
      <c r="H76" t="str">
        <f t="shared" si="9"/>
        <v>57.2</v>
      </c>
      <c r="I76" s="1">
        <v>45761</v>
      </c>
      <c r="J76" s="2">
        <f t="shared" si="10"/>
        <v>-6.7720090293453819E-3</v>
      </c>
      <c r="K76" s="3" t="str">
        <f t="shared" si="11"/>
        <v/>
      </c>
      <c r="L76" t="str">
        <f t="shared" si="12"/>
        <v/>
      </c>
      <c r="M76" t="str">
        <f t="shared" si="13"/>
        <v/>
      </c>
      <c r="N76">
        <v>57.59</v>
      </c>
      <c r="O76" t="s">
        <v>661</v>
      </c>
      <c r="Q76" t="s">
        <v>606</v>
      </c>
    </row>
    <row r="77" spans="1:17" x14ac:dyDescent="0.3">
      <c r="A77">
        <v>100497270</v>
      </c>
      <c r="B77" t="s">
        <v>235</v>
      </c>
      <c r="C77" t="s">
        <v>606</v>
      </c>
      <c r="D77" t="s">
        <v>625</v>
      </c>
      <c r="E77" s="6">
        <v>2931.72</v>
      </c>
      <c r="F77" t="s">
        <v>643</v>
      </c>
      <c r="G77" s="4" t="str">
        <f t="shared" si="8"/>
        <v>2931.72</v>
      </c>
      <c r="H77" t="str">
        <f t="shared" si="9"/>
        <v>2931.72</v>
      </c>
      <c r="I77" s="1">
        <v>45761</v>
      </c>
      <c r="J77" s="2">
        <f t="shared" si="10"/>
        <v>-2.5271550305379878E-2</v>
      </c>
      <c r="K77" s="3" t="str">
        <f t="shared" si="11"/>
        <v/>
      </c>
      <c r="L77" t="str">
        <f t="shared" si="12"/>
        <v/>
      </c>
      <c r="M77" t="str">
        <f t="shared" si="13"/>
        <v/>
      </c>
      <c r="N77">
        <v>3007.73</v>
      </c>
      <c r="O77" t="s">
        <v>661</v>
      </c>
      <c r="Q77" t="s">
        <v>606</v>
      </c>
    </row>
    <row r="78" spans="1:17" x14ac:dyDescent="0.3">
      <c r="A78">
        <v>100497270</v>
      </c>
      <c r="B78" t="s">
        <v>235</v>
      </c>
      <c r="C78" t="s">
        <v>611</v>
      </c>
      <c r="D78" t="s">
        <v>236</v>
      </c>
      <c r="E78" s="6">
        <v>26006.37</v>
      </c>
      <c r="F78" t="s">
        <v>643</v>
      </c>
      <c r="G78" s="4" t="str">
        <f t="shared" si="8"/>
        <v>26006.37</v>
      </c>
      <c r="H78" t="str">
        <f t="shared" si="9"/>
        <v>26006.37</v>
      </c>
      <c r="I78" s="1">
        <v>45761</v>
      </c>
      <c r="J78" s="2">
        <f t="shared" si="10"/>
        <v>-1.7762065820260586E-2</v>
      </c>
      <c r="K78" s="3" t="str">
        <f t="shared" si="11"/>
        <v/>
      </c>
      <c r="L78" t="str">
        <f t="shared" si="12"/>
        <v/>
      </c>
      <c r="M78" t="str">
        <f t="shared" si="13"/>
        <v>Check</v>
      </c>
      <c r="N78">
        <v>26476.65</v>
      </c>
      <c r="O78" t="s">
        <v>237</v>
      </c>
      <c r="Q78" t="s">
        <v>41</v>
      </c>
    </row>
    <row r="79" spans="1:17" x14ac:dyDescent="0.3">
      <c r="A79">
        <v>100562496</v>
      </c>
      <c r="B79" t="s">
        <v>238</v>
      </c>
      <c r="C79" t="s">
        <v>611</v>
      </c>
      <c r="D79" t="s">
        <v>239</v>
      </c>
      <c r="E79" s="6">
        <v>31800.25</v>
      </c>
      <c r="F79" t="s">
        <v>643</v>
      </c>
      <c r="G79" s="4" t="str">
        <f t="shared" si="8"/>
        <v>31800.25</v>
      </c>
      <c r="H79" t="str">
        <f t="shared" si="9"/>
        <v>31800.25</v>
      </c>
      <c r="I79" s="1">
        <v>45761</v>
      </c>
      <c r="J79" s="2">
        <f t="shared" si="10"/>
        <v>-1.9174675906091964E-2</v>
      </c>
      <c r="K79" s="3" t="str">
        <f t="shared" si="11"/>
        <v/>
      </c>
      <c r="L79" t="str">
        <f t="shared" si="12"/>
        <v/>
      </c>
      <c r="M79" t="str">
        <f t="shared" si="13"/>
        <v>Check</v>
      </c>
      <c r="N79">
        <v>32421.93</v>
      </c>
      <c r="O79" t="s">
        <v>240</v>
      </c>
      <c r="Q79" t="s">
        <v>41</v>
      </c>
    </row>
    <row r="80" spans="1:17" x14ac:dyDescent="0.3">
      <c r="A80">
        <v>100562496</v>
      </c>
      <c r="B80" t="s">
        <v>238</v>
      </c>
      <c r="C80" t="s">
        <v>609</v>
      </c>
      <c r="D80" t="s">
        <v>627</v>
      </c>
      <c r="E80" s="6">
        <v>1012.17</v>
      </c>
      <c r="F80" t="s">
        <v>643</v>
      </c>
      <c r="G80" s="4" t="str">
        <f t="shared" si="8"/>
        <v>1012.17</v>
      </c>
      <c r="H80" t="str">
        <f t="shared" si="9"/>
        <v>1012.17</v>
      </c>
      <c r="I80" s="1">
        <v>45761</v>
      </c>
      <c r="J80" s="2">
        <f t="shared" si="10"/>
        <v>0.35427286958615983</v>
      </c>
      <c r="K80" s="3" t="str">
        <f t="shared" si="11"/>
        <v>Check!</v>
      </c>
      <c r="L80" t="str">
        <f t="shared" si="12"/>
        <v/>
      </c>
      <c r="M80" t="str">
        <f t="shared" si="13"/>
        <v/>
      </c>
      <c r="N80">
        <v>747.39</v>
      </c>
      <c r="O80" t="s">
        <v>662</v>
      </c>
      <c r="Q80" t="s">
        <v>609</v>
      </c>
    </row>
    <row r="81" spans="1:17" x14ac:dyDescent="0.3">
      <c r="A81">
        <v>100562496</v>
      </c>
      <c r="B81" t="s">
        <v>238</v>
      </c>
      <c r="C81" t="s">
        <v>606</v>
      </c>
      <c r="D81" t="s">
        <v>626</v>
      </c>
      <c r="E81" s="6">
        <v>4391.76</v>
      </c>
      <c r="F81" t="s">
        <v>643</v>
      </c>
      <c r="G81" s="4" t="str">
        <f t="shared" si="8"/>
        <v>4391.76</v>
      </c>
      <c r="H81" t="str">
        <f t="shared" si="9"/>
        <v>4391.76</v>
      </c>
      <c r="I81" s="1">
        <v>45761</v>
      </c>
      <c r="J81" s="2">
        <f t="shared" si="10"/>
        <v>61.516156583629893</v>
      </c>
      <c r="K81" s="3" t="str">
        <f t="shared" si="11"/>
        <v>Check!</v>
      </c>
      <c r="L81" t="str">
        <f t="shared" si="12"/>
        <v/>
      </c>
      <c r="M81" t="str">
        <f t="shared" si="13"/>
        <v/>
      </c>
      <c r="N81">
        <v>70.25</v>
      </c>
      <c r="O81" t="s">
        <v>663</v>
      </c>
      <c r="Q81" t="s">
        <v>606</v>
      </c>
    </row>
    <row r="82" spans="1:17" x14ac:dyDescent="0.3">
      <c r="A82">
        <v>100562496</v>
      </c>
      <c r="B82" t="s">
        <v>238</v>
      </c>
      <c r="C82" t="s">
        <v>606</v>
      </c>
      <c r="D82" t="s">
        <v>626</v>
      </c>
      <c r="E82" s="6">
        <v>76.459999999999994</v>
      </c>
      <c r="F82" t="s">
        <v>643</v>
      </c>
      <c r="G82" s="4" t="str">
        <f t="shared" si="8"/>
        <v>76.46</v>
      </c>
      <c r="H82" t="str">
        <f t="shared" si="9"/>
        <v>76.46</v>
      </c>
      <c r="I82" s="1">
        <v>45761</v>
      </c>
      <c r="J82" s="2">
        <f t="shared" si="10"/>
        <v>-0.98079695403424705</v>
      </c>
      <c r="K82" s="3" t="str">
        <f t="shared" si="11"/>
        <v>Check!</v>
      </c>
      <c r="L82" t="str">
        <f t="shared" si="12"/>
        <v/>
      </c>
      <c r="M82" t="str">
        <f t="shared" si="13"/>
        <v/>
      </c>
      <c r="N82">
        <v>3981.66</v>
      </c>
      <c r="O82" t="s">
        <v>663</v>
      </c>
      <c r="Q82" t="s">
        <v>606</v>
      </c>
    </row>
    <row r="83" spans="1:17" x14ac:dyDescent="0.3">
      <c r="A83">
        <v>100596197</v>
      </c>
      <c r="B83" t="s">
        <v>247</v>
      </c>
      <c r="C83" t="s">
        <v>590</v>
      </c>
      <c r="D83" t="s">
        <v>248</v>
      </c>
      <c r="E83" s="6">
        <v>81.81</v>
      </c>
      <c r="F83" t="s">
        <v>643</v>
      </c>
      <c r="G83" s="4" t="str">
        <f t="shared" si="8"/>
        <v>81.81</v>
      </c>
      <c r="H83" t="str">
        <f t="shared" si="9"/>
        <v>81.81</v>
      </c>
      <c r="I83" s="1">
        <v>45761</v>
      </c>
      <c r="J83" s="2">
        <f t="shared" si="10"/>
        <v>-6.0745960393633822E-3</v>
      </c>
      <c r="K83" s="3" t="str">
        <f t="shared" si="11"/>
        <v/>
      </c>
      <c r="L83" t="str">
        <f t="shared" si="12"/>
        <v/>
      </c>
      <c r="M83" t="str">
        <f t="shared" si="13"/>
        <v>Check</v>
      </c>
      <c r="N83">
        <v>82.31</v>
      </c>
      <c r="O83" t="s">
        <v>249</v>
      </c>
      <c r="Q83" t="s">
        <v>16</v>
      </c>
    </row>
    <row r="84" spans="1:17" x14ac:dyDescent="0.3">
      <c r="A84">
        <v>100630705</v>
      </c>
      <c r="B84" t="s">
        <v>259</v>
      </c>
      <c r="C84" t="s">
        <v>590</v>
      </c>
      <c r="D84" t="s">
        <v>260</v>
      </c>
      <c r="E84" s="6">
        <v>85.35</v>
      </c>
      <c r="F84" t="s">
        <v>643</v>
      </c>
      <c r="G84" s="4" t="str">
        <f t="shared" si="8"/>
        <v>85.35</v>
      </c>
      <c r="H84" t="str">
        <f t="shared" si="9"/>
        <v>85.35</v>
      </c>
      <c r="I84" s="1">
        <v>45761</v>
      </c>
      <c r="J84" s="2">
        <f t="shared" si="10"/>
        <v>-6.2871114215858215E-3</v>
      </c>
      <c r="K84" s="3" t="str">
        <f t="shared" si="11"/>
        <v/>
      </c>
      <c r="L84" t="str">
        <f t="shared" si="12"/>
        <v/>
      </c>
      <c r="M84" t="str">
        <f t="shared" si="13"/>
        <v>Check</v>
      </c>
      <c r="N84">
        <v>85.89</v>
      </c>
      <c r="O84" t="s">
        <v>261</v>
      </c>
      <c r="Q84" t="s">
        <v>16</v>
      </c>
    </row>
    <row r="85" spans="1:17" x14ac:dyDescent="0.3">
      <c r="A85">
        <v>100637079</v>
      </c>
      <c r="B85" t="s">
        <v>268</v>
      </c>
      <c r="C85" t="s">
        <v>611</v>
      </c>
      <c r="D85" t="s">
        <v>269</v>
      </c>
      <c r="E85" s="6">
        <v>35501.54</v>
      </c>
      <c r="F85" t="s">
        <v>643</v>
      </c>
      <c r="G85" s="4" t="str">
        <f t="shared" si="8"/>
        <v>35501.54</v>
      </c>
      <c r="H85" t="str">
        <f t="shared" si="9"/>
        <v>35501.54</v>
      </c>
      <c r="I85" s="1">
        <v>45761</v>
      </c>
      <c r="J85" s="2">
        <f t="shared" si="10"/>
        <v>-2.2117368370312196E-2</v>
      </c>
      <c r="K85" s="3" t="str">
        <f t="shared" si="11"/>
        <v/>
      </c>
      <c r="L85" t="str">
        <f t="shared" si="12"/>
        <v/>
      </c>
      <c r="M85" t="str">
        <f t="shared" si="13"/>
        <v>Check</v>
      </c>
      <c r="N85">
        <v>36304.5</v>
      </c>
      <c r="O85" t="s">
        <v>270</v>
      </c>
      <c r="Q85" t="s">
        <v>41</v>
      </c>
    </row>
    <row r="86" spans="1:17" x14ac:dyDescent="0.3">
      <c r="A86">
        <v>100637079</v>
      </c>
      <c r="B86" t="s">
        <v>268</v>
      </c>
      <c r="C86" t="s">
        <v>611</v>
      </c>
      <c r="D86" t="s">
        <v>271</v>
      </c>
      <c r="E86" s="6">
        <v>49672.76</v>
      </c>
      <c r="F86" t="s">
        <v>643</v>
      </c>
      <c r="G86" s="4" t="str">
        <f t="shared" si="8"/>
        <v>49672.76</v>
      </c>
      <c r="H86" t="str">
        <f t="shared" si="9"/>
        <v>49672.76</v>
      </c>
      <c r="I86" s="1">
        <v>45761</v>
      </c>
      <c r="J86" s="2">
        <f t="shared" si="10"/>
        <v>-2.3314682242952064E-2</v>
      </c>
      <c r="K86" s="3" t="str">
        <f t="shared" si="11"/>
        <v/>
      </c>
      <c r="L86" t="str">
        <f t="shared" si="12"/>
        <v/>
      </c>
      <c r="M86" t="str">
        <f t="shared" si="13"/>
        <v>Check</v>
      </c>
      <c r="N86">
        <v>50858.51</v>
      </c>
      <c r="O86" t="s">
        <v>272</v>
      </c>
      <c r="Q86" t="s">
        <v>41</v>
      </c>
    </row>
    <row r="87" spans="1:17" x14ac:dyDescent="0.3">
      <c r="A87">
        <v>100637079</v>
      </c>
      <c r="B87" t="s">
        <v>268</v>
      </c>
      <c r="C87" t="s">
        <v>606</v>
      </c>
      <c r="D87" t="s">
        <v>628</v>
      </c>
      <c r="E87" s="6">
        <v>78.63</v>
      </c>
      <c r="F87" t="s">
        <v>643</v>
      </c>
      <c r="G87" s="4" t="str">
        <f t="shared" si="8"/>
        <v>78.63</v>
      </c>
      <c r="H87" t="str">
        <f t="shared" si="9"/>
        <v>78.63</v>
      </c>
      <c r="I87" s="1">
        <v>45761</v>
      </c>
      <c r="J87" s="2">
        <f t="shared" si="10"/>
        <v>-6.8207654414551757E-3</v>
      </c>
      <c r="K87" s="3" t="str">
        <f t="shared" si="11"/>
        <v/>
      </c>
      <c r="L87" t="str">
        <f t="shared" si="12"/>
        <v/>
      </c>
      <c r="M87" t="str">
        <f t="shared" si="13"/>
        <v/>
      </c>
      <c r="N87">
        <v>79.17</v>
      </c>
      <c r="O87" t="s">
        <v>664</v>
      </c>
      <c r="Q87" t="s">
        <v>606</v>
      </c>
    </row>
    <row r="88" spans="1:17" x14ac:dyDescent="0.3">
      <c r="A88">
        <v>100637079</v>
      </c>
      <c r="B88" t="s">
        <v>268</v>
      </c>
      <c r="C88" t="s">
        <v>606</v>
      </c>
      <c r="D88" t="s">
        <v>628</v>
      </c>
      <c r="E88" s="6">
        <v>4029.03</v>
      </c>
      <c r="F88" t="s">
        <v>643</v>
      </c>
      <c r="G88" s="4" t="str">
        <f t="shared" si="8"/>
        <v>4029.03</v>
      </c>
      <c r="H88" t="str">
        <f t="shared" si="9"/>
        <v>4029.03</v>
      </c>
      <c r="I88" s="1">
        <v>45761</v>
      </c>
      <c r="J88" s="2">
        <f t="shared" si="10"/>
        <v>-2.5311709235882888E-2</v>
      </c>
      <c r="K88" s="3" t="str">
        <f t="shared" si="11"/>
        <v/>
      </c>
      <c r="L88" t="str">
        <f t="shared" si="12"/>
        <v/>
      </c>
      <c r="M88" t="str">
        <f t="shared" si="13"/>
        <v/>
      </c>
      <c r="N88">
        <v>4133.66</v>
      </c>
      <c r="O88" t="s">
        <v>664</v>
      </c>
      <c r="Q88" t="s">
        <v>606</v>
      </c>
    </row>
    <row r="89" spans="1:17" x14ac:dyDescent="0.3">
      <c r="A89">
        <v>100637079</v>
      </c>
      <c r="B89" t="s">
        <v>268</v>
      </c>
      <c r="C89" t="s">
        <v>606</v>
      </c>
      <c r="D89" t="s">
        <v>629</v>
      </c>
      <c r="E89" s="6">
        <v>110.13</v>
      </c>
      <c r="F89" t="s">
        <v>643</v>
      </c>
      <c r="G89" s="4" t="str">
        <f t="shared" si="8"/>
        <v>110.13</v>
      </c>
      <c r="H89" t="str">
        <f t="shared" si="9"/>
        <v>110.13</v>
      </c>
      <c r="I89" s="1">
        <v>45761</v>
      </c>
      <c r="J89" s="2">
        <f t="shared" si="10"/>
        <v>6.1209574273707454E-3</v>
      </c>
      <c r="K89" s="3" t="str">
        <f t="shared" si="11"/>
        <v/>
      </c>
      <c r="L89" t="str">
        <f t="shared" si="12"/>
        <v/>
      </c>
      <c r="M89" t="str">
        <f t="shared" si="13"/>
        <v/>
      </c>
      <c r="N89">
        <v>109.46</v>
      </c>
      <c r="O89" t="s">
        <v>665</v>
      </c>
      <c r="Q89" t="s">
        <v>606</v>
      </c>
    </row>
    <row r="90" spans="1:17" x14ac:dyDescent="0.3">
      <c r="A90">
        <v>100637079</v>
      </c>
      <c r="B90" t="s">
        <v>268</v>
      </c>
      <c r="C90" t="s">
        <v>606</v>
      </c>
      <c r="D90" t="s">
        <v>629</v>
      </c>
      <c r="E90" s="6">
        <v>5641.84</v>
      </c>
      <c r="F90" t="s">
        <v>643</v>
      </c>
      <c r="G90" s="4" t="str">
        <f t="shared" si="8"/>
        <v>5641.84</v>
      </c>
      <c r="H90" t="str">
        <f t="shared" si="9"/>
        <v>5641.84</v>
      </c>
      <c r="I90" s="1">
        <v>45761</v>
      </c>
      <c r="J90" s="2">
        <f t="shared" si="10"/>
        <v>-1.2607895160556394E-2</v>
      </c>
      <c r="K90" s="3" t="str">
        <f t="shared" si="11"/>
        <v/>
      </c>
      <c r="L90" t="str">
        <f t="shared" si="12"/>
        <v/>
      </c>
      <c r="M90" t="str">
        <f t="shared" si="13"/>
        <v/>
      </c>
      <c r="N90">
        <v>5713.88</v>
      </c>
      <c r="O90" t="s">
        <v>665</v>
      </c>
      <c r="Q90" t="s">
        <v>606</v>
      </c>
    </row>
    <row r="91" spans="1:17" x14ac:dyDescent="0.3">
      <c r="A91">
        <v>100641153</v>
      </c>
      <c r="B91" t="s">
        <v>273</v>
      </c>
      <c r="C91" t="s">
        <v>19</v>
      </c>
      <c r="D91" t="s">
        <v>274</v>
      </c>
      <c r="E91" s="6">
        <v>396.24</v>
      </c>
      <c r="F91" t="s">
        <v>643</v>
      </c>
      <c r="G91" s="4" t="str">
        <f t="shared" si="8"/>
        <v>396.24</v>
      </c>
      <c r="H91" t="str">
        <f t="shared" si="9"/>
        <v>396.24</v>
      </c>
      <c r="I91" s="1">
        <v>45761</v>
      </c>
      <c r="J91" s="2">
        <f t="shared" si="10"/>
        <v>-8.9044522261130625E-3</v>
      </c>
      <c r="K91" s="3" t="str">
        <f t="shared" si="11"/>
        <v/>
      </c>
      <c r="L91" t="str">
        <f t="shared" si="12"/>
        <v/>
      </c>
      <c r="M91" t="str">
        <f t="shared" si="13"/>
        <v/>
      </c>
      <c r="N91">
        <v>399.8</v>
      </c>
      <c r="O91" t="s">
        <v>275</v>
      </c>
      <c r="Q91" t="s">
        <v>19</v>
      </c>
    </row>
    <row r="92" spans="1:17" x14ac:dyDescent="0.3">
      <c r="A92">
        <v>100651305</v>
      </c>
      <c r="B92" t="s">
        <v>276</v>
      </c>
      <c r="C92" t="s">
        <v>590</v>
      </c>
      <c r="D92" t="s">
        <v>277</v>
      </c>
      <c r="E92" s="6">
        <v>344.47</v>
      </c>
      <c r="F92" t="s">
        <v>643</v>
      </c>
      <c r="G92" s="4" t="str">
        <f t="shared" si="8"/>
        <v>344.47</v>
      </c>
      <c r="H92" t="str">
        <f t="shared" si="9"/>
        <v>344.47</v>
      </c>
      <c r="I92" s="1">
        <v>45761</v>
      </c>
      <c r="J92" s="2">
        <f t="shared" si="10"/>
        <v>-7.462686567164107E-3</v>
      </c>
      <c r="K92" s="3" t="str">
        <f t="shared" si="11"/>
        <v/>
      </c>
      <c r="L92" t="str">
        <f t="shared" si="12"/>
        <v/>
      </c>
      <c r="M92" t="str">
        <f t="shared" si="13"/>
        <v>Check</v>
      </c>
      <c r="N92">
        <v>347.06</v>
      </c>
      <c r="O92" t="s">
        <v>278</v>
      </c>
      <c r="Q92" t="s">
        <v>16</v>
      </c>
    </row>
    <row r="93" spans="1:17" x14ac:dyDescent="0.3">
      <c r="A93">
        <v>100651921</v>
      </c>
      <c r="B93" t="s">
        <v>279</v>
      </c>
      <c r="C93" t="s">
        <v>590</v>
      </c>
      <c r="D93" t="s">
        <v>280</v>
      </c>
      <c r="E93" s="6">
        <v>506.86</v>
      </c>
      <c r="F93" t="s">
        <v>643</v>
      </c>
      <c r="G93" s="4" t="str">
        <f t="shared" si="8"/>
        <v>506.86</v>
      </c>
      <c r="H93" t="str">
        <f t="shared" si="9"/>
        <v>506.86</v>
      </c>
      <c r="I93" s="1">
        <v>45761</v>
      </c>
      <c r="J93" s="2">
        <f t="shared" si="10"/>
        <v>-4.1651931313607697E-3</v>
      </c>
      <c r="K93" s="3" t="str">
        <f t="shared" si="11"/>
        <v/>
      </c>
      <c r="L93" t="str">
        <f t="shared" si="12"/>
        <v/>
      </c>
      <c r="M93" t="str">
        <f t="shared" si="13"/>
        <v>Check</v>
      </c>
      <c r="N93">
        <v>508.98</v>
      </c>
      <c r="O93" t="s">
        <v>281</v>
      </c>
      <c r="Q93" t="s">
        <v>16</v>
      </c>
    </row>
    <row r="94" spans="1:17" x14ac:dyDescent="0.3">
      <c r="A94">
        <v>100651921</v>
      </c>
      <c r="B94" t="s">
        <v>279</v>
      </c>
      <c r="C94" t="s">
        <v>590</v>
      </c>
      <c r="D94" t="s">
        <v>282</v>
      </c>
      <c r="E94" s="6">
        <v>66.39</v>
      </c>
      <c r="F94" t="s">
        <v>643</v>
      </c>
      <c r="G94" s="4" t="str">
        <f t="shared" si="8"/>
        <v>66.39</v>
      </c>
      <c r="H94" t="str">
        <f t="shared" si="9"/>
        <v>66.39</v>
      </c>
      <c r="I94" s="1">
        <v>45761</v>
      </c>
      <c r="J94" s="2">
        <f t="shared" si="10"/>
        <v>4.6912832929782424E-3</v>
      </c>
      <c r="K94" s="3" t="str">
        <f t="shared" si="11"/>
        <v/>
      </c>
      <c r="L94" t="str">
        <f t="shared" si="12"/>
        <v/>
      </c>
      <c r="M94" t="str">
        <f t="shared" si="13"/>
        <v>Check</v>
      </c>
      <c r="N94">
        <v>66.08</v>
      </c>
      <c r="O94" t="s">
        <v>283</v>
      </c>
      <c r="Q94" t="s">
        <v>16</v>
      </c>
    </row>
    <row r="95" spans="1:17" x14ac:dyDescent="0.3">
      <c r="A95">
        <v>100655835</v>
      </c>
      <c r="B95" t="s">
        <v>284</v>
      </c>
      <c r="C95" t="s">
        <v>19</v>
      </c>
      <c r="D95" t="s">
        <v>285</v>
      </c>
      <c r="E95" s="6">
        <v>19265.13</v>
      </c>
      <c r="F95" t="s">
        <v>643</v>
      </c>
      <c r="G95" s="4" t="str">
        <f t="shared" si="8"/>
        <v>19265.13</v>
      </c>
      <c r="H95" t="str">
        <f t="shared" si="9"/>
        <v>19265.13</v>
      </c>
      <c r="I95" s="1">
        <v>45761</v>
      </c>
      <c r="J95" s="2">
        <f t="shared" si="10"/>
        <v>-6.3630502617530484E-3</v>
      </c>
      <c r="K95" s="3" t="str">
        <f t="shared" si="11"/>
        <v/>
      </c>
      <c r="L95" t="str">
        <f t="shared" si="12"/>
        <v/>
      </c>
      <c r="M95" t="str">
        <f t="shared" si="13"/>
        <v/>
      </c>
      <c r="N95">
        <v>19388.5</v>
      </c>
      <c r="O95" t="s">
        <v>286</v>
      </c>
      <c r="Q95" t="s">
        <v>19</v>
      </c>
    </row>
    <row r="96" spans="1:17" x14ac:dyDescent="0.3">
      <c r="A96">
        <v>100663638</v>
      </c>
      <c r="B96" t="s">
        <v>287</v>
      </c>
      <c r="C96" t="s">
        <v>590</v>
      </c>
      <c r="D96" t="s">
        <v>600</v>
      </c>
      <c r="E96" s="6">
        <v>643.83000000000004</v>
      </c>
      <c r="F96" t="s">
        <v>643</v>
      </c>
      <c r="G96" s="4" t="str">
        <f t="shared" si="8"/>
        <v>643.83</v>
      </c>
      <c r="H96" t="str">
        <f t="shared" si="9"/>
        <v>643.83</v>
      </c>
      <c r="I96" s="1">
        <v>45761</v>
      </c>
      <c r="J96" s="2">
        <f t="shared" si="10"/>
        <v>-0.20356511089944204</v>
      </c>
      <c r="K96" s="3" t="str">
        <f t="shared" si="11"/>
        <v>Check!</v>
      </c>
      <c r="L96" t="str">
        <f t="shared" si="12"/>
        <v/>
      </c>
      <c r="M96" t="str">
        <f t="shared" si="13"/>
        <v/>
      </c>
      <c r="N96">
        <v>808.39</v>
      </c>
      <c r="O96" t="s">
        <v>666</v>
      </c>
      <c r="Q96" t="s">
        <v>590</v>
      </c>
    </row>
    <row r="97" spans="1:17" x14ac:dyDescent="0.3">
      <c r="A97">
        <v>100663638</v>
      </c>
      <c r="B97" t="s">
        <v>287</v>
      </c>
      <c r="C97" t="s">
        <v>19</v>
      </c>
      <c r="D97" t="s">
        <v>288</v>
      </c>
      <c r="E97" s="6">
        <v>2429.56</v>
      </c>
      <c r="F97" t="s">
        <v>643</v>
      </c>
      <c r="G97" s="4" t="str">
        <f t="shared" si="8"/>
        <v>2429.56</v>
      </c>
      <c r="H97" t="str">
        <f t="shared" si="9"/>
        <v>2429.56</v>
      </c>
      <c r="I97" s="1">
        <v>45761</v>
      </c>
      <c r="J97" s="2">
        <f t="shared" si="10"/>
        <v>-6.2742852468404206E-3</v>
      </c>
      <c r="K97" s="3" t="str">
        <f t="shared" si="11"/>
        <v/>
      </c>
      <c r="L97" t="str">
        <f t="shared" si="12"/>
        <v/>
      </c>
      <c r="M97" t="str">
        <f t="shared" si="13"/>
        <v/>
      </c>
      <c r="N97">
        <v>2444.9</v>
      </c>
      <c r="O97" t="s">
        <v>289</v>
      </c>
      <c r="Q97" t="s">
        <v>19</v>
      </c>
    </row>
    <row r="98" spans="1:17" x14ac:dyDescent="0.3">
      <c r="A98">
        <v>100663638</v>
      </c>
      <c r="B98" t="s">
        <v>287</v>
      </c>
      <c r="C98" t="s">
        <v>19</v>
      </c>
      <c r="D98" t="s">
        <v>290</v>
      </c>
      <c r="E98" s="6">
        <v>151.68</v>
      </c>
      <c r="F98" t="s">
        <v>643</v>
      </c>
      <c r="G98" s="4" t="str">
        <f t="shared" si="8"/>
        <v>151.68</v>
      </c>
      <c r="H98" t="str">
        <f t="shared" si="9"/>
        <v>151.68</v>
      </c>
      <c r="I98" s="1">
        <v>45761</v>
      </c>
      <c r="J98" s="2">
        <f t="shared" si="10"/>
        <v>0.59010378446378031</v>
      </c>
      <c r="K98" s="3" t="str">
        <f t="shared" si="11"/>
        <v>Check!</v>
      </c>
      <c r="L98" t="str">
        <f t="shared" si="12"/>
        <v/>
      </c>
      <c r="M98" t="str">
        <f t="shared" si="13"/>
        <v/>
      </c>
      <c r="N98">
        <v>95.39</v>
      </c>
      <c r="O98" t="s">
        <v>291</v>
      </c>
      <c r="Q98" t="s">
        <v>19</v>
      </c>
    </row>
    <row r="99" spans="1:17" x14ac:dyDescent="0.3">
      <c r="A99">
        <v>100664029</v>
      </c>
      <c r="B99" t="s">
        <v>292</v>
      </c>
      <c r="C99" t="s">
        <v>19</v>
      </c>
      <c r="D99" t="s">
        <v>293</v>
      </c>
      <c r="E99" s="6">
        <v>386.58</v>
      </c>
      <c r="F99" t="s">
        <v>643</v>
      </c>
      <c r="G99" s="4" t="str">
        <f t="shared" si="8"/>
        <v>386.58</v>
      </c>
      <c r="H99" t="str">
        <f t="shared" si="9"/>
        <v>386.58</v>
      </c>
      <c r="I99" s="1">
        <v>45761</v>
      </c>
      <c r="J99" s="2">
        <f t="shared" si="10"/>
        <v>-2.3999380661144406E-3</v>
      </c>
      <c r="K99" s="3" t="str">
        <f t="shared" si="11"/>
        <v/>
      </c>
      <c r="L99" t="str">
        <f t="shared" si="12"/>
        <v/>
      </c>
      <c r="M99" t="str">
        <f t="shared" si="13"/>
        <v/>
      </c>
      <c r="N99">
        <v>387.51</v>
      </c>
      <c r="O99" t="s">
        <v>294</v>
      </c>
      <c r="Q99" t="s">
        <v>19</v>
      </c>
    </row>
    <row r="100" spans="1:17" x14ac:dyDescent="0.3">
      <c r="A100">
        <v>100664029</v>
      </c>
      <c r="B100" t="s">
        <v>292</v>
      </c>
      <c r="C100" t="s">
        <v>19</v>
      </c>
      <c r="D100" t="s">
        <v>295</v>
      </c>
      <c r="E100" s="6">
        <v>271.69</v>
      </c>
      <c r="F100" t="s">
        <v>643</v>
      </c>
      <c r="G100" s="4" t="str">
        <f t="shared" si="8"/>
        <v>271.69</v>
      </c>
      <c r="H100" t="str">
        <f t="shared" si="9"/>
        <v>271.69</v>
      </c>
      <c r="I100" s="1">
        <v>45761</v>
      </c>
      <c r="J100" s="2">
        <f t="shared" si="10"/>
        <v>-5.885598675741217E-4</v>
      </c>
      <c r="K100" s="3" t="str">
        <f t="shared" si="11"/>
        <v/>
      </c>
      <c r="L100" t="str">
        <f t="shared" si="12"/>
        <v/>
      </c>
      <c r="M100" t="str">
        <f t="shared" si="13"/>
        <v/>
      </c>
      <c r="N100">
        <v>271.85000000000002</v>
      </c>
      <c r="O100" t="s">
        <v>296</v>
      </c>
      <c r="Q100" t="s">
        <v>19</v>
      </c>
    </row>
    <row r="101" spans="1:17" x14ac:dyDescent="0.3">
      <c r="A101">
        <v>100664292</v>
      </c>
      <c r="B101" t="s">
        <v>297</v>
      </c>
      <c r="C101" t="s">
        <v>590</v>
      </c>
      <c r="D101" t="s">
        <v>298</v>
      </c>
      <c r="E101" s="6">
        <v>428.16</v>
      </c>
      <c r="F101" t="s">
        <v>643</v>
      </c>
      <c r="G101" s="4" t="str">
        <f t="shared" si="8"/>
        <v>428.16</v>
      </c>
      <c r="H101" t="str">
        <f t="shared" si="9"/>
        <v>428.16</v>
      </c>
      <c r="I101" s="1">
        <v>45761</v>
      </c>
      <c r="J101" s="2">
        <f t="shared" si="10"/>
        <v>-6.6584692480800593E-3</v>
      </c>
      <c r="K101" s="3" t="str">
        <f t="shared" si="11"/>
        <v/>
      </c>
      <c r="L101" t="str">
        <f t="shared" si="12"/>
        <v/>
      </c>
      <c r="M101" t="str">
        <f t="shared" si="13"/>
        <v>Check</v>
      </c>
      <c r="N101">
        <v>431.03</v>
      </c>
      <c r="O101" t="s">
        <v>299</v>
      </c>
      <c r="Q101" t="s">
        <v>16</v>
      </c>
    </row>
    <row r="102" spans="1:17" x14ac:dyDescent="0.3">
      <c r="A102">
        <v>100664292</v>
      </c>
      <c r="B102" t="s">
        <v>297</v>
      </c>
      <c r="C102" t="s">
        <v>19</v>
      </c>
      <c r="D102" t="s">
        <v>300</v>
      </c>
      <c r="E102" s="6">
        <v>1078.82</v>
      </c>
      <c r="F102" t="s">
        <v>643</v>
      </c>
      <c r="G102" s="4" t="str">
        <f t="shared" si="8"/>
        <v>1078.82</v>
      </c>
      <c r="H102" t="str">
        <f t="shared" si="9"/>
        <v>1078.82</v>
      </c>
      <c r="I102" s="1">
        <v>45761</v>
      </c>
      <c r="J102" s="2">
        <f t="shared" si="10"/>
        <v>-6.538234860763349E-3</v>
      </c>
      <c r="K102" s="3" t="str">
        <f t="shared" si="11"/>
        <v/>
      </c>
      <c r="L102" t="str">
        <f t="shared" si="12"/>
        <v/>
      </c>
      <c r="M102" t="str">
        <f t="shared" si="13"/>
        <v/>
      </c>
      <c r="N102">
        <v>1085.92</v>
      </c>
      <c r="O102" t="s">
        <v>301</v>
      </c>
      <c r="Q102" t="s">
        <v>19</v>
      </c>
    </row>
    <row r="103" spans="1:17" x14ac:dyDescent="0.3">
      <c r="A103">
        <v>100664348</v>
      </c>
      <c r="B103" t="s">
        <v>302</v>
      </c>
      <c r="C103" t="s">
        <v>19</v>
      </c>
      <c r="D103" t="s">
        <v>303</v>
      </c>
      <c r="E103" s="6">
        <v>1011.79</v>
      </c>
      <c r="F103" t="s">
        <v>643</v>
      </c>
      <c r="G103" s="4" t="str">
        <f t="shared" si="8"/>
        <v>1011.79</v>
      </c>
      <c r="H103" t="str">
        <f t="shared" si="9"/>
        <v>1011.79</v>
      </c>
      <c r="I103" s="1">
        <v>45761</v>
      </c>
      <c r="J103" s="2">
        <f t="shared" si="10"/>
        <v>-5.0935622486406318E-3</v>
      </c>
      <c r="K103" s="3" t="str">
        <f t="shared" si="11"/>
        <v/>
      </c>
      <c r="L103" t="str">
        <f t="shared" si="12"/>
        <v/>
      </c>
      <c r="M103" t="str">
        <f t="shared" si="13"/>
        <v/>
      </c>
      <c r="N103">
        <v>1016.97</v>
      </c>
      <c r="O103" t="s">
        <v>304</v>
      </c>
      <c r="Q103" t="s">
        <v>19</v>
      </c>
    </row>
    <row r="104" spans="1:17" x14ac:dyDescent="0.3">
      <c r="A104">
        <v>100664601</v>
      </c>
      <c r="B104" t="s">
        <v>308</v>
      </c>
      <c r="C104" t="s">
        <v>623</v>
      </c>
      <c r="D104" t="s">
        <v>309</v>
      </c>
      <c r="E104" s="6">
        <v>520514.99</v>
      </c>
      <c r="F104" t="s">
        <v>643</v>
      </c>
      <c r="G104" s="4" t="str">
        <f t="shared" si="8"/>
        <v>520514.99</v>
      </c>
      <c r="H104" t="str">
        <f t="shared" si="9"/>
        <v>520514.99</v>
      </c>
      <c r="I104" s="1">
        <v>45761</v>
      </c>
      <c r="J104" s="2">
        <f t="shared" si="10"/>
        <v>-2.4583388700608434E-2</v>
      </c>
      <c r="K104" s="3" t="str">
        <f t="shared" si="11"/>
        <v/>
      </c>
      <c r="L104" t="str">
        <f t="shared" si="12"/>
        <v/>
      </c>
      <c r="M104" t="str">
        <f t="shared" si="13"/>
        <v>Check</v>
      </c>
      <c r="N104">
        <v>533633.51</v>
      </c>
      <c r="O104" t="s">
        <v>310</v>
      </c>
      <c r="Q104" t="s">
        <v>164</v>
      </c>
    </row>
    <row r="105" spans="1:17" x14ac:dyDescent="0.3">
      <c r="A105">
        <v>100664601</v>
      </c>
      <c r="B105" t="s">
        <v>308</v>
      </c>
      <c r="C105" t="s">
        <v>611</v>
      </c>
      <c r="D105" t="s">
        <v>311</v>
      </c>
      <c r="E105" s="6">
        <v>161095.35</v>
      </c>
      <c r="F105" t="s">
        <v>643</v>
      </c>
      <c r="G105" s="4" t="str">
        <f t="shared" si="8"/>
        <v>161095.35</v>
      </c>
      <c r="H105" t="str">
        <f t="shared" si="9"/>
        <v>161095.35</v>
      </c>
      <c r="I105" s="1">
        <v>45761</v>
      </c>
      <c r="J105" s="2">
        <f t="shared" si="10"/>
        <v>-2.4693700483689487E-2</v>
      </c>
      <c r="K105" s="3" t="str">
        <f t="shared" si="11"/>
        <v/>
      </c>
      <c r="L105" t="str">
        <f t="shared" si="12"/>
        <v/>
      </c>
      <c r="M105" t="str">
        <f t="shared" si="13"/>
        <v>Check</v>
      </c>
      <c r="N105">
        <v>165174.10999999999</v>
      </c>
      <c r="O105" t="s">
        <v>312</v>
      </c>
      <c r="Q105" t="s">
        <v>41</v>
      </c>
    </row>
    <row r="106" spans="1:17" x14ac:dyDescent="0.3">
      <c r="A106">
        <v>100664601</v>
      </c>
      <c r="B106" t="s">
        <v>308</v>
      </c>
      <c r="C106" t="s">
        <v>622</v>
      </c>
      <c r="D106" t="s">
        <v>630</v>
      </c>
      <c r="E106" s="6">
        <v>151.66999999999999</v>
      </c>
      <c r="F106" t="s">
        <v>643</v>
      </c>
      <c r="G106" s="4" t="str">
        <f t="shared" si="8"/>
        <v>151.67</v>
      </c>
      <c r="H106" t="str">
        <f t="shared" si="9"/>
        <v>151.67</v>
      </c>
      <c r="I106" s="1">
        <v>45761</v>
      </c>
      <c r="J106" s="2">
        <f t="shared" si="10"/>
        <v>8.1090063143901565E-3</v>
      </c>
      <c r="K106" s="3" t="str">
        <f t="shared" si="11"/>
        <v/>
      </c>
      <c r="L106" t="str">
        <f t="shared" si="12"/>
        <v/>
      </c>
      <c r="M106" t="str">
        <f t="shared" si="13"/>
        <v/>
      </c>
      <c r="N106">
        <v>150.44999999999999</v>
      </c>
      <c r="O106" t="s">
        <v>667</v>
      </c>
      <c r="Q106" t="s">
        <v>622</v>
      </c>
    </row>
    <row r="107" spans="1:17" x14ac:dyDescent="0.3">
      <c r="A107">
        <v>100664601</v>
      </c>
      <c r="B107" t="s">
        <v>308</v>
      </c>
      <c r="C107" t="s">
        <v>622</v>
      </c>
      <c r="D107" t="s">
        <v>630</v>
      </c>
      <c r="E107" s="6">
        <v>7771.31</v>
      </c>
      <c r="F107" t="s">
        <v>643</v>
      </c>
      <c r="G107" s="4" t="str">
        <f t="shared" si="8"/>
        <v>7771.31</v>
      </c>
      <c r="H107" t="str">
        <f t="shared" si="9"/>
        <v>7771.31</v>
      </c>
      <c r="I107" s="1">
        <v>45761</v>
      </c>
      <c r="J107" s="2">
        <f t="shared" si="10"/>
        <v>-1.0518314421333509E-2</v>
      </c>
      <c r="K107" s="3" t="str">
        <f t="shared" si="11"/>
        <v/>
      </c>
      <c r="L107" t="str">
        <f t="shared" si="12"/>
        <v/>
      </c>
      <c r="M107" t="str">
        <f t="shared" si="13"/>
        <v/>
      </c>
      <c r="N107">
        <v>7853.92</v>
      </c>
      <c r="O107" t="s">
        <v>667</v>
      </c>
      <c r="Q107" t="s">
        <v>622</v>
      </c>
    </row>
    <row r="108" spans="1:17" x14ac:dyDescent="0.3">
      <c r="A108">
        <v>100664601</v>
      </c>
      <c r="B108" t="s">
        <v>308</v>
      </c>
      <c r="C108" t="s">
        <v>606</v>
      </c>
      <c r="D108" t="s">
        <v>631</v>
      </c>
      <c r="E108" s="6">
        <v>152.43</v>
      </c>
      <c r="F108" t="s">
        <v>643</v>
      </c>
      <c r="G108" s="4" t="str">
        <f t="shared" si="8"/>
        <v>152.43</v>
      </c>
      <c r="H108" t="str">
        <f t="shared" si="9"/>
        <v>152.43</v>
      </c>
      <c r="I108" s="1">
        <v>45761</v>
      </c>
      <c r="J108" s="2">
        <f t="shared" si="10"/>
        <v>6.8696743510140729E-3</v>
      </c>
      <c r="K108" s="3" t="str">
        <f t="shared" si="11"/>
        <v/>
      </c>
      <c r="L108" t="str">
        <f t="shared" si="12"/>
        <v/>
      </c>
      <c r="M108" t="str">
        <f t="shared" si="13"/>
        <v/>
      </c>
      <c r="N108">
        <v>151.38999999999999</v>
      </c>
      <c r="O108" t="s">
        <v>668</v>
      </c>
      <c r="Q108" t="s">
        <v>606</v>
      </c>
    </row>
    <row r="109" spans="1:17" x14ac:dyDescent="0.3">
      <c r="A109">
        <v>100664601</v>
      </c>
      <c r="B109" t="s">
        <v>308</v>
      </c>
      <c r="C109" t="s">
        <v>606</v>
      </c>
      <c r="D109" t="s">
        <v>631</v>
      </c>
      <c r="E109" s="6">
        <v>7812.67</v>
      </c>
      <c r="F109" t="s">
        <v>643</v>
      </c>
      <c r="G109" s="4" t="str">
        <f t="shared" si="8"/>
        <v>7812.67</v>
      </c>
      <c r="H109" t="str">
        <f t="shared" si="9"/>
        <v>7812.67</v>
      </c>
      <c r="I109" s="1">
        <v>45761</v>
      </c>
      <c r="J109" s="2">
        <f t="shared" si="10"/>
        <v>-1.1566163846818555E-2</v>
      </c>
      <c r="K109" s="3" t="str">
        <f t="shared" si="11"/>
        <v/>
      </c>
      <c r="L109" t="str">
        <f t="shared" si="12"/>
        <v/>
      </c>
      <c r="M109" t="str">
        <f t="shared" si="13"/>
        <v/>
      </c>
      <c r="N109">
        <v>7904.09</v>
      </c>
      <c r="O109" t="s">
        <v>668</v>
      </c>
      <c r="Q109" t="s">
        <v>606</v>
      </c>
    </row>
    <row r="110" spans="1:17" x14ac:dyDescent="0.3">
      <c r="A110">
        <v>100664737</v>
      </c>
      <c r="B110" t="s">
        <v>313</v>
      </c>
      <c r="C110" t="s">
        <v>19</v>
      </c>
      <c r="D110" t="s">
        <v>314</v>
      </c>
      <c r="E110" s="6">
        <v>462.16</v>
      </c>
      <c r="F110" t="s">
        <v>643</v>
      </c>
      <c r="G110" s="4" t="str">
        <f t="shared" si="8"/>
        <v>462.16</v>
      </c>
      <c r="H110" t="str">
        <f t="shared" si="9"/>
        <v>462.16</v>
      </c>
      <c r="I110" s="1">
        <v>45761</v>
      </c>
      <c r="J110" s="2">
        <f t="shared" si="10"/>
        <v>-4.0728369787738092E-3</v>
      </c>
      <c r="K110" s="3" t="str">
        <f t="shared" si="11"/>
        <v/>
      </c>
      <c r="L110" t="str">
        <f t="shared" si="12"/>
        <v/>
      </c>
      <c r="M110" t="str">
        <f t="shared" si="13"/>
        <v/>
      </c>
      <c r="N110">
        <v>464.05</v>
      </c>
      <c r="O110" t="s">
        <v>315</v>
      </c>
      <c r="Q110" t="s">
        <v>19</v>
      </c>
    </row>
    <row r="111" spans="1:17" x14ac:dyDescent="0.3">
      <c r="A111">
        <v>100664737</v>
      </c>
      <c r="B111" t="s">
        <v>313</v>
      </c>
      <c r="C111" t="s">
        <v>19</v>
      </c>
      <c r="D111" t="s">
        <v>316</v>
      </c>
      <c r="E111" s="6">
        <v>234.58</v>
      </c>
      <c r="F111" t="s">
        <v>643</v>
      </c>
      <c r="G111" s="4" t="str">
        <f t="shared" si="8"/>
        <v>234.58</v>
      </c>
      <c r="H111" t="str">
        <f t="shared" si="9"/>
        <v>234.58</v>
      </c>
      <c r="I111" s="1">
        <v>45761</v>
      </c>
      <c r="J111" s="2">
        <f t="shared" si="10"/>
        <v>6.3060357771009346E-3</v>
      </c>
      <c r="K111" s="3" t="str">
        <f t="shared" si="11"/>
        <v/>
      </c>
      <c r="L111" t="str">
        <f t="shared" si="12"/>
        <v/>
      </c>
      <c r="M111" t="str">
        <f t="shared" si="13"/>
        <v/>
      </c>
      <c r="N111">
        <v>233.11</v>
      </c>
      <c r="O111" t="s">
        <v>317</v>
      </c>
      <c r="Q111" t="s">
        <v>19</v>
      </c>
    </row>
    <row r="112" spans="1:17" x14ac:dyDescent="0.3">
      <c r="A112">
        <v>100665510</v>
      </c>
      <c r="B112" t="s">
        <v>318</v>
      </c>
      <c r="C112" t="s">
        <v>19</v>
      </c>
      <c r="D112" t="s">
        <v>319</v>
      </c>
      <c r="E112" s="6">
        <v>82.3</v>
      </c>
      <c r="F112" t="s">
        <v>643</v>
      </c>
      <c r="G112" s="4" t="str">
        <f t="shared" si="8"/>
        <v>82.3</v>
      </c>
      <c r="H112" t="str">
        <f t="shared" si="9"/>
        <v>82.3</v>
      </c>
      <c r="I112" s="1">
        <v>45761</v>
      </c>
      <c r="J112" s="2">
        <f t="shared" si="10"/>
        <v>5.9894878376725936E-3</v>
      </c>
      <c r="K112" s="3" t="str">
        <f t="shared" si="11"/>
        <v/>
      </c>
      <c r="L112" t="str">
        <f t="shared" si="12"/>
        <v/>
      </c>
      <c r="M112" t="str">
        <f t="shared" si="13"/>
        <v/>
      </c>
      <c r="N112">
        <v>81.81</v>
      </c>
      <c r="O112" t="s">
        <v>320</v>
      </c>
      <c r="Q112" t="s">
        <v>19</v>
      </c>
    </row>
    <row r="113" spans="1:17" x14ac:dyDescent="0.3">
      <c r="A113">
        <v>100666150</v>
      </c>
      <c r="B113" t="s">
        <v>324</v>
      </c>
      <c r="C113" t="s">
        <v>19</v>
      </c>
      <c r="D113" t="s">
        <v>325</v>
      </c>
      <c r="E113" s="6">
        <v>1569.64</v>
      </c>
      <c r="F113" t="s">
        <v>643</v>
      </c>
      <c r="G113" s="4" t="str">
        <f t="shared" si="8"/>
        <v>1569.64</v>
      </c>
      <c r="H113" t="str">
        <f t="shared" si="9"/>
        <v>1569.64</v>
      </c>
      <c r="I113" s="1">
        <v>45761</v>
      </c>
      <c r="J113" s="2">
        <f t="shared" si="10"/>
        <v>-6.4815049244246453E-3</v>
      </c>
      <c r="K113" s="3" t="str">
        <f t="shared" si="11"/>
        <v/>
      </c>
      <c r="L113" t="str">
        <f t="shared" si="12"/>
        <v/>
      </c>
      <c r="M113" t="str">
        <f t="shared" si="13"/>
        <v/>
      </c>
      <c r="N113">
        <v>1579.88</v>
      </c>
      <c r="O113" t="s">
        <v>326</v>
      </c>
      <c r="Q113" t="s">
        <v>19</v>
      </c>
    </row>
    <row r="114" spans="1:17" x14ac:dyDescent="0.3">
      <c r="A114">
        <v>100668409</v>
      </c>
      <c r="B114" t="s">
        <v>327</v>
      </c>
      <c r="C114" t="s">
        <v>590</v>
      </c>
      <c r="D114" t="s">
        <v>328</v>
      </c>
      <c r="E114" s="6">
        <v>72.430000000000007</v>
      </c>
      <c r="F114" t="s">
        <v>643</v>
      </c>
      <c r="G114" s="4" t="str">
        <f t="shared" si="8"/>
        <v>72.43</v>
      </c>
      <c r="H114" t="str">
        <f t="shared" si="9"/>
        <v>72.43</v>
      </c>
      <c r="I114" s="1">
        <v>45761</v>
      </c>
      <c r="J114" s="2">
        <f t="shared" si="10"/>
        <v>9.0554471997771752E-3</v>
      </c>
      <c r="K114" s="3" t="str">
        <f t="shared" si="11"/>
        <v/>
      </c>
      <c r="L114" t="str">
        <f t="shared" si="12"/>
        <v/>
      </c>
      <c r="M114" t="str">
        <f t="shared" si="13"/>
        <v>Check</v>
      </c>
      <c r="N114">
        <v>71.78</v>
      </c>
      <c r="O114" t="s">
        <v>329</v>
      </c>
      <c r="Q114" t="s">
        <v>16</v>
      </c>
    </row>
    <row r="115" spans="1:17" x14ac:dyDescent="0.3">
      <c r="A115">
        <v>100668534</v>
      </c>
      <c r="B115" t="s">
        <v>330</v>
      </c>
      <c r="C115" t="s">
        <v>590</v>
      </c>
      <c r="D115" t="s">
        <v>331</v>
      </c>
      <c r="E115" s="6">
        <v>67.39</v>
      </c>
      <c r="F115" t="s">
        <v>643</v>
      </c>
      <c r="G115" s="4" t="str">
        <f t="shared" si="8"/>
        <v>67.39</v>
      </c>
      <c r="H115" t="str">
        <f t="shared" si="9"/>
        <v>67.39</v>
      </c>
      <c r="I115" s="1">
        <v>45761</v>
      </c>
      <c r="J115" s="2">
        <f t="shared" si="10"/>
        <v>5.0708426547353231E-3</v>
      </c>
      <c r="K115" s="3" t="str">
        <f t="shared" si="11"/>
        <v/>
      </c>
      <c r="L115" t="str">
        <f t="shared" si="12"/>
        <v/>
      </c>
      <c r="M115" t="str">
        <f t="shared" si="13"/>
        <v>Check</v>
      </c>
      <c r="N115">
        <v>67.05</v>
      </c>
      <c r="O115" t="s">
        <v>332</v>
      </c>
      <c r="Q115" t="s">
        <v>16</v>
      </c>
    </row>
    <row r="116" spans="1:17" x14ac:dyDescent="0.3">
      <c r="A116">
        <v>100669580</v>
      </c>
      <c r="B116" t="s">
        <v>333</v>
      </c>
      <c r="C116" t="s">
        <v>19</v>
      </c>
      <c r="D116" t="s">
        <v>334</v>
      </c>
      <c r="E116" s="6">
        <v>688.67</v>
      </c>
      <c r="F116" t="s">
        <v>643</v>
      </c>
      <c r="G116" s="4" t="str">
        <f t="shared" si="8"/>
        <v>688.67</v>
      </c>
      <c r="H116" t="str">
        <f t="shared" si="9"/>
        <v>688.67</v>
      </c>
      <c r="I116" s="1">
        <v>45761</v>
      </c>
      <c r="J116" s="2">
        <f t="shared" si="10"/>
        <v>-6.5635728917227834E-3</v>
      </c>
      <c r="K116" s="3" t="str">
        <f t="shared" si="11"/>
        <v/>
      </c>
      <c r="L116" t="str">
        <f t="shared" si="12"/>
        <v/>
      </c>
      <c r="M116" t="str">
        <f t="shared" si="13"/>
        <v/>
      </c>
      <c r="N116">
        <v>693.22</v>
      </c>
      <c r="O116" t="s">
        <v>335</v>
      </c>
      <c r="Q116" t="s">
        <v>19</v>
      </c>
    </row>
    <row r="117" spans="1:17" x14ac:dyDescent="0.3">
      <c r="A117">
        <v>100670671</v>
      </c>
      <c r="B117" t="s">
        <v>336</v>
      </c>
      <c r="C117" t="s">
        <v>590</v>
      </c>
      <c r="D117" t="s">
        <v>337</v>
      </c>
      <c r="E117" s="6">
        <v>357.19</v>
      </c>
      <c r="F117" t="s">
        <v>643</v>
      </c>
      <c r="G117" s="4" t="str">
        <f t="shared" si="8"/>
        <v>357.19</v>
      </c>
      <c r="H117" t="str">
        <f t="shared" si="9"/>
        <v>357.19</v>
      </c>
      <c r="I117" s="1">
        <v>45761</v>
      </c>
      <c r="J117" s="2">
        <f t="shared" si="10"/>
        <v>-8.6592101246149283E-3</v>
      </c>
      <c r="K117" s="3" t="str">
        <f t="shared" si="11"/>
        <v/>
      </c>
      <c r="L117" t="str">
        <f t="shared" si="12"/>
        <v/>
      </c>
      <c r="M117" t="str">
        <f t="shared" si="13"/>
        <v>Check</v>
      </c>
      <c r="N117">
        <v>360.31</v>
      </c>
      <c r="O117" t="s">
        <v>338</v>
      </c>
      <c r="Q117" t="s">
        <v>16</v>
      </c>
    </row>
    <row r="118" spans="1:17" x14ac:dyDescent="0.3">
      <c r="A118">
        <v>100670671</v>
      </c>
      <c r="B118" t="s">
        <v>336</v>
      </c>
      <c r="C118" t="s">
        <v>611</v>
      </c>
      <c r="D118" t="s">
        <v>339</v>
      </c>
      <c r="E118" s="6">
        <v>32650.240000000002</v>
      </c>
      <c r="F118" t="s">
        <v>643</v>
      </c>
      <c r="G118" s="4" t="str">
        <f t="shared" si="8"/>
        <v>32650.24</v>
      </c>
      <c r="H118" t="str">
        <f t="shared" si="9"/>
        <v>32650.24</v>
      </c>
      <c r="I118" s="1">
        <v>45761</v>
      </c>
      <c r="J118" s="2">
        <f t="shared" si="10"/>
        <v>-2.2297150608551825E-2</v>
      </c>
      <c r="K118" s="3" t="str">
        <f t="shared" si="11"/>
        <v/>
      </c>
      <c r="L118" t="str">
        <f t="shared" si="12"/>
        <v/>
      </c>
      <c r="M118" t="str">
        <f t="shared" si="13"/>
        <v>Check</v>
      </c>
      <c r="N118">
        <v>33394.85</v>
      </c>
      <c r="O118" t="s">
        <v>340</v>
      </c>
      <c r="Q118" t="s">
        <v>41</v>
      </c>
    </row>
    <row r="119" spans="1:17" x14ac:dyDescent="0.3">
      <c r="A119">
        <v>100670671</v>
      </c>
      <c r="B119" t="s">
        <v>336</v>
      </c>
      <c r="C119" t="s">
        <v>609</v>
      </c>
      <c r="D119" t="s">
        <v>634</v>
      </c>
      <c r="E119" s="6">
        <v>661.36</v>
      </c>
      <c r="F119" t="s">
        <v>643</v>
      </c>
      <c r="G119" s="4" t="str">
        <f t="shared" si="8"/>
        <v>661.36</v>
      </c>
      <c r="H119" t="str">
        <f t="shared" si="9"/>
        <v>661.36</v>
      </c>
      <c r="I119" s="1">
        <v>45761</v>
      </c>
      <c r="J119" s="2">
        <f t="shared" si="10"/>
        <v>0.29589497403742526</v>
      </c>
      <c r="K119" s="3" t="str">
        <f t="shared" si="11"/>
        <v>Check!</v>
      </c>
      <c r="L119" t="str">
        <f t="shared" si="12"/>
        <v/>
      </c>
      <c r="M119" t="str">
        <f t="shared" si="13"/>
        <v/>
      </c>
      <c r="N119">
        <v>510.35</v>
      </c>
      <c r="O119" t="s">
        <v>670</v>
      </c>
      <c r="Q119" t="s">
        <v>609</v>
      </c>
    </row>
    <row r="120" spans="1:17" x14ac:dyDescent="0.3">
      <c r="A120">
        <v>100670671</v>
      </c>
      <c r="B120" t="s">
        <v>336</v>
      </c>
      <c r="C120" t="s">
        <v>606</v>
      </c>
      <c r="D120" t="s">
        <v>633</v>
      </c>
      <c r="E120" s="6">
        <v>4066.03</v>
      </c>
      <c r="F120" t="s">
        <v>643</v>
      </c>
      <c r="G120" s="4" t="str">
        <f t="shared" si="8"/>
        <v>4066.03</v>
      </c>
      <c r="H120" t="str">
        <f t="shared" si="9"/>
        <v>4066.03</v>
      </c>
      <c r="I120" s="1">
        <v>45761</v>
      </c>
      <c r="J120" s="2">
        <f t="shared" si="10"/>
        <v>53.909250506414587</v>
      </c>
      <c r="K120" s="3" t="str">
        <f t="shared" si="11"/>
        <v>Check!</v>
      </c>
      <c r="L120" t="str">
        <f t="shared" si="12"/>
        <v/>
      </c>
      <c r="M120" t="str">
        <f t="shared" si="13"/>
        <v/>
      </c>
      <c r="N120">
        <v>74.05</v>
      </c>
      <c r="O120" t="s">
        <v>671</v>
      </c>
      <c r="Q120" t="s">
        <v>606</v>
      </c>
    </row>
    <row r="121" spans="1:17" x14ac:dyDescent="0.3">
      <c r="A121">
        <v>100670671</v>
      </c>
      <c r="B121" t="s">
        <v>336</v>
      </c>
      <c r="C121" t="s">
        <v>606</v>
      </c>
      <c r="D121" t="s">
        <v>633</v>
      </c>
      <c r="E121" s="6">
        <v>73.55</v>
      </c>
      <c r="F121" t="s">
        <v>643</v>
      </c>
      <c r="G121" s="4" t="str">
        <f t="shared" si="8"/>
        <v>73.55</v>
      </c>
      <c r="H121" t="str">
        <f t="shared" si="9"/>
        <v>73.55</v>
      </c>
      <c r="I121" s="1">
        <v>45761</v>
      </c>
      <c r="J121" s="2">
        <f t="shared" si="10"/>
        <v>-0.98200549988256469</v>
      </c>
      <c r="K121" s="3" t="str">
        <f t="shared" si="11"/>
        <v>Check!</v>
      </c>
      <c r="L121" t="str">
        <f t="shared" si="12"/>
        <v/>
      </c>
      <c r="M121" t="str">
        <f t="shared" si="13"/>
        <v/>
      </c>
      <c r="N121">
        <v>4087.36</v>
      </c>
      <c r="O121" t="s">
        <v>671</v>
      </c>
      <c r="Q121" t="s">
        <v>606</v>
      </c>
    </row>
    <row r="122" spans="1:17" x14ac:dyDescent="0.3">
      <c r="A122">
        <v>100672294</v>
      </c>
      <c r="B122" t="s">
        <v>341</v>
      </c>
      <c r="C122" t="s">
        <v>590</v>
      </c>
      <c r="D122" t="s">
        <v>342</v>
      </c>
      <c r="E122" s="6">
        <v>274.89999999999998</v>
      </c>
      <c r="F122" t="s">
        <v>643</v>
      </c>
      <c r="G122" s="4" t="str">
        <f t="shared" si="8"/>
        <v>274.9</v>
      </c>
      <c r="H122" t="str">
        <f t="shared" si="9"/>
        <v>274.9</v>
      </c>
      <c r="I122" s="1">
        <v>45761</v>
      </c>
      <c r="J122" s="2">
        <f t="shared" si="10"/>
        <v>-0.13028347253859784</v>
      </c>
      <c r="K122" s="3" t="str">
        <f t="shared" si="11"/>
        <v>Check!</v>
      </c>
      <c r="L122" t="str">
        <f t="shared" si="12"/>
        <v/>
      </c>
      <c r="M122" t="str">
        <f t="shared" si="13"/>
        <v>Check</v>
      </c>
      <c r="N122">
        <v>316.08</v>
      </c>
      <c r="O122" t="s">
        <v>343</v>
      </c>
      <c r="Q122" t="s">
        <v>16</v>
      </c>
    </row>
    <row r="123" spans="1:17" x14ac:dyDescent="0.3">
      <c r="A123">
        <v>100672395</v>
      </c>
      <c r="B123" t="s">
        <v>344</v>
      </c>
      <c r="C123" t="s">
        <v>590</v>
      </c>
      <c r="D123" t="s">
        <v>345</v>
      </c>
      <c r="E123" s="6">
        <v>114.29</v>
      </c>
      <c r="F123" t="s">
        <v>643</v>
      </c>
      <c r="G123" s="4" t="str">
        <f t="shared" si="8"/>
        <v>114.29</v>
      </c>
      <c r="H123" t="str">
        <f t="shared" si="9"/>
        <v>114.29</v>
      </c>
      <c r="I123" s="1">
        <v>45761</v>
      </c>
      <c r="J123" s="2">
        <f t="shared" si="10"/>
        <v>-8.6737791655824431E-3</v>
      </c>
      <c r="K123" s="3" t="str">
        <f t="shared" si="11"/>
        <v/>
      </c>
      <c r="L123" t="str">
        <f t="shared" si="12"/>
        <v/>
      </c>
      <c r="M123" t="str">
        <f t="shared" si="13"/>
        <v>Check</v>
      </c>
      <c r="N123">
        <v>115.29</v>
      </c>
      <c r="O123" t="s">
        <v>346</v>
      </c>
      <c r="Q123" t="s">
        <v>16</v>
      </c>
    </row>
    <row r="124" spans="1:17" x14ac:dyDescent="0.3">
      <c r="A124">
        <v>100675336</v>
      </c>
      <c r="B124" t="s">
        <v>347</v>
      </c>
      <c r="C124" t="s">
        <v>19</v>
      </c>
      <c r="D124" t="s">
        <v>348</v>
      </c>
      <c r="E124" s="6">
        <v>277.5</v>
      </c>
      <c r="F124" t="s">
        <v>643</v>
      </c>
      <c r="G124" s="4" t="str">
        <f t="shared" si="8"/>
        <v>277.5</v>
      </c>
      <c r="H124" t="str">
        <f t="shared" si="9"/>
        <v>277.5</v>
      </c>
      <c r="I124" s="1">
        <v>45761</v>
      </c>
      <c r="J124" s="2">
        <f t="shared" si="10"/>
        <v>-6.4802549138949636E-3</v>
      </c>
      <c r="K124" s="3" t="str">
        <f t="shared" si="11"/>
        <v/>
      </c>
      <c r="L124" t="str">
        <f t="shared" si="12"/>
        <v/>
      </c>
      <c r="M124" t="str">
        <f t="shared" si="13"/>
        <v/>
      </c>
      <c r="N124">
        <v>279.31</v>
      </c>
      <c r="O124" t="s">
        <v>349</v>
      </c>
      <c r="Q124" t="s">
        <v>19</v>
      </c>
    </row>
    <row r="125" spans="1:17" x14ac:dyDescent="0.3">
      <c r="A125">
        <v>100677278</v>
      </c>
      <c r="B125" t="s">
        <v>350</v>
      </c>
      <c r="C125" t="s">
        <v>19</v>
      </c>
      <c r="D125" t="s">
        <v>351</v>
      </c>
      <c r="E125" s="6">
        <v>978.86</v>
      </c>
      <c r="F125" t="s">
        <v>643</v>
      </c>
      <c r="G125" s="4" t="str">
        <f t="shared" si="8"/>
        <v>978.86</v>
      </c>
      <c r="H125" t="str">
        <f t="shared" si="9"/>
        <v>978.86</v>
      </c>
      <c r="I125" s="1">
        <v>45761</v>
      </c>
      <c r="J125" s="2">
        <f t="shared" si="10"/>
        <v>-6.1225111433763904E-3</v>
      </c>
      <c r="K125" s="3" t="str">
        <f t="shared" si="11"/>
        <v/>
      </c>
      <c r="L125" t="str">
        <f t="shared" si="12"/>
        <v/>
      </c>
      <c r="M125" t="str">
        <f t="shared" si="13"/>
        <v/>
      </c>
      <c r="N125">
        <v>984.89</v>
      </c>
      <c r="O125" t="s">
        <v>352</v>
      </c>
      <c r="Q125" t="s">
        <v>19</v>
      </c>
    </row>
    <row r="126" spans="1:17" x14ac:dyDescent="0.3">
      <c r="A126">
        <v>100677585</v>
      </c>
      <c r="B126" t="s">
        <v>353</v>
      </c>
      <c r="C126" t="s">
        <v>19</v>
      </c>
      <c r="D126" t="s">
        <v>354</v>
      </c>
      <c r="E126" s="6">
        <v>121.71</v>
      </c>
      <c r="F126" t="s">
        <v>643</v>
      </c>
      <c r="G126" s="4" t="str">
        <f t="shared" si="8"/>
        <v>121.71</v>
      </c>
      <c r="H126" t="str">
        <f t="shared" si="9"/>
        <v>121.71</v>
      </c>
      <c r="I126" s="1">
        <v>45761</v>
      </c>
      <c r="J126" s="2">
        <f t="shared" si="10"/>
        <v>-6.773298514770789E-3</v>
      </c>
      <c r="K126" s="3" t="str">
        <f t="shared" si="11"/>
        <v/>
      </c>
      <c r="L126" t="str">
        <f t="shared" si="12"/>
        <v/>
      </c>
      <c r="M126" t="str">
        <f t="shared" si="13"/>
        <v/>
      </c>
      <c r="N126">
        <v>122.54</v>
      </c>
      <c r="O126" t="s">
        <v>355</v>
      </c>
      <c r="Q126" t="s">
        <v>19</v>
      </c>
    </row>
    <row r="127" spans="1:17" x14ac:dyDescent="0.3">
      <c r="A127">
        <v>100706842</v>
      </c>
      <c r="B127" t="s">
        <v>356</v>
      </c>
      <c r="C127" t="s">
        <v>19</v>
      </c>
      <c r="D127" t="s">
        <v>357</v>
      </c>
      <c r="E127" s="6">
        <v>1211.28</v>
      </c>
      <c r="F127" t="s">
        <v>643</v>
      </c>
      <c r="G127" s="4" t="str">
        <f t="shared" si="8"/>
        <v>1211.28</v>
      </c>
      <c r="H127" t="str">
        <f t="shared" si="9"/>
        <v>1211.28</v>
      </c>
      <c r="I127" s="1">
        <v>45761</v>
      </c>
      <c r="J127" s="2">
        <f t="shared" si="10"/>
        <v>-4.9208474701586411E-3</v>
      </c>
      <c r="K127" s="3" t="str">
        <f t="shared" si="11"/>
        <v/>
      </c>
      <c r="L127" t="str">
        <f t="shared" si="12"/>
        <v/>
      </c>
      <c r="M127" t="str">
        <f t="shared" si="13"/>
        <v/>
      </c>
      <c r="N127">
        <v>1217.27</v>
      </c>
      <c r="O127" t="s">
        <v>358</v>
      </c>
      <c r="Q127" t="s">
        <v>19</v>
      </c>
    </row>
    <row r="128" spans="1:17" s="7" customFormat="1" x14ac:dyDescent="0.3">
      <c r="A128" s="7">
        <v>32490</v>
      </c>
      <c r="B128" s="7" t="s">
        <v>15</v>
      </c>
      <c r="C128" s="7" t="s">
        <v>590</v>
      </c>
      <c r="D128" s="7" t="s">
        <v>17</v>
      </c>
      <c r="E128" s="8">
        <v>15639.24</v>
      </c>
      <c r="F128" s="7" t="s">
        <v>643</v>
      </c>
      <c r="G128" s="4" t="str">
        <f t="shared" si="8"/>
        <v>15639.24</v>
      </c>
      <c r="H128" t="str">
        <f t="shared" si="9"/>
        <v>15639.24</v>
      </c>
      <c r="I128" s="1">
        <v>45761</v>
      </c>
      <c r="J128" s="2">
        <f t="shared" si="10"/>
        <v>3.7355917458775097E-4</v>
      </c>
      <c r="K128" s="3" t="str">
        <f t="shared" si="11"/>
        <v/>
      </c>
      <c r="L128" t="str">
        <f t="shared" si="12"/>
        <v/>
      </c>
      <c r="M128" t="str">
        <f t="shared" si="13"/>
        <v>Check</v>
      </c>
      <c r="N128" s="7">
        <v>15633.4</v>
      </c>
      <c r="O128" s="7" t="s">
        <v>18</v>
      </c>
      <c r="Q128" s="7" t="s">
        <v>16</v>
      </c>
    </row>
    <row r="129" spans="1:17" x14ac:dyDescent="0.3">
      <c r="A129">
        <v>32490</v>
      </c>
      <c r="B129" t="s">
        <v>15</v>
      </c>
      <c r="C129" t="s">
        <v>19</v>
      </c>
      <c r="D129" t="s">
        <v>20</v>
      </c>
      <c r="E129" s="6">
        <v>1638.28</v>
      </c>
      <c r="F129" t="s">
        <v>643</v>
      </c>
      <c r="G129" s="4" t="str">
        <f t="shared" si="8"/>
        <v>1638.28</v>
      </c>
      <c r="H129" t="str">
        <f t="shared" si="9"/>
        <v>1638.28</v>
      </c>
      <c r="I129" s="1">
        <v>45761</v>
      </c>
      <c r="J129" s="2">
        <f t="shared" si="10"/>
        <v>-0.1418034762019508</v>
      </c>
      <c r="K129" s="3" t="str">
        <f t="shared" si="11"/>
        <v>Check!</v>
      </c>
      <c r="L129" t="str">
        <f t="shared" si="12"/>
        <v/>
      </c>
      <c r="M129" t="str">
        <f t="shared" si="13"/>
        <v/>
      </c>
      <c r="N129">
        <v>1908.98</v>
      </c>
      <c r="O129" t="s">
        <v>21</v>
      </c>
      <c r="Q129" t="s">
        <v>19</v>
      </c>
    </row>
    <row r="130" spans="1:17" x14ac:dyDescent="0.3">
      <c r="A130">
        <v>32490</v>
      </c>
      <c r="B130" t="s">
        <v>15</v>
      </c>
      <c r="C130" t="s">
        <v>19</v>
      </c>
      <c r="D130" t="s">
        <v>22</v>
      </c>
      <c r="E130" s="6">
        <v>5112.42</v>
      </c>
      <c r="F130" t="s">
        <v>643</v>
      </c>
      <c r="G130" s="4" t="str">
        <f t="shared" si="8"/>
        <v>5112.42</v>
      </c>
      <c r="H130" t="str">
        <f t="shared" si="9"/>
        <v>5112.42</v>
      </c>
      <c r="I130" s="1">
        <v>45761</v>
      </c>
      <c r="J130" s="2">
        <f t="shared" si="10"/>
        <v>-0.19525440590350143</v>
      </c>
      <c r="K130" s="3" t="str">
        <f t="shared" si="11"/>
        <v>Check!</v>
      </c>
      <c r="L130" t="str">
        <f t="shared" si="12"/>
        <v/>
      </c>
      <c r="M130" t="str">
        <f t="shared" si="13"/>
        <v/>
      </c>
      <c r="N130">
        <v>6352.84</v>
      </c>
      <c r="O130" t="s">
        <v>23</v>
      </c>
      <c r="Q130" t="s">
        <v>19</v>
      </c>
    </row>
    <row r="131" spans="1:17" x14ac:dyDescent="0.3">
      <c r="A131">
        <v>33672</v>
      </c>
      <c r="B131" t="s">
        <v>24</v>
      </c>
      <c r="C131" t="s">
        <v>19</v>
      </c>
      <c r="D131" t="s">
        <v>25</v>
      </c>
      <c r="E131" s="6">
        <v>27209.51</v>
      </c>
      <c r="F131" t="s">
        <v>643</v>
      </c>
      <c r="G131" s="4" t="str">
        <f t="shared" ref="G131:G194" si="14">SUBSTITUTE(E131,"R","")</f>
        <v>27209.51</v>
      </c>
      <c r="H131" t="str">
        <f t="shared" ref="H131:H194" si="15">SUBSTITUTE(G131,",","")</f>
        <v>27209.51</v>
      </c>
      <c r="I131" s="1">
        <v>45761</v>
      </c>
      <c r="J131" s="2">
        <f t="shared" ref="J131:J194" si="16">(H131-N131)/N131</f>
        <v>-7.0268439672054915E-3</v>
      </c>
      <c r="K131" s="3" t="str">
        <f t="shared" ref="K131:K194" si="17">IF(ABS(J131)&gt;0.1,"Check!","")</f>
        <v/>
      </c>
      <c r="L131" t="str">
        <f t="shared" ref="L131:L194" si="18">IF(LEFT(O131,10)&lt;&gt;LEFT(D131,10),"Check","")</f>
        <v/>
      </c>
      <c r="M131" t="str">
        <f t="shared" ref="M131:M194" si="19">IF(Q131&lt;&gt;C131,"Check","")</f>
        <v/>
      </c>
      <c r="N131">
        <v>27402.06</v>
      </c>
      <c r="O131" t="s">
        <v>26</v>
      </c>
      <c r="Q131" t="s">
        <v>19</v>
      </c>
    </row>
    <row r="132" spans="1:17" x14ac:dyDescent="0.3">
      <c r="A132">
        <v>34171</v>
      </c>
      <c r="B132" t="s">
        <v>27</v>
      </c>
      <c r="C132" t="s">
        <v>19</v>
      </c>
      <c r="D132" t="s">
        <v>28</v>
      </c>
      <c r="E132" s="6">
        <v>8000.31</v>
      </c>
      <c r="F132" t="s">
        <v>643</v>
      </c>
      <c r="G132" s="4" t="str">
        <f t="shared" si="14"/>
        <v>8000.31</v>
      </c>
      <c r="H132" t="str">
        <f t="shared" si="15"/>
        <v>8000.31</v>
      </c>
      <c r="I132" s="1">
        <v>45761</v>
      </c>
      <c r="J132" s="2">
        <f t="shared" si="16"/>
        <v>2.0792338399065551E-3</v>
      </c>
      <c r="K132" s="3" t="str">
        <f t="shared" si="17"/>
        <v/>
      </c>
      <c r="L132" t="str">
        <f t="shared" si="18"/>
        <v/>
      </c>
      <c r="M132" t="str">
        <f t="shared" si="19"/>
        <v/>
      </c>
      <c r="N132">
        <v>7983.71</v>
      </c>
      <c r="O132" t="s">
        <v>29</v>
      </c>
      <c r="Q132" t="s">
        <v>19</v>
      </c>
    </row>
    <row r="133" spans="1:17" x14ac:dyDescent="0.3">
      <c r="A133">
        <v>34173</v>
      </c>
      <c r="B133" t="s">
        <v>30</v>
      </c>
      <c r="C133" t="s">
        <v>19</v>
      </c>
      <c r="D133" t="s">
        <v>31</v>
      </c>
      <c r="E133" s="6">
        <v>9221.06</v>
      </c>
      <c r="F133" t="s">
        <v>643</v>
      </c>
      <c r="G133" s="4" t="str">
        <f t="shared" si="14"/>
        <v>9221.06</v>
      </c>
      <c r="H133" t="str">
        <f t="shared" si="15"/>
        <v>9221.06</v>
      </c>
      <c r="I133" s="1">
        <v>45761</v>
      </c>
      <c r="J133" s="2">
        <f t="shared" si="16"/>
        <v>-2.6538040884925215E-2</v>
      </c>
      <c r="K133" s="3" t="str">
        <f t="shared" si="17"/>
        <v/>
      </c>
      <c r="L133" t="str">
        <f t="shared" si="18"/>
        <v/>
      </c>
      <c r="M133" t="str">
        <f t="shared" si="19"/>
        <v/>
      </c>
      <c r="N133">
        <v>9472.44</v>
      </c>
      <c r="O133" t="s">
        <v>32</v>
      </c>
      <c r="Q133" t="s">
        <v>19</v>
      </c>
    </row>
    <row r="134" spans="1:17" x14ac:dyDescent="0.3">
      <c r="A134">
        <v>34196</v>
      </c>
      <c r="B134" t="s">
        <v>33</v>
      </c>
      <c r="C134" t="s">
        <v>590</v>
      </c>
      <c r="D134" t="s">
        <v>34</v>
      </c>
      <c r="E134" s="6">
        <v>217481.63</v>
      </c>
      <c r="F134" t="s">
        <v>643</v>
      </c>
      <c r="G134" s="4" t="str">
        <f t="shared" si="14"/>
        <v>217481.63</v>
      </c>
      <c r="H134" t="str">
        <f t="shared" si="15"/>
        <v>217481.63</v>
      </c>
      <c r="I134" s="1">
        <v>45761</v>
      </c>
      <c r="J134" s="2">
        <f t="shared" si="16"/>
        <v>-5.8694312443735401E-3</v>
      </c>
      <c r="K134" s="3" t="str">
        <f t="shared" si="17"/>
        <v/>
      </c>
      <c r="L134" t="str">
        <f t="shared" si="18"/>
        <v/>
      </c>
      <c r="M134" t="str">
        <f t="shared" si="19"/>
        <v>Check</v>
      </c>
      <c r="N134">
        <v>218765.66</v>
      </c>
      <c r="O134" t="s">
        <v>35</v>
      </c>
      <c r="Q134" t="s">
        <v>16</v>
      </c>
    </row>
    <row r="135" spans="1:17" x14ac:dyDescent="0.3">
      <c r="A135">
        <v>34199</v>
      </c>
      <c r="B135" t="s">
        <v>36</v>
      </c>
      <c r="C135" t="s">
        <v>590</v>
      </c>
      <c r="D135" t="s">
        <v>37</v>
      </c>
      <c r="E135" s="6">
        <v>8274.08</v>
      </c>
      <c r="F135" t="s">
        <v>643</v>
      </c>
      <c r="G135" s="4" t="str">
        <f t="shared" si="14"/>
        <v>8274.08</v>
      </c>
      <c r="H135" t="str">
        <f t="shared" si="15"/>
        <v>8274.08</v>
      </c>
      <c r="I135" s="1">
        <v>45761</v>
      </c>
      <c r="J135" s="2">
        <f t="shared" si="16"/>
        <v>-0.12896719288863437</v>
      </c>
      <c r="K135" s="3" t="str">
        <f t="shared" si="17"/>
        <v>Check!</v>
      </c>
      <c r="L135" t="str">
        <f t="shared" si="18"/>
        <v/>
      </c>
      <c r="M135" t="str">
        <f t="shared" si="19"/>
        <v>Check</v>
      </c>
      <c r="N135">
        <v>9499.16</v>
      </c>
      <c r="O135" t="s">
        <v>38</v>
      </c>
      <c r="Q135" t="s">
        <v>16</v>
      </c>
    </row>
    <row r="136" spans="1:17" x14ac:dyDescent="0.3">
      <c r="A136">
        <v>34199</v>
      </c>
      <c r="B136" t="s">
        <v>36</v>
      </c>
      <c r="C136" t="s">
        <v>19</v>
      </c>
      <c r="D136" t="s">
        <v>39</v>
      </c>
      <c r="E136" s="6">
        <v>7383.68</v>
      </c>
      <c r="F136" t="s">
        <v>643</v>
      </c>
      <c r="G136" s="4" t="str">
        <f t="shared" si="14"/>
        <v>7383.68</v>
      </c>
      <c r="H136" t="str">
        <f t="shared" si="15"/>
        <v>7383.68</v>
      </c>
      <c r="I136" s="1">
        <v>45761</v>
      </c>
      <c r="J136" s="2">
        <f t="shared" si="16"/>
        <v>5.4263238664294198E-3</v>
      </c>
      <c r="K136" s="3" t="str">
        <f t="shared" si="17"/>
        <v/>
      </c>
      <c r="L136" t="str">
        <f t="shared" si="18"/>
        <v/>
      </c>
      <c r="M136" t="str">
        <f t="shared" si="19"/>
        <v/>
      </c>
      <c r="N136">
        <v>7343.83</v>
      </c>
      <c r="O136" t="s">
        <v>40</v>
      </c>
      <c r="Q136" t="s">
        <v>19</v>
      </c>
    </row>
    <row r="137" spans="1:17" x14ac:dyDescent="0.3">
      <c r="A137">
        <v>34200</v>
      </c>
      <c r="B137" t="s">
        <v>592</v>
      </c>
      <c r="C137" t="s">
        <v>611</v>
      </c>
      <c r="D137" t="s">
        <v>42</v>
      </c>
      <c r="E137" s="6">
        <v>253205.64</v>
      </c>
      <c r="F137" t="s">
        <v>643</v>
      </c>
      <c r="G137" s="4" t="str">
        <f t="shared" si="14"/>
        <v>253205.64</v>
      </c>
      <c r="H137" t="str">
        <f t="shared" si="15"/>
        <v>253205.64</v>
      </c>
      <c r="I137" s="1">
        <v>45761</v>
      </c>
      <c r="J137" s="2">
        <f t="shared" si="16"/>
        <v>-2.5317956950269279E-2</v>
      </c>
      <c r="K137" s="3" t="str">
        <f t="shared" si="17"/>
        <v/>
      </c>
      <c r="L137" t="str">
        <f t="shared" si="18"/>
        <v/>
      </c>
      <c r="M137" t="str">
        <f t="shared" si="19"/>
        <v>Check</v>
      </c>
      <c r="N137">
        <v>259782.81</v>
      </c>
      <c r="O137" t="s">
        <v>43</v>
      </c>
      <c r="Q137" t="s">
        <v>41</v>
      </c>
    </row>
    <row r="138" spans="1:17" x14ac:dyDescent="0.3">
      <c r="A138">
        <v>34200</v>
      </c>
      <c r="B138" t="s">
        <v>592</v>
      </c>
      <c r="C138" t="s">
        <v>611</v>
      </c>
      <c r="D138" t="s">
        <v>44</v>
      </c>
      <c r="E138" s="6">
        <v>140240.78</v>
      </c>
      <c r="F138" t="s">
        <v>643</v>
      </c>
      <c r="G138" s="4" t="str">
        <f t="shared" si="14"/>
        <v>140240.78</v>
      </c>
      <c r="H138" t="str">
        <f t="shared" si="15"/>
        <v>140240.78</v>
      </c>
      <c r="I138" s="1">
        <v>45761</v>
      </c>
      <c r="J138" s="2">
        <f t="shared" si="16"/>
        <v>-2.4489395311300888E-2</v>
      </c>
      <c r="K138" s="3" t="str">
        <f t="shared" si="17"/>
        <v/>
      </c>
      <c r="L138" t="str">
        <f t="shared" si="18"/>
        <v/>
      </c>
      <c r="M138" t="str">
        <f t="shared" si="19"/>
        <v>Check</v>
      </c>
      <c r="N138">
        <v>143761.41</v>
      </c>
      <c r="O138" t="s">
        <v>45</v>
      </c>
      <c r="Q138" t="s">
        <v>41</v>
      </c>
    </row>
    <row r="139" spans="1:17" x14ac:dyDescent="0.3">
      <c r="A139">
        <v>34200</v>
      </c>
      <c r="B139" t="s">
        <v>592</v>
      </c>
      <c r="C139" t="s">
        <v>609</v>
      </c>
      <c r="D139" t="s">
        <v>610</v>
      </c>
      <c r="E139" s="6">
        <v>14057.41</v>
      </c>
      <c r="F139" t="s">
        <v>643</v>
      </c>
      <c r="G139" s="4" t="str">
        <f t="shared" si="14"/>
        <v>14057.41</v>
      </c>
      <c r="H139" t="str">
        <f t="shared" si="15"/>
        <v>14057.41</v>
      </c>
      <c r="I139" s="1">
        <v>45761</v>
      </c>
      <c r="J139" s="2">
        <f t="shared" si="16"/>
        <v>0.28268062120189064</v>
      </c>
      <c r="K139" s="3" t="str">
        <f t="shared" si="17"/>
        <v>Check!</v>
      </c>
      <c r="L139" t="str">
        <f t="shared" si="18"/>
        <v/>
      </c>
      <c r="M139" t="str">
        <f t="shared" si="19"/>
        <v/>
      </c>
      <c r="N139">
        <v>10959.4</v>
      </c>
      <c r="O139" t="s">
        <v>644</v>
      </c>
      <c r="Q139" t="s">
        <v>609</v>
      </c>
    </row>
    <row r="140" spans="1:17" x14ac:dyDescent="0.3">
      <c r="A140">
        <v>34200</v>
      </c>
      <c r="B140" t="s">
        <v>592</v>
      </c>
      <c r="C140" t="s">
        <v>606</v>
      </c>
      <c r="D140" t="s">
        <v>607</v>
      </c>
      <c r="E140" s="6">
        <v>19868.29</v>
      </c>
      <c r="F140" t="s">
        <v>643</v>
      </c>
      <c r="G140" s="4" t="str">
        <f t="shared" si="14"/>
        <v>19868.29</v>
      </c>
      <c r="H140" t="str">
        <f t="shared" si="15"/>
        <v>19868.29</v>
      </c>
      <c r="I140" s="1">
        <v>45761</v>
      </c>
      <c r="J140" s="2">
        <f t="shared" si="16"/>
        <v>7.8422209050624608E-2</v>
      </c>
      <c r="K140" s="3" t="str">
        <f t="shared" si="17"/>
        <v/>
      </c>
      <c r="L140" t="str">
        <f t="shared" si="18"/>
        <v/>
      </c>
      <c r="M140" t="str">
        <f t="shared" si="19"/>
        <v/>
      </c>
      <c r="N140">
        <v>18423.48</v>
      </c>
      <c r="O140" t="s">
        <v>645</v>
      </c>
      <c r="Q140" t="s">
        <v>606</v>
      </c>
    </row>
    <row r="141" spans="1:17" x14ac:dyDescent="0.3">
      <c r="A141">
        <v>34200</v>
      </c>
      <c r="B141" t="s">
        <v>592</v>
      </c>
      <c r="C141" t="s">
        <v>606</v>
      </c>
      <c r="D141" t="s">
        <v>608</v>
      </c>
      <c r="E141" s="6">
        <v>12755.63</v>
      </c>
      <c r="F141" t="s">
        <v>643</v>
      </c>
      <c r="G141" s="4" t="str">
        <f t="shared" si="14"/>
        <v>12755.63</v>
      </c>
      <c r="H141" t="str">
        <f t="shared" si="15"/>
        <v>12755.63</v>
      </c>
      <c r="I141" s="1">
        <v>45761</v>
      </c>
      <c r="J141" s="2">
        <f t="shared" si="16"/>
        <v>-1.5931782869186742E-2</v>
      </c>
      <c r="K141" s="3" t="str">
        <f t="shared" si="17"/>
        <v/>
      </c>
      <c r="L141" t="str">
        <f t="shared" si="18"/>
        <v/>
      </c>
      <c r="M141" t="str">
        <f t="shared" si="19"/>
        <v/>
      </c>
      <c r="N141">
        <v>12962.14</v>
      </c>
      <c r="O141" t="s">
        <v>646</v>
      </c>
      <c r="Q141" t="s">
        <v>606</v>
      </c>
    </row>
    <row r="142" spans="1:17" x14ac:dyDescent="0.3">
      <c r="A142">
        <v>34202</v>
      </c>
      <c r="B142" t="s">
        <v>46</v>
      </c>
      <c r="C142" t="s">
        <v>19</v>
      </c>
      <c r="D142" t="s">
        <v>47</v>
      </c>
      <c r="E142" s="6">
        <v>1723.09</v>
      </c>
      <c r="F142" t="s">
        <v>643</v>
      </c>
      <c r="G142" s="4" t="str">
        <f t="shared" si="14"/>
        <v>1723.09</v>
      </c>
      <c r="H142" t="str">
        <f t="shared" si="15"/>
        <v>1723.09</v>
      </c>
      <c r="I142" s="1">
        <v>45761</v>
      </c>
      <c r="J142" s="2">
        <f t="shared" si="16"/>
        <v>-0.57663740383930262</v>
      </c>
      <c r="K142" s="3" t="str">
        <f t="shared" si="17"/>
        <v>Check!</v>
      </c>
      <c r="L142" t="str">
        <f t="shared" si="18"/>
        <v/>
      </c>
      <c r="M142" t="str">
        <f t="shared" si="19"/>
        <v/>
      </c>
      <c r="N142">
        <v>4070.01</v>
      </c>
      <c r="O142" t="s">
        <v>48</v>
      </c>
      <c r="Q142" t="s">
        <v>19</v>
      </c>
    </row>
    <row r="143" spans="1:17" x14ac:dyDescent="0.3">
      <c r="A143">
        <v>34202</v>
      </c>
      <c r="B143" t="s">
        <v>46</v>
      </c>
      <c r="C143" t="s">
        <v>19</v>
      </c>
      <c r="D143" t="s">
        <v>49</v>
      </c>
      <c r="E143" s="6">
        <v>5703.05</v>
      </c>
      <c r="F143" t="s">
        <v>643</v>
      </c>
      <c r="G143" s="4" t="str">
        <f t="shared" si="14"/>
        <v>5703.05</v>
      </c>
      <c r="H143" t="str">
        <f t="shared" si="15"/>
        <v>5703.05</v>
      </c>
      <c r="I143" s="1">
        <v>45761</v>
      </c>
      <c r="J143" s="2">
        <f t="shared" si="16"/>
        <v>-0.68383433574470143</v>
      </c>
      <c r="K143" s="3" t="str">
        <f t="shared" si="17"/>
        <v>Check!</v>
      </c>
      <c r="L143" t="str">
        <f t="shared" si="18"/>
        <v/>
      </c>
      <c r="M143" t="str">
        <f t="shared" si="19"/>
        <v/>
      </c>
      <c r="N143">
        <v>18038.169999999998</v>
      </c>
      <c r="O143" t="s">
        <v>50</v>
      </c>
      <c r="Q143" t="s">
        <v>19</v>
      </c>
    </row>
    <row r="144" spans="1:17" x14ac:dyDescent="0.3">
      <c r="A144">
        <v>34209</v>
      </c>
      <c r="B144" t="s">
        <v>51</v>
      </c>
      <c r="C144" t="s">
        <v>19</v>
      </c>
      <c r="D144" t="s">
        <v>54</v>
      </c>
      <c r="E144" s="6">
        <v>79064.39</v>
      </c>
      <c r="F144" t="s">
        <v>643</v>
      </c>
      <c r="G144" s="4" t="str">
        <f t="shared" si="14"/>
        <v>79064.39</v>
      </c>
      <c r="H144" t="str">
        <f t="shared" si="15"/>
        <v>79064.39</v>
      </c>
      <c r="I144" s="1">
        <v>45761</v>
      </c>
      <c r="J144" s="2">
        <f t="shared" si="16"/>
        <v>-3.3139486892894976E-2</v>
      </c>
      <c r="K144" s="3" t="str">
        <f t="shared" si="17"/>
        <v/>
      </c>
      <c r="L144" t="str">
        <f t="shared" si="18"/>
        <v/>
      </c>
      <c r="M144" t="str">
        <f t="shared" si="19"/>
        <v/>
      </c>
      <c r="N144">
        <v>81774.350000000006</v>
      </c>
      <c r="O144" t="s">
        <v>55</v>
      </c>
      <c r="Q144" t="s">
        <v>19</v>
      </c>
    </row>
    <row r="145" spans="1:17" x14ac:dyDescent="0.3">
      <c r="A145">
        <v>34209</v>
      </c>
      <c r="B145" t="s">
        <v>51</v>
      </c>
      <c r="C145" t="s">
        <v>19</v>
      </c>
      <c r="D145" t="s">
        <v>52</v>
      </c>
      <c r="E145" s="6">
        <v>62644.77</v>
      </c>
      <c r="F145" t="s">
        <v>643</v>
      </c>
      <c r="G145" s="4" t="str">
        <f t="shared" si="14"/>
        <v>62644.77</v>
      </c>
      <c r="H145" t="str">
        <f t="shared" si="15"/>
        <v>62644.77</v>
      </c>
      <c r="I145" s="1">
        <v>45761</v>
      </c>
      <c r="J145" s="2">
        <f t="shared" si="16"/>
        <v>-3.2994094056700764E-2</v>
      </c>
      <c r="K145" s="3" t="str">
        <f t="shared" si="17"/>
        <v/>
      </c>
      <c r="L145" t="str">
        <f t="shared" si="18"/>
        <v/>
      </c>
      <c r="M145" t="str">
        <f t="shared" si="19"/>
        <v/>
      </c>
      <c r="N145">
        <v>64782.2</v>
      </c>
      <c r="O145" t="s">
        <v>53</v>
      </c>
      <c r="Q145" t="s">
        <v>19</v>
      </c>
    </row>
    <row r="146" spans="1:17" x14ac:dyDescent="0.3">
      <c r="A146">
        <v>34209</v>
      </c>
      <c r="B146" t="s">
        <v>51</v>
      </c>
      <c r="C146" t="s">
        <v>612</v>
      </c>
      <c r="D146" t="s">
        <v>57</v>
      </c>
      <c r="E146" s="6">
        <v>49892.94</v>
      </c>
      <c r="F146" t="s">
        <v>643</v>
      </c>
      <c r="G146" s="4" t="str">
        <f t="shared" si="14"/>
        <v>49892.94</v>
      </c>
      <c r="H146" t="str">
        <f t="shared" si="15"/>
        <v>49892.94</v>
      </c>
      <c r="I146" s="1">
        <v>45761</v>
      </c>
      <c r="J146" s="2">
        <f t="shared" si="16"/>
        <v>-2.360681364474574E-2</v>
      </c>
      <c r="K146" s="3" t="str">
        <f t="shared" si="17"/>
        <v/>
      </c>
      <c r="L146" t="str">
        <f t="shared" si="18"/>
        <v/>
      </c>
      <c r="M146" t="str">
        <f t="shared" si="19"/>
        <v>Check</v>
      </c>
      <c r="N146">
        <v>51099.23</v>
      </c>
      <c r="O146" t="s">
        <v>58</v>
      </c>
      <c r="Q146" t="s">
        <v>56</v>
      </c>
    </row>
    <row r="147" spans="1:17" x14ac:dyDescent="0.3">
      <c r="A147">
        <v>34216</v>
      </c>
      <c r="B147" t="s">
        <v>59</v>
      </c>
      <c r="C147" t="s">
        <v>19</v>
      </c>
      <c r="D147" t="s">
        <v>60</v>
      </c>
      <c r="E147" s="6">
        <v>4658.6400000000003</v>
      </c>
      <c r="F147" t="s">
        <v>643</v>
      </c>
      <c r="G147" s="4" t="str">
        <f t="shared" si="14"/>
        <v>4658.64</v>
      </c>
      <c r="H147" t="str">
        <f t="shared" si="15"/>
        <v>4658.64</v>
      </c>
      <c r="I147" s="1">
        <v>45761</v>
      </c>
      <c r="J147" s="2">
        <f t="shared" si="16"/>
        <v>-2.4973001029728107E-2</v>
      </c>
      <c r="K147" s="3" t="str">
        <f t="shared" si="17"/>
        <v/>
      </c>
      <c r="L147" t="str">
        <f t="shared" si="18"/>
        <v/>
      </c>
      <c r="M147" t="str">
        <f t="shared" si="19"/>
        <v/>
      </c>
      <c r="N147">
        <v>4777.96</v>
      </c>
      <c r="O147" t="s">
        <v>61</v>
      </c>
      <c r="Q147" t="s">
        <v>19</v>
      </c>
    </row>
    <row r="148" spans="1:17" x14ac:dyDescent="0.3">
      <c r="A148">
        <v>34216</v>
      </c>
      <c r="B148" t="s">
        <v>59</v>
      </c>
      <c r="C148" t="s">
        <v>590</v>
      </c>
      <c r="D148" t="s">
        <v>62</v>
      </c>
      <c r="E148" s="6">
        <v>15079.8</v>
      </c>
      <c r="F148" t="s">
        <v>643</v>
      </c>
      <c r="G148" s="4" t="str">
        <f t="shared" si="14"/>
        <v>15079.8</v>
      </c>
      <c r="H148" t="str">
        <f t="shared" si="15"/>
        <v>15079.8</v>
      </c>
      <c r="I148" s="1">
        <v>45761</v>
      </c>
      <c r="J148" s="2">
        <f t="shared" si="16"/>
        <v>-6.9049994566881927E-3</v>
      </c>
      <c r="K148" s="3" t="str">
        <f t="shared" si="17"/>
        <v/>
      </c>
      <c r="L148" t="str">
        <f t="shared" si="18"/>
        <v/>
      </c>
      <c r="M148" t="str">
        <f t="shared" si="19"/>
        <v>Check</v>
      </c>
      <c r="N148">
        <v>15184.65</v>
      </c>
      <c r="O148" t="s">
        <v>63</v>
      </c>
      <c r="Q148" t="s">
        <v>16</v>
      </c>
    </row>
    <row r="149" spans="1:17" x14ac:dyDescent="0.3">
      <c r="A149">
        <v>34337</v>
      </c>
      <c r="B149" t="s">
        <v>64</v>
      </c>
      <c r="C149" t="s">
        <v>590</v>
      </c>
      <c r="D149" t="s">
        <v>65</v>
      </c>
      <c r="E149" s="6">
        <v>2459.12</v>
      </c>
      <c r="F149" t="s">
        <v>643</v>
      </c>
      <c r="G149" s="4" t="str">
        <f t="shared" si="14"/>
        <v>2459.12</v>
      </c>
      <c r="H149" t="str">
        <f t="shared" si="15"/>
        <v>2459.12</v>
      </c>
      <c r="I149" s="1">
        <v>45761</v>
      </c>
      <c r="J149" s="2">
        <f t="shared" si="16"/>
        <v>-0.32530728709394213</v>
      </c>
      <c r="K149" s="3" t="str">
        <f t="shared" si="17"/>
        <v>Check!</v>
      </c>
      <c r="L149" t="str">
        <f t="shared" si="18"/>
        <v/>
      </c>
      <c r="M149" t="str">
        <f t="shared" si="19"/>
        <v>Check</v>
      </c>
      <c r="N149">
        <v>3644.8</v>
      </c>
      <c r="O149" t="s">
        <v>66</v>
      </c>
      <c r="Q149" t="s">
        <v>16</v>
      </c>
    </row>
    <row r="150" spans="1:17" x14ac:dyDescent="0.3">
      <c r="A150">
        <v>34337</v>
      </c>
      <c r="B150" t="s">
        <v>64</v>
      </c>
      <c r="C150" t="s">
        <v>19</v>
      </c>
      <c r="D150" t="s">
        <v>67</v>
      </c>
      <c r="E150" s="6">
        <v>60522.37</v>
      </c>
      <c r="F150" t="s">
        <v>643</v>
      </c>
      <c r="G150" s="4" t="str">
        <f t="shared" si="14"/>
        <v>60522.37</v>
      </c>
      <c r="H150" t="str">
        <f t="shared" si="15"/>
        <v>60522.37</v>
      </c>
      <c r="I150" s="1">
        <v>45761</v>
      </c>
      <c r="J150" s="2">
        <f t="shared" si="16"/>
        <v>-3.2696208979302685E-2</v>
      </c>
      <c r="K150" s="3" t="str">
        <f t="shared" si="17"/>
        <v/>
      </c>
      <c r="L150" t="str">
        <f t="shared" si="18"/>
        <v/>
      </c>
      <c r="M150" t="str">
        <f t="shared" si="19"/>
        <v/>
      </c>
      <c r="N150">
        <v>62568.11</v>
      </c>
      <c r="O150" t="s">
        <v>68</v>
      </c>
      <c r="Q150" t="s">
        <v>19</v>
      </c>
    </row>
    <row r="151" spans="1:17" x14ac:dyDescent="0.3">
      <c r="A151">
        <v>34395</v>
      </c>
      <c r="B151" t="s">
        <v>69</v>
      </c>
      <c r="C151" t="s">
        <v>19</v>
      </c>
      <c r="D151" t="s">
        <v>74</v>
      </c>
      <c r="E151" s="6">
        <v>13129.66</v>
      </c>
      <c r="F151" t="s">
        <v>643</v>
      </c>
      <c r="G151" s="4" t="str">
        <f t="shared" si="14"/>
        <v>13129.66</v>
      </c>
      <c r="H151" t="str">
        <f t="shared" si="15"/>
        <v>13129.66</v>
      </c>
      <c r="I151" s="1">
        <v>45761</v>
      </c>
      <c r="J151" s="2">
        <f t="shared" si="16"/>
        <v>-4.520660213463297E-2</v>
      </c>
      <c r="K151" s="3" t="str">
        <f t="shared" si="17"/>
        <v/>
      </c>
      <c r="L151" t="str">
        <f t="shared" si="18"/>
        <v/>
      </c>
      <c r="M151" t="str">
        <f t="shared" si="19"/>
        <v/>
      </c>
      <c r="N151">
        <v>13751.31</v>
      </c>
      <c r="O151" t="s">
        <v>75</v>
      </c>
      <c r="Q151" t="s">
        <v>19</v>
      </c>
    </row>
    <row r="152" spans="1:17" x14ac:dyDescent="0.3">
      <c r="A152">
        <v>34395</v>
      </c>
      <c r="B152" t="s">
        <v>69</v>
      </c>
      <c r="C152" t="s">
        <v>19</v>
      </c>
      <c r="D152" t="s">
        <v>72</v>
      </c>
      <c r="E152" s="6">
        <v>8281.26</v>
      </c>
      <c r="F152" t="s">
        <v>643</v>
      </c>
      <c r="G152" s="4" t="str">
        <f t="shared" si="14"/>
        <v>8281.26</v>
      </c>
      <c r="H152" t="str">
        <f t="shared" si="15"/>
        <v>8281.26</v>
      </c>
      <c r="I152" s="1">
        <v>45761</v>
      </c>
      <c r="J152" s="2">
        <f t="shared" si="16"/>
        <v>-3.8161076538185408E-2</v>
      </c>
      <c r="K152" s="3" t="str">
        <f t="shared" si="17"/>
        <v/>
      </c>
      <c r="L152" t="str">
        <f t="shared" si="18"/>
        <v/>
      </c>
      <c r="M152" t="str">
        <f t="shared" si="19"/>
        <v/>
      </c>
      <c r="N152">
        <v>8609.82</v>
      </c>
      <c r="O152" t="s">
        <v>73</v>
      </c>
      <c r="Q152" t="s">
        <v>19</v>
      </c>
    </row>
    <row r="153" spans="1:17" x14ac:dyDescent="0.3">
      <c r="A153">
        <v>34395</v>
      </c>
      <c r="B153" t="s">
        <v>69</v>
      </c>
      <c r="C153" t="s">
        <v>19</v>
      </c>
      <c r="D153" t="s">
        <v>70</v>
      </c>
      <c r="E153" s="6">
        <v>143639.97</v>
      </c>
      <c r="F153" t="s">
        <v>643</v>
      </c>
      <c r="G153" s="4" t="str">
        <f t="shared" si="14"/>
        <v>143639.97</v>
      </c>
      <c r="H153" t="str">
        <f t="shared" si="15"/>
        <v>143639.97</v>
      </c>
      <c r="I153" s="1">
        <v>45761</v>
      </c>
      <c r="J153" s="2">
        <f t="shared" si="16"/>
        <v>-6.0328751551890554E-2</v>
      </c>
      <c r="K153" s="3" t="str">
        <f t="shared" si="17"/>
        <v/>
      </c>
      <c r="L153" t="str">
        <f t="shared" si="18"/>
        <v/>
      </c>
      <c r="M153" t="str">
        <f t="shared" si="19"/>
        <v/>
      </c>
      <c r="N153">
        <v>152861.94</v>
      </c>
      <c r="O153" t="s">
        <v>71</v>
      </c>
      <c r="Q153" t="s">
        <v>19</v>
      </c>
    </row>
    <row r="154" spans="1:17" x14ac:dyDescent="0.3">
      <c r="A154">
        <v>36048</v>
      </c>
      <c r="B154" t="s">
        <v>76</v>
      </c>
      <c r="C154" t="s">
        <v>19</v>
      </c>
      <c r="D154" t="s">
        <v>77</v>
      </c>
      <c r="E154" s="6">
        <v>1652.59</v>
      </c>
      <c r="F154" t="s">
        <v>643</v>
      </c>
      <c r="G154" s="4" t="str">
        <f t="shared" si="14"/>
        <v>1652.59</v>
      </c>
      <c r="H154" t="str">
        <f t="shared" si="15"/>
        <v>1652.59</v>
      </c>
      <c r="I154" s="1">
        <v>45761</v>
      </c>
      <c r="J154" s="2">
        <f t="shared" si="16"/>
        <v>-0.11965629844290203</v>
      </c>
      <c r="K154" s="3" t="str">
        <f t="shared" si="17"/>
        <v>Check!</v>
      </c>
      <c r="L154" t="str">
        <f t="shared" si="18"/>
        <v/>
      </c>
      <c r="M154" t="str">
        <f t="shared" si="19"/>
        <v/>
      </c>
      <c r="N154">
        <v>1877.21</v>
      </c>
      <c r="O154" t="s">
        <v>78</v>
      </c>
      <c r="Q154" t="s">
        <v>19</v>
      </c>
    </row>
    <row r="155" spans="1:17" x14ac:dyDescent="0.3">
      <c r="A155">
        <v>36048</v>
      </c>
      <c r="B155" t="s">
        <v>76</v>
      </c>
      <c r="C155" t="s">
        <v>19</v>
      </c>
      <c r="D155" t="s">
        <v>79</v>
      </c>
      <c r="E155" s="6">
        <v>4219.7</v>
      </c>
      <c r="F155" t="s">
        <v>643</v>
      </c>
      <c r="G155" s="4" t="str">
        <f t="shared" si="14"/>
        <v>4219.7</v>
      </c>
      <c r="H155" t="str">
        <f t="shared" si="15"/>
        <v>4219.7</v>
      </c>
      <c r="I155" s="1">
        <v>45761</v>
      </c>
      <c r="J155" s="2">
        <f t="shared" si="16"/>
        <v>-0.16581990708708119</v>
      </c>
      <c r="K155" s="3" t="str">
        <f t="shared" si="17"/>
        <v>Check!</v>
      </c>
      <c r="L155" t="str">
        <f t="shared" si="18"/>
        <v/>
      </c>
      <c r="M155" t="str">
        <f t="shared" si="19"/>
        <v/>
      </c>
      <c r="N155">
        <v>5058.5</v>
      </c>
      <c r="O155" t="s">
        <v>80</v>
      </c>
      <c r="Q155" t="s">
        <v>19</v>
      </c>
    </row>
    <row r="156" spans="1:17" x14ac:dyDescent="0.3">
      <c r="A156">
        <v>36059</v>
      </c>
      <c r="B156" t="s">
        <v>81</v>
      </c>
      <c r="C156" t="s">
        <v>19</v>
      </c>
      <c r="D156" t="s">
        <v>82</v>
      </c>
      <c r="E156" s="6">
        <v>20452.91</v>
      </c>
      <c r="F156" t="s">
        <v>643</v>
      </c>
      <c r="G156" s="4" t="str">
        <f t="shared" si="14"/>
        <v>20452.91</v>
      </c>
      <c r="H156" t="str">
        <f t="shared" si="15"/>
        <v>20452.91</v>
      </c>
      <c r="I156" s="1">
        <v>45761</v>
      </c>
      <c r="J156" s="2">
        <f t="shared" si="16"/>
        <v>-7.7466040244723172E-2</v>
      </c>
      <c r="K156" s="3" t="str">
        <f t="shared" si="17"/>
        <v/>
      </c>
      <c r="L156" t="str">
        <f t="shared" si="18"/>
        <v/>
      </c>
      <c r="M156" t="str">
        <f t="shared" si="19"/>
        <v/>
      </c>
      <c r="N156">
        <v>22170.36</v>
      </c>
      <c r="O156" t="s">
        <v>83</v>
      </c>
      <c r="Q156" t="s">
        <v>19</v>
      </c>
    </row>
    <row r="157" spans="1:17" x14ac:dyDescent="0.3">
      <c r="A157">
        <v>36059</v>
      </c>
      <c r="B157" t="s">
        <v>81</v>
      </c>
      <c r="C157" t="s">
        <v>19</v>
      </c>
      <c r="D157" t="s">
        <v>84</v>
      </c>
      <c r="E157" s="6">
        <v>13524.49</v>
      </c>
      <c r="F157" t="s">
        <v>643</v>
      </c>
      <c r="G157" s="4" t="str">
        <f t="shared" si="14"/>
        <v>13524.49</v>
      </c>
      <c r="H157" t="str">
        <f t="shared" si="15"/>
        <v>13524.49</v>
      </c>
      <c r="I157" s="1">
        <v>45761</v>
      </c>
      <c r="J157" s="2">
        <f t="shared" si="16"/>
        <v>-7.1600333069504626E-2</v>
      </c>
      <c r="K157" s="3" t="str">
        <f t="shared" si="17"/>
        <v/>
      </c>
      <c r="L157" t="str">
        <f t="shared" si="18"/>
        <v/>
      </c>
      <c r="M157" t="str">
        <f t="shared" si="19"/>
        <v/>
      </c>
      <c r="N157">
        <v>14567.53</v>
      </c>
      <c r="O157" t="s">
        <v>85</v>
      </c>
      <c r="Q157" t="s">
        <v>19</v>
      </c>
    </row>
    <row r="158" spans="1:17" x14ac:dyDescent="0.3">
      <c r="A158">
        <v>36060</v>
      </c>
      <c r="B158" t="s">
        <v>86</v>
      </c>
      <c r="C158" t="s">
        <v>19</v>
      </c>
      <c r="D158" t="s">
        <v>87</v>
      </c>
      <c r="E158" s="6">
        <v>826.35</v>
      </c>
      <c r="F158" t="s">
        <v>643</v>
      </c>
      <c r="G158" s="4" t="str">
        <f t="shared" si="14"/>
        <v>826.35</v>
      </c>
      <c r="H158" t="str">
        <f t="shared" si="15"/>
        <v>826.35</v>
      </c>
      <c r="I158" s="1">
        <v>45761</v>
      </c>
      <c r="J158" s="2">
        <f t="shared" si="16"/>
        <v>-0.68828038356205723</v>
      </c>
      <c r="K158" s="3" t="str">
        <f t="shared" si="17"/>
        <v>Check!</v>
      </c>
      <c r="L158" t="str">
        <f t="shared" si="18"/>
        <v/>
      </c>
      <c r="M158" t="str">
        <f t="shared" si="19"/>
        <v/>
      </c>
      <c r="N158">
        <v>2650.94</v>
      </c>
      <c r="O158" t="s">
        <v>88</v>
      </c>
      <c r="Q158" t="s">
        <v>19</v>
      </c>
    </row>
    <row r="159" spans="1:17" x14ac:dyDescent="0.3">
      <c r="A159">
        <v>36060</v>
      </c>
      <c r="B159" t="s">
        <v>86</v>
      </c>
      <c r="C159" t="s">
        <v>19</v>
      </c>
      <c r="D159" t="s">
        <v>89</v>
      </c>
      <c r="E159" s="6">
        <v>1727.74</v>
      </c>
      <c r="F159" t="s">
        <v>643</v>
      </c>
      <c r="G159" s="4" t="str">
        <f t="shared" si="14"/>
        <v>1727.74</v>
      </c>
      <c r="H159" t="str">
        <f t="shared" si="15"/>
        <v>1727.74</v>
      </c>
      <c r="I159" s="1">
        <v>45761</v>
      </c>
      <c r="J159" s="2">
        <f t="shared" si="16"/>
        <v>-1.8890705426311701E-3</v>
      </c>
      <c r="K159" s="3" t="str">
        <f t="shared" si="17"/>
        <v/>
      </c>
      <c r="L159" t="str">
        <f t="shared" si="18"/>
        <v/>
      </c>
      <c r="M159" t="str">
        <f t="shared" si="19"/>
        <v/>
      </c>
      <c r="N159">
        <v>1731.01</v>
      </c>
      <c r="O159" t="s">
        <v>90</v>
      </c>
      <c r="Q159" t="s">
        <v>19</v>
      </c>
    </row>
    <row r="160" spans="1:17" x14ac:dyDescent="0.3">
      <c r="A160">
        <v>36062</v>
      </c>
      <c r="B160" t="s">
        <v>91</v>
      </c>
      <c r="C160" t="s">
        <v>611</v>
      </c>
      <c r="D160" t="s">
        <v>92</v>
      </c>
      <c r="E160" s="6">
        <v>72606.490000000005</v>
      </c>
      <c r="F160" t="s">
        <v>643</v>
      </c>
      <c r="G160" s="4" t="str">
        <f t="shared" si="14"/>
        <v>72606.49</v>
      </c>
      <c r="H160" t="str">
        <f t="shared" si="15"/>
        <v>72606.49</v>
      </c>
      <c r="I160" s="1">
        <v>45761</v>
      </c>
      <c r="J160" s="2">
        <f t="shared" si="16"/>
        <v>-2.3539602688764819E-2</v>
      </c>
      <c r="K160" s="3" t="str">
        <f t="shared" si="17"/>
        <v/>
      </c>
      <c r="L160" t="str">
        <f t="shared" si="18"/>
        <v/>
      </c>
      <c r="M160" t="str">
        <f t="shared" si="19"/>
        <v>Check</v>
      </c>
      <c r="N160">
        <v>74356.820000000007</v>
      </c>
      <c r="O160" t="s">
        <v>93</v>
      </c>
      <c r="Q160" t="s">
        <v>41</v>
      </c>
    </row>
    <row r="161" spans="1:17" x14ac:dyDescent="0.3">
      <c r="A161">
        <v>36062</v>
      </c>
      <c r="B161" t="s">
        <v>91</v>
      </c>
      <c r="C161" t="s">
        <v>606</v>
      </c>
      <c r="D161" t="s">
        <v>613</v>
      </c>
      <c r="E161" s="6">
        <v>8473.8799999999992</v>
      </c>
      <c r="F161" t="s">
        <v>643</v>
      </c>
      <c r="G161" s="4" t="str">
        <f t="shared" si="14"/>
        <v>8473.88</v>
      </c>
      <c r="H161" t="str">
        <f t="shared" si="15"/>
        <v>8473.88</v>
      </c>
      <c r="I161" s="1">
        <v>45761</v>
      </c>
      <c r="J161" s="2">
        <f t="shared" si="16"/>
        <v>-1.2261235774973338E-2</v>
      </c>
      <c r="K161" s="3" t="str">
        <f t="shared" si="17"/>
        <v/>
      </c>
      <c r="L161" t="str">
        <f t="shared" si="18"/>
        <v/>
      </c>
      <c r="M161" t="str">
        <f t="shared" si="19"/>
        <v/>
      </c>
      <c r="N161">
        <v>8579.07</v>
      </c>
      <c r="O161" t="s">
        <v>647</v>
      </c>
      <c r="Q161" t="s">
        <v>606</v>
      </c>
    </row>
    <row r="162" spans="1:17" x14ac:dyDescent="0.3">
      <c r="A162">
        <v>36355</v>
      </c>
      <c r="B162" t="s">
        <v>94</v>
      </c>
      <c r="C162" t="s">
        <v>19</v>
      </c>
      <c r="D162" t="s">
        <v>95</v>
      </c>
      <c r="E162" s="6">
        <v>620.19000000000005</v>
      </c>
      <c r="F162" t="s">
        <v>643</v>
      </c>
      <c r="G162" s="4" t="str">
        <f t="shared" si="14"/>
        <v>620.19</v>
      </c>
      <c r="H162" t="str">
        <f t="shared" si="15"/>
        <v>620.19</v>
      </c>
      <c r="I162" s="1">
        <v>45761</v>
      </c>
      <c r="J162" s="2">
        <f t="shared" si="16"/>
        <v>-1.5836996366059803E-2</v>
      </c>
      <c r="K162" s="3" t="str">
        <f t="shared" si="17"/>
        <v/>
      </c>
      <c r="L162" t="str">
        <f t="shared" si="18"/>
        <v/>
      </c>
      <c r="M162" t="str">
        <f t="shared" si="19"/>
        <v/>
      </c>
      <c r="N162">
        <v>630.16999999999996</v>
      </c>
      <c r="O162" t="s">
        <v>96</v>
      </c>
      <c r="Q162" t="s">
        <v>19</v>
      </c>
    </row>
    <row r="163" spans="1:17" x14ac:dyDescent="0.3">
      <c r="A163">
        <v>37040</v>
      </c>
      <c r="B163" t="s">
        <v>596</v>
      </c>
      <c r="C163" t="s">
        <v>19</v>
      </c>
      <c r="D163" t="s">
        <v>97</v>
      </c>
      <c r="E163" s="6">
        <v>554.53</v>
      </c>
      <c r="F163" t="s">
        <v>643</v>
      </c>
      <c r="G163" s="4" t="str">
        <f t="shared" si="14"/>
        <v>554.53</v>
      </c>
      <c r="H163" t="str">
        <f t="shared" si="15"/>
        <v>554.53</v>
      </c>
      <c r="I163" s="1">
        <v>45761</v>
      </c>
      <c r="J163" s="2">
        <f t="shared" si="16"/>
        <v>-0.65105684099246774</v>
      </c>
      <c r="K163" s="3" t="str">
        <f t="shared" si="17"/>
        <v>Check!</v>
      </c>
      <c r="L163" t="str">
        <f t="shared" si="18"/>
        <v/>
      </c>
      <c r="M163" t="str">
        <f t="shared" si="19"/>
        <v/>
      </c>
      <c r="N163">
        <v>1589.17</v>
      </c>
      <c r="O163" t="s">
        <v>98</v>
      </c>
      <c r="Q163" t="s">
        <v>19</v>
      </c>
    </row>
    <row r="164" spans="1:17" x14ac:dyDescent="0.3">
      <c r="A164">
        <v>37041</v>
      </c>
      <c r="B164" t="s">
        <v>99</v>
      </c>
      <c r="C164" t="s">
        <v>19</v>
      </c>
      <c r="D164" t="s">
        <v>100</v>
      </c>
      <c r="E164" s="6">
        <v>3156.26</v>
      </c>
      <c r="F164" t="s">
        <v>643</v>
      </c>
      <c r="G164" s="4" t="str">
        <f t="shared" si="14"/>
        <v>3156.26</v>
      </c>
      <c r="H164" t="str">
        <f t="shared" si="15"/>
        <v>3156.26</v>
      </c>
      <c r="I164" s="1">
        <v>45761</v>
      </c>
      <c r="J164" s="2">
        <f t="shared" si="16"/>
        <v>-3.7605310419900027E-2</v>
      </c>
      <c r="K164" s="3" t="str">
        <f t="shared" si="17"/>
        <v/>
      </c>
      <c r="L164" t="str">
        <f t="shared" si="18"/>
        <v/>
      </c>
      <c r="M164" t="str">
        <f t="shared" si="19"/>
        <v/>
      </c>
      <c r="N164">
        <v>3279.59</v>
      </c>
      <c r="O164" t="s">
        <v>101</v>
      </c>
      <c r="Q164" t="s">
        <v>19</v>
      </c>
    </row>
    <row r="165" spans="1:17" x14ac:dyDescent="0.3">
      <c r="A165">
        <v>38586</v>
      </c>
      <c r="B165" t="s">
        <v>102</v>
      </c>
      <c r="C165" t="s">
        <v>19</v>
      </c>
      <c r="D165" t="s">
        <v>103</v>
      </c>
      <c r="E165" s="6">
        <v>2924.99</v>
      </c>
      <c r="F165" t="s">
        <v>643</v>
      </c>
      <c r="G165" s="4" t="str">
        <f t="shared" si="14"/>
        <v>2924.99</v>
      </c>
      <c r="H165" t="str">
        <f t="shared" si="15"/>
        <v>2924.99</v>
      </c>
      <c r="I165" s="1">
        <v>45761</v>
      </c>
      <c r="J165" s="2">
        <f t="shared" si="16"/>
        <v>3.2860981733305539E-2</v>
      </c>
      <c r="K165" s="3" t="str">
        <f t="shared" si="17"/>
        <v/>
      </c>
      <c r="L165" t="str">
        <f t="shared" si="18"/>
        <v/>
      </c>
      <c r="M165" t="str">
        <f t="shared" si="19"/>
        <v/>
      </c>
      <c r="N165">
        <v>2831.93</v>
      </c>
      <c r="O165" t="s">
        <v>104</v>
      </c>
      <c r="Q165" t="s">
        <v>19</v>
      </c>
    </row>
    <row r="166" spans="1:17" x14ac:dyDescent="0.3">
      <c r="A166">
        <v>38842</v>
      </c>
      <c r="B166" t="s">
        <v>105</v>
      </c>
      <c r="C166" t="s">
        <v>19</v>
      </c>
      <c r="D166" t="s">
        <v>106</v>
      </c>
      <c r="E166" s="6">
        <v>2301</v>
      </c>
      <c r="F166" t="s">
        <v>643</v>
      </c>
      <c r="G166" s="4" t="str">
        <f t="shared" si="14"/>
        <v>2301</v>
      </c>
      <c r="H166" t="str">
        <f t="shared" si="15"/>
        <v>2301</v>
      </c>
      <c r="I166" s="1">
        <v>45761</v>
      </c>
      <c r="J166" s="2">
        <f t="shared" si="16"/>
        <v>4.2256455784500664E-2</v>
      </c>
      <c r="K166" s="3" t="str">
        <f t="shared" si="17"/>
        <v/>
      </c>
      <c r="L166" t="str">
        <f t="shared" si="18"/>
        <v/>
      </c>
      <c r="M166" t="str">
        <f t="shared" si="19"/>
        <v/>
      </c>
      <c r="N166">
        <v>2207.71</v>
      </c>
      <c r="O166" t="s">
        <v>107</v>
      </c>
      <c r="Q166" t="s">
        <v>19</v>
      </c>
    </row>
    <row r="167" spans="1:17" x14ac:dyDescent="0.3">
      <c r="A167">
        <v>38851</v>
      </c>
      <c r="B167" t="s">
        <v>108</v>
      </c>
      <c r="C167" t="s">
        <v>19</v>
      </c>
      <c r="D167" t="s">
        <v>109</v>
      </c>
      <c r="E167" s="6">
        <v>204.96</v>
      </c>
      <c r="F167" t="s">
        <v>643</v>
      </c>
      <c r="G167" s="4" t="str">
        <f t="shared" si="14"/>
        <v>204.96</v>
      </c>
      <c r="H167" t="str">
        <f t="shared" si="15"/>
        <v>204.96</v>
      </c>
      <c r="I167" s="1">
        <v>45761</v>
      </c>
      <c r="J167" s="2">
        <f t="shared" si="16"/>
        <v>-2.32092646428061E-2</v>
      </c>
      <c r="K167" s="3" t="str">
        <f t="shared" si="17"/>
        <v/>
      </c>
      <c r="L167" t="str">
        <f t="shared" si="18"/>
        <v/>
      </c>
      <c r="M167" t="str">
        <f t="shared" si="19"/>
        <v/>
      </c>
      <c r="N167">
        <v>209.83</v>
      </c>
      <c r="O167" t="s">
        <v>110</v>
      </c>
      <c r="Q167" t="s">
        <v>19</v>
      </c>
    </row>
    <row r="168" spans="1:17" x14ac:dyDescent="0.3">
      <c r="A168">
        <v>38887</v>
      </c>
      <c r="B168" t="s">
        <v>111</v>
      </c>
      <c r="C168" t="s">
        <v>19</v>
      </c>
      <c r="D168" t="s">
        <v>112</v>
      </c>
      <c r="E168" s="6">
        <v>595.35</v>
      </c>
      <c r="F168" t="s">
        <v>643</v>
      </c>
      <c r="G168" s="4" t="str">
        <f t="shared" si="14"/>
        <v>595.35</v>
      </c>
      <c r="H168" t="str">
        <f t="shared" si="15"/>
        <v>595.35</v>
      </c>
      <c r="I168" s="1">
        <v>45761</v>
      </c>
      <c r="J168" s="2">
        <f t="shared" si="16"/>
        <v>-8.8117265041048845E-2</v>
      </c>
      <c r="K168" s="3" t="str">
        <f t="shared" si="17"/>
        <v/>
      </c>
      <c r="L168" t="str">
        <f t="shared" si="18"/>
        <v/>
      </c>
      <c r="M168" t="str">
        <f t="shared" si="19"/>
        <v/>
      </c>
      <c r="N168">
        <v>652.88</v>
      </c>
      <c r="O168" t="s">
        <v>113</v>
      </c>
      <c r="Q168" t="s">
        <v>19</v>
      </c>
    </row>
    <row r="169" spans="1:17" x14ac:dyDescent="0.3">
      <c r="A169">
        <v>38888</v>
      </c>
      <c r="B169" t="s">
        <v>362</v>
      </c>
      <c r="C169" t="s">
        <v>19</v>
      </c>
      <c r="D169" t="s">
        <v>363</v>
      </c>
      <c r="E169" s="6">
        <v>53986.7</v>
      </c>
      <c r="F169" t="s">
        <v>643</v>
      </c>
      <c r="G169" s="4" t="str">
        <f t="shared" si="14"/>
        <v>53986.7</v>
      </c>
      <c r="H169" t="str">
        <f t="shared" si="15"/>
        <v>53986.7</v>
      </c>
      <c r="I169" s="1">
        <v>45761</v>
      </c>
      <c r="J169" s="2">
        <f t="shared" si="16"/>
        <v>-6.359394112738336E-3</v>
      </c>
      <c r="K169" s="3" t="str">
        <f t="shared" si="17"/>
        <v/>
      </c>
      <c r="L169" t="str">
        <f t="shared" si="18"/>
        <v/>
      </c>
      <c r="M169" t="str">
        <f t="shared" si="19"/>
        <v/>
      </c>
      <c r="N169">
        <v>54332.22</v>
      </c>
      <c r="O169" t="s">
        <v>364</v>
      </c>
      <c r="Q169" t="s">
        <v>19</v>
      </c>
    </row>
    <row r="170" spans="1:17" x14ac:dyDescent="0.3">
      <c r="A170">
        <v>41695</v>
      </c>
      <c r="B170" t="s">
        <v>114</v>
      </c>
      <c r="C170" t="s">
        <v>611</v>
      </c>
      <c r="D170" t="s">
        <v>115</v>
      </c>
      <c r="E170" s="6">
        <v>19211.189999999999</v>
      </c>
      <c r="F170" t="s">
        <v>643</v>
      </c>
      <c r="G170" s="4" t="str">
        <f t="shared" si="14"/>
        <v>19211.19</v>
      </c>
      <c r="H170" t="str">
        <f t="shared" si="15"/>
        <v>19211.19</v>
      </c>
      <c r="I170" s="1">
        <v>45761</v>
      </c>
      <c r="J170" s="2">
        <f t="shared" si="16"/>
        <v>-1.4347259711361858E-2</v>
      </c>
      <c r="K170" s="3" t="str">
        <f t="shared" si="17"/>
        <v/>
      </c>
      <c r="L170" t="str">
        <f t="shared" si="18"/>
        <v/>
      </c>
      <c r="M170" t="str">
        <f t="shared" si="19"/>
        <v>Check</v>
      </c>
      <c r="N170">
        <v>19490.830000000002</v>
      </c>
      <c r="O170" t="s">
        <v>116</v>
      </c>
      <c r="Q170" t="s">
        <v>41</v>
      </c>
    </row>
    <row r="171" spans="1:17" x14ac:dyDescent="0.3">
      <c r="A171">
        <v>41695</v>
      </c>
      <c r="B171" t="s">
        <v>114</v>
      </c>
      <c r="C171" t="s">
        <v>606</v>
      </c>
      <c r="D171" t="s">
        <v>614</v>
      </c>
      <c r="E171" s="6">
        <v>2105.75</v>
      </c>
      <c r="F171" t="s">
        <v>643</v>
      </c>
      <c r="G171" s="4" t="str">
        <f t="shared" si="14"/>
        <v>2105.75</v>
      </c>
      <c r="H171" t="str">
        <f t="shared" si="15"/>
        <v>2105.75</v>
      </c>
      <c r="I171" s="1">
        <v>45761</v>
      </c>
      <c r="J171" s="2">
        <f t="shared" si="16"/>
        <v>-2.3913708548490335E-2</v>
      </c>
      <c r="K171" s="3" t="str">
        <f t="shared" si="17"/>
        <v/>
      </c>
      <c r="L171" t="str">
        <f t="shared" si="18"/>
        <v/>
      </c>
      <c r="M171" t="str">
        <f t="shared" si="19"/>
        <v/>
      </c>
      <c r="N171">
        <v>2157.34</v>
      </c>
      <c r="O171" t="s">
        <v>648</v>
      </c>
      <c r="Q171" t="s">
        <v>606</v>
      </c>
    </row>
    <row r="172" spans="1:17" x14ac:dyDescent="0.3">
      <c r="A172">
        <v>41695</v>
      </c>
      <c r="B172" t="s">
        <v>114</v>
      </c>
      <c r="C172" t="s">
        <v>590</v>
      </c>
      <c r="D172" t="s">
        <v>117</v>
      </c>
      <c r="E172" s="6">
        <v>26252.63</v>
      </c>
      <c r="F172" t="s">
        <v>643</v>
      </c>
      <c r="G172" s="4" t="str">
        <f t="shared" si="14"/>
        <v>26252.63</v>
      </c>
      <c r="H172" t="str">
        <f t="shared" si="15"/>
        <v>26252.63</v>
      </c>
      <c r="I172" s="1">
        <v>45761</v>
      </c>
      <c r="J172" s="2">
        <f t="shared" si="16"/>
        <v>-0.36452850923640923</v>
      </c>
      <c r="K172" s="3" t="str">
        <f t="shared" si="17"/>
        <v>Check!</v>
      </c>
      <c r="L172" t="str">
        <f t="shared" si="18"/>
        <v/>
      </c>
      <c r="M172" t="str">
        <f t="shared" si="19"/>
        <v>Check</v>
      </c>
      <c r="N172">
        <v>41312.050000000003</v>
      </c>
      <c r="O172" t="s">
        <v>581</v>
      </c>
      <c r="Q172" t="s">
        <v>16</v>
      </c>
    </row>
    <row r="173" spans="1:17" x14ac:dyDescent="0.3">
      <c r="A173">
        <v>46589</v>
      </c>
      <c r="B173" t="s">
        <v>638</v>
      </c>
      <c r="C173" t="s">
        <v>19</v>
      </c>
      <c r="D173" t="s">
        <v>120</v>
      </c>
      <c r="E173" s="6">
        <v>2869.28</v>
      </c>
      <c r="F173" t="s">
        <v>643</v>
      </c>
      <c r="G173" s="4" t="str">
        <f t="shared" si="14"/>
        <v>2869.28</v>
      </c>
      <c r="H173" t="str">
        <f t="shared" si="15"/>
        <v>2869.28</v>
      </c>
      <c r="I173" s="1">
        <v>45761</v>
      </c>
      <c r="J173" s="2">
        <f t="shared" si="16"/>
        <v>3.4474304709301191E-2</v>
      </c>
      <c r="K173" s="3" t="str">
        <f t="shared" si="17"/>
        <v/>
      </c>
      <c r="L173" t="str">
        <f t="shared" si="18"/>
        <v/>
      </c>
      <c r="M173" t="str">
        <f t="shared" si="19"/>
        <v/>
      </c>
      <c r="N173">
        <v>2773.66</v>
      </c>
      <c r="O173" t="s">
        <v>121</v>
      </c>
      <c r="Q173" t="s">
        <v>19</v>
      </c>
    </row>
    <row r="174" spans="1:17" x14ac:dyDescent="0.3">
      <c r="A174">
        <v>46589</v>
      </c>
      <c r="B174" t="s">
        <v>638</v>
      </c>
      <c r="C174" t="s">
        <v>19</v>
      </c>
      <c r="D174" t="s">
        <v>118</v>
      </c>
      <c r="E174" s="6">
        <v>65758.95</v>
      </c>
      <c r="F174" t="s">
        <v>643</v>
      </c>
      <c r="G174" s="4" t="str">
        <f t="shared" si="14"/>
        <v>65758.95</v>
      </c>
      <c r="H174" t="str">
        <f t="shared" si="15"/>
        <v>65758.95</v>
      </c>
      <c r="I174" s="1">
        <v>45761</v>
      </c>
      <c r="J174" s="2">
        <f t="shared" si="16"/>
        <v>-2.282140750736587E-2</v>
      </c>
      <c r="K174" s="3" t="str">
        <f t="shared" si="17"/>
        <v/>
      </c>
      <c r="L174" t="str">
        <f t="shared" si="18"/>
        <v/>
      </c>
      <c r="M174" t="str">
        <f t="shared" si="19"/>
        <v/>
      </c>
      <c r="N174">
        <v>67294.710000000006</v>
      </c>
      <c r="O174" t="s">
        <v>119</v>
      </c>
      <c r="Q174" t="s">
        <v>19</v>
      </c>
    </row>
    <row r="175" spans="1:17" x14ac:dyDescent="0.3">
      <c r="A175">
        <v>54985</v>
      </c>
      <c r="B175" t="s">
        <v>122</v>
      </c>
      <c r="C175" t="s">
        <v>19</v>
      </c>
      <c r="D175" t="s">
        <v>123</v>
      </c>
      <c r="E175" s="6">
        <v>817.52</v>
      </c>
      <c r="F175" t="s">
        <v>643</v>
      </c>
      <c r="G175" s="4" t="str">
        <f t="shared" si="14"/>
        <v>817.52</v>
      </c>
      <c r="H175" t="str">
        <f t="shared" si="15"/>
        <v>817.52</v>
      </c>
      <c r="I175" s="1">
        <v>45761</v>
      </c>
      <c r="J175" s="2">
        <f t="shared" si="16"/>
        <v>-7.2375771117696077E-3</v>
      </c>
      <c r="K175" s="3" t="str">
        <f t="shared" si="17"/>
        <v/>
      </c>
      <c r="L175" t="str">
        <f t="shared" si="18"/>
        <v/>
      </c>
      <c r="M175" t="str">
        <f t="shared" si="19"/>
        <v/>
      </c>
      <c r="N175">
        <v>823.48</v>
      </c>
      <c r="O175" t="s">
        <v>124</v>
      </c>
      <c r="Q175" t="s">
        <v>19</v>
      </c>
    </row>
    <row r="176" spans="1:17" x14ac:dyDescent="0.3">
      <c r="A176">
        <v>61172</v>
      </c>
      <c r="B176" t="s">
        <v>125</v>
      </c>
      <c r="C176" t="s">
        <v>611</v>
      </c>
      <c r="D176" t="s">
        <v>126</v>
      </c>
      <c r="E176" s="6">
        <v>147854.18</v>
      </c>
      <c r="F176" t="s">
        <v>643</v>
      </c>
      <c r="G176" s="4" t="str">
        <f t="shared" si="14"/>
        <v>147854.18</v>
      </c>
      <c r="H176" t="str">
        <f t="shared" si="15"/>
        <v>147854.18</v>
      </c>
      <c r="I176" s="1">
        <v>45761</v>
      </c>
      <c r="J176" s="2">
        <f t="shared" si="16"/>
        <v>-2.2537525300257974E-2</v>
      </c>
      <c r="K176" s="3" t="str">
        <f t="shared" si="17"/>
        <v/>
      </c>
      <c r="L176" t="str">
        <f t="shared" si="18"/>
        <v/>
      </c>
      <c r="M176" t="str">
        <f t="shared" si="19"/>
        <v>Check</v>
      </c>
      <c r="N176">
        <v>151263.28</v>
      </c>
      <c r="O176" t="s">
        <v>127</v>
      </c>
      <c r="Q176" t="s">
        <v>41</v>
      </c>
    </row>
    <row r="177" spans="1:17" x14ac:dyDescent="0.3">
      <c r="A177">
        <v>61172</v>
      </c>
      <c r="B177" t="s">
        <v>125</v>
      </c>
      <c r="C177" t="s">
        <v>606</v>
      </c>
      <c r="D177" t="s">
        <v>615</v>
      </c>
      <c r="E177" s="6">
        <v>12869.37</v>
      </c>
      <c r="F177" t="s">
        <v>643</v>
      </c>
      <c r="G177" s="4" t="str">
        <f t="shared" si="14"/>
        <v>12869.37</v>
      </c>
      <c r="H177" t="str">
        <f t="shared" si="15"/>
        <v>12869.37</v>
      </c>
      <c r="I177" s="1">
        <v>45761</v>
      </c>
      <c r="J177" s="2">
        <f t="shared" si="16"/>
        <v>-1.4507436353361094E-2</v>
      </c>
      <c r="K177" s="3" t="str">
        <f t="shared" si="17"/>
        <v/>
      </c>
      <c r="L177" t="str">
        <f t="shared" si="18"/>
        <v/>
      </c>
      <c r="M177" t="str">
        <f t="shared" si="19"/>
        <v/>
      </c>
      <c r="N177">
        <v>13058.82</v>
      </c>
      <c r="O177" t="s">
        <v>649</v>
      </c>
      <c r="Q177" t="s">
        <v>606</v>
      </c>
    </row>
    <row r="178" spans="1:17" x14ac:dyDescent="0.3">
      <c r="A178">
        <v>62166</v>
      </c>
      <c r="B178" t="s">
        <v>128</v>
      </c>
      <c r="C178" t="s">
        <v>611</v>
      </c>
      <c r="D178" t="s">
        <v>129</v>
      </c>
      <c r="E178" s="6">
        <v>127341.21</v>
      </c>
      <c r="F178" t="s">
        <v>643</v>
      </c>
      <c r="G178" s="4" t="str">
        <f t="shared" si="14"/>
        <v>127341.21</v>
      </c>
      <c r="H178" t="str">
        <f t="shared" si="15"/>
        <v>127341.21</v>
      </c>
      <c r="I178" s="1">
        <v>45761</v>
      </c>
      <c r="J178" s="2">
        <f t="shared" si="16"/>
        <v>-2.4523793418869091E-2</v>
      </c>
      <c r="K178" s="3" t="str">
        <f t="shared" si="17"/>
        <v/>
      </c>
      <c r="L178" t="str">
        <f t="shared" si="18"/>
        <v/>
      </c>
      <c r="M178" t="str">
        <f t="shared" si="19"/>
        <v>Check</v>
      </c>
      <c r="N178">
        <v>130542.61</v>
      </c>
      <c r="O178" t="s">
        <v>130</v>
      </c>
      <c r="Q178" t="s">
        <v>41</v>
      </c>
    </row>
    <row r="179" spans="1:17" x14ac:dyDescent="0.3">
      <c r="A179">
        <v>62166</v>
      </c>
      <c r="B179" t="s">
        <v>128</v>
      </c>
      <c r="C179" t="s">
        <v>606</v>
      </c>
      <c r="D179" t="s">
        <v>616</v>
      </c>
      <c r="E179" s="6">
        <v>12761.55</v>
      </c>
      <c r="F179" t="s">
        <v>643</v>
      </c>
      <c r="G179" s="4" t="str">
        <f t="shared" si="14"/>
        <v>12761.55</v>
      </c>
      <c r="H179" t="str">
        <f t="shared" si="15"/>
        <v>12761.55</v>
      </c>
      <c r="I179" s="1">
        <v>45761</v>
      </c>
      <c r="J179" s="2">
        <f t="shared" si="16"/>
        <v>-1.6355345490197931E-2</v>
      </c>
      <c r="K179" s="3" t="str">
        <f t="shared" si="17"/>
        <v/>
      </c>
      <c r="L179" t="str">
        <f t="shared" si="18"/>
        <v/>
      </c>
      <c r="M179" t="str">
        <f t="shared" si="19"/>
        <v/>
      </c>
      <c r="N179">
        <v>12973.74</v>
      </c>
      <c r="O179" t="s">
        <v>650</v>
      </c>
      <c r="Q179" t="s">
        <v>606</v>
      </c>
    </row>
    <row r="180" spans="1:17" x14ac:dyDescent="0.3">
      <c r="A180">
        <v>69046</v>
      </c>
      <c r="B180" t="s">
        <v>131</v>
      </c>
      <c r="C180" t="s">
        <v>19</v>
      </c>
      <c r="D180" t="s">
        <v>132</v>
      </c>
      <c r="E180" s="6">
        <v>14676.49</v>
      </c>
      <c r="F180" t="s">
        <v>643</v>
      </c>
      <c r="G180" s="4" t="str">
        <f t="shared" si="14"/>
        <v>14676.49</v>
      </c>
      <c r="H180" t="str">
        <f t="shared" si="15"/>
        <v>14676.49</v>
      </c>
      <c r="I180" s="1">
        <v>45761</v>
      </c>
      <c r="J180" s="2">
        <f t="shared" si="16"/>
        <v>-5.3258556415868602E-2</v>
      </c>
      <c r="K180" s="3" t="str">
        <f t="shared" si="17"/>
        <v/>
      </c>
      <c r="L180" t="str">
        <f t="shared" si="18"/>
        <v/>
      </c>
      <c r="M180" t="str">
        <f t="shared" si="19"/>
        <v/>
      </c>
      <c r="N180">
        <v>15502.11</v>
      </c>
      <c r="O180" t="s">
        <v>133</v>
      </c>
      <c r="Q180" t="s">
        <v>19</v>
      </c>
    </row>
    <row r="181" spans="1:17" x14ac:dyDescent="0.3">
      <c r="A181">
        <v>72002</v>
      </c>
      <c r="B181" t="s">
        <v>134</v>
      </c>
      <c r="C181" t="s">
        <v>590</v>
      </c>
      <c r="D181" t="s">
        <v>135</v>
      </c>
      <c r="E181" s="6">
        <v>16941.8</v>
      </c>
      <c r="F181" t="s">
        <v>643</v>
      </c>
      <c r="G181" s="4" t="str">
        <f t="shared" si="14"/>
        <v>16941.8</v>
      </c>
      <c r="H181" t="str">
        <f t="shared" si="15"/>
        <v>16941.8</v>
      </c>
      <c r="I181" s="1">
        <v>45761</v>
      </c>
      <c r="J181" s="2">
        <f t="shared" si="16"/>
        <v>-0.12708075603056646</v>
      </c>
      <c r="K181" s="3" t="str">
        <f t="shared" si="17"/>
        <v>Check!</v>
      </c>
      <c r="L181" t="str">
        <f t="shared" si="18"/>
        <v/>
      </c>
      <c r="M181" t="str">
        <f t="shared" si="19"/>
        <v>Check</v>
      </c>
      <c r="N181">
        <v>19408.21</v>
      </c>
      <c r="O181" t="s">
        <v>136</v>
      </c>
      <c r="Q181" t="s">
        <v>16</v>
      </c>
    </row>
    <row r="182" spans="1:17" x14ac:dyDescent="0.3">
      <c r="A182">
        <v>72002</v>
      </c>
      <c r="B182" t="s">
        <v>134</v>
      </c>
      <c r="C182" t="s">
        <v>19</v>
      </c>
      <c r="D182" t="s">
        <v>137</v>
      </c>
      <c r="E182" s="6">
        <v>14069.93</v>
      </c>
      <c r="F182" t="s">
        <v>643</v>
      </c>
      <c r="G182" s="4" t="str">
        <f t="shared" si="14"/>
        <v>14069.93</v>
      </c>
      <c r="H182" t="str">
        <f t="shared" si="15"/>
        <v>14069.93</v>
      </c>
      <c r="I182" s="1">
        <v>45761</v>
      </c>
      <c r="J182" s="2">
        <f t="shared" si="16"/>
        <v>-0.12988844953637108</v>
      </c>
      <c r="K182" s="3" t="str">
        <f t="shared" si="17"/>
        <v>Check!</v>
      </c>
      <c r="L182" t="str">
        <f t="shared" si="18"/>
        <v/>
      </c>
      <c r="M182" t="str">
        <f t="shared" si="19"/>
        <v/>
      </c>
      <c r="N182">
        <v>16170.26</v>
      </c>
      <c r="O182" t="s">
        <v>138</v>
      </c>
      <c r="Q182" t="s">
        <v>19</v>
      </c>
    </row>
    <row r="183" spans="1:17" x14ac:dyDescent="0.3">
      <c r="A183">
        <v>72002</v>
      </c>
      <c r="B183" t="s">
        <v>134</v>
      </c>
      <c r="C183" t="s">
        <v>19</v>
      </c>
      <c r="D183" t="s">
        <v>139</v>
      </c>
      <c r="E183" s="6">
        <v>5726.24</v>
      </c>
      <c r="F183" t="s">
        <v>643</v>
      </c>
      <c r="G183" s="4" t="str">
        <f t="shared" si="14"/>
        <v>5726.24</v>
      </c>
      <c r="H183" t="str">
        <f t="shared" si="15"/>
        <v>5726.24</v>
      </c>
      <c r="I183" s="1">
        <v>45761</v>
      </c>
      <c r="J183" s="2">
        <f t="shared" si="16"/>
        <v>-1.9010794540542528E-2</v>
      </c>
      <c r="K183" s="3" t="str">
        <f t="shared" si="17"/>
        <v/>
      </c>
      <c r="L183" t="str">
        <f t="shared" si="18"/>
        <v/>
      </c>
      <c r="M183" t="str">
        <f t="shared" si="19"/>
        <v/>
      </c>
      <c r="N183">
        <v>5837.21</v>
      </c>
      <c r="O183" t="s">
        <v>140</v>
      </c>
      <c r="Q183" t="s">
        <v>19</v>
      </c>
    </row>
    <row r="184" spans="1:17" x14ac:dyDescent="0.3">
      <c r="A184">
        <v>80212</v>
      </c>
      <c r="B184" t="s">
        <v>141</v>
      </c>
      <c r="C184" t="s">
        <v>590</v>
      </c>
      <c r="D184" t="s">
        <v>142</v>
      </c>
      <c r="E184" s="6">
        <v>472.85</v>
      </c>
      <c r="F184" t="s">
        <v>643</v>
      </c>
      <c r="G184" s="4" t="str">
        <f t="shared" si="14"/>
        <v>472.85</v>
      </c>
      <c r="H184" t="str">
        <f t="shared" si="15"/>
        <v>472.85</v>
      </c>
      <c r="I184" s="1">
        <v>45761</v>
      </c>
      <c r="J184" s="2">
        <f t="shared" si="16"/>
        <v>7.3927308364225728E-3</v>
      </c>
      <c r="K184" s="3" t="str">
        <f t="shared" si="17"/>
        <v/>
      </c>
      <c r="L184" t="str">
        <f t="shared" si="18"/>
        <v/>
      </c>
      <c r="M184" t="str">
        <f t="shared" si="19"/>
        <v>Check</v>
      </c>
      <c r="N184">
        <v>469.38</v>
      </c>
      <c r="O184" t="s">
        <v>143</v>
      </c>
      <c r="Q184" t="s">
        <v>16</v>
      </c>
    </row>
    <row r="185" spans="1:17" x14ac:dyDescent="0.3">
      <c r="A185">
        <v>80212</v>
      </c>
      <c r="B185" t="s">
        <v>141</v>
      </c>
      <c r="C185" t="s">
        <v>611</v>
      </c>
      <c r="D185" t="s">
        <v>144</v>
      </c>
      <c r="E185" s="6">
        <v>53942.19</v>
      </c>
      <c r="F185" t="s">
        <v>643</v>
      </c>
      <c r="G185" s="4" t="str">
        <f t="shared" si="14"/>
        <v>53942.19</v>
      </c>
      <c r="H185" t="str">
        <f t="shared" si="15"/>
        <v>53942.19</v>
      </c>
      <c r="I185" s="1">
        <v>45761</v>
      </c>
      <c r="J185" s="2">
        <f t="shared" si="16"/>
        <v>-2.2823411215046281E-2</v>
      </c>
      <c r="K185" s="3" t="str">
        <f t="shared" si="17"/>
        <v/>
      </c>
      <c r="L185" t="str">
        <f t="shared" si="18"/>
        <v/>
      </c>
      <c r="M185" t="str">
        <f t="shared" si="19"/>
        <v>Check</v>
      </c>
      <c r="N185">
        <v>55202.09</v>
      </c>
      <c r="O185" t="s">
        <v>145</v>
      </c>
      <c r="Q185" t="s">
        <v>41</v>
      </c>
    </row>
    <row r="186" spans="1:17" x14ac:dyDescent="0.3">
      <c r="A186">
        <v>80212</v>
      </c>
      <c r="B186" t="s">
        <v>141</v>
      </c>
      <c r="C186" t="s">
        <v>606</v>
      </c>
      <c r="D186" t="s">
        <v>617</v>
      </c>
      <c r="E186" s="6">
        <v>6261.79</v>
      </c>
      <c r="F186" t="s">
        <v>643</v>
      </c>
      <c r="G186" s="4" t="str">
        <f t="shared" si="14"/>
        <v>6261.79</v>
      </c>
      <c r="H186" t="str">
        <f t="shared" si="15"/>
        <v>6261.79</v>
      </c>
      <c r="I186" s="1">
        <v>45761</v>
      </c>
      <c r="J186" s="2">
        <f t="shared" si="16"/>
        <v>-2.4702549222087811E-2</v>
      </c>
      <c r="K186" s="3" t="str">
        <f t="shared" si="17"/>
        <v/>
      </c>
      <c r="L186" t="str">
        <f t="shared" si="18"/>
        <v/>
      </c>
      <c r="M186" t="str">
        <f t="shared" si="19"/>
        <v/>
      </c>
      <c r="N186">
        <v>6420.39</v>
      </c>
      <c r="O186" t="s">
        <v>651</v>
      </c>
      <c r="Q186" t="s">
        <v>606</v>
      </c>
    </row>
    <row r="187" spans="1:17" x14ac:dyDescent="0.3">
      <c r="A187">
        <v>81381</v>
      </c>
      <c r="B187" t="s">
        <v>593</v>
      </c>
      <c r="C187" t="s">
        <v>19</v>
      </c>
      <c r="D187" t="s">
        <v>146</v>
      </c>
      <c r="E187" s="6">
        <v>4874.55</v>
      </c>
      <c r="F187" t="s">
        <v>643</v>
      </c>
      <c r="G187" s="4" t="str">
        <f t="shared" si="14"/>
        <v>4874.55</v>
      </c>
      <c r="H187" t="str">
        <f t="shared" si="15"/>
        <v>4874.55</v>
      </c>
      <c r="I187" s="1">
        <v>45761</v>
      </c>
      <c r="J187" s="2">
        <f t="shared" si="16"/>
        <v>-8.8700525891707072E-2</v>
      </c>
      <c r="K187" s="3" t="str">
        <f t="shared" si="17"/>
        <v/>
      </c>
      <c r="L187" t="str">
        <f t="shared" si="18"/>
        <v/>
      </c>
      <c r="M187" t="str">
        <f t="shared" si="19"/>
        <v/>
      </c>
      <c r="N187">
        <v>5349.01</v>
      </c>
      <c r="O187" t="s">
        <v>147</v>
      </c>
      <c r="Q187" t="s">
        <v>19</v>
      </c>
    </row>
    <row r="188" spans="1:17" x14ac:dyDescent="0.3">
      <c r="A188">
        <v>81381</v>
      </c>
      <c r="B188" t="s">
        <v>593</v>
      </c>
      <c r="C188" t="s">
        <v>19</v>
      </c>
      <c r="D188" t="s">
        <v>148</v>
      </c>
      <c r="E188" s="6">
        <v>326662.37</v>
      </c>
      <c r="F188" t="s">
        <v>643</v>
      </c>
      <c r="G188" s="4" t="str">
        <f t="shared" si="14"/>
        <v>326662.37</v>
      </c>
      <c r="H188" t="str">
        <f t="shared" si="15"/>
        <v>326662.37</v>
      </c>
      <c r="I188" s="1">
        <v>45761</v>
      </c>
      <c r="J188" s="2">
        <f t="shared" si="16"/>
        <v>-1.5653218102978105E-2</v>
      </c>
      <c r="K188" s="3" t="str">
        <f t="shared" si="17"/>
        <v/>
      </c>
      <c r="L188" t="str">
        <f t="shared" si="18"/>
        <v/>
      </c>
      <c r="M188" t="str">
        <f t="shared" si="19"/>
        <v/>
      </c>
      <c r="N188">
        <v>331857</v>
      </c>
      <c r="O188" t="s">
        <v>149</v>
      </c>
      <c r="Q188" t="s">
        <v>19</v>
      </c>
    </row>
    <row r="189" spans="1:17" x14ac:dyDescent="0.3">
      <c r="A189">
        <v>113590</v>
      </c>
      <c r="B189" t="s">
        <v>150</v>
      </c>
      <c r="C189" t="s">
        <v>19</v>
      </c>
      <c r="D189" t="s">
        <v>151</v>
      </c>
      <c r="E189" s="6">
        <v>8645.81</v>
      </c>
      <c r="F189" t="s">
        <v>643</v>
      </c>
      <c r="G189" s="4" t="str">
        <f t="shared" si="14"/>
        <v>8645.81</v>
      </c>
      <c r="H189" t="str">
        <f t="shared" si="15"/>
        <v>8645.81</v>
      </c>
      <c r="I189" s="1">
        <v>45761</v>
      </c>
      <c r="J189" s="2">
        <f t="shared" si="16"/>
        <v>-4.0716626834339811E-2</v>
      </c>
      <c r="K189" s="3" t="str">
        <f t="shared" si="17"/>
        <v/>
      </c>
      <c r="L189" t="str">
        <f t="shared" si="18"/>
        <v/>
      </c>
      <c r="M189" t="str">
        <f t="shared" si="19"/>
        <v/>
      </c>
      <c r="N189">
        <v>9012.7800000000007</v>
      </c>
      <c r="O189" t="s">
        <v>152</v>
      </c>
      <c r="Q189" t="s">
        <v>19</v>
      </c>
    </row>
    <row r="190" spans="1:17" x14ac:dyDescent="0.3">
      <c r="A190">
        <v>113590</v>
      </c>
      <c r="B190" t="s">
        <v>150</v>
      </c>
      <c r="C190" t="s">
        <v>19</v>
      </c>
      <c r="D190" t="s">
        <v>153</v>
      </c>
      <c r="E190" s="6">
        <v>2376.0300000000002</v>
      </c>
      <c r="F190" t="s">
        <v>643</v>
      </c>
      <c r="G190" s="4" t="str">
        <f t="shared" si="14"/>
        <v>2376.03</v>
      </c>
      <c r="H190" t="str">
        <f t="shared" si="15"/>
        <v>2376.03</v>
      </c>
      <c r="I190" s="1">
        <v>45761</v>
      </c>
      <c r="J190" s="2">
        <f t="shared" si="16"/>
        <v>-3.6406034552680662E-2</v>
      </c>
      <c r="K190" s="3" t="str">
        <f t="shared" si="17"/>
        <v/>
      </c>
      <c r="L190" t="str">
        <f t="shared" si="18"/>
        <v/>
      </c>
      <c r="M190" t="str">
        <f t="shared" si="19"/>
        <v/>
      </c>
      <c r="N190">
        <v>2465.8000000000002</v>
      </c>
      <c r="O190" t="s">
        <v>154</v>
      </c>
      <c r="Q190" t="s">
        <v>19</v>
      </c>
    </row>
    <row r="191" spans="1:17" x14ac:dyDescent="0.3">
      <c r="A191">
        <v>130912</v>
      </c>
      <c r="B191" t="s">
        <v>604</v>
      </c>
      <c r="C191" t="s">
        <v>590</v>
      </c>
      <c r="D191" t="s">
        <v>605</v>
      </c>
      <c r="E191" s="6">
        <v>9420.07</v>
      </c>
      <c r="F191" t="s">
        <v>643</v>
      </c>
      <c r="G191" s="4" t="str">
        <f t="shared" si="14"/>
        <v>9420.07</v>
      </c>
      <c r="H191" t="str">
        <f t="shared" si="15"/>
        <v>9420.07</v>
      </c>
      <c r="I191" s="1">
        <v>45761</v>
      </c>
      <c r="J191" s="2">
        <f t="shared" si="16"/>
        <v>2.421969691326584E-3</v>
      </c>
      <c r="K191" s="3" t="str">
        <f t="shared" si="17"/>
        <v/>
      </c>
      <c r="L191" t="str">
        <f t="shared" si="18"/>
        <v/>
      </c>
      <c r="M191" t="str">
        <f t="shared" si="19"/>
        <v/>
      </c>
      <c r="N191">
        <v>9397.31</v>
      </c>
      <c r="O191" t="s">
        <v>652</v>
      </c>
      <c r="Q191" t="s">
        <v>590</v>
      </c>
    </row>
    <row r="192" spans="1:17" x14ac:dyDescent="0.3">
      <c r="A192">
        <v>133380</v>
      </c>
      <c r="B192" t="s">
        <v>155</v>
      </c>
      <c r="C192" t="s">
        <v>611</v>
      </c>
      <c r="D192" t="s">
        <v>156</v>
      </c>
      <c r="E192" s="6">
        <v>33000.58</v>
      </c>
      <c r="F192" t="s">
        <v>643</v>
      </c>
      <c r="G192" s="4" t="str">
        <f t="shared" si="14"/>
        <v>33000.58</v>
      </c>
      <c r="H192" t="str">
        <f t="shared" si="15"/>
        <v>33000.58</v>
      </c>
      <c r="I192" s="1">
        <v>45761</v>
      </c>
      <c r="J192" s="2">
        <f t="shared" si="16"/>
        <v>-2.0535449018727312E-2</v>
      </c>
      <c r="K192" s="3" t="str">
        <f t="shared" si="17"/>
        <v/>
      </c>
      <c r="L192" t="str">
        <f t="shared" si="18"/>
        <v/>
      </c>
      <c r="M192" t="str">
        <f t="shared" si="19"/>
        <v>Check</v>
      </c>
      <c r="N192">
        <v>33692.47</v>
      </c>
      <c r="O192" t="s">
        <v>157</v>
      </c>
      <c r="Q192" t="s">
        <v>41</v>
      </c>
    </row>
    <row r="193" spans="1:17" x14ac:dyDescent="0.3">
      <c r="A193">
        <v>133380</v>
      </c>
      <c r="B193" t="s">
        <v>155</v>
      </c>
      <c r="C193" t="s">
        <v>606</v>
      </c>
      <c r="D193" t="s">
        <v>618</v>
      </c>
      <c r="E193" s="6">
        <v>3740.71</v>
      </c>
      <c r="F193" t="s">
        <v>643</v>
      </c>
      <c r="G193" s="4" t="str">
        <f t="shared" si="14"/>
        <v>3740.71</v>
      </c>
      <c r="H193" t="str">
        <f t="shared" si="15"/>
        <v>3740.71</v>
      </c>
      <c r="I193" s="1">
        <v>45761</v>
      </c>
      <c r="J193" s="2">
        <f t="shared" si="16"/>
        <v>-2.3802688991419452E-2</v>
      </c>
      <c r="K193" s="3" t="str">
        <f t="shared" si="17"/>
        <v/>
      </c>
      <c r="L193" t="str">
        <f t="shared" si="18"/>
        <v/>
      </c>
      <c r="M193" t="str">
        <f t="shared" si="19"/>
        <v/>
      </c>
      <c r="N193">
        <v>3831.92</v>
      </c>
      <c r="O193" t="s">
        <v>653</v>
      </c>
      <c r="Q193" t="s">
        <v>606</v>
      </c>
    </row>
    <row r="194" spans="1:17" x14ac:dyDescent="0.3">
      <c r="A194">
        <v>133382</v>
      </c>
      <c r="B194" t="s">
        <v>158</v>
      </c>
      <c r="C194" t="s">
        <v>611</v>
      </c>
      <c r="D194" t="s">
        <v>159</v>
      </c>
      <c r="E194" s="6">
        <v>3796.21</v>
      </c>
      <c r="F194" t="s">
        <v>643</v>
      </c>
      <c r="G194" s="4" t="str">
        <f t="shared" si="14"/>
        <v>3796.21</v>
      </c>
      <c r="H194" t="str">
        <f t="shared" si="15"/>
        <v>3796.21</v>
      </c>
      <c r="I194" s="1">
        <v>45761</v>
      </c>
      <c r="J194" s="2">
        <f t="shared" si="16"/>
        <v>-2.4702237203136423E-2</v>
      </c>
      <c r="K194" s="3" t="str">
        <f t="shared" si="17"/>
        <v/>
      </c>
      <c r="L194" t="str">
        <f t="shared" si="18"/>
        <v/>
      </c>
      <c r="M194" t="str">
        <f t="shared" si="19"/>
        <v>Check</v>
      </c>
      <c r="N194">
        <v>3892.36</v>
      </c>
      <c r="O194" t="s">
        <v>160</v>
      </c>
      <c r="Q194" t="s">
        <v>41</v>
      </c>
    </row>
    <row r="195" spans="1:17" x14ac:dyDescent="0.3">
      <c r="A195">
        <v>133382</v>
      </c>
      <c r="B195" t="s">
        <v>158</v>
      </c>
      <c r="C195" t="s">
        <v>606</v>
      </c>
      <c r="D195" t="s">
        <v>619</v>
      </c>
      <c r="E195" s="6">
        <v>434.11</v>
      </c>
      <c r="F195" t="s">
        <v>643</v>
      </c>
      <c r="G195" s="4" t="str">
        <f t="shared" ref="G195:G258" si="20">SUBSTITUTE(E195,"R","")</f>
        <v>434.11</v>
      </c>
      <c r="H195" t="str">
        <f t="shared" ref="H195:H258" si="21">SUBSTITUTE(G195,",","")</f>
        <v>434.11</v>
      </c>
      <c r="I195" s="1">
        <v>45761</v>
      </c>
      <c r="J195" s="2">
        <f t="shared" ref="J195:J258" si="22">(H195-N195)/N195</f>
        <v>-2.3264709191135054E-2</v>
      </c>
      <c r="K195" s="3" t="str">
        <f t="shared" ref="K195:K258" si="23">IF(ABS(J195)&gt;0.1,"Check!","")</f>
        <v/>
      </c>
      <c r="L195" t="str">
        <f t="shared" ref="L195:L258" si="24">IF(LEFT(O195,10)&lt;&gt;LEFT(D195,10),"Check","")</f>
        <v/>
      </c>
      <c r="M195" t="str">
        <f t="shared" ref="M195:M258" si="25">IF(Q195&lt;&gt;C195,"Check","")</f>
        <v/>
      </c>
      <c r="N195">
        <v>444.45</v>
      </c>
      <c r="O195" t="s">
        <v>654</v>
      </c>
      <c r="Q195" t="s">
        <v>606</v>
      </c>
    </row>
    <row r="196" spans="1:17" x14ac:dyDescent="0.3">
      <c r="A196">
        <v>135931</v>
      </c>
      <c r="B196" t="s">
        <v>161</v>
      </c>
      <c r="C196" t="s">
        <v>590</v>
      </c>
      <c r="D196" t="s">
        <v>162</v>
      </c>
      <c r="E196" s="6">
        <v>606.04</v>
      </c>
      <c r="F196" t="s">
        <v>643</v>
      </c>
      <c r="G196" s="4" t="str">
        <f t="shared" si="20"/>
        <v>606.04</v>
      </c>
      <c r="H196" t="str">
        <f t="shared" si="21"/>
        <v>606.04</v>
      </c>
      <c r="I196" s="1">
        <v>45761</v>
      </c>
      <c r="J196" s="2">
        <f t="shared" si="22"/>
        <v>-0.30915142948337976</v>
      </c>
      <c r="K196" s="3" t="str">
        <f t="shared" si="23"/>
        <v>Check!</v>
      </c>
      <c r="L196" t="str">
        <f t="shared" si="24"/>
        <v/>
      </c>
      <c r="M196" t="str">
        <f t="shared" si="25"/>
        <v>Check</v>
      </c>
      <c r="N196">
        <v>877.24</v>
      </c>
      <c r="O196" t="s">
        <v>163</v>
      </c>
      <c r="Q196" t="s">
        <v>16</v>
      </c>
    </row>
    <row r="197" spans="1:17" x14ac:dyDescent="0.3">
      <c r="A197">
        <v>100202693</v>
      </c>
      <c r="B197" t="s">
        <v>594</v>
      </c>
      <c r="C197" t="s">
        <v>590</v>
      </c>
      <c r="D197" t="s">
        <v>599</v>
      </c>
      <c r="E197" s="6">
        <v>65781.87</v>
      </c>
      <c r="F197" t="s">
        <v>643</v>
      </c>
      <c r="G197" s="4" t="str">
        <f t="shared" si="20"/>
        <v>65781.87</v>
      </c>
      <c r="H197" t="str">
        <f t="shared" si="21"/>
        <v>65781.87</v>
      </c>
      <c r="I197" s="1">
        <v>45761</v>
      </c>
      <c r="J197" s="2">
        <f t="shared" si="22"/>
        <v>-6.6765804914894729E-3</v>
      </c>
      <c r="K197" s="3" t="str">
        <f t="shared" si="23"/>
        <v/>
      </c>
      <c r="L197" t="str">
        <f t="shared" si="24"/>
        <v/>
      </c>
      <c r="M197" t="str">
        <f t="shared" si="25"/>
        <v/>
      </c>
      <c r="N197">
        <v>66224.02</v>
      </c>
      <c r="O197" t="s">
        <v>655</v>
      </c>
      <c r="Q197" t="s">
        <v>590</v>
      </c>
    </row>
    <row r="198" spans="1:17" x14ac:dyDescent="0.3">
      <c r="A198">
        <v>100202693</v>
      </c>
      <c r="B198" t="s">
        <v>594</v>
      </c>
      <c r="C198" t="s">
        <v>19</v>
      </c>
      <c r="D198" t="s">
        <v>598</v>
      </c>
      <c r="E198" s="6">
        <v>164642.54999999999</v>
      </c>
      <c r="F198" t="s">
        <v>643</v>
      </c>
      <c r="G198" s="4" t="str">
        <f t="shared" si="20"/>
        <v>164642.55</v>
      </c>
      <c r="H198" t="str">
        <f t="shared" si="21"/>
        <v>164642.55</v>
      </c>
      <c r="I198" s="1">
        <v>45761</v>
      </c>
      <c r="J198" s="2">
        <f t="shared" si="22"/>
        <v>-9.6220752786390071E-2</v>
      </c>
      <c r="K198" s="3" t="str">
        <f t="shared" si="23"/>
        <v/>
      </c>
      <c r="L198" t="str">
        <f t="shared" si="24"/>
        <v/>
      </c>
      <c r="M198" t="str">
        <f t="shared" si="25"/>
        <v/>
      </c>
      <c r="N198">
        <v>182171.2</v>
      </c>
      <c r="O198" t="s">
        <v>656</v>
      </c>
      <c r="Q198" t="s">
        <v>19</v>
      </c>
    </row>
    <row r="199" spans="1:17" x14ac:dyDescent="0.3">
      <c r="A199">
        <v>100202693</v>
      </c>
      <c r="B199" t="s">
        <v>594</v>
      </c>
      <c r="C199" t="s">
        <v>19</v>
      </c>
      <c r="D199" t="s">
        <v>597</v>
      </c>
      <c r="E199" s="6">
        <v>42246.239999999998</v>
      </c>
      <c r="F199" t="s">
        <v>643</v>
      </c>
      <c r="G199" s="4" t="str">
        <f t="shared" si="20"/>
        <v>42246.24</v>
      </c>
      <c r="H199" t="str">
        <f t="shared" si="21"/>
        <v>42246.24</v>
      </c>
      <c r="I199" s="1">
        <v>45761</v>
      </c>
      <c r="J199" s="2">
        <f t="shared" si="22"/>
        <v>-9.62634601878785E-2</v>
      </c>
      <c r="K199" s="3" t="str">
        <f t="shared" si="23"/>
        <v/>
      </c>
      <c r="L199" t="str">
        <f t="shared" si="24"/>
        <v/>
      </c>
      <c r="M199" t="str">
        <f t="shared" si="25"/>
        <v/>
      </c>
      <c r="N199">
        <v>46746.19</v>
      </c>
      <c r="O199" t="s">
        <v>657</v>
      </c>
      <c r="Q199" t="s">
        <v>19</v>
      </c>
    </row>
    <row r="200" spans="1:17" x14ac:dyDescent="0.3">
      <c r="A200">
        <v>100205932</v>
      </c>
      <c r="B200" t="s">
        <v>165</v>
      </c>
      <c r="C200" t="s">
        <v>19</v>
      </c>
      <c r="D200" t="s">
        <v>586</v>
      </c>
      <c r="E200" s="6">
        <v>80505.56</v>
      </c>
      <c r="F200" t="s">
        <v>643</v>
      </c>
      <c r="G200" s="4" t="str">
        <f t="shared" si="20"/>
        <v>80505.56</v>
      </c>
      <c r="H200" t="str">
        <f t="shared" si="21"/>
        <v>80505.56</v>
      </c>
      <c r="I200" s="1">
        <v>45761</v>
      </c>
      <c r="J200" s="2">
        <f t="shared" si="22"/>
        <v>-5.3045114788581506E-3</v>
      </c>
      <c r="K200" s="3" t="str">
        <f t="shared" si="23"/>
        <v/>
      </c>
      <c r="L200" t="str">
        <f t="shared" si="24"/>
        <v/>
      </c>
      <c r="M200" t="str">
        <f t="shared" si="25"/>
        <v/>
      </c>
      <c r="N200">
        <v>80934.880000000005</v>
      </c>
      <c r="O200" t="s">
        <v>587</v>
      </c>
      <c r="Q200" t="s">
        <v>19</v>
      </c>
    </row>
    <row r="201" spans="1:17" x14ac:dyDescent="0.3">
      <c r="A201">
        <v>100220898</v>
      </c>
      <c r="B201" t="s">
        <v>166</v>
      </c>
      <c r="C201" t="s">
        <v>19</v>
      </c>
      <c r="D201" t="s">
        <v>167</v>
      </c>
      <c r="E201" s="6">
        <v>72316.929999999993</v>
      </c>
      <c r="F201" t="s">
        <v>643</v>
      </c>
      <c r="G201" s="4" t="str">
        <f t="shared" si="20"/>
        <v>72316.93</v>
      </c>
      <c r="H201" t="str">
        <f t="shared" si="21"/>
        <v>72316.93</v>
      </c>
      <c r="I201" s="1">
        <v>45761</v>
      </c>
      <c r="J201" s="2">
        <f t="shared" si="22"/>
        <v>-6.6999776937540336E-3</v>
      </c>
      <c r="K201" s="3" t="str">
        <f t="shared" si="23"/>
        <v/>
      </c>
      <c r="L201" t="str">
        <f t="shared" si="24"/>
        <v/>
      </c>
      <c r="M201" t="str">
        <f t="shared" si="25"/>
        <v/>
      </c>
      <c r="N201">
        <v>72804.72</v>
      </c>
      <c r="O201" t="s">
        <v>168</v>
      </c>
      <c r="Q201" t="s">
        <v>19</v>
      </c>
    </row>
    <row r="202" spans="1:17" x14ac:dyDescent="0.3">
      <c r="A202">
        <v>100220898</v>
      </c>
      <c r="B202" t="s">
        <v>166</v>
      </c>
      <c r="C202" t="s">
        <v>19</v>
      </c>
      <c r="D202" t="s">
        <v>169</v>
      </c>
      <c r="E202" s="6">
        <v>52924.29</v>
      </c>
      <c r="F202" t="s">
        <v>643</v>
      </c>
      <c r="G202" s="4" t="str">
        <f t="shared" si="20"/>
        <v>52924.29</v>
      </c>
      <c r="H202" t="str">
        <f t="shared" si="21"/>
        <v>52924.29</v>
      </c>
      <c r="I202" s="1">
        <v>45761</v>
      </c>
      <c r="J202" s="2">
        <f t="shared" si="22"/>
        <v>-2.3706225065436053E-2</v>
      </c>
      <c r="K202" s="3" t="str">
        <f t="shared" si="23"/>
        <v/>
      </c>
      <c r="L202" t="str">
        <f t="shared" si="24"/>
        <v/>
      </c>
      <c r="M202" t="str">
        <f t="shared" si="25"/>
        <v/>
      </c>
      <c r="N202">
        <v>54209.39</v>
      </c>
      <c r="O202" t="s">
        <v>170</v>
      </c>
      <c r="Q202" t="s">
        <v>19</v>
      </c>
    </row>
    <row r="203" spans="1:17" x14ac:dyDescent="0.3">
      <c r="A203">
        <v>100247003</v>
      </c>
      <c r="B203" t="s">
        <v>105</v>
      </c>
      <c r="C203" t="s">
        <v>19</v>
      </c>
      <c r="D203" t="s">
        <v>171</v>
      </c>
      <c r="E203" s="6">
        <v>7105.92</v>
      </c>
      <c r="F203" t="s">
        <v>643</v>
      </c>
      <c r="G203" s="4" t="str">
        <f t="shared" si="20"/>
        <v>7105.92</v>
      </c>
      <c r="H203" t="str">
        <f t="shared" si="21"/>
        <v>7105.92</v>
      </c>
      <c r="I203" s="1">
        <v>45761</v>
      </c>
      <c r="J203" s="2">
        <f t="shared" si="22"/>
        <v>-1.6296493180723327E-2</v>
      </c>
      <c r="K203" s="3" t="str">
        <f t="shared" si="23"/>
        <v/>
      </c>
      <c r="L203" t="str">
        <f t="shared" si="24"/>
        <v/>
      </c>
      <c r="M203" t="str">
        <f t="shared" si="25"/>
        <v/>
      </c>
      <c r="N203">
        <v>7223.64</v>
      </c>
      <c r="O203" t="s">
        <v>172</v>
      </c>
      <c r="Q203" t="s">
        <v>19</v>
      </c>
    </row>
    <row r="204" spans="1:17" x14ac:dyDescent="0.3">
      <c r="A204">
        <v>100249944</v>
      </c>
      <c r="B204" t="s">
        <v>173</v>
      </c>
      <c r="C204" t="s">
        <v>19</v>
      </c>
      <c r="D204" t="s">
        <v>174</v>
      </c>
      <c r="E204" s="6">
        <v>6473.54</v>
      </c>
      <c r="F204" t="s">
        <v>643</v>
      </c>
      <c r="G204" s="4" t="str">
        <f t="shared" si="20"/>
        <v>6473.54</v>
      </c>
      <c r="H204" t="str">
        <f t="shared" si="21"/>
        <v>6473.54</v>
      </c>
      <c r="I204" s="1">
        <v>45761</v>
      </c>
      <c r="J204" s="2">
        <f t="shared" si="22"/>
        <v>-0.13465412445343924</v>
      </c>
      <c r="K204" s="3" t="str">
        <f t="shared" si="23"/>
        <v>Check!</v>
      </c>
      <c r="L204" t="str">
        <f t="shared" si="24"/>
        <v/>
      </c>
      <c r="M204" t="str">
        <f t="shared" si="25"/>
        <v/>
      </c>
      <c r="N204">
        <v>7480.87</v>
      </c>
      <c r="O204" t="s">
        <v>175</v>
      </c>
      <c r="Q204" t="s">
        <v>19</v>
      </c>
    </row>
    <row r="205" spans="1:17" x14ac:dyDescent="0.3">
      <c r="A205">
        <v>100250182</v>
      </c>
      <c r="B205" t="s">
        <v>176</v>
      </c>
      <c r="C205" t="s">
        <v>19</v>
      </c>
      <c r="D205" t="s">
        <v>177</v>
      </c>
      <c r="E205" s="6">
        <v>100009.93</v>
      </c>
      <c r="F205" t="s">
        <v>643</v>
      </c>
      <c r="G205" s="4" t="str">
        <f t="shared" si="20"/>
        <v>100009.93</v>
      </c>
      <c r="H205" t="str">
        <f t="shared" si="21"/>
        <v>100009.93</v>
      </c>
      <c r="I205" s="1">
        <v>45761</v>
      </c>
      <c r="J205" s="2">
        <f t="shared" si="22"/>
        <v>-2.6387345460421992E-2</v>
      </c>
      <c r="K205" s="3" t="str">
        <f t="shared" si="23"/>
        <v/>
      </c>
      <c r="L205" t="str">
        <f t="shared" si="24"/>
        <v/>
      </c>
      <c r="M205" t="str">
        <f t="shared" si="25"/>
        <v/>
      </c>
      <c r="N205">
        <v>102720.45</v>
      </c>
      <c r="O205" t="s">
        <v>178</v>
      </c>
      <c r="Q205" t="s">
        <v>19</v>
      </c>
    </row>
    <row r="206" spans="1:17" x14ac:dyDescent="0.3">
      <c r="A206">
        <v>100271808</v>
      </c>
      <c r="B206" t="s">
        <v>179</v>
      </c>
      <c r="C206" t="s">
        <v>611</v>
      </c>
      <c r="D206" t="s">
        <v>180</v>
      </c>
      <c r="E206" s="6">
        <v>25311.41</v>
      </c>
      <c r="F206" t="s">
        <v>643</v>
      </c>
      <c r="G206" s="4" t="str">
        <f t="shared" si="20"/>
        <v>25311.41</v>
      </c>
      <c r="H206" t="str">
        <f t="shared" si="21"/>
        <v>25311.41</v>
      </c>
      <c r="I206" s="1">
        <v>45761</v>
      </c>
      <c r="J206" s="2">
        <f t="shared" si="22"/>
        <v>-1.9513347782213218E-2</v>
      </c>
      <c r="K206" s="3" t="str">
        <f t="shared" si="23"/>
        <v/>
      </c>
      <c r="L206" t="str">
        <f t="shared" si="24"/>
        <v/>
      </c>
      <c r="M206" t="str">
        <f t="shared" si="25"/>
        <v>Check</v>
      </c>
      <c r="N206">
        <v>25815.15</v>
      </c>
      <c r="O206" t="s">
        <v>181</v>
      </c>
      <c r="Q206" t="s">
        <v>41</v>
      </c>
    </row>
    <row r="207" spans="1:17" x14ac:dyDescent="0.3">
      <c r="A207">
        <v>100273792</v>
      </c>
      <c r="B207" t="s">
        <v>182</v>
      </c>
      <c r="C207" t="s">
        <v>19</v>
      </c>
      <c r="D207" t="s">
        <v>183</v>
      </c>
      <c r="E207" s="6">
        <v>6735.24</v>
      </c>
      <c r="F207" t="s">
        <v>643</v>
      </c>
      <c r="G207" s="4" t="str">
        <f t="shared" si="20"/>
        <v>6735.24</v>
      </c>
      <c r="H207" t="str">
        <f t="shared" si="21"/>
        <v>6735.24</v>
      </c>
      <c r="I207" s="1">
        <v>45761</v>
      </c>
      <c r="J207" s="2">
        <f t="shared" si="22"/>
        <v>-2.8089871426716095E-2</v>
      </c>
      <c r="K207" s="3" t="str">
        <f t="shared" si="23"/>
        <v/>
      </c>
      <c r="L207" t="str">
        <f t="shared" si="24"/>
        <v/>
      </c>
      <c r="M207" t="str">
        <f t="shared" si="25"/>
        <v/>
      </c>
      <c r="N207">
        <v>6929.9</v>
      </c>
      <c r="O207" t="s">
        <v>184</v>
      </c>
      <c r="Q207" t="s">
        <v>19</v>
      </c>
    </row>
    <row r="208" spans="1:17" x14ac:dyDescent="0.3">
      <c r="A208">
        <v>100273792</v>
      </c>
      <c r="B208" t="s">
        <v>182</v>
      </c>
      <c r="C208" t="s">
        <v>19</v>
      </c>
      <c r="D208" t="s">
        <v>185</v>
      </c>
      <c r="E208" s="6">
        <v>5836.86</v>
      </c>
      <c r="F208" t="s">
        <v>643</v>
      </c>
      <c r="G208" s="4" t="str">
        <f t="shared" si="20"/>
        <v>5836.86</v>
      </c>
      <c r="H208" t="str">
        <f t="shared" si="21"/>
        <v>5836.86</v>
      </c>
      <c r="I208" s="1">
        <v>45761</v>
      </c>
      <c r="J208" s="2">
        <f t="shared" si="22"/>
        <v>-2.6065105196501966E-2</v>
      </c>
      <c r="K208" s="3" t="str">
        <f t="shared" si="23"/>
        <v/>
      </c>
      <c r="L208" t="str">
        <f t="shared" si="24"/>
        <v/>
      </c>
      <c r="M208" t="str">
        <f t="shared" si="25"/>
        <v/>
      </c>
      <c r="N208">
        <v>5993.07</v>
      </c>
      <c r="O208" t="s">
        <v>186</v>
      </c>
      <c r="Q208" t="s">
        <v>19</v>
      </c>
    </row>
    <row r="209" spans="1:17" x14ac:dyDescent="0.3">
      <c r="A209">
        <v>100278188</v>
      </c>
      <c r="B209" t="s">
        <v>187</v>
      </c>
      <c r="C209" t="s">
        <v>590</v>
      </c>
      <c r="D209" t="s">
        <v>188</v>
      </c>
      <c r="E209" s="6">
        <v>1737.33</v>
      </c>
      <c r="F209" t="s">
        <v>643</v>
      </c>
      <c r="G209" s="4" t="str">
        <f t="shared" si="20"/>
        <v>1737.33</v>
      </c>
      <c r="H209" t="str">
        <f t="shared" si="21"/>
        <v>1737.33</v>
      </c>
      <c r="I209" s="1">
        <v>45761</v>
      </c>
      <c r="J209" s="2">
        <f t="shared" si="22"/>
        <v>-0.82193959805144423</v>
      </c>
      <c r="K209" s="3" t="str">
        <f t="shared" si="23"/>
        <v>Check!</v>
      </c>
      <c r="L209" t="str">
        <f t="shared" si="24"/>
        <v/>
      </c>
      <c r="M209" t="str">
        <f t="shared" si="25"/>
        <v>Check</v>
      </c>
      <c r="N209">
        <v>9756.9699999999993</v>
      </c>
      <c r="O209" t="s">
        <v>189</v>
      </c>
      <c r="Q209" t="s">
        <v>16</v>
      </c>
    </row>
    <row r="210" spans="1:17" x14ac:dyDescent="0.3">
      <c r="A210">
        <v>100278188</v>
      </c>
      <c r="B210" t="s">
        <v>187</v>
      </c>
      <c r="C210" t="s">
        <v>19</v>
      </c>
      <c r="D210" t="s">
        <v>190</v>
      </c>
      <c r="E210" s="6">
        <v>4936.8</v>
      </c>
      <c r="F210" t="s">
        <v>643</v>
      </c>
      <c r="G210" s="4" t="str">
        <f t="shared" si="20"/>
        <v>4936.8</v>
      </c>
      <c r="H210" t="str">
        <f t="shared" si="21"/>
        <v>4936.8</v>
      </c>
      <c r="I210" s="1">
        <v>45761</v>
      </c>
      <c r="J210" s="2">
        <f t="shared" si="22"/>
        <v>-2.2353098107059399E-3</v>
      </c>
      <c r="K210" s="3" t="str">
        <f t="shared" si="23"/>
        <v/>
      </c>
      <c r="L210" t="str">
        <f t="shared" si="24"/>
        <v/>
      </c>
      <c r="M210" t="str">
        <f t="shared" si="25"/>
        <v/>
      </c>
      <c r="N210">
        <v>4947.8599999999997</v>
      </c>
      <c r="O210" t="s">
        <v>191</v>
      </c>
      <c r="Q210" t="s">
        <v>19</v>
      </c>
    </row>
    <row r="211" spans="1:17" x14ac:dyDescent="0.3">
      <c r="A211">
        <v>100278188</v>
      </c>
      <c r="B211" t="s">
        <v>187</v>
      </c>
      <c r="C211" t="s">
        <v>19</v>
      </c>
      <c r="D211" t="s">
        <v>192</v>
      </c>
      <c r="E211" s="6">
        <v>15973.69</v>
      </c>
      <c r="F211" t="s">
        <v>643</v>
      </c>
      <c r="G211" s="4" t="str">
        <f t="shared" si="20"/>
        <v>15973.69</v>
      </c>
      <c r="H211" t="str">
        <f t="shared" si="21"/>
        <v>15973.69</v>
      </c>
      <c r="I211" s="1">
        <v>45761</v>
      </c>
      <c r="J211" s="2">
        <f t="shared" si="22"/>
        <v>-1.0355718785391568E-2</v>
      </c>
      <c r="K211" s="3" t="str">
        <f t="shared" si="23"/>
        <v/>
      </c>
      <c r="L211" t="str">
        <f t="shared" si="24"/>
        <v/>
      </c>
      <c r="M211" t="str">
        <f t="shared" si="25"/>
        <v/>
      </c>
      <c r="N211">
        <v>16140.84</v>
      </c>
      <c r="O211" t="s">
        <v>193</v>
      </c>
      <c r="Q211" t="s">
        <v>19</v>
      </c>
    </row>
    <row r="212" spans="1:17" x14ac:dyDescent="0.3">
      <c r="A212">
        <v>100278188</v>
      </c>
      <c r="B212" t="s">
        <v>187</v>
      </c>
      <c r="C212" t="s">
        <v>19</v>
      </c>
      <c r="D212" t="s">
        <v>194</v>
      </c>
      <c r="E212" s="6">
        <v>2051.62</v>
      </c>
      <c r="F212" t="s">
        <v>643</v>
      </c>
      <c r="G212" s="4" t="str">
        <f t="shared" si="20"/>
        <v>2051.62</v>
      </c>
      <c r="H212" t="str">
        <f t="shared" si="21"/>
        <v>2051.62</v>
      </c>
      <c r="I212" s="1">
        <v>45761</v>
      </c>
      <c r="J212" s="2">
        <f t="shared" si="22"/>
        <v>7.5828266656188682E-3</v>
      </c>
      <c r="K212" s="3" t="str">
        <f t="shared" si="23"/>
        <v/>
      </c>
      <c r="L212" t="str">
        <f t="shared" si="24"/>
        <v/>
      </c>
      <c r="M212" t="str">
        <f t="shared" si="25"/>
        <v/>
      </c>
      <c r="N212">
        <v>2036.18</v>
      </c>
      <c r="O212" t="s">
        <v>195</v>
      </c>
      <c r="Q212" t="s">
        <v>19</v>
      </c>
    </row>
    <row r="213" spans="1:17" x14ac:dyDescent="0.3">
      <c r="A213">
        <v>100309343</v>
      </c>
      <c r="B213" t="s">
        <v>196</v>
      </c>
      <c r="C213" t="s">
        <v>590</v>
      </c>
      <c r="D213" t="s">
        <v>197</v>
      </c>
      <c r="E213" s="6">
        <v>47177.98</v>
      </c>
      <c r="F213" t="s">
        <v>643</v>
      </c>
      <c r="G213" s="4" t="str">
        <f t="shared" si="20"/>
        <v>47177.98</v>
      </c>
      <c r="H213" t="str">
        <f t="shared" si="21"/>
        <v>47177.98</v>
      </c>
      <c r="I213" s="1">
        <v>45761</v>
      </c>
      <c r="J213" s="2">
        <f t="shared" si="22"/>
        <v>-0.28077183590468147</v>
      </c>
      <c r="K213" s="3" t="str">
        <f t="shared" si="23"/>
        <v>Check!</v>
      </c>
      <c r="L213" t="str">
        <f t="shared" si="24"/>
        <v/>
      </c>
      <c r="M213" t="str">
        <f t="shared" si="25"/>
        <v>Check</v>
      </c>
      <c r="N213">
        <v>65595.289999999994</v>
      </c>
      <c r="O213" t="s">
        <v>198</v>
      </c>
      <c r="Q213" t="s">
        <v>16</v>
      </c>
    </row>
    <row r="214" spans="1:17" x14ac:dyDescent="0.3">
      <c r="A214">
        <v>100317997</v>
      </c>
      <c r="B214" t="s">
        <v>199</v>
      </c>
      <c r="C214" t="s">
        <v>611</v>
      </c>
      <c r="D214" t="s">
        <v>200</v>
      </c>
      <c r="E214" s="6">
        <v>5312.39</v>
      </c>
      <c r="F214" t="s">
        <v>643</v>
      </c>
      <c r="G214" s="4" t="str">
        <f t="shared" si="20"/>
        <v>5312.39</v>
      </c>
      <c r="H214" t="str">
        <f t="shared" si="21"/>
        <v>5312.39</v>
      </c>
      <c r="I214" s="1">
        <v>45761</v>
      </c>
      <c r="J214" s="2">
        <f t="shared" si="22"/>
        <v>-2.6269724747099776E-2</v>
      </c>
      <c r="K214" s="3" t="str">
        <f t="shared" si="23"/>
        <v/>
      </c>
      <c r="L214" t="str">
        <f t="shared" si="24"/>
        <v/>
      </c>
      <c r="M214" t="str">
        <f t="shared" si="25"/>
        <v>Check</v>
      </c>
      <c r="N214">
        <v>5455.71</v>
      </c>
      <c r="O214" t="s">
        <v>201</v>
      </c>
      <c r="Q214" t="s">
        <v>41</v>
      </c>
    </row>
    <row r="215" spans="1:17" x14ac:dyDescent="0.3">
      <c r="A215">
        <v>100317997</v>
      </c>
      <c r="B215" t="s">
        <v>199</v>
      </c>
      <c r="C215" t="s">
        <v>606</v>
      </c>
      <c r="D215" t="s">
        <v>621</v>
      </c>
      <c r="E215" s="6">
        <v>582.6</v>
      </c>
      <c r="F215" t="s">
        <v>643</v>
      </c>
      <c r="G215" s="4" t="str">
        <f t="shared" si="20"/>
        <v>582.6</v>
      </c>
      <c r="H215" t="str">
        <f t="shared" si="21"/>
        <v>582.6</v>
      </c>
      <c r="I215" s="1">
        <v>45761</v>
      </c>
      <c r="J215" s="2">
        <f t="shared" si="22"/>
        <v>-2.5605860413774557E-2</v>
      </c>
      <c r="K215" s="3" t="str">
        <f t="shared" si="23"/>
        <v/>
      </c>
      <c r="L215" t="str">
        <f t="shared" si="24"/>
        <v/>
      </c>
      <c r="M215" t="str">
        <f t="shared" si="25"/>
        <v/>
      </c>
      <c r="N215">
        <v>597.91</v>
      </c>
      <c r="O215" t="s">
        <v>659</v>
      </c>
      <c r="Q215" t="s">
        <v>606</v>
      </c>
    </row>
    <row r="216" spans="1:17" x14ac:dyDescent="0.3">
      <c r="A216">
        <v>100325823</v>
      </c>
      <c r="B216" t="s">
        <v>202</v>
      </c>
      <c r="C216" t="s">
        <v>19</v>
      </c>
      <c r="D216" t="s">
        <v>203</v>
      </c>
      <c r="E216" s="6">
        <v>56037.86</v>
      </c>
      <c r="F216" t="s">
        <v>643</v>
      </c>
      <c r="G216" s="4" t="str">
        <f t="shared" si="20"/>
        <v>56037.86</v>
      </c>
      <c r="H216" t="str">
        <f t="shared" si="21"/>
        <v>56037.86</v>
      </c>
      <c r="I216" s="1">
        <v>45761</v>
      </c>
      <c r="J216" s="2">
        <f t="shared" si="22"/>
        <v>3.9467838497758683</v>
      </c>
      <c r="K216" s="3" t="str">
        <f t="shared" si="23"/>
        <v>Check!</v>
      </c>
      <c r="L216" t="str">
        <f t="shared" si="24"/>
        <v/>
      </c>
      <c r="M216" t="str">
        <f t="shared" si="25"/>
        <v/>
      </c>
      <c r="N216">
        <v>11328.14</v>
      </c>
      <c r="O216" t="s">
        <v>204</v>
      </c>
      <c r="Q216" t="s">
        <v>19</v>
      </c>
    </row>
    <row r="217" spans="1:17" x14ac:dyDescent="0.3">
      <c r="A217">
        <v>100376880</v>
      </c>
      <c r="B217" t="s">
        <v>205</v>
      </c>
      <c r="C217" t="s">
        <v>590</v>
      </c>
      <c r="D217" t="s">
        <v>206</v>
      </c>
      <c r="E217" s="6">
        <v>130779.84</v>
      </c>
      <c r="F217" t="s">
        <v>643</v>
      </c>
      <c r="G217" s="4" t="str">
        <f t="shared" si="20"/>
        <v>130779.84</v>
      </c>
      <c r="H217" t="str">
        <f t="shared" si="21"/>
        <v>130779.84</v>
      </c>
      <c r="I217" s="1">
        <v>45761</v>
      </c>
      <c r="J217" s="2">
        <f t="shared" si="22"/>
        <v>-4.9571879224875985E-3</v>
      </c>
      <c r="K217" s="3" t="str">
        <f t="shared" si="23"/>
        <v/>
      </c>
      <c r="L217" t="str">
        <f t="shared" si="24"/>
        <v/>
      </c>
      <c r="M217" t="str">
        <f t="shared" si="25"/>
        <v>Check</v>
      </c>
      <c r="N217">
        <v>131431.37</v>
      </c>
      <c r="O217" t="s">
        <v>207</v>
      </c>
      <c r="Q217" t="s">
        <v>16</v>
      </c>
    </row>
    <row r="218" spans="1:17" x14ac:dyDescent="0.3">
      <c r="A218">
        <v>100376880</v>
      </c>
      <c r="B218" t="s">
        <v>205</v>
      </c>
      <c r="C218" t="s">
        <v>19</v>
      </c>
      <c r="D218" t="s">
        <v>208</v>
      </c>
      <c r="E218" s="6">
        <v>90.94</v>
      </c>
      <c r="F218" t="s">
        <v>643</v>
      </c>
      <c r="G218" s="4" t="str">
        <f t="shared" si="20"/>
        <v>90.94</v>
      </c>
      <c r="H218" t="str">
        <f t="shared" si="21"/>
        <v>90.94</v>
      </c>
      <c r="I218" s="1">
        <v>45761</v>
      </c>
      <c r="J218" s="2">
        <f t="shared" si="22"/>
        <v>0.14059952339144605</v>
      </c>
      <c r="K218" s="3" t="str">
        <f t="shared" si="23"/>
        <v>Check!</v>
      </c>
      <c r="L218" t="str">
        <f t="shared" si="24"/>
        <v/>
      </c>
      <c r="M218" t="str">
        <f t="shared" si="25"/>
        <v/>
      </c>
      <c r="N218">
        <v>79.73</v>
      </c>
      <c r="O218" t="s">
        <v>209</v>
      </c>
      <c r="Q218" t="s">
        <v>19</v>
      </c>
    </row>
    <row r="219" spans="1:17" x14ac:dyDescent="0.3">
      <c r="A219">
        <v>100388471</v>
      </c>
      <c r="B219" t="s">
        <v>210</v>
      </c>
      <c r="C219" t="s">
        <v>19</v>
      </c>
      <c r="D219" t="s">
        <v>211</v>
      </c>
      <c r="E219" s="6">
        <v>52320.19</v>
      </c>
      <c r="F219" t="s">
        <v>643</v>
      </c>
      <c r="G219" s="4" t="str">
        <f t="shared" si="20"/>
        <v>52320.19</v>
      </c>
      <c r="H219" t="str">
        <f t="shared" si="21"/>
        <v>52320.19</v>
      </c>
      <c r="I219" s="1">
        <v>45761</v>
      </c>
      <c r="J219" s="2">
        <f t="shared" si="22"/>
        <v>-2.5608778130509092E-2</v>
      </c>
      <c r="K219" s="3" t="str">
        <f t="shared" si="23"/>
        <v/>
      </c>
      <c r="L219" t="str">
        <f t="shared" si="24"/>
        <v/>
      </c>
      <c r="M219" t="str">
        <f t="shared" si="25"/>
        <v/>
      </c>
      <c r="N219">
        <v>53695.26</v>
      </c>
      <c r="O219" t="s">
        <v>212</v>
      </c>
      <c r="Q219" t="s">
        <v>19</v>
      </c>
    </row>
    <row r="220" spans="1:17" x14ac:dyDescent="0.3">
      <c r="A220">
        <v>100388471</v>
      </c>
      <c r="B220" t="s">
        <v>210</v>
      </c>
      <c r="C220" t="s">
        <v>19</v>
      </c>
      <c r="D220" t="s">
        <v>213</v>
      </c>
      <c r="E220" s="6">
        <v>8996.7000000000007</v>
      </c>
      <c r="F220" t="s">
        <v>643</v>
      </c>
      <c r="G220" s="4" t="str">
        <f t="shared" si="20"/>
        <v>8996.7</v>
      </c>
      <c r="H220" t="str">
        <f t="shared" si="21"/>
        <v>8996.7</v>
      </c>
      <c r="I220" s="1">
        <v>45761</v>
      </c>
      <c r="J220" s="2">
        <f t="shared" si="22"/>
        <v>-5.9551199564307822E-2</v>
      </c>
      <c r="K220" s="3" t="str">
        <f t="shared" si="23"/>
        <v/>
      </c>
      <c r="L220" t="str">
        <f t="shared" si="24"/>
        <v/>
      </c>
      <c r="M220" t="str">
        <f t="shared" si="25"/>
        <v/>
      </c>
      <c r="N220">
        <v>9566.39</v>
      </c>
      <c r="O220" t="s">
        <v>214</v>
      </c>
      <c r="Q220" t="s">
        <v>19</v>
      </c>
    </row>
    <row r="221" spans="1:17" x14ac:dyDescent="0.3">
      <c r="A221">
        <v>100408912</v>
      </c>
      <c r="B221" t="s">
        <v>215</v>
      </c>
      <c r="C221" t="s">
        <v>19</v>
      </c>
      <c r="D221" t="s">
        <v>216</v>
      </c>
      <c r="E221" s="6">
        <v>21047.99</v>
      </c>
      <c r="F221" t="s">
        <v>643</v>
      </c>
      <c r="G221" s="4" t="str">
        <f t="shared" si="20"/>
        <v>21047.99</v>
      </c>
      <c r="H221" t="str">
        <f t="shared" si="21"/>
        <v>21047.99</v>
      </c>
      <c r="I221" s="1">
        <v>45761</v>
      </c>
      <c r="J221" s="2">
        <f t="shared" si="22"/>
        <v>-0.1916179094663861</v>
      </c>
      <c r="K221" s="3" t="str">
        <f t="shared" si="23"/>
        <v>Check!</v>
      </c>
      <c r="L221" t="str">
        <f t="shared" si="24"/>
        <v/>
      </c>
      <c r="M221" t="str">
        <f t="shared" si="25"/>
        <v/>
      </c>
      <c r="N221">
        <v>26037.18</v>
      </c>
      <c r="O221" t="s">
        <v>217</v>
      </c>
      <c r="Q221" t="s">
        <v>19</v>
      </c>
    </row>
    <row r="222" spans="1:17" x14ac:dyDescent="0.3">
      <c r="A222">
        <v>100421069</v>
      </c>
      <c r="B222" t="s">
        <v>218</v>
      </c>
      <c r="C222" t="s">
        <v>590</v>
      </c>
      <c r="D222" t="s">
        <v>219</v>
      </c>
      <c r="E222" s="6">
        <v>42947.199999999997</v>
      </c>
      <c r="F222" t="s">
        <v>643</v>
      </c>
      <c r="G222" s="4" t="str">
        <f t="shared" si="20"/>
        <v>42947.2</v>
      </c>
      <c r="H222" t="str">
        <f t="shared" si="21"/>
        <v>42947.2</v>
      </c>
      <c r="I222" s="1">
        <v>45761</v>
      </c>
      <c r="J222" s="2">
        <f t="shared" si="22"/>
        <v>-1.1168879191035144E-2</v>
      </c>
      <c r="K222" s="3" t="str">
        <f t="shared" si="23"/>
        <v/>
      </c>
      <c r="L222" t="str">
        <f t="shared" si="24"/>
        <v/>
      </c>
      <c r="M222" t="str">
        <f t="shared" si="25"/>
        <v>Check</v>
      </c>
      <c r="N222">
        <v>43432.29</v>
      </c>
      <c r="O222" t="s">
        <v>660</v>
      </c>
      <c r="Q222" t="s">
        <v>16</v>
      </c>
    </row>
    <row r="223" spans="1:17" x14ac:dyDescent="0.3">
      <c r="A223">
        <v>100421069</v>
      </c>
      <c r="B223" t="s">
        <v>218</v>
      </c>
      <c r="C223" t="s">
        <v>19</v>
      </c>
      <c r="D223" t="s">
        <v>220</v>
      </c>
      <c r="E223" s="6">
        <v>21113.43</v>
      </c>
      <c r="F223" t="s">
        <v>643</v>
      </c>
      <c r="G223" s="4" t="str">
        <f t="shared" si="20"/>
        <v>21113.43</v>
      </c>
      <c r="H223" t="str">
        <f t="shared" si="21"/>
        <v>21113.43</v>
      </c>
      <c r="I223" s="1">
        <v>45761</v>
      </c>
      <c r="J223" s="2">
        <f t="shared" si="22"/>
        <v>-3.7592960208586462E-2</v>
      </c>
      <c r="K223" s="3" t="str">
        <f t="shared" si="23"/>
        <v/>
      </c>
      <c r="L223" t="str">
        <f t="shared" si="24"/>
        <v/>
      </c>
      <c r="M223" t="str">
        <f t="shared" si="25"/>
        <v/>
      </c>
      <c r="N223">
        <v>21938.15</v>
      </c>
      <c r="O223" t="s">
        <v>221</v>
      </c>
      <c r="Q223" t="s">
        <v>19</v>
      </c>
    </row>
    <row r="224" spans="1:17" x14ac:dyDescent="0.3">
      <c r="A224">
        <v>100421069</v>
      </c>
      <c r="B224" t="s">
        <v>218</v>
      </c>
      <c r="C224" t="s">
        <v>19</v>
      </c>
      <c r="D224" t="s">
        <v>222</v>
      </c>
      <c r="E224" s="6">
        <v>9548.1</v>
      </c>
      <c r="F224" t="s">
        <v>643</v>
      </c>
      <c r="G224" s="4" t="str">
        <f t="shared" si="20"/>
        <v>9548.1</v>
      </c>
      <c r="H224" t="str">
        <f t="shared" si="21"/>
        <v>9548.1</v>
      </c>
      <c r="I224" s="1">
        <v>45761</v>
      </c>
      <c r="J224" s="2">
        <f t="shared" si="22"/>
        <v>-4.609716159931903E-2</v>
      </c>
      <c r="K224" s="3" t="str">
        <f t="shared" si="23"/>
        <v/>
      </c>
      <c r="L224" t="str">
        <f t="shared" si="24"/>
        <v/>
      </c>
      <c r="M224" t="str">
        <f t="shared" si="25"/>
        <v/>
      </c>
      <c r="N224">
        <v>10009.51</v>
      </c>
      <c r="O224" t="s">
        <v>223</v>
      </c>
      <c r="Q224" t="s">
        <v>19</v>
      </c>
    </row>
    <row r="225" spans="1:17" x14ac:dyDescent="0.3">
      <c r="A225">
        <v>100421069</v>
      </c>
      <c r="B225" t="s">
        <v>218</v>
      </c>
      <c r="C225" t="s">
        <v>19</v>
      </c>
      <c r="D225" t="s">
        <v>224</v>
      </c>
      <c r="E225" s="6">
        <v>11513.23</v>
      </c>
      <c r="F225" t="s">
        <v>643</v>
      </c>
      <c r="G225" s="4" t="str">
        <f t="shared" si="20"/>
        <v>11513.23</v>
      </c>
      <c r="H225" t="str">
        <f t="shared" si="21"/>
        <v>11513.23</v>
      </c>
      <c r="I225" s="1">
        <v>45761</v>
      </c>
      <c r="J225" s="2">
        <f t="shared" si="22"/>
        <v>-3.1681457907202108E-2</v>
      </c>
      <c r="K225" s="3" t="str">
        <f t="shared" si="23"/>
        <v/>
      </c>
      <c r="L225" t="str">
        <f t="shared" si="24"/>
        <v/>
      </c>
      <c r="M225" t="str">
        <f t="shared" si="25"/>
        <v/>
      </c>
      <c r="N225">
        <v>11889.92</v>
      </c>
      <c r="O225" t="s">
        <v>225</v>
      </c>
      <c r="Q225" t="s">
        <v>19</v>
      </c>
    </row>
    <row r="226" spans="1:17" x14ac:dyDescent="0.3">
      <c r="A226">
        <v>100463771</v>
      </c>
      <c r="B226" t="s">
        <v>226</v>
      </c>
      <c r="C226" t="s">
        <v>590</v>
      </c>
      <c r="D226" t="s">
        <v>227</v>
      </c>
      <c r="E226" s="6">
        <v>1437.04</v>
      </c>
      <c r="F226" t="s">
        <v>643</v>
      </c>
      <c r="G226" s="4" t="str">
        <f t="shared" si="20"/>
        <v>1437.04</v>
      </c>
      <c r="H226" t="str">
        <f t="shared" si="21"/>
        <v>1437.04</v>
      </c>
      <c r="I226" s="1">
        <v>45761</v>
      </c>
      <c r="J226" s="2">
        <f t="shared" si="22"/>
        <v>-4.5441950678858038E-3</v>
      </c>
      <c r="K226" s="3" t="str">
        <f t="shared" si="23"/>
        <v/>
      </c>
      <c r="L226" t="str">
        <f t="shared" si="24"/>
        <v/>
      </c>
      <c r="M226" t="str">
        <f t="shared" si="25"/>
        <v>Check</v>
      </c>
      <c r="N226">
        <v>1443.6</v>
      </c>
      <c r="O226" t="s">
        <v>228</v>
      </c>
      <c r="Q226" t="s">
        <v>16</v>
      </c>
    </row>
    <row r="227" spans="1:17" x14ac:dyDescent="0.3">
      <c r="A227">
        <v>100489695</v>
      </c>
      <c r="B227" t="s">
        <v>229</v>
      </c>
      <c r="C227" t="s">
        <v>590</v>
      </c>
      <c r="D227" t="s">
        <v>230</v>
      </c>
      <c r="E227" s="6">
        <v>154108.91</v>
      </c>
      <c r="F227" t="s">
        <v>643</v>
      </c>
      <c r="G227" s="4" t="str">
        <f t="shared" si="20"/>
        <v>154108.91</v>
      </c>
      <c r="H227" t="str">
        <f t="shared" si="21"/>
        <v>154108.91</v>
      </c>
      <c r="I227" s="1">
        <v>45761</v>
      </c>
      <c r="J227" s="2">
        <f t="shared" si="22"/>
        <v>-2.4542756325816189E-2</v>
      </c>
      <c r="K227" s="3" t="str">
        <f t="shared" si="23"/>
        <v/>
      </c>
      <c r="L227" t="str">
        <f t="shared" si="24"/>
        <v/>
      </c>
      <c r="M227" t="str">
        <f t="shared" si="25"/>
        <v>Check</v>
      </c>
      <c r="N227">
        <v>157986.32999999999</v>
      </c>
      <c r="O227" t="s">
        <v>231</v>
      </c>
      <c r="Q227" t="s">
        <v>16</v>
      </c>
    </row>
    <row r="228" spans="1:17" x14ac:dyDescent="0.3">
      <c r="A228">
        <v>100492707</v>
      </c>
      <c r="B228" t="s">
        <v>232</v>
      </c>
      <c r="C228" t="s">
        <v>19</v>
      </c>
      <c r="D228" t="s">
        <v>233</v>
      </c>
      <c r="E228" s="6">
        <v>16086.61</v>
      </c>
      <c r="F228" t="s">
        <v>643</v>
      </c>
      <c r="G228" s="4" t="str">
        <f t="shared" si="20"/>
        <v>16086.61</v>
      </c>
      <c r="H228" t="str">
        <f t="shared" si="21"/>
        <v>16086.61</v>
      </c>
      <c r="I228" s="1">
        <v>45761</v>
      </c>
      <c r="J228" s="2">
        <f t="shared" si="22"/>
        <v>-1.7367970318136888E-2</v>
      </c>
      <c r="K228" s="3" t="str">
        <f t="shared" si="23"/>
        <v/>
      </c>
      <c r="L228" t="str">
        <f t="shared" si="24"/>
        <v/>
      </c>
      <c r="M228" t="str">
        <f t="shared" si="25"/>
        <v/>
      </c>
      <c r="N228">
        <v>16370.94</v>
      </c>
      <c r="O228" t="s">
        <v>234</v>
      </c>
      <c r="Q228" t="s">
        <v>19</v>
      </c>
    </row>
    <row r="229" spans="1:17" x14ac:dyDescent="0.3">
      <c r="A229">
        <v>100492707</v>
      </c>
      <c r="B229" t="s">
        <v>232</v>
      </c>
      <c r="C229" t="s">
        <v>19</v>
      </c>
      <c r="D229" t="s">
        <v>624</v>
      </c>
      <c r="E229" s="6">
        <v>52657.39</v>
      </c>
      <c r="F229" t="s">
        <v>643</v>
      </c>
      <c r="G229" s="4" t="str">
        <f t="shared" si="20"/>
        <v>52657.39</v>
      </c>
      <c r="H229" t="str">
        <f t="shared" si="21"/>
        <v>52657.39</v>
      </c>
      <c r="I229" s="1">
        <v>45761</v>
      </c>
      <c r="J229" s="2">
        <f t="shared" si="22"/>
        <v>-3.9066282347123067E-2</v>
      </c>
      <c r="K229" s="3" t="str">
        <f t="shared" si="23"/>
        <v/>
      </c>
      <c r="L229" t="str">
        <f t="shared" si="24"/>
        <v/>
      </c>
      <c r="M229" t="str">
        <f t="shared" si="25"/>
        <v/>
      </c>
      <c r="N229">
        <v>54798.15</v>
      </c>
      <c r="O229" t="s">
        <v>672</v>
      </c>
      <c r="Q229" t="s">
        <v>19</v>
      </c>
    </row>
    <row r="230" spans="1:17" x14ac:dyDescent="0.3">
      <c r="A230">
        <v>100497270</v>
      </c>
      <c r="B230" t="s">
        <v>235</v>
      </c>
      <c r="C230" t="s">
        <v>606</v>
      </c>
      <c r="D230" t="s">
        <v>625</v>
      </c>
      <c r="E230" s="6">
        <v>4817.08</v>
      </c>
      <c r="F230" t="s">
        <v>643</v>
      </c>
      <c r="G230" s="4" t="str">
        <f t="shared" si="20"/>
        <v>4817.08</v>
      </c>
      <c r="H230" t="str">
        <f t="shared" si="21"/>
        <v>4817.08</v>
      </c>
      <c r="I230" s="1">
        <v>45761</v>
      </c>
      <c r="J230" s="2">
        <f t="shared" si="22"/>
        <v>-2.5574945736935958E-2</v>
      </c>
      <c r="K230" s="3" t="str">
        <f t="shared" si="23"/>
        <v/>
      </c>
      <c r="L230" t="str">
        <f t="shared" si="24"/>
        <v/>
      </c>
      <c r="M230" t="str">
        <f t="shared" si="25"/>
        <v/>
      </c>
      <c r="N230">
        <v>4943.51</v>
      </c>
      <c r="O230" t="s">
        <v>661</v>
      </c>
      <c r="Q230" t="s">
        <v>606</v>
      </c>
    </row>
    <row r="231" spans="1:17" x14ac:dyDescent="0.3">
      <c r="A231">
        <v>100497270</v>
      </c>
      <c r="B231" t="s">
        <v>235</v>
      </c>
      <c r="C231" t="s">
        <v>611</v>
      </c>
      <c r="D231" t="s">
        <v>236</v>
      </c>
      <c r="E231" s="6">
        <v>41247.279999999999</v>
      </c>
      <c r="F231" t="s">
        <v>643</v>
      </c>
      <c r="G231" s="4" t="str">
        <f t="shared" si="20"/>
        <v>41247.28</v>
      </c>
      <c r="H231" t="str">
        <f t="shared" si="21"/>
        <v>41247.28</v>
      </c>
      <c r="I231" s="1">
        <v>45761</v>
      </c>
      <c r="J231" s="2">
        <f t="shared" si="22"/>
        <v>-2.5656797867972855E-2</v>
      </c>
      <c r="K231" s="3" t="str">
        <f t="shared" si="23"/>
        <v/>
      </c>
      <c r="L231" t="str">
        <f t="shared" si="24"/>
        <v/>
      </c>
      <c r="M231" t="str">
        <f t="shared" si="25"/>
        <v>Check</v>
      </c>
      <c r="N231">
        <v>42333.42</v>
      </c>
      <c r="O231" t="s">
        <v>237</v>
      </c>
      <c r="Q231" t="s">
        <v>41</v>
      </c>
    </row>
    <row r="232" spans="1:17" x14ac:dyDescent="0.3">
      <c r="A232">
        <v>100562496</v>
      </c>
      <c r="B232" t="s">
        <v>238</v>
      </c>
      <c r="C232" t="s">
        <v>611</v>
      </c>
      <c r="D232" t="s">
        <v>239</v>
      </c>
      <c r="E232" s="6">
        <v>50997.46</v>
      </c>
      <c r="F232" t="s">
        <v>643</v>
      </c>
      <c r="G232" s="4" t="str">
        <f t="shared" si="20"/>
        <v>50997.46</v>
      </c>
      <c r="H232" t="str">
        <f t="shared" si="21"/>
        <v>50997.46</v>
      </c>
      <c r="I232" s="1">
        <v>45761</v>
      </c>
      <c r="J232" s="2">
        <f t="shared" si="22"/>
        <v>-2.559153361188787E-2</v>
      </c>
      <c r="K232" s="3" t="str">
        <f t="shared" si="23"/>
        <v/>
      </c>
      <c r="L232" t="str">
        <f t="shared" si="24"/>
        <v/>
      </c>
      <c r="M232" t="str">
        <f t="shared" si="25"/>
        <v>Check</v>
      </c>
      <c r="N232">
        <v>52336.84</v>
      </c>
      <c r="O232" t="s">
        <v>240</v>
      </c>
      <c r="Q232" t="s">
        <v>41</v>
      </c>
    </row>
    <row r="233" spans="1:17" x14ac:dyDescent="0.3">
      <c r="A233">
        <v>100562496</v>
      </c>
      <c r="B233" t="s">
        <v>238</v>
      </c>
      <c r="C233" t="s">
        <v>606</v>
      </c>
      <c r="D233" t="s">
        <v>626</v>
      </c>
      <c r="E233" s="6">
        <v>6570.09</v>
      </c>
      <c r="F233" t="s">
        <v>643</v>
      </c>
      <c r="G233" s="4" t="str">
        <f t="shared" si="20"/>
        <v>6570.09</v>
      </c>
      <c r="H233" t="str">
        <f t="shared" si="21"/>
        <v>6570.09</v>
      </c>
      <c r="I233" s="1">
        <v>45761</v>
      </c>
      <c r="J233" s="2">
        <f t="shared" si="22"/>
        <v>4.7898916768749642E-3</v>
      </c>
      <c r="K233" s="3" t="str">
        <f t="shared" si="23"/>
        <v/>
      </c>
      <c r="L233" t="str">
        <f t="shared" si="24"/>
        <v/>
      </c>
      <c r="M233" t="str">
        <f t="shared" si="25"/>
        <v/>
      </c>
      <c r="N233">
        <v>6538.77</v>
      </c>
      <c r="O233" t="s">
        <v>663</v>
      </c>
      <c r="Q233" t="s">
        <v>606</v>
      </c>
    </row>
    <row r="234" spans="1:17" x14ac:dyDescent="0.3">
      <c r="A234">
        <v>100562496</v>
      </c>
      <c r="B234" t="s">
        <v>238</v>
      </c>
      <c r="C234" t="s">
        <v>609</v>
      </c>
      <c r="D234" t="s">
        <v>627</v>
      </c>
      <c r="E234" s="6">
        <v>1623.13</v>
      </c>
      <c r="F234" t="s">
        <v>643</v>
      </c>
      <c r="G234" s="4" t="str">
        <f t="shared" si="20"/>
        <v>1623.13</v>
      </c>
      <c r="H234" t="str">
        <f t="shared" si="21"/>
        <v>1623.13</v>
      </c>
      <c r="I234" s="1">
        <v>45761</v>
      </c>
      <c r="J234" s="2">
        <f t="shared" si="22"/>
        <v>0.35266469436226511</v>
      </c>
      <c r="K234" s="3" t="str">
        <f t="shared" si="23"/>
        <v>Check!</v>
      </c>
      <c r="L234" t="str">
        <f t="shared" si="24"/>
        <v/>
      </c>
      <c r="M234" t="str">
        <f t="shared" si="25"/>
        <v/>
      </c>
      <c r="N234">
        <v>1199.95</v>
      </c>
      <c r="O234" t="s">
        <v>662</v>
      </c>
      <c r="Q234" t="s">
        <v>609</v>
      </c>
    </row>
    <row r="235" spans="1:17" x14ac:dyDescent="0.3">
      <c r="A235">
        <v>100564770</v>
      </c>
      <c r="B235" t="s">
        <v>241</v>
      </c>
      <c r="C235" t="s">
        <v>19</v>
      </c>
      <c r="D235" t="s">
        <v>242</v>
      </c>
      <c r="E235" s="6">
        <v>55100.33</v>
      </c>
      <c r="F235" t="s">
        <v>643</v>
      </c>
      <c r="G235" s="4" t="str">
        <f t="shared" si="20"/>
        <v>55100.33</v>
      </c>
      <c r="H235" t="str">
        <f t="shared" si="21"/>
        <v>55100.33</v>
      </c>
      <c r="I235" s="1">
        <v>45761</v>
      </c>
      <c r="J235" s="2">
        <f t="shared" si="22"/>
        <v>-3.2973815860713955E-2</v>
      </c>
      <c r="K235" s="3" t="str">
        <f t="shared" si="23"/>
        <v/>
      </c>
      <c r="L235" t="str">
        <f t="shared" si="24"/>
        <v/>
      </c>
      <c r="M235" t="str">
        <f t="shared" si="25"/>
        <v/>
      </c>
      <c r="N235">
        <v>56979.15</v>
      </c>
      <c r="O235" t="s">
        <v>243</v>
      </c>
      <c r="Q235" t="s">
        <v>19</v>
      </c>
    </row>
    <row r="236" spans="1:17" x14ac:dyDescent="0.3">
      <c r="A236">
        <v>100596195</v>
      </c>
      <c r="B236" t="s">
        <v>244</v>
      </c>
      <c r="C236" t="s">
        <v>590</v>
      </c>
      <c r="D236" t="s">
        <v>245</v>
      </c>
      <c r="E236" s="6">
        <v>130761.07</v>
      </c>
      <c r="F236" t="s">
        <v>643</v>
      </c>
      <c r="G236" s="4" t="str">
        <f t="shared" si="20"/>
        <v>130761.07</v>
      </c>
      <c r="H236" t="str">
        <f t="shared" si="21"/>
        <v>130761.07</v>
      </c>
      <c r="I236" s="1">
        <v>45761</v>
      </c>
      <c r="J236" s="2">
        <f t="shared" si="22"/>
        <v>-0.18761079320682664</v>
      </c>
      <c r="K236" s="3" t="str">
        <f t="shared" si="23"/>
        <v>Check!</v>
      </c>
      <c r="L236" t="str">
        <f t="shared" si="24"/>
        <v/>
      </c>
      <c r="M236" t="str">
        <f t="shared" si="25"/>
        <v>Check</v>
      </c>
      <c r="N236">
        <v>160958.65</v>
      </c>
      <c r="O236" t="s">
        <v>246</v>
      </c>
      <c r="Q236" t="s">
        <v>16</v>
      </c>
    </row>
    <row r="237" spans="1:17" x14ac:dyDescent="0.3">
      <c r="A237">
        <v>100596197</v>
      </c>
      <c r="B237" t="s">
        <v>247</v>
      </c>
      <c r="C237" t="s">
        <v>590</v>
      </c>
      <c r="D237" t="s">
        <v>248</v>
      </c>
      <c r="E237" s="6">
        <v>7578.41</v>
      </c>
      <c r="F237" t="s">
        <v>643</v>
      </c>
      <c r="G237" s="4" t="str">
        <f t="shared" si="20"/>
        <v>7578.41</v>
      </c>
      <c r="H237" t="str">
        <f t="shared" si="21"/>
        <v>7578.41</v>
      </c>
      <c r="I237" s="1">
        <v>45761</v>
      </c>
      <c r="J237" s="2">
        <f t="shared" si="22"/>
        <v>-5.5721621160260693E-2</v>
      </c>
      <c r="K237" s="3" t="str">
        <f t="shared" si="23"/>
        <v/>
      </c>
      <c r="L237" t="str">
        <f t="shared" si="24"/>
        <v/>
      </c>
      <c r="M237" t="str">
        <f t="shared" si="25"/>
        <v>Check</v>
      </c>
      <c r="N237">
        <v>8025.61</v>
      </c>
      <c r="O237" t="s">
        <v>249</v>
      </c>
      <c r="Q237" t="s">
        <v>16</v>
      </c>
    </row>
    <row r="238" spans="1:17" x14ac:dyDescent="0.3">
      <c r="A238">
        <v>100596689</v>
      </c>
      <c r="B238" t="s">
        <v>250</v>
      </c>
      <c r="C238" t="s">
        <v>590</v>
      </c>
      <c r="D238" t="s">
        <v>251</v>
      </c>
      <c r="E238" s="6">
        <v>2721.47</v>
      </c>
      <c r="F238" t="s">
        <v>643</v>
      </c>
      <c r="G238" s="4" t="str">
        <f t="shared" si="20"/>
        <v>2721.47</v>
      </c>
      <c r="H238" t="str">
        <f t="shared" si="21"/>
        <v>2721.47</v>
      </c>
      <c r="I238" s="1">
        <v>45761</v>
      </c>
      <c r="J238" s="2">
        <f t="shared" si="22"/>
        <v>3.5874422393252184E-2</v>
      </c>
      <c r="K238" s="3" t="str">
        <f t="shared" si="23"/>
        <v/>
      </c>
      <c r="L238" t="str">
        <f t="shared" si="24"/>
        <v/>
      </c>
      <c r="M238" t="str">
        <f t="shared" si="25"/>
        <v>Check</v>
      </c>
      <c r="N238">
        <v>2627.22</v>
      </c>
      <c r="O238" t="s">
        <v>252</v>
      </c>
      <c r="Q238" t="s">
        <v>16</v>
      </c>
    </row>
    <row r="239" spans="1:17" x14ac:dyDescent="0.3">
      <c r="A239">
        <v>100628018</v>
      </c>
      <c r="B239" t="s">
        <v>253</v>
      </c>
      <c r="C239" t="s">
        <v>590</v>
      </c>
      <c r="D239" t="s">
        <v>254</v>
      </c>
      <c r="E239" s="6">
        <v>59745.75</v>
      </c>
      <c r="F239" t="s">
        <v>643</v>
      </c>
      <c r="G239" s="4" t="str">
        <f t="shared" si="20"/>
        <v>59745.75</v>
      </c>
      <c r="H239" t="str">
        <f t="shared" si="21"/>
        <v>59745.75</v>
      </c>
      <c r="I239" s="1">
        <v>45761</v>
      </c>
      <c r="J239" s="2">
        <f t="shared" si="22"/>
        <v>-6.7198725850976951E-3</v>
      </c>
      <c r="K239" s="3" t="str">
        <f t="shared" si="23"/>
        <v/>
      </c>
      <c r="L239" t="str">
        <f t="shared" si="24"/>
        <v/>
      </c>
      <c r="M239" t="str">
        <f t="shared" si="25"/>
        <v>Check</v>
      </c>
      <c r="N239">
        <v>60149.95</v>
      </c>
      <c r="O239" t="s">
        <v>255</v>
      </c>
      <c r="Q239" t="s">
        <v>16</v>
      </c>
    </row>
    <row r="240" spans="1:17" x14ac:dyDescent="0.3">
      <c r="A240">
        <v>100628990</v>
      </c>
      <c r="B240" t="s">
        <v>256</v>
      </c>
      <c r="C240" t="s">
        <v>19</v>
      </c>
      <c r="D240" t="s">
        <v>257</v>
      </c>
      <c r="E240" s="6">
        <v>799.23</v>
      </c>
      <c r="F240" t="s">
        <v>643</v>
      </c>
      <c r="G240" s="4" t="str">
        <f t="shared" si="20"/>
        <v>799.23</v>
      </c>
      <c r="H240" t="str">
        <f t="shared" si="21"/>
        <v>799.23</v>
      </c>
      <c r="I240" s="1">
        <v>45761</v>
      </c>
      <c r="J240" s="2">
        <f t="shared" si="22"/>
        <v>3.0373741410651516E-2</v>
      </c>
      <c r="K240" s="3" t="str">
        <f t="shared" si="23"/>
        <v/>
      </c>
      <c r="L240" t="str">
        <f t="shared" si="24"/>
        <v/>
      </c>
      <c r="M240" t="str">
        <f t="shared" si="25"/>
        <v/>
      </c>
      <c r="N240">
        <v>775.67</v>
      </c>
      <c r="O240" t="s">
        <v>258</v>
      </c>
      <c r="Q240" t="s">
        <v>19</v>
      </c>
    </row>
    <row r="241" spans="1:17" x14ac:dyDescent="0.3">
      <c r="A241">
        <v>100630705</v>
      </c>
      <c r="B241" t="s">
        <v>259</v>
      </c>
      <c r="C241" t="s">
        <v>590</v>
      </c>
      <c r="D241" t="s">
        <v>260</v>
      </c>
      <c r="E241" s="6">
        <v>5195.6899999999996</v>
      </c>
      <c r="F241" t="s">
        <v>643</v>
      </c>
      <c r="G241" s="4" t="str">
        <f t="shared" si="20"/>
        <v>5195.69</v>
      </c>
      <c r="H241" t="str">
        <f t="shared" si="21"/>
        <v>5195.69</v>
      </c>
      <c r="I241" s="1">
        <v>45761</v>
      </c>
      <c r="J241" s="2">
        <f t="shared" si="22"/>
        <v>-6.5469327505340777E-3</v>
      </c>
      <c r="K241" s="3" t="str">
        <f t="shared" si="23"/>
        <v/>
      </c>
      <c r="L241" t="str">
        <f t="shared" si="24"/>
        <v/>
      </c>
      <c r="M241" t="str">
        <f t="shared" si="25"/>
        <v>Check</v>
      </c>
      <c r="N241">
        <v>5229.93</v>
      </c>
      <c r="O241" t="s">
        <v>261</v>
      </c>
      <c r="Q241" t="s">
        <v>16</v>
      </c>
    </row>
    <row r="242" spans="1:17" x14ac:dyDescent="0.3">
      <c r="A242">
        <v>100630706</v>
      </c>
      <c r="B242" t="s">
        <v>262</v>
      </c>
      <c r="C242" t="s">
        <v>590</v>
      </c>
      <c r="D242" t="s">
        <v>263</v>
      </c>
      <c r="E242" s="6">
        <v>962.24</v>
      </c>
      <c r="F242" t="s">
        <v>643</v>
      </c>
      <c r="G242" s="4" t="str">
        <f t="shared" si="20"/>
        <v>962.24</v>
      </c>
      <c r="H242" t="str">
        <f t="shared" si="21"/>
        <v>962.24</v>
      </c>
      <c r="I242" s="1">
        <v>45761</v>
      </c>
      <c r="J242" s="2">
        <f t="shared" si="22"/>
        <v>9.5471208360846119E-2</v>
      </c>
      <c r="K242" s="3" t="str">
        <f t="shared" si="23"/>
        <v/>
      </c>
      <c r="L242" t="str">
        <f t="shared" si="24"/>
        <v/>
      </c>
      <c r="M242" t="str">
        <f t="shared" si="25"/>
        <v>Check</v>
      </c>
      <c r="N242">
        <v>878.38</v>
      </c>
      <c r="O242" t="s">
        <v>264</v>
      </c>
      <c r="Q242" t="s">
        <v>16</v>
      </c>
    </row>
    <row r="243" spans="1:17" x14ac:dyDescent="0.3">
      <c r="A243">
        <v>100633203</v>
      </c>
      <c r="B243" t="s">
        <v>265</v>
      </c>
      <c r="C243" t="s">
        <v>590</v>
      </c>
      <c r="D243" t="s">
        <v>266</v>
      </c>
      <c r="E243" s="6">
        <v>60563.93</v>
      </c>
      <c r="F243" t="s">
        <v>643</v>
      </c>
      <c r="G243" s="4" t="str">
        <f t="shared" si="20"/>
        <v>60563.93</v>
      </c>
      <c r="H243" t="str">
        <f t="shared" si="21"/>
        <v>60563.93</v>
      </c>
      <c r="I243" s="1">
        <v>45761</v>
      </c>
      <c r="J243" s="2">
        <f t="shared" si="22"/>
        <v>-6.5573458561973864E-3</v>
      </c>
      <c r="K243" s="3" t="str">
        <f t="shared" si="23"/>
        <v/>
      </c>
      <c r="L243" t="str">
        <f t="shared" si="24"/>
        <v/>
      </c>
      <c r="M243" t="str">
        <f t="shared" si="25"/>
        <v>Check</v>
      </c>
      <c r="N243">
        <v>60963.69</v>
      </c>
      <c r="O243" t="s">
        <v>267</v>
      </c>
      <c r="Q243" t="s">
        <v>16</v>
      </c>
    </row>
    <row r="244" spans="1:17" x14ac:dyDescent="0.3">
      <c r="A244">
        <v>100637079</v>
      </c>
      <c r="B244" t="s">
        <v>268</v>
      </c>
      <c r="C244" t="s">
        <v>611</v>
      </c>
      <c r="D244" t="s">
        <v>269</v>
      </c>
      <c r="E244" s="6">
        <v>57213.77</v>
      </c>
      <c r="F244" t="s">
        <v>643</v>
      </c>
      <c r="G244" s="4" t="str">
        <f t="shared" si="20"/>
        <v>57213.77</v>
      </c>
      <c r="H244" t="str">
        <f t="shared" si="21"/>
        <v>57213.77</v>
      </c>
      <c r="I244" s="1">
        <v>45761</v>
      </c>
      <c r="J244" s="2">
        <f t="shared" si="22"/>
        <v>-2.3053462826141881E-2</v>
      </c>
      <c r="K244" s="3" t="str">
        <f t="shared" si="23"/>
        <v/>
      </c>
      <c r="L244" t="str">
        <f t="shared" si="24"/>
        <v/>
      </c>
      <c r="M244" t="str">
        <f t="shared" si="25"/>
        <v>Check</v>
      </c>
      <c r="N244">
        <v>58563.87</v>
      </c>
      <c r="O244" t="s">
        <v>270</v>
      </c>
      <c r="Q244" t="s">
        <v>41</v>
      </c>
    </row>
    <row r="245" spans="1:17" x14ac:dyDescent="0.3">
      <c r="A245">
        <v>100637079</v>
      </c>
      <c r="B245" t="s">
        <v>268</v>
      </c>
      <c r="C245" t="s">
        <v>611</v>
      </c>
      <c r="D245" t="s">
        <v>271</v>
      </c>
      <c r="E245" s="6">
        <v>79585.8</v>
      </c>
      <c r="F245" t="s">
        <v>643</v>
      </c>
      <c r="G245" s="4" t="str">
        <f t="shared" si="20"/>
        <v>79585.8</v>
      </c>
      <c r="H245" t="str">
        <f t="shared" si="21"/>
        <v>79585.8</v>
      </c>
      <c r="I245" s="1">
        <v>45761</v>
      </c>
      <c r="J245" s="2">
        <f t="shared" si="22"/>
        <v>-2.3622252036773265E-2</v>
      </c>
      <c r="K245" s="3" t="str">
        <f t="shared" si="23"/>
        <v/>
      </c>
      <c r="L245" t="str">
        <f t="shared" si="24"/>
        <v/>
      </c>
      <c r="M245" t="str">
        <f t="shared" si="25"/>
        <v>Check</v>
      </c>
      <c r="N245">
        <v>81511.28</v>
      </c>
      <c r="O245" t="s">
        <v>272</v>
      </c>
      <c r="Q245" t="s">
        <v>41</v>
      </c>
    </row>
    <row r="246" spans="1:17" x14ac:dyDescent="0.3">
      <c r="A246">
        <v>100637079</v>
      </c>
      <c r="B246" t="s">
        <v>268</v>
      </c>
      <c r="C246" t="s">
        <v>606</v>
      </c>
      <c r="D246" t="s">
        <v>628</v>
      </c>
      <c r="E246" s="6">
        <v>6625.27</v>
      </c>
      <c r="F246" t="s">
        <v>643</v>
      </c>
      <c r="G246" s="4" t="str">
        <f t="shared" si="20"/>
        <v>6625.27</v>
      </c>
      <c r="H246" t="str">
        <f t="shared" si="21"/>
        <v>6625.27</v>
      </c>
      <c r="I246" s="1">
        <v>45761</v>
      </c>
      <c r="J246" s="2">
        <f t="shared" si="22"/>
        <v>-2.5621076905880912E-2</v>
      </c>
      <c r="K246" s="3" t="str">
        <f t="shared" si="23"/>
        <v/>
      </c>
      <c r="L246" t="str">
        <f t="shared" si="24"/>
        <v/>
      </c>
      <c r="M246" t="str">
        <f t="shared" si="25"/>
        <v/>
      </c>
      <c r="N246">
        <v>6799.48</v>
      </c>
      <c r="O246" t="s">
        <v>664</v>
      </c>
      <c r="Q246" t="s">
        <v>606</v>
      </c>
    </row>
    <row r="247" spans="1:17" x14ac:dyDescent="0.3">
      <c r="A247">
        <v>100637079</v>
      </c>
      <c r="B247" t="s">
        <v>268</v>
      </c>
      <c r="C247" t="s">
        <v>606</v>
      </c>
      <c r="D247" t="s">
        <v>629</v>
      </c>
      <c r="E247" s="6">
        <v>9217.48</v>
      </c>
      <c r="F247" t="s">
        <v>643</v>
      </c>
      <c r="G247" s="4" t="str">
        <f t="shared" si="20"/>
        <v>9217.48</v>
      </c>
      <c r="H247" t="str">
        <f t="shared" si="21"/>
        <v>9217.48</v>
      </c>
      <c r="I247" s="1">
        <v>45761</v>
      </c>
      <c r="J247" s="2">
        <f t="shared" si="22"/>
        <v>-1.292543086554347E-2</v>
      </c>
      <c r="K247" s="3" t="str">
        <f t="shared" si="23"/>
        <v/>
      </c>
      <c r="L247" t="str">
        <f t="shared" si="24"/>
        <v/>
      </c>
      <c r="M247" t="str">
        <f t="shared" si="25"/>
        <v/>
      </c>
      <c r="N247">
        <v>9338.18</v>
      </c>
      <c r="O247" t="s">
        <v>665</v>
      </c>
      <c r="Q247" t="s">
        <v>606</v>
      </c>
    </row>
    <row r="248" spans="1:17" x14ac:dyDescent="0.3">
      <c r="A248">
        <v>100641153</v>
      </c>
      <c r="B248" t="s">
        <v>273</v>
      </c>
      <c r="C248" t="s">
        <v>19</v>
      </c>
      <c r="D248" t="s">
        <v>274</v>
      </c>
      <c r="E248" s="6">
        <v>9673.56</v>
      </c>
      <c r="F248" t="s">
        <v>643</v>
      </c>
      <c r="G248" s="4" t="str">
        <f t="shared" si="20"/>
        <v>9673.56</v>
      </c>
      <c r="H248" t="str">
        <f t="shared" si="21"/>
        <v>9673.56</v>
      </c>
      <c r="I248" s="1">
        <v>45761</v>
      </c>
      <c r="J248" s="2">
        <f t="shared" si="22"/>
        <v>-0.20473791905452079</v>
      </c>
      <c r="K248" s="3" t="str">
        <f t="shared" si="23"/>
        <v>Check!</v>
      </c>
      <c r="L248" t="str">
        <f t="shared" si="24"/>
        <v/>
      </c>
      <c r="M248" t="str">
        <f t="shared" si="25"/>
        <v/>
      </c>
      <c r="N248">
        <v>12163.99</v>
      </c>
      <c r="O248" t="s">
        <v>275</v>
      </c>
      <c r="Q248" t="s">
        <v>19</v>
      </c>
    </row>
    <row r="249" spans="1:17" x14ac:dyDescent="0.3">
      <c r="A249">
        <v>100651305</v>
      </c>
      <c r="B249" t="s">
        <v>276</v>
      </c>
      <c r="C249" t="s">
        <v>590</v>
      </c>
      <c r="D249" t="s">
        <v>277</v>
      </c>
      <c r="E249" s="6">
        <v>5287.25</v>
      </c>
      <c r="F249" t="s">
        <v>643</v>
      </c>
      <c r="G249" s="4" t="str">
        <f t="shared" si="20"/>
        <v>5287.25</v>
      </c>
      <c r="H249" t="str">
        <f t="shared" si="21"/>
        <v>5287.25</v>
      </c>
      <c r="I249" s="1">
        <v>45761</v>
      </c>
      <c r="J249" s="2">
        <f t="shared" si="22"/>
        <v>-0.33330685348827827</v>
      </c>
      <c r="K249" s="3" t="str">
        <f t="shared" si="23"/>
        <v>Check!</v>
      </c>
      <c r="L249" t="str">
        <f t="shared" si="24"/>
        <v/>
      </c>
      <c r="M249" t="str">
        <f t="shared" si="25"/>
        <v>Check</v>
      </c>
      <c r="N249">
        <v>7930.56</v>
      </c>
      <c r="O249" t="s">
        <v>278</v>
      </c>
      <c r="Q249" t="s">
        <v>16</v>
      </c>
    </row>
    <row r="250" spans="1:17" x14ac:dyDescent="0.3">
      <c r="A250">
        <v>100651921</v>
      </c>
      <c r="B250" t="s">
        <v>279</v>
      </c>
      <c r="C250" t="s">
        <v>590</v>
      </c>
      <c r="D250" t="s">
        <v>280</v>
      </c>
      <c r="E250" s="6">
        <v>32046.87</v>
      </c>
      <c r="F250" t="s">
        <v>643</v>
      </c>
      <c r="G250" s="4" t="str">
        <f t="shared" si="20"/>
        <v>32046.87</v>
      </c>
      <c r="H250" t="str">
        <f t="shared" si="21"/>
        <v>32046.87</v>
      </c>
      <c r="I250" s="1">
        <v>45761</v>
      </c>
      <c r="J250" s="2">
        <f t="shared" si="22"/>
        <v>6.0671302248002153E-3</v>
      </c>
      <c r="K250" s="3" t="str">
        <f t="shared" si="23"/>
        <v/>
      </c>
      <c r="L250" t="str">
        <f t="shared" si="24"/>
        <v/>
      </c>
      <c r="M250" t="str">
        <f t="shared" si="25"/>
        <v>Check</v>
      </c>
      <c r="N250">
        <v>31853.61</v>
      </c>
      <c r="O250" t="s">
        <v>281</v>
      </c>
      <c r="Q250" t="s">
        <v>16</v>
      </c>
    </row>
    <row r="251" spans="1:17" x14ac:dyDescent="0.3">
      <c r="A251">
        <v>100651921</v>
      </c>
      <c r="B251" t="s">
        <v>279</v>
      </c>
      <c r="C251" t="s">
        <v>590</v>
      </c>
      <c r="D251" t="s">
        <v>282</v>
      </c>
      <c r="E251" s="6">
        <v>4238.4399999999996</v>
      </c>
      <c r="F251" t="s">
        <v>643</v>
      </c>
      <c r="G251" s="4" t="str">
        <f t="shared" si="20"/>
        <v>4238.44</v>
      </c>
      <c r="H251" t="str">
        <f t="shared" si="21"/>
        <v>4238.44</v>
      </c>
      <c r="I251" s="1">
        <v>45761</v>
      </c>
      <c r="J251" s="2">
        <f t="shared" si="22"/>
        <v>1.790882040025258E-2</v>
      </c>
      <c r="K251" s="3" t="str">
        <f t="shared" si="23"/>
        <v/>
      </c>
      <c r="L251" t="str">
        <f t="shared" si="24"/>
        <v/>
      </c>
      <c r="M251" t="str">
        <f t="shared" si="25"/>
        <v>Check</v>
      </c>
      <c r="N251">
        <v>4163.87</v>
      </c>
      <c r="O251" t="s">
        <v>283</v>
      </c>
      <c r="Q251" t="s">
        <v>16</v>
      </c>
    </row>
    <row r="252" spans="1:17" x14ac:dyDescent="0.3">
      <c r="A252">
        <v>100655835</v>
      </c>
      <c r="B252" t="s">
        <v>284</v>
      </c>
      <c r="C252" t="s">
        <v>19</v>
      </c>
      <c r="D252" t="s">
        <v>285</v>
      </c>
      <c r="E252" s="6">
        <v>643641.1</v>
      </c>
      <c r="F252" t="s">
        <v>643</v>
      </c>
      <c r="G252" s="4" t="str">
        <f t="shared" si="20"/>
        <v>643641.1</v>
      </c>
      <c r="H252" t="str">
        <f t="shared" si="21"/>
        <v>643641.1</v>
      </c>
      <c r="I252" s="1">
        <v>45761</v>
      </c>
      <c r="J252" s="2">
        <f t="shared" si="22"/>
        <v>-0.45138453059422695</v>
      </c>
      <c r="K252" s="3" t="str">
        <f t="shared" si="23"/>
        <v>Check!</v>
      </c>
      <c r="L252" t="str">
        <f t="shared" si="24"/>
        <v/>
      </c>
      <c r="M252" t="str">
        <f t="shared" si="25"/>
        <v/>
      </c>
      <c r="N252">
        <v>1173209.8999999999</v>
      </c>
      <c r="O252" t="s">
        <v>286</v>
      </c>
      <c r="Q252" t="s">
        <v>19</v>
      </c>
    </row>
    <row r="253" spans="1:17" x14ac:dyDescent="0.3">
      <c r="A253">
        <v>100663638</v>
      </c>
      <c r="B253" t="s">
        <v>287</v>
      </c>
      <c r="C253" t="s">
        <v>19</v>
      </c>
      <c r="D253" t="s">
        <v>288</v>
      </c>
      <c r="E253" s="6">
        <v>120411.02</v>
      </c>
      <c r="F253" t="s">
        <v>643</v>
      </c>
      <c r="G253" s="4" t="str">
        <f t="shared" si="20"/>
        <v>120411.02</v>
      </c>
      <c r="H253" t="str">
        <f t="shared" si="21"/>
        <v>120411.02</v>
      </c>
      <c r="I253" s="1">
        <v>45761</v>
      </c>
      <c r="J253" s="2">
        <f t="shared" si="22"/>
        <v>-7.6696212239832723E-2</v>
      </c>
      <c r="K253" s="3" t="str">
        <f t="shared" si="23"/>
        <v/>
      </c>
      <c r="L253" t="str">
        <f t="shared" si="24"/>
        <v/>
      </c>
      <c r="M253" t="str">
        <f t="shared" si="25"/>
        <v/>
      </c>
      <c r="N253">
        <v>130413.22</v>
      </c>
      <c r="O253" t="s">
        <v>289</v>
      </c>
      <c r="Q253" t="s">
        <v>19</v>
      </c>
    </row>
    <row r="254" spans="1:17" x14ac:dyDescent="0.3">
      <c r="A254">
        <v>100663638</v>
      </c>
      <c r="B254" t="s">
        <v>287</v>
      </c>
      <c r="C254" t="s">
        <v>19</v>
      </c>
      <c r="D254" t="s">
        <v>290</v>
      </c>
      <c r="E254" s="6">
        <v>5194.75</v>
      </c>
      <c r="F254" t="s">
        <v>643</v>
      </c>
      <c r="G254" s="4" t="str">
        <f t="shared" si="20"/>
        <v>5194.75</v>
      </c>
      <c r="H254" t="str">
        <f t="shared" si="21"/>
        <v>5194.75</v>
      </c>
      <c r="I254" s="1">
        <v>45761</v>
      </c>
      <c r="J254" s="2">
        <f t="shared" si="22"/>
        <v>-2.0405584805467142E-2</v>
      </c>
      <c r="K254" s="3" t="str">
        <f t="shared" si="23"/>
        <v/>
      </c>
      <c r="L254" t="str">
        <f t="shared" si="24"/>
        <v/>
      </c>
      <c r="M254" t="str">
        <f t="shared" si="25"/>
        <v/>
      </c>
      <c r="N254">
        <v>5302.96</v>
      </c>
      <c r="O254" t="s">
        <v>291</v>
      </c>
      <c r="Q254" t="s">
        <v>19</v>
      </c>
    </row>
    <row r="255" spans="1:17" x14ac:dyDescent="0.3">
      <c r="A255">
        <v>100663638</v>
      </c>
      <c r="B255" t="s">
        <v>287</v>
      </c>
      <c r="C255" t="s">
        <v>590</v>
      </c>
      <c r="D255" t="s">
        <v>600</v>
      </c>
      <c r="E255" s="6">
        <v>127839.81</v>
      </c>
      <c r="F255" t="s">
        <v>643</v>
      </c>
      <c r="G255" s="4" t="str">
        <f t="shared" si="20"/>
        <v>127839.81</v>
      </c>
      <c r="H255" t="str">
        <f t="shared" si="21"/>
        <v>127839.81</v>
      </c>
      <c r="I255" s="1">
        <v>45761</v>
      </c>
      <c r="J255" s="2">
        <f t="shared" si="22"/>
        <v>-0.20381788079222735</v>
      </c>
      <c r="K255" s="3" t="str">
        <f t="shared" si="23"/>
        <v>Check!</v>
      </c>
      <c r="L255" t="str">
        <f t="shared" si="24"/>
        <v/>
      </c>
      <c r="M255" t="str">
        <f t="shared" si="25"/>
        <v/>
      </c>
      <c r="N255">
        <v>160566.04</v>
      </c>
      <c r="O255" t="s">
        <v>666</v>
      </c>
      <c r="Q255" t="s">
        <v>590</v>
      </c>
    </row>
    <row r="256" spans="1:17" x14ac:dyDescent="0.3">
      <c r="A256">
        <v>100664029</v>
      </c>
      <c r="B256" t="s">
        <v>292</v>
      </c>
      <c r="C256" t="s">
        <v>19</v>
      </c>
      <c r="D256" t="s">
        <v>293</v>
      </c>
      <c r="E256" s="6">
        <v>20748.099999999999</v>
      </c>
      <c r="F256" t="s">
        <v>643</v>
      </c>
      <c r="G256" s="4" t="str">
        <f t="shared" si="20"/>
        <v>20748.1</v>
      </c>
      <c r="H256" t="str">
        <f t="shared" si="21"/>
        <v>20748.1</v>
      </c>
      <c r="I256" s="1">
        <v>45761</v>
      </c>
      <c r="J256" s="2">
        <f t="shared" si="22"/>
        <v>-2.4908697248016955E-2</v>
      </c>
      <c r="K256" s="3" t="str">
        <f t="shared" si="23"/>
        <v/>
      </c>
      <c r="L256" t="str">
        <f t="shared" si="24"/>
        <v/>
      </c>
      <c r="M256" t="str">
        <f t="shared" si="25"/>
        <v/>
      </c>
      <c r="N256">
        <v>21278.11</v>
      </c>
      <c r="O256" t="s">
        <v>294</v>
      </c>
      <c r="Q256" t="s">
        <v>19</v>
      </c>
    </row>
    <row r="257" spans="1:17" x14ac:dyDescent="0.3">
      <c r="A257">
        <v>100664029</v>
      </c>
      <c r="B257" t="s">
        <v>292</v>
      </c>
      <c r="C257" t="s">
        <v>19</v>
      </c>
      <c r="D257" t="s">
        <v>295</v>
      </c>
      <c r="E257" s="6">
        <v>15322.82</v>
      </c>
      <c r="F257" t="s">
        <v>643</v>
      </c>
      <c r="G257" s="4" t="str">
        <f t="shared" si="20"/>
        <v>15322.82</v>
      </c>
      <c r="H257" t="str">
        <f t="shared" si="21"/>
        <v>15322.82</v>
      </c>
      <c r="I257" s="1">
        <v>45761</v>
      </c>
      <c r="J257" s="2">
        <f t="shared" si="22"/>
        <v>-1.2715075102318542E-2</v>
      </c>
      <c r="K257" s="3" t="str">
        <f t="shared" si="23"/>
        <v/>
      </c>
      <c r="L257" t="str">
        <f t="shared" si="24"/>
        <v/>
      </c>
      <c r="M257" t="str">
        <f t="shared" si="25"/>
        <v/>
      </c>
      <c r="N257">
        <v>15520.16</v>
      </c>
      <c r="O257" t="s">
        <v>296</v>
      </c>
      <c r="Q257" t="s">
        <v>19</v>
      </c>
    </row>
    <row r="258" spans="1:17" x14ac:dyDescent="0.3">
      <c r="A258">
        <v>100664292</v>
      </c>
      <c r="B258" t="s">
        <v>297</v>
      </c>
      <c r="C258" t="s">
        <v>590</v>
      </c>
      <c r="D258" t="s">
        <v>298</v>
      </c>
      <c r="E258" s="6">
        <v>26078.53</v>
      </c>
      <c r="F258" t="s">
        <v>643</v>
      </c>
      <c r="G258" s="4" t="str">
        <f t="shared" si="20"/>
        <v>26078.53</v>
      </c>
      <c r="H258" t="str">
        <f t="shared" si="21"/>
        <v>26078.53</v>
      </c>
      <c r="I258" s="1">
        <v>45761</v>
      </c>
      <c r="J258" s="2">
        <f t="shared" si="22"/>
        <v>-6.9184519088004359E-3</v>
      </c>
      <c r="K258" s="3" t="str">
        <f t="shared" si="23"/>
        <v/>
      </c>
      <c r="L258" t="str">
        <f t="shared" si="24"/>
        <v/>
      </c>
      <c r="M258" t="str">
        <f t="shared" si="25"/>
        <v>Check</v>
      </c>
      <c r="N258">
        <v>26260.21</v>
      </c>
      <c r="O258" t="s">
        <v>299</v>
      </c>
      <c r="Q258" t="s">
        <v>16</v>
      </c>
    </row>
    <row r="259" spans="1:17" x14ac:dyDescent="0.3">
      <c r="A259">
        <v>100664292</v>
      </c>
      <c r="B259" t="s">
        <v>297</v>
      </c>
      <c r="C259" t="s">
        <v>19</v>
      </c>
      <c r="D259" t="s">
        <v>300</v>
      </c>
      <c r="E259" s="6">
        <v>46580.86</v>
      </c>
      <c r="F259" t="s">
        <v>643</v>
      </c>
      <c r="G259" s="4" t="str">
        <f t="shared" ref="G259:G322" si="26">SUBSTITUTE(E259,"R","")</f>
        <v>46580.86</v>
      </c>
      <c r="H259" t="str">
        <f t="shared" ref="H259:H322" si="27">SUBSTITUTE(G259,",","")</f>
        <v>46580.86</v>
      </c>
      <c r="I259" s="1">
        <v>45761</v>
      </c>
      <c r="J259" s="2">
        <f t="shared" ref="J259:J322" si="28">(H259-N259)/N259</f>
        <v>-6.9579135148026675E-2</v>
      </c>
      <c r="K259" s="3" t="str">
        <f t="shared" ref="K259:K322" si="29">IF(ABS(J259)&gt;0.1,"Check!","")</f>
        <v/>
      </c>
      <c r="L259" t="str">
        <f t="shared" ref="L259:L322" si="30">IF(LEFT(O259,10)&lt;&gt;LEFT(D259,10),"Check","")</f>
        <v/>
      </c>
      <c r="M259" t="str">
        <f t="shared" ref="M259:M322" si="31">IF(Q259&lt;&gt;C259,"Check","")</f>
        <v/>
      </c>
      <c r="N259">
        <v>50064.29</v>
      </c>
      <c r="O259" t="s">
        <v>301</v>
      </c>
      <c r="Q259" t="s">
        <v>19</v>
      </c>
    </row>
    <row r="260" spans="1:17" x14ac:dyDescent="0.3">
      <c r="A260">
        <v>100664348</v>
      </c>
      <c r="B260" t="s">
        <v>302</v>
      </c>
      <c r="C260" t="s">
        <v>19</v>
      </c>
      <c r="D260" t="s">
        <v>303</v>
      </c>
      <c r="E260" s="6">
        <v>55834.559999999998</v>
      </c>
      <c r="F260" t="s">
        <v>643</v>
      </c>
      <c r="G260" s="4" t="str">
        <f t="shared" si="26"/>
        <v>55834.56</v>
      </c>
      <c r="H260" t="str">
        <f t="shared" si="27"/>
        <v>55834.56</v>
      </c>
      <c r="I260" s="1">
        <v>45761</v>
      </c>
      <c r="J260" s="2">
        <f t="shared" si="28"/>
        <v>-2.1659286635324251E-2</v>
      </c>
      <c r="K260" s="3" t="str">
        <f t="shared" si="29"/>
        <v/>
      </c>
      <c r="L260" t="str">
        <f t="shared" si="30"/>
        <v/>
      </c>
      <c r="M260" t="str">
        <f t="shared" si="31"/>
        <v/>
      </c>
      <c r="N260">
        <v>57070.67</v>
      </c>
      <c r="O260" t="s">
        <v>304</v>
      </c>
      <c r="Q260" t="s">
        <v>19</v>
      </c>
    </row>
    <row r="261" spans="1:17" x14ac:dyDescent="0.3">
      <c r="A261">
        <v>100664351</v>
      </c>
      <c r="B261" t="s">
        <v>305</v>
      </c>
      <c r="C261" t="s">
        <v>19</v>
      </c>
      <c r="D261" t="s">
        <v>306</v>
      </c>
      <c r="E261" s="6">
        <v>489.47</v>
      </c>
      <c r="F261" t="s">
        <v>643</v>
      </c>
      <c r="G261" s="4" t="str">
        <f t="shared" si="26"/>
        <v>489.47</v>
      </c>
      <c r="H261" t="str">
        <f t="shared" si="27"/>
        <v>489.47</v>
      </c>
      <c r="I261" s="1">
        <v>45761</v>
      </c>
      <c r="J261" s="2">
        <f t="shared" si="28"/>
        <v>-2.0413472892108767E-2</v>
      </c>
      <c r="K261" s="3" t="str">
        <f t="shared" si="29"/>
        <v/>
      </c>
      <c r="L261" t="str">
        <f t="shared" si="30"/>
        <v/>
      </c>
      <c r="M261" t="str">
        <f t="shared" si="31"/>
        <v/>
      </c>
      <c r="N261">
        <v>499.67</v>
      </c>
      <c r="O261" t="s">
        <v>307</v>
      </c>
      <c r="Q261" t="s">
        <v>19</v>
      </c>
    </row>
    <row r="262" spans="1:17" x14ac:dyDescent="0.3">
      <c r="A262">
        <v>100664601</v>
      </c>
      <c r="B262" t="s">
        <v>308</v>
      </c>
      <c r="C262" t="s">
        <v>623</v>
      </c>
      <c r="D262" t="s">
        <v>309</v>
      </c>
      <c r="E262" s="6">
        <v>838471.32</v>
      </c>
      <c r="F262" t="s">
        <v>643</v>
      </c>
      <c r="G262" s="4" t="str">
        <f t="shared" si="26"/>
        <v>838471.32</v>
      </c>
      <c r="H262" t="str">
        <f t="shared" si="27"/>
        <v>838471.32</v>
      </c>
      <c r="I262" s="1">
        <v>45761</v>
      </c>
      <c r="J262" s="2">
        <f t="shared" si="28"/>
        <v>-2.4889996328181133E-2</v>
      </c>
      <c r="K262" s="3" t="str">
        <f t="shared" si="29"/>
        <v/>
      </c>
      <c r="L262" t="str">
        <f t="shared" si="30"/>
        <v/>
      </c>
      <c r="M262" t="str">
        <f t="shared" si="31"/>
        <v>Check</v>
      </c>
      <c r="N262">
        <v>859873.57</v>
      </c>
      <c r="O262" t="s">
        <v>310</v>
      </c>
      <c r="Q262" t="s">
        <v>164</v>
      </c>
    </row>
    <row r="263" spans="1:17" x14ac:dyDescent="0.3">
      <c r="A263">
        <v>100664601</v>
      </c>
      <c r="B263" t="s">
        <v>308</v>
      </c>
      <c r="C263" t="s">
        <v>611</v>
      </c>
      <c r="D263" t="s">
        <v>311</v>
      </c>
      <c r="E263" s="6">
        <v>259398.65</v>
      </c>
      <c r="F263" t="s">
        <v>643</v>
      </c>
      <c r="G263" s="4" t="str">
        <f t="shared" si="26"/>
        <v>259398.65</v>
      </c>
      <c r="H263" t="str">
        <f t="shared" si="27"/>
        <v>259398.65</v>
      </c>
      <c r="I263" s="1">
        <v>45761</v>
      </c>
      <c r="J263" s="2">
        <f t="shared" si="28"/>
        <v>-2.5000449163657359E-2</v>
      </c>
      <c r="K263" s="3" t="str">
        <f t="shared" si="29"/>
        <v/>
      </c>
      <c r="L263" t="str">
        <f t="shared" si="30"/>
        <v/>
      </c>
      <c r="M263" t="str">
        <f t="shared" si="31"/>
        <v>Check</v>
      </c>
      <c r="N263">
        <v>266050.02</v>
      </c>
      <c r="O263" t="s">
        <v>312</v>
      </c>
      <c r="Q263" t="s">
        <v>41</v>
      </c>
    </row>
    <row r="264" spans="1:17" x14ac:dyDescent="0.3">
      <c r="A264">
        <v>100664601</v>
      </c>
      <c r="B264" t="s">
        <v>308</v>
      </c>
      <c r="C264" t="s">
        <v>622</v>
      </c>
      <c r="D264" t="s">
        <v>630</v>
      </c>
      <c r="E264" s="6">
        <v>12765.09</v>
      </c>
      <c r="F264" t="s">
        <v>643</v>
      </c>
      <c r="G264" s="4" t="str">
        <f t="shared" si="26"/>
        <v>12765.09</v>
      </c>
      <c r="H264" t="str">
        <f t="shared" si="27"/>
        <v>12765.09</v>
      </c>
      <c r="I264" s="1">
        <v>45761</v>
      </c>
      <c r="J264" s="2">
        <f t="shared" si="28"/>
        <v>-1.0833869305457577E-2</v>
      </c>
      <c r="K264" s="3" t="str">
        <f t="shared" si="29"/>
        <v/>
      </c>
      <c r="L264" t="str">
        <f t="shared" si="30"/>
        <v/>
      </c>
      <c r="M264" t="str">
        <f t="shared" si="31"/>
        <v/>
      </c>
      <c r="N264">
        <v>12904.9</v>
      </c>
      <c r="O264" t="s">
        <v>667</v>
      </c>
      <c r="Q264" t="s">
        <v>622</v>
      </c>
    </row>
    <row r="265" spans="1:17" x14ac:dyDescent="0.3">
      <c r="A265">
        <v>100664601</v>
      </c>
      <c r="B265" t="s">
        <v>308</v>
      </c>
      <c r="C265" t="s">
        <v>606</v>
      </c>
      <c r="D265" t="s">
        <v>631</v>
      </c>
      <c r="E265" s="6">
        <v>12828.02</v>
      </c>
      <c r="F265" t="s">
        <v>643</v>
      </c>
      <c r="G265" s="4" t="str">
        <f t="shared" si="26"/>
        <v>12828.02</v>
      </c>
      <c r="H265" t="str">
        <f t="shared" si="27"/>
        <v>12828.02</v>
      </c>
      <c r="I265" s="1">
        <v>45761</v>
      </c>
      <c r="J265" s="2">
        <f t="shared" si="28"/>
        <v>-1.188235040378117E-2</v>
      </c>
      <c r="K265" s="3" t="str">
        <f t="shared" si="29"/>
        <v/>
      </c>
      <c r="L265" t="str">
        <f t="shared" si="30"/>
        <v/>
      </c>
      <c r="M265" t="str">
        <f t="shared" si="31"/>
        <v/>
      </c>
      <c r="N265">
        <v>12982.28</v>
      </c>
      <c r="O265" t="s">
        <v>668</v>
      </c>
      <c r="Q265" t="s">
        <v>606</v>
      </c>
    </row>
    <row r="266" spans="1:17" x14ac:dyDescent="0.3">
      <c r="A266">
        <v>100664737</v>
      </c>
      <c r="B266" t="s">
        <v>313</v>
      </c>
      <c r="C266" t="s">
        <v>19</v>
      </c>
      <c r="D266" t="s">
        <v>314</v>
      </c>
      <c r="E266" s="6">
        <v>27240.09</v>
      </c>
      <c r="F266" t="s">
        <v>643</v>
      </c>
      <c r="G266" s="4" t="str">
        <f t="shared" si="26"/>
        <v>27240.09</v>
      </c>
      <c r="H266" t="str">
        <f t="shared" si="27"/>
        <v>27240.09</v>
      </c>
      <c r="I266" s="1">
        <v>45761</v>
      </c>
      <c r="J266" s="2">
        <f t="shared" si="28"/>
        <v>-9.2902373585815115E-3</v>
      </c>
      <c r="K266" s="3" t="str">
        <f t="shared" si="29"/>
        <v/>
      </c>
      <c r="L266" t="str">
        <f t="shared" si="30"/>
        <v/>
      </c>
      <c r="M266" t="str">
        <f t="shared" si="31"/>
        <v/>
      </c>
      <c r="N266">
        <v>27495.53</v>
      </c>
      <c r="O266" t="s">
        <v>315</v>
      </c>
      <c r="Q266" t="s">
        <v>19</v>
      </c>
    </row>
    <row r="267" spans="1:17" x14ac:dyDescent="0.3">
      <c r="A267">
        <v>100664737</v>
      </c>
      <c r="B267" t="s">
        <v>313</v>
      </c>
      <c r="C267" t="s">
        <v>19</v>
      </c>
      <c r="D267" t="s">
        <v>316</v>
      </c>
      <c r="E267" s="6">
        <v>8420.34</v>
      </c>
      <c r="F267" t="s">
        <v>643</v>
      </c>
      <c r="G267" s="4" t="str">
        <f t="shared" si="26"/>
        <v>8420.34</v>
      </c>
      <c r="H267" t="str">
        <f t="shared" si="27"/>
        <v>8420.34</v>
      </c>
      <c r="I267" s="1">
        <v>45761</v>
      </c>
      <c r="J267" s="2">
        <f t="shared" si="28"/>
        <v>6.0227504889526972E-3</v>
      </c>
      <c r="K267" s="3" t="str">
        <f t="shared" si="29"/>
        <v/>
      </c>
      <c r="L267" t="str">
        <f t="shared" si="30"/>
        <v/>
      </c>
      <c r="M267" t="str">
        <f t="shared" si="31"/>
        <v/>
      </c>
      <c r="N267">
        <v>8369.93</v>
      </c>
      <c r="O267" t="s">
        <v>317</v>
      </c>
      <c r="Q267" t="s">
        <v>19</v>
      </c>
    </row>
    <row r="268" spans="1:17" x14ac:dyDescent="0.3">
      <c r="A268">
        <v>100665510</v>
      </c>
      <c r="B268" t="s">
        <v>318</v>
      </c>
      <c r="C268" t="s">
        <v>19</v>
      </c>
      <c r="D268" t="s">
        <v>319</v>
      </c>
      <c r="E268" s="6">
        <v>4977.55</v>
      </c>
      <c r="F268" t="s">
        <v>643</v>
      </c>
      <c r="G268" s="4" t="str">
        <f t="shared" si="26"/>
        <v>4977.55</v>
      </c>
      <c r="H268" t="str">
        <f t="shared" si="27"/>
        <v>4977.55</v>
      </c>
      <c r="I268" s="1">
        <v>45761</v>
      </c>
      <c r="J268" s="2">
        <f t="shared" si="28"/>
        <v>-1.4824651851375178E-3</v>
      </c>
      <c r="K268" s="3" t="str">
        <f t="shared" si="29"/>
        <v/>
      </c>
      <c r="L268" t="str">
        <f t="shared" si="30"/>
        <v/>
      </c>
      <c r="M268" t="str">
        <f t="shared" si="31"/>
        <v/>
      </c>
      <c r="N268">
        <v>4984.9399999999996</v>
      </c>
      <c r="O268" t="s">
        <v>320</v>
      </c>
      <c r="Q268" t="s">
        <v>19</v>
      </c>
    </row>
    <row r="269" spans="1:17" x14ac:dyDescent="0.3">
      <c r="A269">
        <v>100665581</v>
      </c>
      <c r="B269" t="s">
        <v>321</v>
      </c>
      <c r="C269" t="s">
        <v>590</v>
      </c>
      <c r="D269" t="s">
        <v>639</v>
      </c>
      <c r="E269" s="6">
        <v>141921.60999999999</v>
      </c>
      <c r="F269" t="s">
        <v>643</v>
      </c>
      <c r="G269" s="4" t="str">
        <f t="shared" si="26"/>
        <v>141921.61</v>
      </c>
      <c r="H269" t="str">
        <f t="shared" si="27"/>
        <v>141921.61</v>
      </c>
      <c r="I269" s="1">
        <v>45761</v>
      </c>
      <c r="J269" s="2">
        <f t="shared" si="28"/>
        <v>0.21996799855310945</v>
      </c>
      <c r="K269" s="3" t="str">
        <f t="shared" si="29"/>
        <v>Check!</v>
      </c>
      <c r="L269" t="str">
        <f t="shared" si="30"/>
        <v/>
      </c>
      <c r="M269" t="str">
        <f t="shared" si="31"/>
        <v/>
      </c>
      <c r="N269">
        <v>116332.24</v>
      </c>
      <c r="O269" t="s">
        <v>673</v>
      </c>
      <c r="Q269" t="s">
        <v>590</v>
      </c>
    </row>
    <row r="270" spans="1:17" x14ac:dyDescent="0.3">
      <c r="A270">
        <v>100665581</v>
      </c>
      <c r="B270" t="s">
        <v>321</v>
      </c>
      <c r="C270" t="s">
        <v>19</v>
      </c>
      <c r="D270" t="s">
        <v>695</v>
      </c>
      <c r="E270" s="6">
        <v>92734.23</v>
      </c>
      <c r="F270" t="s">
        <v>643</v>
      </c>
      <c r="G270" s="4" t="str">
        <f t="shared" si="26"/>
        <v>92734.23</v>
      </c>
      <c r="H270" t="str">
        <f t="shared" si="27"/>
        <v>92734.23</v>
      </c>
      <c r="I270" s="1">
        <v>45761</v>
      </c>
      <c r="J270" s="2">
        <f t="shared" si="28"/>
        <v>-0.20285012993818402</v>
      </c>
      <c r="K270" s="3" t="str">
        <f t="shared" si="29"/>
        <v>Check!</v>
      </c>
      <c r="L270" t="str">
        <f t="shared" si="30"/>
        <v/>
      </c>
      <c r="M270" t="str">
        <f t="shared" si="31"/>
        <v/>
      </c>
      <c r="N270">
        <v>116332.24</v>
      </c>
      <c r="O270" t="s">
        <v>696</v>
      </c>
      <c r="Q270" t="s">
        <v>19</v>
      </c>
    </row>
    <row r="271" spans="1:17" x14ac:dyDescent="0.3">
      <c r="A271">
        <v>100666150</v>
      </c>
      <c r="B271" t="s">
        <v>324</v>
      </c>
      <c r="C271" t="s">
        <v>19</v>
      </c>
      <c r="D271" t="s">
        <v>325</v>
      </c>
      <c r="E271" s="6">
        <v>80971.399999999994</v>
      </c>
      <c r="F271" t="s">
        <v>643</v>
      </c>
      <c r="G271" s="4" t="str">
        <f t="shared" si="26"/>
        <v>80971.4</v>
      </c>
      <c r="H271" t="str">
        <f t="shared" si="27"/>
        <v>80971.4</v>
      </c>
      <c r="I271" s="1">
        <v>45761</v>
      </c>
      <c r="J271" s="2">
        <f t="shared" si="28"/>
        <v>-3.5738392262985426E-2</v>
      </c>
      <c r="K271" s="3" t="str">
        <f t="shared" si="29"/>
        <v/>
      </c>
      <c r="L271" t="str">
        <f t="shared" si="30"/>
        <v/>
      </c>
      <c r="M271" t="str">
        <f t="shared" si="31"/>
        <v/>
      </c>
      <c r="N271">
        <v>83972.44</v>
      </c>
      <c r="O271" t="s">
        <v>326</v>
      </c>
      <c r="Q271" t="s">
        <v>19</v>
      </c>
    </row>
    <row r="272" spans="1:17" x14ac:dyDescent="0.3">
      <c r="A272">
        <v>100668409</v>
      </c>
      <c r="B272" t="s">
        <v>327</v>
      </c>
      <c r="C272" t="s">
        <v>590</v>
      </c>
      <c r="D272" t="s">
        <v>328</v>
      </c>
      <c r="E272" s="6">
        <v>4415.67</v>
      </c>
      <c r="F272" t="s">
        <v>643</v>
      </c>
      <c r="G272" s="4" t="str">
        <f t="shared" si="26"/>
        <v>4415.67</v>
      </c>
      <c r="H272" t="str">
        <f t="shared" si="27"/>
        <v>4415.67</v>
      </c>
      <c r="I272" s="1">
        <v>45761</v>
      </c>
      <c r="J272" s="2">
        <f t="shared" si="28"/>
        <v>8.7679820162703658E-3</v>
      </c>
      <c r="K272" s="3" t="str">
        <f t="shared" si="29"/>
        <v/>
      </c>
      <c r="L272" t="str">
        <f t="shared" si="30"/>
        <v/>
      </c>
      <c r="M272" t="str">
        <f t="shared" si="31"/>
        <v>Check</v>
      </c>
      <c r="N272">
        <v>4377.29</v>
      </c>
      <c r="O272" t="s">
        <v>329</v>
      </c>
      <c r="Q272" t="s">
        <v>16</v>
      </c>
    </row>
    <row r="273" spans="1:17" x14ac:dyDescent="0.3">
      <c r="A273">
        <v>100668534</v>
      </c>
      <c r="B273" t="s">
        <v>330</v>
      </c>
      <c r="C273" t="s">
        <v>590</v>
      </c>
      <c r="D273" t="s">
        <v>331</v>
      </c>
      <c r="E273" s="6">
        <v>4107.12</v>
      </c>
      <c r="F273" t="s">
        <v>643</v>
      </c>
      <c r="G273" s="4" t="str">
        <f t="shared" si="26"/>
        <v>4107.12</v>
      </c>
      <c r="H273" t="str">
        <f t="shared" si="27"/>
        <v>4107.12</v>
      </c>
      <c r="I273" s="1">
        <v>45761</v>
      </c>
      <c r="J273" s="2">
        <f t="shared" si="28"/>
        <v>5.0532611275746772E-3</v>
      </c>
      <c r="K273" s="3" t="str">
        <f t="shared" si="29"/>
        <v/>
      </c>
      <c r="L273" t="str">
        <f t="shared" si="30"/>
        <v/>
      </c>
      <c r="M273" t="str">
        <f t="shared" si="31"/>
        <v>Check</v>
      </c>
      <c r="N273">
        <v>4086.47</v>
      </c>
      <c r="O273" t="s">
        <v>332</v>
      </c>
      <c r="Q273" t="s">
        <v>16</v>
      </c>
    </row>
    <row r="274" spans="1:17" x14ac:dyDescent="0.3">
      <c r="A274">
        <v>100669580</v>
      </c>
      <c r="B274" t="s">
        <v>333</v>
      </c>
      <c r="C274" t="s">
        <v>19</v>
      </c>
      <c r="D274" t="s">
        <v>334</v>
      </c>
      <c r="E274" s="6">
        <v>13899.72</v>
      </c>
      <c r="F274" t="s">
        <v>643</v>
      </c>
      <c r="G274" s="4" t="str">
        <f t="shared" si="26"/>
        <v>13899.72</v>
      </c>
      <c r="H274" t="str">
        <f t="shared" si="27"/>
        <v>13899.72</v>
      </c>
      <c r="I274" s="1">
        <v>45761</v>
      </c>
      <c r="J274" s="2">
        <f t="shared" si="28"/>
        <v>-6.8216294312546779E-3</v>
      </c>
      <c r="K274" s="3" t="str">
        <f t="shared" si="29"/>
        <v/>
      </c>
      <c r="L274" t="str">
        <f t="shared" si="30"/>
        <v/>
      </c>
      <c r="M274" t="str">
        <f t="shared" si="31"/>
        <v/>
      </c>
      <c r="N274">
        <v>13995.19</v>
      </c>
      <c r="O274" t="s">
        <v>335</v>
      </c>
      <c r="Q274" t="s">
        <v>19</v>
      </c>
    </row>
    <row r="275" spans="1:17" x14ac:dyDescent="0.3">
      <c r="A275">
        <v>100670671</v>
      </c>
      <c r="B275" t="s">
        <v>336</v>
      </c>
      <c r="C275" t="s">
        <v>590</v>
      </c>
      <c r="D275" t="s">
        <v>337</v>
      </c>
      <c r="E275" s="6">
        <v>62542.2</v>
      </c>
      <c r="F275" t="s">
        <v>643</v>
      </c>
      <c r="G275" s="4" t="str">
        <f t="shared" si="26"/>
        <v>62542.2</v>
      </c>
      <c r="H275" t="str">
        <f t="shared" si="27"/>
        <v>62542.2</v>
      </c>
      <c r="I275" s="1">
        <v>45761</v>
      </c>
      <c r="J275" s="2">
        <f t="shared" si="28"/>
        <v>-5.1107574699969854E-3</v>
      </c>
      <c r="K275" s="3" t="str">
        <f t="shared" si="29"/>
        <v/>
      </c>
      <c r="L275" t="str">
        <f t="shared" si="30"/>
        <v/>
      </c>
      <c r="M275" t="str">
        <f t="shared" si="31"/>
        <v>Check</v>
      </c>
      <c r="N275">
        <v>62863.48</v>
      </c>
      <c r="O275" t="s">
        <v>338</v>
      </c>
      <c r="Q275" t="s">
        <v>16</v>
      </c>
    </row>
    <row r="276" spans="1:17" x14ac:dyDescent="0.3">
      <c r="A276">
        <v>100670671</v>
      </c>
      <c r="B276" t="s">
        <v>336</v>
      </c>
      <c r="C276" t="s">
        <v>611</v>
      </c>
      <c r="D276" t="s">
        <v>339</v>
      </c>
      <c r="E276" s="6">
        <v>52751.09</v>
      </c>
      <c r="F276" t="s">
        <v>643</v>
      </c>
      <c r="G276" s="4" t="str">
        <f t="shared" si="26"/>
        <v>52751.09</v>
      </c>
      <c r="H276" t="str">
        <f t="shared" si="27"/>
        <v>52751.09</v>
      </c>
      <c r="I276" s="1">
        <v>45761</v>
      </c>
      <c r="J276" s="2">
        <f t="shared" si="28"/>
        <v>-2.2604513380128862E-2</v>
      </c>
      <c r="K276" s="3" t="str">
        <f t="shared" si="29"/>
        <v/>
      </c>
      <c r="L276" t="str">
        <f t="shared" si="30"/>
        <v/>
      </c>
      <c r="M276" t="str">
        <f t="shared" si="31"/>
        <v>Check</v>
      </c>
      <c r="N276">
        <v>53971.08</v>
      </c>
      <c r="O276" t="s">
        <v>340</v>
      </c>
      <c r="Q276" t="s">
        <v>41</v>
      </c>
    </row>
    <row r="277" spans="1:17" x14ac:dyDescent="0.3">
      <c r="A277">
        <v>100670671</v>
      </c>
      <c r="B277" t="s">
        <v>336</v>
      </c>
      <c r="C277" t="s">
        <v>606</v>
      </c>
      <c r="D277" t="s">
        <v>633</v>
      </c>
      <c r="E277" s="6">
        <v>6683.79</v>
      </c>
      <c r="F277" t="s">
        <v>643</v>
      </c>
      <c r="G277" s="4" t="str">
        <f t="shared" si="26"/>
        <v>6683.79</v>
      </c>
      <c r="H277" t="str">
        <f t="shared" si="27"/>
        <v>6683.79</v>
      </c>
      <c r="I277" s="1">
        <v>45761</v>
      </c>
      <c r="J277" s="2">
        <f t="shared" si="28"/>
        <v>-6.0805867342387035E-3</v>
      </c>
      <c r="K277" s="3" t="str">
        <f t="shared" si="29"/>
        <v/>
      </c>
      <c r="L277" t="str">
        <f t="shared" si="30"/>
        <v/>
      </c>
      <c r="M277" t="str">
        <f t="shared" si="31"/>
        <v/>
      </c>
      <c r="N277">
        <v>6724.68</v>
      </c>
      <c r="O277" t="s">
        <v>671</v>
      </c>
      <c r="Q277" t="s">
        <v>606</v>
      </c>
    </row>
    <row r="278" spans="1:17" x14ac:dyDescent="0.3">
      <c r="A278">
        <v>100670671</v>
      </c>
      <c r="B278" t="s">
        <v>336</v>
      </c>
      <c r="C278" t="s">
        <v>609</v>
      </c>
      <c r="D278" t="s">
        <v>634</v>
      </c>
      <c r="E278" s="6">
        <v>1060.7</v>
      </c>
      <c r="F278" t="s">
        <v>643</v>
      </c>
      <c r="G278" s="4" t="str">
        <f t="shared" si="26"/>
        <v>1060.7</v>
      </c>
      <c r="H278" t="str">
        <f t="shared" si="27"/>
        <v>1060.7</v>
      </c>
      <c r="I278" s="1">
        <v>45761</v>
      </c>
      <c r="J278" s="2">
        <f t="shared" si="28"/>
        <v>0.29440478369638168</v>
      </c>
      <c r="K278" s="3" t="str">
        <f t="shared" si="29"/>
        <v>Check!</v>
      </c>
      <c r="L278" t="str">
        <f t="shared" si="30"/>
        <v/>
      </c>
      <c r="M278" t="str">
        <f t="shared" si="31"/>
        <v/>
      </c>
      <c r="N278">
        <v>819.45</v>
      </c>
      <c r="O278" t="s">
        <v>670</v>
      </c>
      <c r="Q278" t="s">
        <v>609</v>
      </c>
    </row>
    <row r="279" spans="1:17" x14ac:dyDescent="0.3">
      <c r="A279">
        <v>100672294</v>
      </c>
      <c r="B279" t="s">
        <v>341</v>
      </c>
      <c r="C279" t="s">
        <v>590</v>
      </c>
      <c r="D279" t="s">
        <v>342</v>
      </c>
      <c r="E279" s="6">
        <v>16650.41</v>
      </c>
      <c r="F279" t="s">
        <v>643</v>
      </c>
      <c r="G279" s="4" t="str">
        <f t="shared" si="26"/>
        <v>16650.41</v>
      </c>
      <c r="H279" t="str">
        <f t="shared" si="27"/>
        <v>16650.41</v>
      </c>
      <c r="I279" s="1">
        <v>45761</v>
      </c>
      <c r="J279" s="2">
        <f t="shared" si="28"/>
        <v>-0.13055368006938692</v>
      </c>
      <c r="K279" s="3" t="str">
        <f t="shared" si="29"/>
        <v>Check!</v>
      </c>
      <c r="L279" t="str">
        <f t="shared" si="30"/>
        <v/>
      </c>
      <c r="M279" t="str">
        <f t="shared" si="31"/>
        <v>Check</v>
      </c>
      <c r="N279">
        <v>19150.59</v>
      </c>
      <c r="O279" t="s">
        <v>343</v>
      </c>
      <c r="Q279" t="s">
        <v>16</v>
      </c>
    </row>
    <row r="280" spans="1:17" x14ac:dyDescent="0.3">
      <c r="A280">
        <v>100672395</v>
      </c>
      <c r="B280" t="s">
        <v>344</v>
      </c>
      <c r="C280" t="s">
        <v>590</v>
      </c>
      <c r="D280" t="s">
        <v>345</v>
      </c>
      <c r="E280" s="6">
        <v>982.42</v>
      </c>
      <c r="F280" t="s">
        <v>643</v>
      </c>
      <c r="G280" s="4" t="str">
        <f t="shared" si="26"/>
        <v>982.42</v>
      </c>
      <c r="H280" t="str">
        <f t="shared" si="27"/>
        <v>982.42</v>
      </c>
      <c r="I280" s="1">
        <v>45761</v>
      </c>
      <c r="J280" s="2">
        <f t="shared" si="28"/>
        <v>-0.67178270747026592</v>
      </c>
      <c r="K280" s="3" t="str">
        <f t="shared" si="29"/>
        <v>Check!</v>
      </c>
      <c r="L280" t="str">
        <f t="shared" si="30"/>
        <v/>
      </c>
      <c r="M280" t="str">
        <f t="shared" si="31"/>
        <v>Check</v>
      </c>
      <c r="N280">
        <v>2993.2</v>
      </c>
      <c r="O280" t="s">
        <v>346</v>
      </c>
      <c r="Q280" t="s">
        <v>16</v>
      </c>
    </row>
    <row r="281" spans="1:17" x14ac:dyDescent="0.3">
      <c r="A281">
        <v>100675336</v>
      </c>
      <c r="B281" t="s">
        <v>347</v>
      </c>
      <c r="C281" t="s">
        <v>19</v>
      </c>
      <c r="D281" t="s">
        <v>348</v>
      </c>
      <c r="E281" s="6">
        <v>713.15</v>
      </c>
      <c r="F281" t="s">
        <v>643</v>
      </c>
      <c r="G281" s="4" t="str">
        <f t="shared" si="26"/>
        <v>713.15</v>
      </c>
      <c r="H281" t="str">
        <f t="shared" si="27"/>
        <v>713.15</v>
      </c>
      <c r="I281" s="1">
        <v>45761</v>
      </c>
      <c r="J281" s="2">
        <f t="shared" si="28"/>
        <v>-0.79020927591826651</v>
      </c>
      <c r="K281" s="3" t="str">
        <f t="shared" si="29"/>
        <v>Check!</v>
      </c>
      <c r="L281" t="str">
        <f t="shared" si="30"/>
        <v/>
      </c>
      <c r="M281" t="str">
        <f t="shared" si="31"/>
        <v/>
      </c>
      <c r="N281">
        <v>3399.34</v>
      </c>
      <c r="O281" t="s">
        <v>349</v>
      </c>
      <c r="Q281" t="s">
        <v>19</v>
      </c>
    </row>
    <row r="282" spans="1:17" x14ac:dyDescent="0.3">
      <c r="A282">
        <v>100677278</v>
      </c>
      <c r="B282" t="s">
        <v>350</v>
      </c>
      <c r="C282" t="s">
        <v>19</v>
      </c>
      <c r="D282" t="s">
        <v>351</v>
      </c>
      <c r="E282" s="6">
        <v>43274.19</v>
      </c>
      <c r="F282" t="s">
        <v>643</v>
      </c>
      <c r="G282" s="4" t="str">
        <f t="shared" si="26"/>
        <v>43274.19</v>
      </c>
      <c r="H282" t="str">
        <f t="shared" si="27"/>
        <v>43274.19</v>
      </c>
      <c r="I282" s="1">
        <v>45761</v>
      </c>
      <c r="J282" s="2">
        <f t="shared" si="28"/>
        <v>-6.2673294970268065E-2</v>
      </c>
      <c r="K282" s="3" t="str">
        <f t="shared" si="29"/>
        <v/>
      </c>
      <c r="L282" t="str">
        <f t="shared" si="30"/>
        <v/>
      </c>
      <c r="M282" t="str">
        <f t="shared" si="31"/>
        <v/>
      </c>
      <c r="N282">
        <v>46167.67</v>
      </c>
      <c r="O282" t="s">
        <v>352</v>
      </c>
      <c r="Q282" t="s">
        <v>19</v>
      </c>
    </row>
    <row r="283" spans="1:17" x14ac:dyDescent="0.3">
      <c r="A283">
        <v>100677585</v>
      </c>
      <c r="B283" t="s">
        <v>353</v>
      </c>
      <c r="C283" t="s">
        <v>19</v>
      </c>
      <c r="D283" t="s">
        <v>354</v>
      </c>
      <c r="E283" s="6">
        <v>4185.22</v>
      </c>
      <c r="F283" t="s">
        <v>643</v>
      </c>
      <c r="G283" s="4" t="str">
        <f t="shared" si="26"/>
        <v>4185.22</v>
      </c>
      <c r="H283" t="str">
        <f t="shared" si="27"/>
        <v>4185.22</v>
      </c>
      <c r="I283" s="1">
        <v>45761</v>
      </c>
      <c r="J283" s="2">
        <f t="shared" si="28"/>
        <v>-0.11947756311131016</v>
      </c>
      <c r="K283" s="3" t="str">
        <f t="shared" si="29"/>
        <v>Check!</v>
      </c>
      <c r="L283" t="str">
        <f t="shared" si="30"/>
        <v/>
      </c>
      <c r="M283" t="str">
        <f t="shared" si="31"/>
        <v/>
      </c>
      <c r="N283">
        <v>4753.1099999999997</v>
      </c>
      <c r="O283" t="s">
        <v>355</v>
      </c>
      <c r="Q283" t="s">
        <v>19</v>
      </c>
    </row>
    <row r="284" spans="1:17" x14ac:dyDescent="0.3">
      <c r="A284">
        <v>100706842</v>
      </c>
      <c r="B284" t="s">
        <v>356</v>
      </c>
      <c r="C284" t="s">
        <v>19</v>
      </c>
      <c r="D284" t="s">
        <v>357</v>
      </c>
      <c r="E284" s="6">
        <v>53006.559999999998</v>
      </c>
      <c r="F284" t="s">
        <v>643</v>
      </c>
      <c r="G284" s="4" t="str">
        <f t="shared" si="26"/>
        <v>53006.56</v>
      </c>
      <c r="H284" t="str">
        <f t="shared" si="27"/>
        <v>53006.56</v>
      </c>
      <c r="I284" s="1">
        <v>45761</v>
      </c>
      <c r="J284" s="2">
        <f t="shared" si="28"/>
        <v>-5.1700357512655046E-3</v>
      </c>
      <c r="K284" s="3" t="str">
        <f t="shared" si="29"/>
        <v/>
      </c>
      <c r="L284" t="str">
        <f t="shared" si="30"/>
        <v/>
      </c>
      <c r="M284" t="str">
        <f t="shared" si="31"/>
        <v/>
      </c>
      <c r="N284">
        <v>53282.03</v>
      </c>
      <c r="O284" t="s">
        <v>358</v>
      </c>
      <c r="Q284" t="s">
        <v>19</v>
      </c>
    </row>
    <row r="285" spans="1:17" x14ac:dyDescent="0.3">
      <c r="A285">
        <v>100711105</v>
      </c>
      <c r="B285" t="s">
        <v>359</v>
      </c>
      <c r="C285" t="s">
        <v>590</v>
      </c>
      <c r="D285" t="s">
        <v>360</v>
      </c>
      <c r="E285" s="6">
        <v>176.24</v>
      </c>
      <c r="F285" t="s">
        <v>643</v>
      </c>
      <c r="G285" s="4" t="str">
        <f t="shared" si="26"/>
        <v>176.24</v>
      </c>
      <c r="H285" t="str">
        <f t="shared" si="27"/>
        <v>176.24</v>
      </c>
      <c r="I285" s="1">
        <v>45761</v>
      </c>
      <c r="J285" s="2">
        <f t="shared" si="28"/>
        <v>1.9898800386606557E-3</v>
      </c>
      <c r="K285" s="3" t="str">
        <f t="shared" si="29"/>
        <v/>
      </c>
      <c r="L285" t="str">
        <f t="shared" si="30"/>
        <v/>
      </c>
      <c r="M285" t="str">
        <f t="shared" si="31"/>
        <v>Check</v>
      </c>
      <c r="N285">
        <v>175.89</v>
      </c>
      <c r="O285" t="s">
        <v>361</v>
      </c>
      <c r="Q285" t="s">
        <v>16</v>
      </c>
    </row>
    <row r="286" spans="1:17" x14ac:dyDescent="0.3">
      <c r="A286">
        <v>100786852</v>
      </c>
      <c r="B286" t="s">
        <v>636</v>
      </c>
      <c r="C286" t="s">
        <v>19</v>
      </c>
      <c r="D286" t="s">
        <v>637</v>
      </c>
      <c r="E286" s="6">
        <v>72553.75</v>
      </c>
      <c r="F286" t="s">
        <v>643</v>
      </c>
      <c r="G286" s="4" t="str">
        <f t="shared" si="26"/>
        <v>72553.75</v>
      </c>
      <c r="H286" t="str">
        <f t="shared" si="27"/>
        <v>72553.75</v>
      </c>
      <c r="I286" s="1">
        <v>45761</v>
      </c>
      <c r="J286" s="2">
        <f t="shared" si="28"/>
        <v>-3.6802594166100051E-2</v>
      </c>
      <c r="K286" s="3" t="str">
        <f t="shared" si="29"/>
        <v/>
      </c>
      <c r="L286" t="str">
        <f t="shared" si="30"/>
        <v/>
      </c>
      <c r="M286" t="str">
        <f t="shared" si="31"/>
        <v/>
      </c>
      <c r="N286">
        <v>75325.94</v>
      </c>
      <c r="O286" t="s">
        <v>674</v>
      </c>
      <c r="Q286" t="s">
        <v>19</v>
      </c>
    </row>
    <row r="287" spans="1:17" x14ac:dyDescent="0.3">
      <c r="A287">
        <v>100799345</v>
      </c>
      <c r="B287" t="s">
        <v>640</v>
      </c>
      <c r="C287" t="s">
        <v>590</v>
      </c>
      <c r="D287" t="s">
        <v>641</v>
      </c>
      <c r="E287" s="6">
        <v>224928.08</v>
      </c>
      <c r="F287" t="s">
        <v>643</v>
      </c>
      <c r="G287" s="4" t="str">
        <f t="shared" si="26"/>
        <v>224928.08</v>
      </c>
      <c r="H287" t="str">
        <f t="shared" si="27"/>
        <v>224928.08</v>
      </c>
      <c r="I287" s="1">
        <v>45761</v>
      </c>
      <c r="J287" s="2">
        <f t="shared" si="28"/>
        <v>0.98389812098292029</v>
      </c>
      <c r="K287" s="3" t="str">
        <f t="shared" si="29"/>
        <v>Check!</v>
      </c>
      <c r="L287" t="str">
        <f t="shared" si="30"/>
        <v/>
      </c>
      <c r="M287" t="str">
        <f t="shared" si="31"/>
        <v/>
      </c>
      <c r="N287">
        <v>113376.83</v>
      </c>
      <c r="O287" t="s">
        <v>675</v>
      </c>
      <c r="Q287" t="s">
        <v>590</v>
      </c>
    </row>
    <row r="288" spans="1:17" s="7" customFormat="1" x14ac:dyDescent="0.3">
      <c r="A288" s="7">
        <v>100655835</v>
      </c>
      <c r="B288" s="7" t="s">
        <v>284</v>
      </c>
      <c r="C288" s="7" t="s">
        <v>19</v>
      </c>
      <c r="D288" s="7" t="s">
        <v>285</v>
      </c>
      <c r="E288" s="8">
        <v>33487.800000000003</v>
      </c>
      <c r="F288" s="7" t="s">
        <v>365</v>
      </c>
      <c r="G288" s="4" t="str">
        <f t="shared" si="26"/>
        <v>33487.8</v>
      </c>
      <c r="H288" t="str">
        <f t="shared" si="27"/>
        <v>33487.8</v>
      </c>
      <c r="I288" s="1">
        <v>45761</v>
      </c>
      <c r="J288" s="2">
        <f t="shared" si="28"/>
        <v>-1.702804780216927E-2</v>
      </c>
      <c r="K288" s="3" t="str">
        <f t="shared" si="29"/>
        <v/>
      </c>
      <c r="L288" t="str">
        <f t="shared" si="30"/>
        <v/>
      </c>
      <c r="M288" t="str">
        <f t="shared" si="31"/>
        <v/>
      </c>
      <c r="N288" s="7">
        <v>34067.910000000003</v>
      </c>
      <c r="O288" s="7" t="s">
        <v>286</v>
      </c>
      <c r="Q288" s="7" t="s">
        <v>19</v>
      </c>
    </row>
    <row r="289" spans="1:17" s="7" customFormat="1" x14ac:dyDescent="0.3">
      <c r="A289" s="7">
        <v>32490</v>
      </c>
      <c r="B289" s="7" t="s">
        <v>15</v>
      </c>
      <c r="C289" s="7" t="s">
        <v>590</v>
      </c>
      <c r="D289" s="7" t="s">
        <v>17</v>
      </c>
      <c r="E289" s="8">
        <v>16168.76</v>
      </c>
      <c r="F289" s="7" t="s">
        <v>366</v>
      </c>
      <c r="G289" s="4" t="str">
        <f t="shared" si="26"/>
        <v>16168.76</v>
      </c>
      <c r="H289" t="str">
        <f t="shared" si="27"/>
        <v>16168.76</v>
      </c>
      <c r="I289" s="1">
        <v>45761</v>
      </c>
      <c r="J289" s="2">
        <f t="shared" si="28"/>
        <v>-6.1206265375595627E-2</v>
      </c>
      <c r="K289" s="3" t="str">
        <f t="shared" si="29"/>
        <v/>
      </c>
      <c r="L289" t="str">
        <f t="shared" si="30"/>
        <v/>
      </c>
      <c r="M289" t="str">
        <f t="shared" si="31"/>
        <v>Check</v>
      </c>
      <c r="N289" s="7">
        <v>17222.91</v>
      </c>
      <c r="O289" s="7" t="s">
        <v>367</v>
      </c>
      <c r="Q289" s="7" t="s">
        <v>16</v>
      </c>
    </row>
    <row r="290" spans="1:17" x14ac:dyDescent="0.3">
      <c r="A290">
        <v>32490</v>
      </c>
      <c r="B290" t="s">
        <v>15</v>
      </c>
      <c r="C290" t="s">
        <v>19</v>
      </c>
      <c r="D290" t="s">
        <v>20</v>
      </c>
      <c r="E290" s="6">
        <v>11080.9</v>
      </c>
      <c r="F290" t="s">
        <v>366</v>
      </c>
      <c r="G290" s="4" t="str">
        <f t="shared" si="26"/>
        <v>11080.9</v>
      </c>
      <c r="H290" t="str">
        <f t="shared" si="27"/>
        <v>11080.9</v>
      </c>
      <c r="I290" s="1">
        <v>45761</v>
      </c>
      <c r="J290" s="2">
        <f t="shared" si="28"/>
        <v>-6.0648523735772085E-2</v>
      </c>
      <c r="K290" s="3" t="str">
        <f t="shared" si="29"/>
        <v/>
      </c>
      <c r="L290" t="str">
        <f t="shared" si="30"/>
        <v/>
      </c>
      <c r="M290" t="str">
        <f t="shared" si="31"/>
        <v/>
      </c>
      <c r="N290">
        <v>11796.33</v>
      </c>
      <c r="O290" t="s">
        <v>368</v>
      </c>
      <c r="Q290" t="s">
        <v>19</v>
      </c>
    </row>
    <row r="291" spans="1:17" x14ac:dyDescent="0.3">
      <c r="A291">
        <v>32490</v>
      </c>
      <c r="B291" t="s">
        <v>15</v>
      </c>
      <c r="C291" t="s">
        <v>19</v>
      </c>
      <c r="D291" t="s">
        <v>22</v>
      </c>
      <c r="E291" s="6">
        <v>41038.370000000003</v>
      </c>
      <c r="F291" t="s">
        <v>366</v>
      </c>
      <c r="G291" s="4" t="str">
        <f t="shared" si="26"/>
        <v>41038.37</v>
      </c>
      <c r="H291" t="str">
        <f t="shared" si="27"/>
        <v>41038.37</v>
      </c>
      <c r="I291" s="1">
        <v>45761</v>
      </c>
      <c r="J291" s="2">
        <f t="shared" si="28"/>
        <v>-6.1371668583337605E-2</v>
      </c>
      <c r="K291" s="3" t="str">
        <f t="shared" si="29"/>
        <v/>
      </c>
      <c r="L291" t="str">
        <f t="shared" si="30"/>
        <v/>
      </c>
      <c r="M291" t="str">
        <f t="shared" si="31"/>
        <v/>
      </c>
      <c r="N291">
        <v>43721.64</v>
      </c>
      <c r="O291" t="s">
        <v>369</v>
      </c>
      <c r="Q291" t="s">
        <v>19</v>
      </c>
    </row>
    <row r="292" spans="1:17" x14ac:dyDescent="0.3">
      <c r="A292">
        <v>33672</v>
      </c>
      <c r="B292" t="s">
        <v>24</v>
      </c>
      <c r="C292" t="s">
        <v>19</v>
      </c>
      <c r="D292" t="s">
        <v>25</v>
      </c>
      <c r="E292" s="6">
        <v>217873.2</v>
      </c>
      <c r="F292" t="s">
        <v>366</v>
      </c>
      <c r="G292" s="4" t="str">
        <f t="shared" si="26"/>
        <v>217873.2</v>
      </c>
      <c r="H292" t="str">
        <f t="shared" si="27"/>
        <v>217873.2</v>
      </c>
      <c r="I292" s="1">
        <v>45761</v>
      </c>
      <c r="J292" s="2">
        <f t="shared" si="28"/>
        <v>-6.117670875114635E-2</v>
      </c>
      <c r="K292" s="3" t="str">
        <f t="shared" si="29"/>
        <v/>
      </c>
      <c r="L292" t="str">
        <f t="shared" si="30"/>
        <v/>
      </c>
      <c r="M292" t="str">
        <f t="shared" si="31"/>
        <v/>
      </c>
      <c r="N292">
        <v>232070.51</v>
      </c>
      <c r="O292" t="s">
        <v>370</v>
      </c>
      <c r="Q292" t="s">
        <v>19</v>
      </c>
    </row>
    <row r="293" spans="1:17" x14ac:dyDescent="0.3">
      <c r="A293">
        <v>34171</v>
      </c>
      <c r="B293" t="s">
        <v>27</v>
      </c>
      <c r="C293" t="s">
        <v>19</v>
      </c>
      <c r="D293" t="s">
        <v>28</v>
      </c>
      <c r="E293" s="6">
        <v>33120.76</v>
      </c>
      <c r="F293" t="s">
        <v>366</v>
      </c>
      <c r="G293" s="4" t="str">
        <f t="shared" si="26"/>
        <v>33120.76</v>
      </c>
      <c r="H293" t="str">
        <f t="shared" si="27"/>
        <v>33120.76</v>
      </c>
      <c r="I293" s="1">
        <v>45761</v>
      </c>
      <c r="J293" s="2">
        <f t="shared" si="28"/>
        <v>-6.117181323757051E-2</v>
      </c>
      <c r="K293" s="3" t="str">
        <f t="shared" si="29"/>
        <v/>
      </c>
      <c r="L293" t="str">
        <f t="shared" si="30"/>
        <v/>
      </c>
      <c r="M293" t="str">
        <f t="shared" si="31"/>
        <v/>
      </c>
      <c r="N293">
        <v>35278.83</v>
      </c>
      <c r="O293" t="s">
        <v>371</v>
      </c>
      <c r="Q293" t="s">
        <v>19</v>
      </c>
    </row>
    <row r="294" spans="1:17" x14ac:dyDescent="0.3">
      <c r="A294">
        <v>34173</v>
      </c>
      <c r="B294" t="s">
        <v>30</v>
      </c>
      <c r="C294" t="s">
        <v>19</v>
      </c>
      <c r="D294" t="s">
        <v>31</v>
      </c>
      <c r="E294" s="6">
        <v>129249.84</v>
      </c>
      <c r="F294" t="s">
        <v>366</v>
      </c>
      <c r="G294" s="4" t="str">
        <f t="shared" si="26"/>
        <v>129249.84</v>
      </c>
      <c r="H294" t="str">
        <f t="shared" si="27"/>
        <v>129249.84</v>
      </c>
      <c r="I294" s="1">
        <v>45761</v>
      </c>
      <c r="J294" s="2">
        <f t="shared" si="28"/>
        <v>-6.1241962804944178E-2</v>
      </c>
      <c r="K294" s="3" t="str">
        <f t="shared" si="29"/>
        <v/>
      </c>
      <c r="L294" t="str">
        <f t="shared" si="30"/>
        <v/>
      </c>
      <c r="M294" t="str">
        <f t="shared" si="31"/>
        <v/>
      </c>
      <c r="N294">
        <v>137681.74</v>
      </c>
      <c r="O294" t="s">
        <v>372</v>
      </c>
      <c r="Q294" t="s">
        <v>19</v>
      </c>
    </row>
    <row r="295" spans="1:17" x14ac:dyDescent="0.3">
      <c r="A295">
        <v>34199</v>
      </c>
      <c r="B295" t="s">
        <v>36</v>
      </c>
      <c r="C295" t="s">
        <v>19</v>
      </c>
      <c r="D295" t="s">
        <v>39</v>
      </c>
      <c r="E295" s="6">
        <v>28971.03</v>
      </c>
      <c r="F295" t="s">
        <v>366</v>
      </c>
      <c r="G295" s="4" t="str">
        <f t="shared" si="26"/>
        <v>28971.03</v>
      </c>
      <c r="H295" t="str">
        <f t="shared" si="27"/>
        <v>28971.03</v>
      </c>
      <c r="I295" s="1">
        <v>45761</v>
      </c>
      <c r="J295" s="2">
        <f t="shared" si="28"/>
        <v>-6.1102946061520426E-2</v>
      </c>
      <c r="K295" s="3" t="str">
        <f t="shared" si="29"/>
        <v/>
      </c>
      <c r="L295" t="str">
        <f t="shared" si="30"/>
        <v/>
      </c>
      <c r="M295" t="str">
        <f t="shared" si="31"/>
        <v/>
      </c>
      <c r="N295">
        <v>30856.45</v>
      </c>
      <c r="O295" t="s">
        <v>373</v>
      </c>
      <c r="Q295" t="s">
        <v>19</v>
      </c>
    </row>
    <row r="296" spans="1:17" x14ac:dyDescent="0.3">
      <c r="A296">
        <v>34200</v>
      </c>
      <c r="B296" t="s">
        <v>592</v>
      </c>
      <c r="C296" t="s">
        <v>590</v>
      </c>
      <c r="D296" t="s">
        <v>595</v>
      </c>
      <c r="E296" s="6">
        <v>37170.339999999997</v>
      </c>
      <c r="F296" t="s">
        <v>366</v>
      </c>
      <c r="G296" s="4" t="str">
        <f t="shared" si="26"/>
        <v>37170.34</v>
      </c>
      <c r="H296" t="str">
        <f t="shared" si="27"/>
        <v>37170.34</v>
      </c>
      <c r="I296" s="1">
        <v>45761</v>
      </c>
      <c r="J296" s="2">
        <f t="shared" si="28"/>
        <v>6.7785211956441938E-2</v>
      </c>
      <c r="K296" s="3" t="str">
        <f t="shared" si="29"/>
        <v/>
      </c>
      <c r="L296" t="str">
        <f t="shared" si="30"/>
        <v/>
      </c>
      <c r="M296" t="str">
        <f t="shared" si="31"/>
        <v/>
      </c>
      <c r="N296">
        <v>34810.69</v>
      </c>
      <c r="O296" t="s">
        <v>676</v>
      </c>
      <c r="Q296" t="s">
        <v>590</v>
      </c>
    </row>
    <row r="297" spans="1:17" x14ac:dyDescent="0.3">
      <c r="A297">
        <v>34200</v>
      </c>
      <c r="B297" t="s">
        <v>592</v>
      </c>
      <c r="C297" t="s">
        <v>611</v>
      </c>
      <c r="D297" t="s">
        <v>42</v>
      </c>
      <c r="E297" s="6">
        <v>72287.97</v>
      </c>
      <c r="F297" t="s">
        <v>366</v>
      </c>
      <c r="G297" s="4" t="str">
        <f t="shared" si="26"/>
        <v>72287.97</v>
      </c>
      <c r="H297" t="str">
        <f t="shared" si="27"/>
        <v>72287.97</v>
      </c>
      <c r="I297" s="1">
        <v>45761</v>
      </c>
      <c r="J297" s="2">
        <f t="shared" si="28"/>
        <v>-6.1084841789846675E-2</v>
      </c>
      <c r="K297" s="3" t="str">
        <f t="shared" si="29"/>
        <v/>
      </c>
      <c r="L297" t="str">
        <f t="shared" si="30"/>
        <v/>
      </c>
      <c r="M297" t="str">
        <f t="shared" si="31"/>
        <v>Check</v>
      </c>
      <c r="N297">
        <v>76990.95</v>
      </c>
      <c r="O297" t="s">
        <v>43</v>
      </c>
      <c r="Q297" t="s">
        <v>41</v>
      </c>
    </row>
    <row r="298" spans="1:17" x14ac:dyDescent="0.3">
      <c r="A298">
        <v>34200</v>
      </c>
      <c r="B298" t="s">
        <v>592</v>
      </c>
      <c r="C298" t="s">
        <v>611</v>
      </c>
      <c r="D298" t="s">
        <v>44</v>
      </c>
      <c r="E298" s="6">
        <v>39884.449999999997</v>
      </c>
      <c r="F298" t="s">
        <v>366</v>
      </c>
      <c r="G298" s="4" t="str">
        <f t="shared" si="26"/>
        <v>39884.45</v>
      </c>
      <c r="H298" t="str">
        <f t="shared" si="27"/>
        <v>39884.45</v>
      </c>
      <c r="I298" s="1">
        <v>45761</v>
      </c>
      <c r="J298" s="2">
        <f t="shared" si="28"/>
        <v>-6.1211457591405158E-2</v>
      </c>
      <c r="K298" s="3" t="str">
        <f t="shared" si="29"/>
        <v/>
      </c>
      <c r="L298" t="str">
        <f t="shared" si="30"/>
        <v/>
      </c>
      <c r="M298" t="str">
        <f t="shared" si="31"/>
        <v>Check</v>
      </c>
      <c r="N298">
        <v>42485.02</v>
      </c>
      <c r="O298" t="s">
        <v>45</v>
      </c>
      <c r="Q298" t="s">
        <v>41</v>
      </c>
    </row>
    <row r="299" spans="1:17" x14ac:dyDescent="0.3">
      <c r="A299">
        <v>34200</v>
      </c>
      <c r="B299" t="s">
        <v>592</v>
      </c>
      <c r="C299" t="s">
        <v>609</v>
      </c>
      <c r="D299" t="s">
        <v>610</v>
      </c>
      <c r="E299" s="6">
        <v>3997.5</v>
      </c>
      <c r="F299" t="s">
        <v>366</v>
      </c>
      <c r="G299" s="4" t="str">
        <f t="shared" si="26"/>
        <v>3997.5</v>
      </c>
      <c r="H299" t="str">
        <f t="shared" si="27"/>
        <v>3997.5</v>
      </c>
      <c r="I299" s="1">
        <v>45761</v>
      </c>
      <c r="J299" s="2">
        <f t="shared" si="28"/>
        <v>0.240327154709675</v>
      </c>
      <c r="K299" s="3" t="str">
        <f t="shared" si="29"/>
        <v>Check!</v>
      </c>
      <c r="L299" t="str">
        <f t="shared" si="30"/>
        <v/>
      </c>
      <c r="M299" t="str">
        <f t="shared" si="31"/>
        <v/>
      </c>
      <c r="N299">
        <v>3222.94</v>
      </c>
      <c r="O299" t="s">
        <v>644</v>
      </c>
      <c r="Q299" t="s">
        <v>609</v>
      </c>
    </row>
    <row r="300" spans="1:17" x14ac:dyDescent="0.3">
      <c r="A300">
        <v>34200</v>
      </c>
      <c r="B300" t="s">
        <v>592</v>
      </c>
      <c r="C300" t="s">
        <v>606</v>
      </c>
      <c r="D300" t="s">
        <v>607</v>
      </c>
      <c r="E300" s="6">
        <v>5441.36</v>
      </c>
      <c r="F300" t="s">
        <v>366</v>
      </c>
      <c r="G300" s="4" t="str">
        <f t="shared" si="26"/>
        <v>5441.36</v>
      </c>
      <c r="H300" t="str">
        <f t="shared" si="27"/>
        <v>5441.36</v>
      </c>
      <c r="I300" s="1">
        <v>45761</v>
      </c>
      <c r="J300" s="2">
        <f t="shared" si="28"/>
        <v>3.1355609342807692E-2</v>
      </c>
      <c r="K300" s="3" t="str">
        <f t="shared" si="29"/>
        <v/>
      </c>
      <c r="L300" t="str">
        <f t="shared" si="30"/>
        <v/>
      </c>
      <c r="M300" t="str">
        <f t="shared" si="31"/>
        <v/>
      </c>
      <c r="N300">
        <v>5275.93</v>
      </c>
      <c r="O300" t="s">
        <v>645</v>
      </c>
      <c r="Q300" t="s">
        <v>606</v>
      </c>
    </row>
    <row r="301" spans="1:17" x14ac:dyDescent="0.3">
      <c r="A301">
        <v>34200</v>
      </c>
      <c r="B301" t="s">
        <v>592</v>
      </c>
      <c r="C301" t="s">
        <v>606</v>
      </c>
      <c r="D301" t="s">
        <v>608</v>
      </c>
      <c r="E301" s="6">
        <v>3484.84</v>
      </c>
      <c r="F301" t="s">
        <v>366</v>
      </c>
      <c r="G301" s="4" t="str">
        <f t="shared" si="26"/>
        <v>3484.84</v>
      </c>
      <c r="H301" t="str">
        <f t="shared" si="27"/>
        <v>3484.84</v>
      </c>
      <c r="I301" s="1">
        <v>45761</v>
      </c>
      <c r="J301" s="2">
        <f t="shared" si="28"/>
        <v>-6.0690026954177856E-2</v>
      </c>
      <c r="K301" s="3" t="str">
        <f t="shared" si="29"/>
        <v/>
      </c>
      <c r="L301" t="str">
        <f t="shared" si="30"/>
        <v/>
      </c>
      <c r="M301" t="str">
        <f t="shared" si="31"/>
        <v/>
      </c>
      <c r="N301">
        <v>3710</v>
      </c>
      <c r="O301" t="s">
        <v>646</v>
      </c>
      <c r="Q301" t="s">
        <v>606</v>
      </c>
    </row>
    <row r="302" spans="1:17" x14ac:dyDescent="0.3">
      <c r="A302">
        <v>34202</v>
      </c>
      <c r="B302" t="s">
        <v>46</v>
      </c>
      <c r="C302" t="s">
        <v>19</v>
      </c>
      <c r="D302" t="s">
        <v>49</v>
      </c>
      <c r="E302" s="6">
        <v>652251.85</v>
      </c>
      <c r="F302" t="s">
        <v>366</v>
      </c>
      <c r="G302" s="4" t="str">
        <f t="shared" si="26"/>
        <v>652251.85</v>
      </c>
      <c r="H302" t="str">
        <f t="shared" si="27"/>
        <v>652251.85</v>
      </c>
      <c r="I302" s="1">
        <v>45761</v>
      </c>
      <c r="J302" s="2">
        <f t="shared" si="28"/>
        <v>-6.1062046153985125E-2</v>
      </c>
      <c r="K302" s="3" t="str">
        <f t="shared" si="29"/>
        <v/>
      </c>
      <c r="L302" t="str">
        <f t="shared" si="30"/>
        <v/>
      </c>
      <c r="M302" t="str">
        <f t="shared" si="31"/>
        <v/>
      </c>
      <c r="N302">
        <v>694669.81</v>
      </c>
      <c r="O302" t="s">
        <v>375</v>
      </c>
      <c r="Q302" t="s">
        <v>19</v>
      </c>
    </row>
    <row r="303" spans="1:17" x14ac:dyDescent="0.3">
      <c r="A303">
        <v>34202</v>
      </c>
      <c r="B303" t="s">
        <v>46</v>
      </c>
      <c r="C303" t="s">
        <v>19</v>
      </c>
      <c r="D303" t="s">
        <v>47</v>
      </c>
      <c r="E303" s="6">
        <v>1179.6600000000001</v>
      </c>
      <c r="F303" t="s">
        <v>366</v>
      </c>
      <c r="G303" s="4" t="str">
        <f t="shared" si="26"/>
        <v>1179.66</v>
      </c>
      <c r="H303" t="str">
        <f t="shared" si="27"/>
        <v>1179.66</v>
      </c>
      <c r="I303" s="1">
        <v>45761</v>
      </c>
      <c r="J303" s="2">
        <f t="shared" si="28"/>
        <v>-5.4668718145975591E-2</v>
      </c>
      <c r="K303" s="3" t="str">
        <f t="shared" si="29"/>
        <v/>
      </c>
      <c r="L303" t="str">
        <f t="shared" si="30"/>
        <v/>
      </c>
      <c r="M303" t="str">
        <f t="shared" si="31"/>
        <v/>
      </c>
      <c r="N303">
        <v>1247.8800000000001</v>
      </c>
      <c r="O303" t="s">
        <v>374</v>
      </c>
      <c r="Q303" t="s">
        <v>19</v>
      </c>
    </row>
    <row r="304" spans="1:17" x14ac:dyDescent="0.3">
      <c r="A304">
        <v>34202</v>
      </c>
      <c r="B304" t="s">
        <v>46</v>
      </c>
      <c r="C304" t="s">
        <v>19</v>
      </c>
      <c r="D304" t="s">
        <v>47</v>
      </c>
      <c r="E304" s="6">
        <v>124697.44</v>
      </c>
      <c r="F304" t="s">
        <v>366</v>
      </c>
      <c r="G304" s="4" t="str">
        <f t="shared" si="26"/>
        <v>124697.44</v>
      </c>
      <c r="H304" t="str">
        <f t="shared" si="27"/>
        <v>124697.44</v>
      </c>
      <c r="I304" s="1">
        <v>45761</v>
      </c>
      <c r="J304" s="2">
        <f t="shared" si="28"/>
        <v>-6.1245043486627099E-2</v>
      </c>
      <c r="K304" s="3" t="str">
        <f t="shared" si="29"/>
        <v/>
      </c>
      <c r="L304" t="str">
        <f t="shared" si="30"/>
        <v/>
      </c>
      <c r="M304" t="str">
        <f t="shared" si="31"/>
        <v/>
      </c>
      <c r="N304">
        <v>132832.79</v>
      </c>
      <c r="O304" t="s">
        <v>374</v>
      </c>
      <c r="Q304" t="s">
        <v>19</v>
      </c>
    </row>
    <row r="305" spans="1:17" x14ac:dyDescent="0.3">
      <c r="A305">
        <v>34209</v>
      </c>
      <c r="B305" t="s">
        <v>51</v>
      </c>
      <c r="C305" t="s">
        <v>590</v>
      </c>
      <c r="D305" t="s">
        <v>376</v>
      </c>
      <c r="E305" s="6">
        <v>76251.34</v>
      </c>
      <c r="F305" t="s">
        <v>366</v>
      </c>
      <c r="G305" s="4" t="str">
        <f t="shared" si="26"/>
        <v>76251.34</v>
      </c>
      <c r="H305" t="str">
        <f t="shared" si="27"/>
        <v>76251.34</v>
      </c>
      <c r="I305" s="1">
        <v>45761</v>
      </c>
      <c r="J305" s="2">
        <f t="shared" si="28"/>
        <v>0.12921268528573607</v>
      </c>
      <c r="K305" s="3" t="str">
        <f t="shared" si="29"/>
        <v>Check!</v>
      </c>
      <c r="L305" t="str">
        <f t="shared" si="30"/>
        <v/>
      </c>
      <c r="M305" t="str">
        <f t="shared" si="31"/>
        <v>Check</v>
      </c>
      <c r="N305">
        <v>67526.11</v>
      </c>
      <c r="O305" t="s">
        <v>377</v>
      </c>
      <c r="Q305" t="s">
        <v>16</v>
      </c>
    </row>
    <row r="306" spans="1:17" x14ac:dyDescent="0.3">
      <c r="A306">
        <v>34209</v>
      </c>
      <c r="B306" t="s">
        <v>51</v>
      </c>
      <c r="C306" t="s">
        <v>19</v>
      </c>
      <c r="D306" t="s">
        <v>54</v>
      </c>
      <c r="E306" s="6">
        <v>188515.84</v>
      </c>
      <c r="F306" t="s">
        <v>366</v>
      </c>
      <c r="G306" s="4" t="str">
        <f t="shared" si="26"/>
        <v>188515.84</v>
      </c>
      <c r="H306" t="str">
        <f t="shared" si="27"/>
        <v>188515.84</v>
      </c>
      <c r="I306" s="1">
        <v>45761</v>
      </c>
      <c r="J306" s="2">
        <f t="shared" si="28"/>
        <v>-6.1027627625384009E-2</v>
      </c>
      <c r="K306" s="3" t="str">
        <f t="shared" si="29"/>
        <v/>
      </c>
      <c r="L306" t="str">
        <f t="shared" si="30"/>
        <v/>
      </c>
      <c r="M306" t="str">
        <f t="shared" si="31"/>
        <v/>
      </c>
      <c r="N306">
        <v>200768.25</v>
      </c>
      <c r="O306" t="s">
        <v>379</v>
      </c>
      <c r="Q306" t="s">
        <v>19</v>
      </c>
    </row>
    <row r="307" spans="1:17" x14ac:dyDescent="0.3">
      <c r="A307">
        <v>34209</v>
      </c>
      <c r="B307" t="s">
        <v>51</v>
      </c>
      <c r="C307" t="s">
        <v>19</v>
      </c>
      <c r="D307" t="s">
        <v>52</v>
      </c>
      <c r="E307" s="6">
        <v>146179.99</v>
      </c>
      <c r="F307" t="s">
        <v>366</v>
      </c>
      <c r="G307" s="4" t="str">
        <f t="shared" si="26"/>
        <v>146179.99</v>
      </c>
      <c r="H307" t="str">
        <f t="shared" si="27"/>
        <v>146179.99</v>
      </c>
      <c r="I307" s="1">
        <v>45761</v>
      </c>
      <c r="J307" s="2">
        <f t="shared" si="28"/>
        <v>-6.1279785649665471E-2</v>
      </c>
      <c r="K307" s="3" t="str">
        <f t="shared" si="29"/>
        <v/>
      </c>
      <c r="L307" t="str">
        <f t="shared" si="30"/>
        <v/>
      </c>
      <c r="M307" t="str">
        <f t="shared" si="31"/>
        <v/>
      </c>
      <c r="N307">
        <v>155722.64000000001</v>
      </c>
      <c r="O307" t="s">
        <v>378</v>
      </c>
      <c r="Q307" t="s">
        <v>19</v>
      </c>
    </row>
    <row r="308" spans="1:17" x14ac:dyDescent="0.3">
      <c r="A308">
        <v>34209</v>
      </c>
      <c r="B308" t="s">
        <v>51</v>
      </c>
      <c r="C308" t="s">
        <v>612</v>
      </c>
      <c r="D308" t="s">
        <v>57</v>
      </c>
      <c r="E308" s="6">
        <v>14035.65</v>
      </c>
      <c r="F308" t="s">
        <v>366</v>
      </c>
      <c r="G308" s="4" t="str">
        <f t="shared" si="26"/>
        <v>14035.65</v>
      </c>
      <c r="H308" t="str">
        <f t="shared" si="27"/>
        <v>14035.65</v>
      </c>
      <c r="I308" s="1">
        <v>45761</v>
      </c>
      <c r="J308" s="2">
        <f t="shared" si="28"/>
        <v>-6.1360819998943425E-2</v>
      </c>
      <c r="K308" s="3" t="str">
        <f t="shared" si="29"/>
        <v/>
      </c>
      <c r="L308" t="str">
        <f t="shared" si="30"/>
        <v/>
      </c>
      <c r="M308" t="str">
        <f t="shared" si="31"/>
        <v>Check</v>
      </c>
      <c r="N308">
        <v>14953.19</v>
      </c>
      <c r="O308" t="s">
        <v>58</v>
      </c>
      <c r="Q308" t="s">
        <v>56</v>
      </c>
    </row>
    <row r="309" spans="1:17" x14ac:dyDescent="0.3">
      <c r="A309">
        <v>34216</v>
      </c>
      <c r="B309" t="s">
        <v>59</v>
      </c>
      <c r="C309" t="s">
        <v>19</v>
      </c>
      <c r="D309" t="s">
        <v>60</v>
      </c>
      <c r="E309" s="6">
        <v>82977.06</v>
      </c>
      <c r="F309" t="s">
        <v>366</v>
      </c>
      <c r="G309" s="4" t="str">
        <f t="shared" si="26"/>
        <v>82977.06</v>
      </c>
      <c r="H309" t="str">
        <f t="shared" si="27"/>
        <v>82977.06</v>
      </c>
      <c r="I309" s="1">
        <v>45761</v>
      </c>
      <c r="J309" s="2">
        <f t="shared" si="28"/>
        <v>-6.1301088671387505E-2</v>
      </c>
      <c r="K309" s="3" t="str">
        <f t="shared" si="29"/>
        <v/>
      </c>
      <c r="L309" t="str">
        <f t="shared" si="30"/>
        <v/>
      </c>
      <c r="M309" t="str">
        <f t="shared" si="31"/>
        <v/>
      </c>
      <c r="N309">
        <v>88395.82</v>
      </c>
      <c r="O309" t="s">
        <v>380</v>
      </c>
      <c r="Q309" t="s">
        <v>19</v>
      </c>
    </row>
    <row r="310" spans="1:17" x14ac:dyDescent="0.3">
      <c r="A310">
        <v>34337</v>
      </c>
      <c r="B310" t="s">
        <v>64</v>
      </c>
      <c r="C310" t="s">
        <v>590</v>
      </c>
      <c r="D310" t="s">
        <v>65</v>
      </c>
      <c r="E310" s="6">
        <v>3657.55</v>
      </c>
      <c r="F310" t="s">
        <v>366</v>
      </c>
      <c r="G310" s="4" t="str">
        <f t="shared" si="26"/>
        <v>3657.55</v>
      </c>
      <c r="H310" t="str">
        <f t="shared" si="27"/>
        <v>3657.55</v>
      </c>
      <c r="I310" s="1">
        <v>45761</v>
      </c>
      <c r="J310" s="2">
        <f t="shared" si="28"/>
        <v>-6.1020630307760143E-2</v>
      </c>
      <c r="K310" s="3" t="str">
        <f t="shared" si="29"/>
        <v/>
      </c>
      <c r="L310" t="str">
        <f t="shared" si="30"/>
        <v/>
      </c>
      <c r="M310" t="str">
        <f t="shared" si="31"/>
        <v>Check</v>
      </c>
      <c r="N310">
        <v>3895.24</v>
      </c>
      <c r="O310" t="s">
        <v>381</v>
      </c>
      <c r="Q310" t="s">
        <v>16</v>
      </c>
    </row>
    <row r="311" spans="1:17" x14ac:dyDescent="0.3">
      <c r="A311">
        <v>34337</v>
      </c>
      <c r="B311" t="s">
        <v>64</v>
      </c>
      <c r="C311" t="s">
        <v>19</v>
      </c>
      <c r="D311" t="s">
        <v>67</v>
      </c>
      <c r="E311" s="6">
        <v>47570.53</v>
      </c>
      <c r="F311" t="s">
        <v>366</v>
      </c>
      <c r="G311" s="4" t="str">
        <f t="shared" si="26"/>
        <v>47570.53</v>
      </c>
      <c r="H311" t="str">
        <f t="shared" si="27"/>
        <v>47570.53</v>
      </c>
      <c r="I311" s="1">
        <v>45761</v>
      </c>
      <c r="J311" s="2">
        <f t="shared" si="28"/>
        <v>-6.1323856039426736E-2</v>
      </c>
      <c r="K311" s="3" t="str">
        <f t="shared" si="29"/>
        <v/>
      </c>
      <c r="L311" t="str">
        <f t="shared" si="30"/>
        <v/>
      </c>
      <c r="M311" t="str">
        <f t="shared" si="31"/>
        <v/>
      </c>
      <c r="N311">
        <v>50678.32</v>
      </c>
      <c r="O311" t="s">
        <v>382</v>
      </c>
      <c r="Q311" t="s">
        <v>19</v>
      </c>
    </row>
    <row r="312" spans="1:17" x14ac:dyDescent="0.3">
      <c r="A312">
        <v>34395</v>
      </c>
      <c r="B312" t="s">
        <v>69</v>
      </c>
      <c r="C312" t="s">
        <v>590</v>
      </c>
      <c r="D312" t="s">
        <v>383</v>
      </c>
      <c r="E312" s="6">
        <v>20732.310000000001</v>
      </c>
      <c r="F312" t="s">
        <v>366</v>
      </c>
      <c r="G312" s="4" t="str">
        <f t="shared" si="26"/>
        <v>20732.31</v>
      </c>
      <c r="H312" t="str">
        <f t="shared" si="27"/>
        <v>20732.31</v>
      </c>
      <c r="I312" s="1">
        <v>45761</v>
      </c>
      <c r="J312" s="2">
        <f t="shared" si="28"/>
        <v>-3.5565659356761835E-2</v>
      </c>
      <c r="K312" s="3" t="str">
        <f t="shared" si="29"/>
        <v/>
      </c>
      <c r="L312" t="str">
        <f t="shared" si="30"/>
        <v/>
      </c>
      <c r="M312" t="str">
        <f t="shared" si="31"/>
        <v>Check</v>
      </c>
      <c r="N312">
        <v>21496.86</v>
      </c>
      <c r="O312" t="s">
        <v>384</v>
      </c>
      <c r="Q312" t="s">
        <v>16</v>
      </c>
    </row>
    <row r="313" spans="1:17" x14ac:dyDescent="0.3">
      <c r="A313">
        <v>34395</v>
      </c>
      <c r="B313" t="s">
        <v>69</v>
      </c>
      <c r="C313" t="s">
        <v>19</v>
      </c>
      <c r="D313" t="s">
        <v>74</v>
      </c>
      <c r="E313" s="6">
        <v>18278.18</v>
      </c>
      <c r="F313" t="s">
        <v>366</v>
      </c>
      <c r="G313" s="4" t="str">
        <f t="shared" si="26"/>
        <v>18278.18</v>
      </c>
      <c r="H313" t="str">
        <f t="shared" si="27"/>
        <v>18278.18</v>
      </c>
      <c r="I313" s="1">
        <v>45761</v>
      </c>
      <c r="J313" s="2">
        <f t="shared" si="28"/>
        <v>-6.1226166868769673E-2</v>
      </c>
      <c r="K313" s="3" t="str">
        <f t="shared" si="29"/>
        <v/>
      </c>
      <c r="L313" t="str">
        <f t="shared" si="30"/>
        <v/>
      </c>
      <c r="M313" t="str">
        <f t="shared" si="31"/>
        <v/>
      </c>
      <c r="N313">
        <v>19470.27</v>
      </c>
      <c r="O313" t="s">
        <v>386</v>
      </c>
      <c r="Q313" t="s">
        <v>19</v>
      </c>
    </row>
    <row r="314" spans="1:17" x14ac:dyDescent="0.3">
      <c r="A314">
        <v>34395</v>
      </c>
      <c r="B314" t="s">
        <v>69</v>
      </c>
      <c r="C314" t="s">
        <v>19</v>
      </c>
      <c r="D314" t="s">
        <v>72</v>
      </c>
      <c r="E314" s="6">
        <v>11009.14</v>
      </c>
      <c r="F314" t="s">
        <v>366</v>
      </c>
      <c r="G314" s="4" t="str">
        <f t="shared" si="26"/>
        <v>11009.14</v>
      </c>
      <c r="H314" t="str">
        <f t="shared" si="27"/>
        <v>11009.14</v>
      </c>
      <c r="I314" s="1">
        <v>45761</v>
      </c>
      <c r="J314" s="2">
        <f t="shared" si="28"/>
        <v>-6.110620733178973E-2</v>
      </c>
      <c r="K314" s="3" t="str">
        <f t="shared" si="29"/>
        <v/>
      </c>
      <c r="L314" t="str">
        <f t="shared" si="30"/>
        <v/>
      </c>
      <c r="M314" t="str">
        <f t="shared" si="31"/>
        <v/>
      </c>
      <c r="N314">
        <v>11725.65</v>
      </c>
      <c r="O314" t="s">
        <v>387</v>
      </c>
      <c r="Q314" t="s">
        <v>19</v>
      </c>
    </row>
    <row r="315" spans="1:17" x14ac:dyDescent="0.3">
      <c r="A315">
        <v>34395</v>
      </c>
      <c r="B315" t="s">
        <v>69</v>
      </c>
      <c r="C315" t="s">
        <v>19</v>
      </c>
      <c r="D315" t="s">
        <v>70</v>
      </c>
      <c r="E315" s="6">
        <v>180500.94</v>
      </c>
      <c r="F315" t="s">
        <v>366</v>
      </c>
      <c r="G315" s="4" t="str">
        <f t="shared" si="26"/>
        <v>180500.94</v>
      </c>
      <c r="H315" t="str">
        <f t="shared" si="27"/>
        <v>180500.94</v>
      </c>
      <c r="I315" s="1">
        <v>45761</v>
      </c>
      <c r="J315" s="2">
        <f t="shared" si="28"/>
        <v>-6.0916006371794715E-2</v>
      </c>
      <c r="K315" s="3" t="str">
        <f t="shared" si="29"/>
        <v/>
      </c>
      <c r="L315" t="str">
        <f t="shared" si="30"/>
        <v/>
      </c>
      <c r="M315" t="str">
        <f t="shared" si="31"/>
        <v/>
      </c>
      <c r="N315">
        <v>192209.58</v>
      </c>
      <c r="O315" t="s">
        <v>385</v>
      </c>
      <c r="Q315" t="s">
        <v>19</v>
      </c>
    </row>
    <row r="316" spans="1:17" x14ac:dyDescent="0.3">
      <c r="A316">
        <v>36048</v>
      </c>
      <c r="B316" t="s">
        <v>76</v>
      </c>
      <c r="C316" t="s">
        <v>19</v>
      </c>
      <c r="D316" t="s">
        <v>77</v>
      </c>
      <c r="E316" s="6">
        <v>9888.61</v>
      </c>
      <c r="F316" t="s">
        <v>366</v>
      </c>
      <c r="G316" s="4" t="str">
        <f t="shared" si="26"/>
        <v>9888.61</v>
      </c>
      <c r="H316" t="str">
        <f t="shared" si="27"/>
        <v>9888.61</v>
      </c>
      <c r="I316" s="1">
        <v>45761</v>
      </c>
      <c r="J316" s="2">
        <f t="shared" si="28"/>
        <v>-6.0467286078994549E-2</v>
      </c>
      <c r="K316" s="3" t="str">
        <f t="shared" si="29"/>
        <v/>
      </c>
      <c r="L316" t="str">
        <f t="shared" si="30"/>
        <v/>
      </c>
      <c r="M316" t="str">
        <f t="shared" si="31"/>
        <v/>
      </c>
      <c r="N316">
        <v>10525.03</v>
      </c>
      <c r="O316" t="s">
        <v>388</v>
      </c>
      <c r="Q316" t="s">
        <v>19</v>
      </c>
    </row>
    <row r="317" spans="1:17" x14ac:dyDescent="0.3">
      <c r="A317">
        <v>36048</v>
      </c>
      <c r="B317" t="s">
        <v>76</v>
      </c>
      <c r="C317" t="s">
        <v>19</v>
      </c>
      <c r="D317" t="s">
        <v>79</v>
      </c>
      <c r="E317" s="6">
        <v>29826.63</v>
      </c>
      <c r="F317" t="s">
        <v>366</v>
      </c>
      <c r="G317" s="4" t="str">
        <f t="shared" si="26"/>
        <v>29826.63</v>
      </c>
      <c r="H317" t="str">
        <f t="shared" si="27"/>
        <v>29826.63</v>
      </c>
      <c r="I317" s="1">
        <v>45761</v>
      </c>
      <c r="J317" s="2">
        <f t="shared" si="28"/>
        <v>-6.104170352512741E-2</v>
      </c>
      <c r="K317" s="3" t="str">
        <f t="shared" si="29"/>
        <v/>
      </c>
      <c r="L317" t="str">
        <f t="shared" si="30"/>
        <v/>
      </c>
      <c r="M317" t="str">
        <f t="shared" si="31"/>
        <v/>
      </c>
      <c r="N317">
        <v>31765.66</v>
      </c>
      <c r="O317" t="s">
        <v>389</v>
      </c>
      <c r="Q317" t="s">
        <v>19</v>
      </c>
    </row>
    <row r="318" spans="1:17" x14ac:dyDescent="0.3">
      <c r="A318">
        <v>36059</v>
      </c>
      <c r="B318" t="s">
        <v>81</v>
      </c>
      <c r="C318" t="s">
        <v>19</v>
      </c>
      <c r="D318" t="s">
        <v>82</v>
      </c>
      <c r="E318" s="6">
        <v>44226.97</v>
      </c>
      <c r="F318" t="s">
        <v>366</v>
      </c>
      <c r="G318" s="4" t="str">
        <f t="shared" si="26"/>
        <v>44226.97</v>
      </c>
      <c r="H318" t="str">
        <f t="shared" si="27"/>
        <v>44226.97</v>
      </c>
      <c r="I318" s="1">
        <v>45761</v>
      </c>
      <c r="J318" s="2">
        <f t="shared" si="28"/>
        <v>-6.1357031571168397E-2</v>
      </c>
      <c r="K318" s="3" t="str">
        <f t="shared" si="29"/>
        <v/>
      </c>
      <c r="L318" t="str">
        <f t="shared" si="30"/>
        <v/>
      </c>
      <c r="M318" t="str">
        <f t="shared" si="31"/>
        <v/>
      </c>
      <c r="N318">
        <v>47117.99</v>
      </c>
      <c r="O318" t="s">
        <v>390</v>
      </c>
      <c r="Q318" t="s">
        <v>19</v>
      </c>
    </row>
    <row r="319" spans="1:17" x14ac:dyDescent="0.3">
      <c r="A319">
        <v>36059</v>
      </c>
      <c r="B319" t="s">
        <v>81</v>
      </c>
      <c r="C319" t="s">
        <v>19</v>
      </c>
      <c r="D319" t="s">
        <v>84</v>
      </c>
      <c r="E319" s="6">
        <v>28567.200000000001</v>
      </c>
      <c r="F319" t="s">
        <v>366</v>
      </c>
      <c r="G319" s="4" t="str">
        <f t="shared" si="26"/>
        <v>28567.2</v>
      </c>
      <c r="H319" t="str">
        <f t="shared" si="27"/>
        <v>28567.2</v>
      </c>
      <c r="I319" s="1">
        <v>45761</v>
      </c>
      <c r="J319" s="2">
        <f t="shared" si="28"/>
        <v>-6.127112470216179E-2</v>
      </c>
      <c r="K319" s="3" t="str">
        <f t="shared" si="29"/>
        <v/>
      </c>
      <c r="L319" t="str">
        <f t="shared" si="30"/>
        <v/>
      </c>
      <c r="M319" t="str">
        <f t="shared" si="31"/>
        <v/>
      </c>
      <c r="N319">
        <v>30431.79</v>
      </c>
      <c r="O319" t="s">
        <v>391</v>
      </c>
      <c r="Q319" t="s">
        <v>19</v>
      </c>
    </row>
    <row r="320" spans="1:17" x14ac:dyDescent="0.3">
      <c r="A320">
        <v>36060</v>
      </c>
      <c r="B320" t="s">
        <v>86</v>
      </c>
      <c r="C320" t="s">
        <v>19</v>
      </c>
      <c r="D320" t="s">
        <v>87</v>
      </c>
      <c r="E320" s="6">
        <v>69904.47</v>
      </c>
      <c r="F320" t="s">
        <v>366</v>
      </c>
      <c r="G320" s="4" t="str">
        <f t="shared" si="26"/>
        <v>69904.47</v>
      </c>
      <c r="H320" t="str">
        <f t="shared" si="27"/>
        <v>69904.47</v>
      </c>
      <c r="I320" s="1">
        <v>45761</v>
      </c>
      <c r="J320" s="2">
        <f t="shared" si="28"/>
        <v>-6.1067161238173025E-2</v>
      </c>
      <c r="K320" s="3" t="str">
        <f t="shared" si="29"/>
        <v/>
      </c>
      <c r="L320" t="str">
        <f t="shared" si="30"/>
        <v/>
      </c>
      <c r="M320" t="str">
        <f t="shared" si="31"/>
        <v/>
      </c>
      <c r="N320">
        <v>74450.98</v>
      </c>
      <c r="O320" t="s">
        <v>392</v>
      </c>
      <c r="Q320" t="s">
        <v>19</v>
      </c>
    </row>
    <row r="321" spans="1:17" x14ac:dyDescent="0.3">
      <c r="A321">
        <v>36060</v>
      </c>
      <c r="B321" t="s">
        <v>86</v>
      </c>
      <c r="C321" t="s">
        <v>19</v>
      </c>
      <c r="D321" t="s">
        <v>89</v>
      </c>
      <c r="E321" s="6">
        <v>11928.81</v>
      </c>
      <c r="F321" t="s">
        <v>366</v>
      </c>
      <c r="G321" s="4" t="str">
        <f t="shared" si="26"/>
        <v>11928.81</v>
      </c>
      <c r="H321" t="str">
        <f t="shared" si="27"/>
        <v>11928.81</v>
      </c>
      <c r="I321" s="1">
        <v>45761</v>
      </c>
      <c r="J321" s="2">
        <f t="shared" si="28"/>
        <v>-6.0127135804297925E-2</v>
      </c>
      <c r="K321" s="3" t="str">
        <f t="shared" si="29"/>
        <v/>
      </c>
      <c r="L321" t="str">
        <f t="shared" si="30"/>
        <v/>
      </c>
      <c r="M321" t="str">
        <f t="shared" si="31"/>
        <v/>
      </c>
      <c r="N321">
        <v>12691.94</v>
      </c>
      <c r="O321" t="s">
        <v>393</v>
      </c>
      <c r="Q321" t="s">
        <v>19</v>
      </c>
    </row>
    <row r="322" spans="1:17" x14ac:dyDescent="0.3">
      <c r="A322">
        <v>36062</v>
      </c>
      <c r="B322" t="s">
        <v>91</v>
      </c>
      <c r="C322" t="s">
        <v>611</v>
      </c>
      <c r="D322" t="s">
        <v>92</v>
      </c>
      <c r="E322" s="6">
        <v>20561.04</v>
      </c>
      <c r="F322" t="s">
        <v>366</v>
      </c>
      <c r="G322" s="4" t="str">
        <f t="shared" si="26"/>
        <v>20561.04</v>
      </c>
      <c r="H322" t="str">
        <f t="shared" si="27"/>
        <v>20561.04</v>
      </c>
      <c r="I322" s="1">
        <v>45761</v>
      </c>
      <c r="J322" s="2">
        <f t="shared" si="28"/>
        <v>-6.134503001398324E-2</v>
      </c>
      <c r="K322" s="3" t="str">
        <f t="shared" si="29"/>
        <v/>
      </c>
      <c r="L322" t="str">
        <f t="shared" si="30"/>
        <v/>
      </c>
      <c r="M322" t="str">
        <f t="shared" si="31"/>
        <v>Check</v>
      </c>
      <c r="N322">
        <v>21904.79</v>
      </c>
      <c r="O322" t="s">
        <v>93</v>
      </c>
      <c r="Q322" t="s">
        <v>41</v>
      </c>
    </row>
    <row r="323" spans="1:17" x14ac:dyDescent="0.3">
      <c r="A323">
        <v>36062</v>
      </c>
      <c r="B323" t="s">
        <v>91</v>
      </c>
      <c r="C323" t="s">
        <v>606</v>
      </c>
      <c r="D323" t="s">
        <v>613</v>
      </c>
      <c r="E323" s="6">
        <v>2243.7800000000002</v>
      </c>
      <c r="F323" t="s">
        <v>366</v>
      </c>
      <c r="G323" s="4" t="str">
        <f t="shared" ref="G323:G386" si="32">SUBSTITUTE(E323,"R","")</f>
        <v>2243.78</v>
      </c>
      <c r="H323" t="str">
        <f t="shared" ref="H323:H386" si="33">SUBSTITUTE(G323,",","")</f>
        <v>2243.78</v>
      </c>
      <c r="I323" s="1">
        <v>45761</v>
      </c>
      <c r="J323" s="2">
        <f t="shared" ref="J323:J386" si="34">(H323-N323)/N323</f>
        <v>-6.1089560920088451E-2</v>
      </c>
      <c r="K323" s="3" t="str">
        <f t="shared" ref="K323:K386" si="35">IF(ABS(J323)&gt;0.1,"Check!","")</f>
        <v/>
      </c>
      <c r="L323" t="str">
        <f t="shared" ref="L323:L386" si="36">IF(LEFT(O323,10)&lt;&gt;LEFT(D323,10),"Check","")</f>
        <v/>
      </c>
      <c r="M323" t="str">
        <f t="shared" ref="M323:M386" si="37">IF(Q323&lt;&gt;C323,"Check","")</f>
        <v/>
      </c>
      <c r="N323">
        <v>2389.77</v>
      </c>
      <c r="O323" t="s">
        <v>647</v>
      </c>
      <c r="Q323" t="s">
        <v>606</v>
      </c>
    </row>
    <row r="324" spans="1:17" x14ac:dyDescent="0.3">
      <c r="A324">
        <v>36062</v>
      </c>
      <c r="B324" t="s">
        <v>91</v>
      </c>
      <c r="C324" t="s">
        <v>590</v>
      </c>
      <c r="D324" t="s">
        <v>582</v>
      </c>
      <c r="E324" s="6">
        <v>4593.1400000000003</v>
      </c>
      <c r="F324" t="s">
        <v>366</v>
      </c>
      <c r="G324" s="4" t="str">
        <f t="shared" si="32"/>
        <v>4593.14</v>
      </c>
      <c r="H324" t="str">
        <f t="shared" si="33"/>
        <v>4593.14</v>
      </c>
      <c r="I324" s="1">
        <v>45761</v>
      </c>
      <c r="J324" s="2">
        <f t="shared" si="34"/>
        <v>7.2299198076317114E-2</v>
      </c>
      <c r="K324" s="3" t="str">
        <f t="shared" si="35"/>
        <v/>
      </c>
      <c r="L324" t="str">
        <f t="shared" si="36"/>
        <v/>
      </c>
      <c r="M324" t="str">
        <f t="shared" si="37"/>
        <v>Check</v>
      </c>
      <c r="N324">
        <v>4283.45</v>
      </c>
      <c r="O324" t="s">
        <v>583</v>
      </c>
      <c r="Q324" t="s">
        <v>16</v>
      </c>
    </row>
    <row r="325" spans="1:17" x14ac:dyDescent="0.3">
      <c r="A325">
        <v>36355</v>
      </c>
      <c r="B325" t="s">
        <v>94</v>
      </c>
      <c r="C325" t="s">
        <v>19</v>
      </c>
      <c r="D325" t="s">
        <v>95</v>
      </c>
      <c r="E325" s="6">
        <v>879.49</v>
      </c>
      <c r="F325" t="s">
        <v>366</v>
      </c>
      <c r="G325" s="4" t="str">
        <f t="shared" si="32"/>
        <v>879.49</v>
      </c>
      <c r="H325" t="str">
        <f t="shared" si="33"/>
        <v>879.49</v>
      </c>
      <c r="I325" s="1">
        <v>45761</v>
      </c>
      <c r="J325" s="2">
        <f t="shared" si="34"/>
        <v>-6.9706681898475745E-2</v>
      </c>
      <c r="K325" s="3" t="str">
        <f t="shared" si="35"/>
        <v/>
      </c>
      <c r="L325" t="str">
        <f t="shared" si="36"/>
        <v/>
      </c>
      <c r="M325" t="str">
        <f t="shared" si="37"/>
        <v/>
      </c>
      <c r="N325">
        <v>945.39</v>
      </c>
      <c r="O325" t="s">
        <v>394</v>
      </c>
      <c r="Q325" t="s">
        <v>19</v>
      </c>
    </row>
    <row r="326" spans="1:17" x14ac:dyDescent="0.3">
      <c r="A326">
        <v>37040</v>
      </c>
      <c r="B326" t="s">
        <v>596</v>
      </c>
      <c r="C326" t="s">
        <v>19</v>
      </c>
      <c r="D326" t="s">
        <v>97</v>
      </c>
      <c r="E326" s="6">
        <v>36484.959999999999</v>
      </c>
      <c r="F326" t="s">
        <v>366</v>
      </c>
      <c r="G326" s="4" t="str">
        <f t="shared" si="32"/>
        <v>36484.96</v>
      </c>
      <c r="H326" t="str">
        <f t="shared" si="33"/>
        <v>36484.96</v>
      </c>
      <c r="I326" s="1">
        <v>45761</v>
      </c>
      <c r="J326" s="2">
        <f t="shared" si="34"/>
        <v>-6.0923567305227334E-2</v>
      </c>
      <c r="K326" s="3" t="str">
        <f t="shared" si="35"/>
        <v/>
      </c>
      <c r="L326" t="str">
        <f t="shared" si="36"/>
        <v/>
      </c>
      <c r="M326" t="str">
        <f t="shared" si="37"/>
        <v/>
      </c>
      <c r="N326">
        <v>38851.96</v>
      </c>
      <c r="O326" t="s">
        <v>395</v>
      </c>
      <c r="Q326" t="s">
        <v>19</v>
      </c>
    </row>
    <row r="327" spans="1:17" x14ac:dyDescent="0.3">
      <c r="A327">
        <v>37041</v>
      </c>
      <c r="B327" t="s">
        <v>99</v>
      </c>
      <c r="C327" t="s">
        <v>19</v>
      </c>
      <c r="D327" t="s">
        <v>100</v>
      </c>
      <c r="E327" s="6">
        <v>7760.8</v>
      </c>
      <c r="F327" t="s">
        <v>366</v>
      </c>
      <c r="G327" s="4" t="str">
        <f t="shared" si="32"/>
        <v>7760.8</v>
      </c>
      <c r="H327" t="str">
        <f t="shared" si="33"/>
        <v>7760.8</v>
      </c>
      <c r="I327" s="1">
        <v>45761</v>
      </c>
      <c r="J327" s="2">
        <f t="shared" si="34"/>
        <v>-6.1310884526531016E-2</v>
      </c>
      <c r="K327" s="3" t="str">
        <f t="shared" si="35"/>
        <v/>
      </c>
      <c r="L327" t="str">
        <f t="shared" si="36"/>
        <v/>
      </c>
      <c r="M327" t="str">
        <f t="shared" si="37"/>
        <v/>
      </c>
      <c r="N327">
        <v>8267.7000000000007</v>
      </c>
      <c r="O327" t="s">
        <v>396</v>
      </c>
      <c r="Q327" t="s">
        <v>19</v>
      </c>
    </row>
    <row r="328" spans="1:17" x14ac:dyDescent="0.3">
      <c r="A328">
        <v>38586</v>
      </c>
      <c r="B328" t="s">
        <v>102</v>
      </c>
      <c r="C328" t="s">
        <v>19</v>
      </c>
      <c r="D328" t="s">
        <v>103</v>
      </c>
      <c r="E328" s="6">
        <v>5441.02</v>
      </c>
      <c r="F328" t="s">
        <v>366</v>
      </c>
      <c r="G328" s="4" t="str">
        <f t="shared" si="32"/>
        <v>5441.02</v>
      </c>
      <c r="H328" t="str">
        <f t="shared" si="33"/>
        <v>5441.02</v>
      </c>
      <c r="I328" s="1">
        <v>45761</v>
      </c>
      <c r="J328" s="2">
        <f t="shared" si="34"/>
        <v>-6.0514651669950112E-2</v>
      </c>
      <c r="K328" s="3" t="str">
        <f t="shared" si="35"/>
        <v/>
      </c>
      <c r="L328" t="str">
        <f t="shared" si="36"/>
        <v/>
      </c>
      <c r="M328" t="str">
        <f t="shared" si="37"/>
        <v/>
      </c>
      <c r="N328">
        <v>5791.49</v>
      </c>
      <c r="O328" t="s">
        <v>397</v>
      </c>
      <c r="Q328" t="s">
        <v>19</v>
      </c>
    </row>
    <row r="329" spans="1:17" x14ac:dyDescent="0.3">
      <c r="A329">
        <v>38842</v>
      </c>
      <c r="B329" t="s">
        <v>105</v>
      </c>
      <c r="C329" t="s">
        <v>19</v>
      </c>
      <c r="D329" t="s">
        <v>106</v>
      </c>
      <c r="E329" s="6">
        <v>9654.48</v>
      </c>
      <c r="F329" t="s">
        <v>366</v>
      </c>
      <c r="G329" s="4" t="str">
        <f t="shared" si="32"/>
        <v>9654.48</v>
      </c>
      <c r="H329" t="str">
        <f t="shared" si="33"/>
        <v>9654.48</v>
      </c>
      <c r="I329" s="1">
        <v>45761</v>
      </c>
      <c r="J329" s="2">
        <f t="shared" si="34"/>
        <v>-6.0313505253475966E-2</v>
      </c>
      <c r="K329" s="3" t="str">
        <f t="shared" si="35"/>
        <v/>
      </c>
      <c r="L329" t="str">
        <f t="shared" si="36"/>
        <v/>
      </c>
      <c r="M329" t="str">
        <f t="shared" si="37"/>
        <v/>
      </c>
      <c r="N329">
        <v>10274.15</v>
      </c>
      <c r="O329" t="s">
        <v>398</v>
      </c>
      <c r="Q329" t="s">
        <v>19</v>
      </c>
    </row>
    <row r="330" spans="1:17" x14ac:dyDescent="0.3">
      <c r="A330">
        <v>38851</v>
      </c>
      <c r="B330" t="s">
        <v>108</v>
      </c>
      <c r="C330" t="s">
        <v>19</v>
      </c>
      <c r="D330" t="s">
        <v>109</v>
      </c>
      <c r="E330" s="6">
        <v>326.41000000000003</v>
      </c>
      <c r="F330" t="s">
        <v>366</v>
      </c>
      <c r="G330" s="4" t="str">
        <f t="shared" si="32"/>
        <v>326.41</v>
      </c>
      <c r="H330" t="str">
        <f t="shared" si="33"/>
        <v>326.41</v>
      </c>
      <c r="I330" s="1">
        <v>45761</v>
      </c>
      <c r="J330" s="2">
        <f t="shared" si="34"/>
        <v>-7.7390542412165392E-2</v>
      </c>
      <c r="K330" s="3" t="str">
        <f t="shared" si="35"/>
        <v/>
      </c>
      <c r="L330" t="str">
        <f t="shared" si="36"/>
        <v/>
      </c>
      <c r="M330" t="str">
        <f t="shared" si="37"/>
        <v/>
      </c>
      <c r="N330">
        <v>353.79</v>
      </c>
      <c r="O330" t="s">
        <v>399</v>
      </c>
      <c r="Q330" t="s">
        <v>19</v>
      </c>
    </row>
    <row r="331" spans="1:17" x14ac:dyDescent="0.3">
      <c r="A331">
        <v>38887</v>
      </c>
      <c r="B331" t="s">
        <v>111</v>
      </c>
      <c r="C331" t="s">
        <v>19</v>
      </c>
      <c r="D331" t="s">
        <v>112</v>
      </c>
      <c r="E331" s="6">
        <v>1983.06</v>
      </c>
      <c r="F331" t="s">
        <v>366</v>
      </c>
      <c r="G331" s="4" t="str">
        <f t="shared" si="32"/>
        <v>1983.06</v>
      </c>
      <c r="H331" t="str">
        <f t="shared" si="33"/>
        <v>1983.06</v>
      </c>
      <c r="I331" s="1">
        <v>45761</v>
      </c>
      <c r="J331" s="2">
        <f t="shared" si="34"/>
        <v>-6.1295590636908107E-2</v>
      </c>
      <c r="K331" s="3" t="str">
        <f t="shared" si="35"/>
        <v/>
      </c>
      <c r="L331" t="str">
        <f t="shared" si="36"/>
        <v/>
      </c>
      <c r="M331" t="str">
        <f t="shared" si="37"/>
        <v/>
      </c>
      <c r="N331">
        <v>2112.5500000000002</v>
      </c>
      <c r="O331" t="s">
        <v>400</v>
      </c>
      <c r="Q331" t="s">
        <v>19</v>
      </c>
    </row>
    <row r="332" spans="1:17" x14ac:dyDescent="0.3">
      <c r="A332">
        <v>41695</v>
      </c>
      <c r="B332" t="s">
        <v>114</v>
      </c>
      <c r="C332" t="s">
        <v>611</v>
      </c>
      <c r="D332" t="s">
        <v>115</v>
      </c>
      <c r="E332" s="6">
        <v>5337.49</v>
      </c>
      <c r="F332" t="s">
        <v>366</v>
      </c>
      <c r="G332" s="4" t="str">
        <f t="shared" si="32"/>
        <v>5337.49</v>
      </c>
      <c r="H332" t="str">
        <f t="shared" si="33"/>
        <v>5337.49</v>
      </c>
      <c r="I332" s="1">
        <v>45761</v>
      </c>
      <c r="J332" s="2">
        <f t="shared" si="34"/>
        <v>-5.9582497894518006E-2</v>
      </c>
      <c r="K332" s="3" t="str">
        <f t="shared" si="35"/>
        <v/>
      </c>
      <c r="L332" t="str">
        <f t="shared" si="36"/>
        <v/>
      </c>
      <c r="M332" t="str">
        <f t="shared" si="37"/>
        <v>Check</v>
      </c>
      <c r="N332">
        <v>5675.66</v>
      </c>
      <c r="O332" t="s">
        <v>116</v>
      </c>
      <c r="Q332" t="s">
        <v>41</v>
      </c>
    </row>
    <row r="333" spans="1:17" x14ac:dyDescent="0.3">
      <c r="A333">
        <v>41695</v>
      </c>
      <c r="B333" t="s">
        <v>114</v>
      </c>
      <c r="C333" t="s">
        <v>606</v>
      </c>
      <c r="D333" t="s">
        <v>614</v>
      </c>
      <c r="E333" s="6">
        <v>579.94000000000005</v>
      </c>
      <c r="F333" t="s">
        <v>366</v>
      </c>
      <c r="G333" s="4" t="str">
        <f t="shared" si="32"/>
        <v>579.94</v>
      </c>
      <c r="H333" t="str">
        <f t="shared" si="33"/>
        <v>579.94</v>
      </c>
      <c r="I333" s="1">
        <v>45761</v>
      </c>
      <c r="J333" s="2">
        <f t="shared" si="34"/>
        <v>-5.9790538568788291E-2</v>
      </c>
      <c r="K333" s="3" t="str">
        <f t="shared" si="35"/>
        <v/>
      </c>
      <c r="L333" t="str">
        <f t="shared" si="36"/>
        <v/>
      </c>
      <c r="M333" t="str">
        <f t="shared" si="37"/>
        <v/>
      </c>
      <c r="N333">
        <v>616.82000000000005</v>
      </c>
      <c r="O333" t="s">
        <v>648</v>
      </c>
      <c r="Q333" t="s">
        <v>606</v>
      </c>
    </row>
    <row r="334" spans="1:17" x14ac:dyDescent="0.3">
      <c r="A334">
        <v>41695</v>
      </c>
      <c r="B334" t="s">
        <v>114</v>
      </c>
      <c r="C334" t="s">
        <v>590</v>
      </c>
      <c r="D334" t="s">
        <v>117</v>
      </c>
      <c r="E334" s="6">
        <v>82268.639999999999</v>
      </c>
      <c r="F334" t="s">
        <v>366</v>
      </c>
      <c r="G334" s="4" t="str">
        <f t="shared" si="32"/>
        <v>82268.64</v>
      </c>
      <c r="H334" t="str">
        <f t="shared" si="33"/>
        <v>82268.64</v>
      </c>
      <c r="I334" s="1">
        <v>45761</v>
      </c>
      <c r="J334" s="2">
        <f t="shared" si="34"/>
        <v>1.7424501945963223E-2</v>
      </c>
      <c r="K334" s="3" t="str">
        <f t="shared" si="35"/>
        <v/>
      </c>
      <c r="L334" t="str">
        <f t="shared" si="36"/>
        <v/>
      </c>
      <c r="M334" t="str">
        <f t="shared" si="37"/>
        <v>Check</v>
      </c>
      <c r="N334">
        <v>80859.7</v>
      </c>
      <c r="O334" t="s">
        <v>401</v>
      </c>
      <c r="Q334" t="s">
        <v>16</v>
      </c>
    </row>
    <row r="335" spans="1:17" x14ac:dyDescent="0.3">
      <c r="A335">
        <v>46589</v>
      </c>
      <c r="B335" t="s">
        <v>638</v>
      </c>
      <c r="C335" t="s">
        <v>19</v>
      </c>
      <c r="D335" t="s">
        <v>118</v>
      </c>
      <c r="E335" s="6">
        <v>103602.92</v>
      </c>
      <c r="F335" t="s">
        <v>366</v>
      </c>
      <c r="G335" s="4" t="str">
        <f t="shared" si="32"/>
        <v>103602.92</v>
      </c>
      <c r="H335" t="str">
        <f t="shared" si="33"/>
        <v>103602.92</v>
      </c>
      <c r="I335" s="1">
        <v>45761</v>
      </c>
      <c r="J335" s="2">
        <f t="shared" si="34"/>
        <v>-6.0020704365790475E-2</v>
      </c>
      <c r="K335" s="3" t="str">
        <f t="shared" si="35"/>
        <v/>
      </c>
      <c r="L335" t="str">
        <f t="shared" si="36"/>
        <v/>
      </c>
      <c r="M335" t="str">
        <f t="shared" si="37"/>
        <v/>
      </c>
      <c r="N335">
        <v>110218.3</v>
      </c>
      <c r="O335" t="s">
        <v>402</v>
      </c>
      <c r="Q335" t="s">
        <v>19</v>
      </c>
    </row>
    <row r="336" spans="1:17" x14ac:dyDescent="0.3">
      <c r="A336">
        <v>46589</v>
      </c>
      <c r="B336" t="s">
        <v>638</v>
      </c>
      <c r="C336" t="s">
        <v>19</v>
      </c>
      <c r="D336" t="s">
        <v>120</v>
      </c>
      <c r="E336" s="6">
        <v>4624.5600000000004</v>
      </c>
      <c r="F336" t="s">
        <v>366</v>
      </c>
      <c r="G336" s="4" t="str">
        <f t="shared" si="32"/>
        <v>4624.56</v>
      </c>
      <c r="H336" t="str">
        <f t="shared" si="33"/>
        <v>4624.56</v>
      </c>
      <c r="I336" s="1">
        <v>45761</v>
      </c>
      <c r="J336" s="2">
        <f t="shared" si="34"/>
        <v>-6.0480348457822179E-2</v>
      </c>
      <c r="K336" s="3" t="str">
        <f t="shared" si="35"/>
        <v/>
      </c>
      <c r="L336" t="str">
        <f t="shared" si="36"/>
        <v/>
      </c>
      <c r="M336" t="str">
        <f t="shared" si="37"/>
        <v/>
      </c>
      <c r="N336">
        <v>4922.26</v>
      </c>
      <c r="O336" t="s">
        <v>403</v>
      </c>
      <c r="Q336" t="s">
        <v>19</v>
      </c>
    </row>
    <row r="337" spans="1:17" x14ac:dyDescent="0.3">
      <c r="A337">
        <v>54985</v>
      </c>
      <c r="B337" t="s">
        <v>122</v>
      </c>
      <c r="C337" t="s">
        <v>19</v>
      </c>
      <c r="D337" t="s">
        <v>123</v>
      </c>
      <c r="E337" s="6">
        <v>1967.11</v>
      </c>
      <c r="F337" t="s">
        <v>366</v>
      </c>
      <c r="G337" s="4" t="str">
        <f t="shared" si="32"/>
        <v>1967.11</v>
      </c>
      <c r="H337" t="str">
        <f t="shared" si="33"/>
        <v>1967.11</v>
      </c>
      <c r="I337" s="1">
        <v>45761</v>
      </c>
      <c r="J337" s="2">
        <f t="shared" si="34"/>
        <v>-6.1390324319939731E-2</v>
      </c>
      <c r="K337" s="3" t="str">
        <f t="shared" si="35"/>
        <v/>
      </c>
      <c r="L337" t="str">
        <f t="shared" si="36"/>
        <v/>
      </c>
      <c r="M337" t="str">
        <f t="shared" si="37"/>
        <v/>
      </c>
      <c r="N337">
        <v>2095.77</v>
      </c>
      <c r="O337" t="s">
        <v>404</v>
      </c>
      <c r="Q337" t="s">
        <v>19</v>
      </c>
    </row>
    <row r="338" spans="1:17" x14ac:dyDescent="0.3">
      <c r="A338">
        <v>61172</v>
      </c>
      <c r="B338" t="s">
        <v>125</v>
      </c>
      <c r="C338" t="s">
        <v>611</v>
      </c>
      <c r="D338" t="s">
        <v>126</v>
      </c>
      <c r="E338" s="6">
        <v>42008.06</v>
      </c>
      <c r="F338" t="s">
        <v>366</v>
      </c>
      <c r="G338" s="4" t="str">
        <f t="shared" si="32"/>
        <v>42008.06</v>
      </c>
      <c r="H338" t="str">
        <f t="shared" si="33"/>
        <v>42008.06</v>
      </c>
      <c r="I338" s="1">
        <v>45761</v>
      </c>
      <c r="J338" s="2">
        <f t="shared" si="34"/>
        <v>-5.9458365397037381E-2</v>
      </c>
      <c r="K338" s="3" t="str">
        <f t="shared" si="35"/>
        <v/>
      </c>
      <c r="L338" t="str">
        <f t="shared" si="36"/>
        <v/>
      </c>
      <c r="M338" t="str">
        <f t="shared" si="37"/>
        <v>Check</v>
      </c>
      <c r="N338">
        <v>44663.69</v>
      </c>
      <c r="O338" t="s">
        <v>127</v>
      </c>
      <c r="Q338" t="s">
        <v>41</v>
      </c>
    </row>
    <row r="339" spans="1:17" x14ac:dyDescent="0.3">
      <c r="A339">
        <v>61172</v>
      </c>
      <c r="B339" t="s">
        <v>125</v>
      </c>
      <c r="C339" t="s">
        <v>606</v>
      </c>
      <c r="D339" t="s">
        <v>615</v>
      </c>
      <c r="E339" s="6">
        <v>3468.83</v>
      </c>
      <c r="F339" t="s">
        <v>366</v>
      </c>
      <c r="G339" s="4" t="str">
        <f t="shared" si="32"/>
        <v>3468.83</v>
      </c>
      <c r="H339" t="str">
        <f t="shared" si="33"/>
        <v>3468.83</v>
      </c>
      <c r="I339" s="1">
        <v>45761</v>
      </c>
      <c r="J339" s="2">
        <f t="shared" si="34"/>
        <v>-5.8960926924151662E-2</v>
      </c>
      <c r="K339" s="3" t="str">
        <f t="shared" si="35"/>
        <v/>
      </c>
      <c r="L339" t="str">
        <f t="shared" si="36"/>
        <v/>
      </c>
      <c r="M339" t="str">
        <f t="shared" si="37"/>
        <v/>
      </c>
      <c r="N339">
        <v>3686.17</v>
      </c>
      <c r="O339" t="s">
        <v>649</v>
      </c>
      <c r="Q339" t="s">
        <v>606</v>
      </c>
    </row>
    <row r="340" spans="1:17" x14ac:dyDescent="0.3">
      <c r="A340">
        <v>62166</v>
      </c>
      <c r="B340" t="s">
        <v>128</v>
      </c>
      <c r="C340" t="s">
        <v>611</v>
      </c>
      <c r="D340" t="s">
        <v>129</v>
      </c>
      <c r="E340" s="6">
        <v>36885.93</v>
      </c>
      <c r="F340" t="s">
        <v>366</v>
      </c>
      <c r="G340" s="4" t="str">
        <f t="shared" si="32"/>
        <v>36885.93</v>
      </c>
      <c r="H340" t="str">
        <f t="shared" si="33"/>
        <v>36885.93</v>
      </c>
      <c r="I340" s="1">
        <v>45761</v>
      </c>
      <c r="J340" s="2">
        <f t="shared" si="34"/>
        <v>-6.123777075742208E-2</v>
      </c>
      <c r="K340" s="3" t="str">
        <f t="shared" si="35"/>
        <v/>
      </c>
      <c r="L340" t="str">
        <f t="shared" si="36"/>
        <v/>
      </c>
      <c r="M340" t="str">
        <f t="shared" si="37"/>
        <v>Check</v>
      </c>
      <c r="N340">
        <v>39292.089999999997</v>
      </c>
      <c r="O340" t="s">
        <v>130</v>
      </c>
      <c r="Q340" t="s">
        <v>41</v>
      </c>
    </row>
    <row r="341" spans="1:17" x14ac:dyDescent="0.3">
      <c r="A341">
        <v>62166</v>
      </c>
      <c r="B341" t="s">
        <v>128</v>
      </c>
      <c r="C341" t="s">
        <v>606</v>
      </c>
      <c r="D341" t="s">
        <v>616</v>
      </c>
      <c r="E341" s="6">
        <v>3447.23</v>
      </c>
      <c r="F341" t="s">
        <v>366</v>
      </c>
      <c r="G341" s="4" t="str">
        <f t="shared" si="32"/>
        <v>3447.23</v>
      </c>
      <c r="H341" t="str">
        <f t="shared" si="33"/>
        <v>3447.23</v>
      </c>
      <c r="I341" s="1">
        <v>45761</v>
      </c>
      <c r="J341" s="2">
        <f t="shared" si="34"/>
        <v>-6.0700272479564027E-2</v>
      </c>
      <c r="K341" s="3" t="str">
        <f t="shared" si="35"/>
        <v/>
      </c>
      <c r="L341" t="str">
        <f t="shared" si="36"/>
        <v/>
      </c>
      <c r="M341" t="str">
        <f t="shared" si="37"/>
        <v/>
      </c>
      <c r="N341">
        <v>3670</v>
      </c>
      <c r="O341" t="s">
        <v>650</v>
      </c>
      <c r="Q341" t="s">
        <v>606</v>
      </c>
    </row>
    <row r="342" spans="1:17" x14ac:dyDescent="0.3">
      <c r="A342">
        <v>69046</v>
      </c>
      <c r="B342" t="s">
        <v>131</v>
      </c>
      <c r="C342" t="s">
        <v>19</v>
      </c>
      <c r="D342" t="s">
        <v>132</v>
      </c>
      <c r="E342" s="6">
        <v>139111</v>
      </c>
      <c r="F342" t="s">
        <v>366</v>
      </c>
      <c r="G342" s="4" t="str">
        <f t="shared" si="32"/>
        <v>139111</v>
      </c>
      <c r="H342" t="str">
        <f t="shared" si="33"/>
        <v>139111</v>
      </c>
      <c r="I342" s="1">
        <v>45761</v>
      </c>
      <c r="J342" s="2">
        <f t="shared" si="34"/>
        <v>-5.940805271009366E-2</v>
      </c>
      <c r="K342" s="3" t="str">
        <f t="shared" si="35"/>
        <v/>
      </c>
      <c r="L342" t="str">
        <f t="shared" si="36"/>
        <v/>
      </c>
      <c r="M342" t="str">
        <f t="shared" si="37"/>
        <v/>
      </c>
      <c r="N342">
        <v>147897.29</v>
      </c>
      <c r="O342" t="s">
        <v>405</v>
      </c>
      <c r="Q342" t="s">
        <v>19</v>
      </c>
    </row>
    <row r="343" spans="1:17" x14ac:dyDescent="0.3">
      <c r="A343">
        <v>72002</v>
      </c>
      <c r="B343" t="s">
        <v>134</v>
      </c>
      <c r="C343" t="s">
        <v>590</v>
      </c>
      <c r="D343" t="s">
        <v>135</v>
      </c>
      <c r="E343" s="6">
        <v>20206.68</v>
      </c>
      <c r="F343" t="s">
        <v>366</v>
      </c>
      <c r="G343" s="4" t="str">
        <f t="shared" si="32"/>
        <v>20206.68</v>
      </c>
      <c r="H343" t="str">
        <f t="shared" si="33"/>
        <v>20206.68</v>
      </c>
      <c r="I343" s="1">
        <v>45761</v>
      </c>
      <c r="J343" s="2">
        <f t="shared" si="34"/>
        <v>-0.18003984013627944</v>
      </c>
      <c r="K343" s="3" t="str">
        <f t="shared" si="35"/>
        <v>Check!</v>
      </c>
      <c r="L343" t="str">
        <f t="shared" si="36"/>
        <v/>
      </c>
      <c r="M343" t="str">
        <f t="shared" si="37"/>
        <v>Check</v>
      </c>
      <c r="N343">
        <v>24643.49</v>
      </c>
      <c r="O343" t="s">
        <v>406</v>
      </c>
      <c r="Q343" t="s">
        <v>16</v>
      </c>
    </row>
    <row r="344" spans="1:17" x14ac:dyDescent="0.3">
      <c r="A344">
        <v>72002</v>
      </c>
      <c r="B344" t="s">
        <v>134</v>
      </c>
      <c r="C344" t="s">
        <v>19</v>
      </c>
      <c r="D344" t="s">
        <v>137</v>
      </c>
      <c r="E344" s="6">
        <v>63172.65</v>
      </c>
      <c r="F344" t="s">
        <v>366</v>
      </c>
      <c r="G344" s="4" t="str">
        <f t="shared" si="32"/>
        <v>63172.65</v>
      </c>
      <c r="H344" t="str">
        <f t="shared" si="33"/>
        <v>63172.65</v>
      </c>
      <c r="I344" s="1">
        <v>45761</v>
      </c>
      <c r="J344" s="2">
        <f t="shared" si="34"/>
        <v>-6.1193163478394215E-2</v>
      </c>
      <c r="K344" s="3" t="str">
        <f t="shared" si="35"/>
        <v/>
      </c>
      <c r="L344" t="str">
        <f t="shared" si="36"/>
        <v/>
      </c>
      <c r="M344" t="str">
        <f t="shared" si="37"/>
        <v/>
      </c>
      <c r="N344">
        <v>67290.36</v>
      </c>
      <c r="O344" t="s">
        <v>407</v>
      </c>
      <c r="Q344" t="s">
        <v>19</v>
      </c>
    </row>
    <row r="345" spans="1:17" x14ac:dyDescent="0.3">
      <c r="A345">
        <v>72002</v>
      </c>
      <c r="B345" t="s">
        <v>134</v>
      </c>
      <c r="C345" t="s">
        <v>19</v>
      </c>
      <c r="D345" t="s">
        <v>139</v>
      </c>
      <c r="E345" s="6">
        <v>9240.9599999999991</v>
      </c>
      <c r="F345" t="s">
        <v>366</v>
      </c>
      <c r="G345" s="4" t="str">
        <f t="shared" si="32"/>
        <v>9240.96</v>
      </c>
      <c r="H345" t="str">
        <f t="shared" si="33"/>
        <v>9240.96</v>
      </c>
      <c r="I345" s="1">
        <v>45761</v>
      </c>
      <c r="J345" s="2">
        <f t="shared" si="34"/>
        <v>-5.9511281638967357E-2</v>
      </c>
      <c r="K345" s="3" t="str">
        <f t="shared" si="35"/>
        <v/>
      </c>
      <c r="L345" t="str">
        <f t="shared" si="36"/>
        <v/>
      </c>
      <c r="M345" t="str">
        <f t="shared" si="37"/>
        <v/>
      </c>
      <c r="N345">
        <v>9825.7000000000007</v>
      </c>
      <c r="O345" t="s">
        <v>408</v>
      </c>
      <c r="Q345" t="s">
        <v>19</v>
      </c>
    </row>
    <row r="346" spans="1:17" x14ac:dyDescent="0.3">
      <c r="A346">
        <v>80212</v>
      </c>
      <c r="B346" t="s">
        <v>141</v>
      </c>
      <c r="C346" t="s">
        <v>590</v>
      </c>
      <c r="D346" t="s">
        <v>142</v>
      </c>
      <c r="E346" s="6">
        <v>11012.35</v>
      </c>
      <c r="F346" t="s">
        <v>366</v>
      </c>
      <c r="G346" s="4" t="str">
        <f t="shared" si="32"/>
        <v>11012.35</v>
      </c>
      <c r="H346" t="str">
        <f t="shared" si="33"/>
        <v>11012.35</v>
      </c>
      <c r="I346" s="1">
        <v>45761</v>
      </c>
      <c r="J346" s="2">
        <f t="shared" si="34"/>
        <v>-4.7432248912263129E-2</v>
      </c>
      <c r="K346" s="3" t="str">
        <f t="shared" si="35"/>
        <v/>
      </c>
      <c r="L346" t="str">
        <f t="shared" si="36"/>
        <v/>
      </c>
      <c r="M346" t="str">
        <f t="shared" si="37"/>
        <v>Check</v>
      </c>
      <c r="N346">
        <v>11560.7</v>
      </c>
      <c r="O346" t="s">
        <v>409</v>
      </c>
      <c r="Q346" t="s">
        <v>16</v>
      </c>
    </row>
    <row r="347" spans="1:17" x14ac:dyDescent="0.3">
      <c r="A347">
        <v>80212</v>
      </c>
      <c r="B347" t="s">
        <v>141</v>
      </c>
      <c r="C347" t="s">
        <v>611</v>
      </c>
      <c r="D347" t="s">
        <v>144</v>
      </c>
      <c r="E347" s="6">
        <v>15221.87</v>
      </c>
      <c r="F347" t="s">
        <v>366</v>
      </c>
      <c r="G347" s="4" t="str">
        <f t="shared" si="32"/>
        <v>15221.87</v>
      </c>
      <c r="H347" t="str">
        <f t="shared" si="33"/>
        <v>15221.87</v>
      </c>
      <c r="I347" s="1">
        <v>45761</v>
      </c>
      <c r="J347" s="2">
        <f t="shared" si="34"/>
        <v>-6.0494963279247416E-2</v>
      </c>
      <c r="K347" s="3" t="str">
        <f t="shared" si="35"/>
        <v/>
      </c>
      <c r="L347" t="str">
        <f t="shared" si="36"/>
        <v/>
      </c>
      <c r="M347" t="str">
        <f t="shared" si="37"/>
        <v>Check</v>
      </c>
      <c r="N347">
        <v>16202.01</v>
      </c>
      <c r="O347" t="s">
        <v>145</v>
      </c>
      <c r="Q347" t="s">
        <v>41</v>
      </c>
    </row>
    <row r="348" spans="1:17" x14ac:dyDescent="0.3">
      <c r="A348">
        <v>80212</v>
      </c>
      <c r="B348" t="s">
        <v>141</v>
      </c>
      <c r="C348" t="s">
        <v>606</v>
      </c>
      <c r="D348" t="s">
        <v>617</v>
      </c>
      <c r="E348" s="6">
        <v>1658.73</v>
      </c>
      <c r="F348" t="s">
        <v>366</v>
      </c>
      <c r="G348" s="4" t="str">
        <f t="shared" si="32"/>
        <v>1658.73</v>
      </c>
      <c r="H348" t="str">
        <f t="shared" si="33"/>
        <v>1658.73</v>
      </c>
      <c r="I348" s="1">
        <v>45761</v>
      </c>
      <c r="J348" s="2">
        <f t="shared" si="34"/>
        <v>-6.0486428927454781E-2</v>
      </c>
      <c r="K348" s="3" t="str">
        <f t="shared" si="35"/>
        <v/>
      </c>
      <c r="L348" t="str">
        <f t="shared" si="36"/>
        <v/>
      </c>
      <c r="M348" t="str">
        <f t="shared" si="37"/>
        <v/>
      </c>
      <c r="N348">
        <v>1765.52</v>
      </c>
      <c r="O348" t="s">
        <v>651</v>
      </c>
      <c r="Q348" t="s">
        <v>606</v>
      </c>
    </row>
    <row r="349" spans="1:17" x14ac:dyDescent="0.3">
      <c r="A349">
        <v>81381</v>
      </c>
      <c r="B349" t="s">
        <v>593</v>
      </c>
      <c r="C349" t="s">
        <v>19</v>
      </c>
      <c r="D349" t="s">
        <v>146</v>
      </c>
      <c r="E349" s="6">
        <v>22861.14</v>
      </c>
      <c r="F349" t="s">
        <v>366</v>
      </c>
      <c r="G349" s="4" t="str">
        <f t="shared" si="32"/>
        <v>22861.14</v>
      </c>
      <c r="H349" t="str">
        <f t="shared" si="33"/>
        <v>22861.14</v>
      </c>
      <c r="I349" s="1">
        <v>45761</v>
      </c>
      <c r="J349" s="2">
        <f t="shared" si="34"/>
        <v>-6.1312224997905965E-2</v>
      </c>
      <c r="K349" s="3" t="str">
        <f t="shared" si="35"/>
        <v/>
      </c>
      <c r="L349" t="str">
        <f t="shared" si="36"/>
        <v/>
      </c>
      <c r="M349" t="str">
        <f t="shared" si="37"/>
        <v/>
      </c>
      <c r="N349">
        <v>24354.36</v>
      </c>
      <c r="O349" t="s">
        <v>410</v>
      </c>
      <c r="Q349" t="s">
        <v>19</v>
      </c>
    </row>
    <row r="350" spans="1:17" x14ac:dyDescent="0.3">
      <c r="A350">
        <v>81381</v>
      </c>
      <c r="B350" t="s">
        <v>593</v>
      </c>
      <c r="C350" t="s">
        <v>19</v>
      </c>
      <c r="D350" t="s">
        <v>148</v>
      </c>
      <c r="E350" s="6">
        <v>773052.9</v>
      </c>
      <c r="F350" t="s">
        <v>366</v>
      </c>
      <c r="G350" s="4" t="str">
        <f t="shared" si="32"/>
        <v>773052.9</v>
      </c>
      <c r="H350" t="str">
        <f t="shared" si="33"/>
        <v>773052.9</v>
      </c>
      <c r="I350" s="1">
        <v>45761</v>
      </c>
      <c r="J350" s="2">
        <f t="shared" si="34"/>
        <v>-6.0650497424432459E-2</v>
      </c>
      <c r="K350" s="3" t="str">
        <f t="shared" si="35"/>
        <v/>
      </c>
      <c r="L350" t="str">
        <f t="shared" si="36"/>
        <v/>
      </c>
      <c r="M350" t="str">
        <f t="shared" si="37"/>
        <v/>
      </c>
      <c r="N350">
        <v>822966.21</v>
      </c>
      <c r="O350" t="s">
        <v>411</v>
      </c>
      <c r="Q350" t="s">
        <v>19</v>
      </c>
    </row>
    <row r="351" spans="1:17" x14ac:dyDescent="0.3">
      <c r="A351">
        <v>113590</v>
      </c>
      <c r="B351" t="s">
        <v>150</v>
      </c>
      <c r="C351" t="s">
        <v>19</v>
      </c>
      <c r="D351" t="s">
        <v>151</v>
      </c>
      <c r="E351" s="6">
        <v>136218.26</v>
      </c>
      <c r="F351" t="s">
        <v>366</v>
      </c>
      <c r="G351" s="4" t="str">
        <f t="shared" si="32"/>
        <v>136218.26</v>
      </c>
      <c r="H351" t="str">
        <f t="shared" si="33"/>
        <v>136218.26</v>
      </c>
      <c r="I351" s="1">
        <v>45761</v>
      </c>
      <c r="J351" s="2">
        <f t="shared" si="34"/>
        <v>-6.1227468689034351E-2</v>
      </c>
      <c r="K351" s="3" t="str">
        <f t="shared" si="35"/>
        <v/>
      </c>
      <c r="L351" t="str">
        <f t="shared" si="36"/>
        <v/>
      </c>
      <c r="M351" t="str">
        <f t="shared" si="37"/>
        <v/>
      </c>
      <c r="N351">
        <v>145102.51999999999</v>
      </c>
      <c r="O351" t="s">
        <v>412</v>
      </c>
      <c r="Q351" t="s">
        <v>19</v>
      </c>
    </row>
    <row r="352" spans="1:17" x14ac:dyDescent="0.3">
      <c r="A352">
        <v>113590</v>
      </c>
      <c r="B352" t="s">
        <v>150</v>
      </c>
      <c r="C352" t="s">
        <v>19</v>
      </c>
      <c r="D352" t="s">
        <v>153</v>
      </c>
      <c r="E352" s="6">
        <v>35474.080000000002</v>
      </c>
      <c r="F352" t="s">
        <v>366</v>
      </c>
      <c r="G352" s="4" t="str">
        <f t="shared" si="32"/>
        <v>35474.08</v>
      </c>
      <c r="H352" t="str">
        <f t="shared" si="33"/>
        <v>35474.08</v>
      </c>
      <c r="I352" s="1">
        <v>45761</v>
      </c>
      <c r="J352" s="2">
        <f t="shared" si="34"/>
        <v>-5.8882706285791904E-2</v>
      </c>
      <c r="K352" s="3" t="str">
        <f t="shared" si="35"/>
        <v/>
      </c>
      <c r="L352" t="str">
        <f t="shared" si="36"/>
        <v/>
      </c>
      <c r="M352" t="str">
        <f t="shared" si="37"/>
        <v/>
      </c>
      <c r="N352">
        <v>37693.58</v>
      </c>
      <c r="O352" t="s">
        <v>413</v>
      </c>
      <c r="Q352" t="s">
        <v>19</v>
      </c>
    </row>
    <row r="353" spans="1:17" x14ac:dyDescent="0.3">
      <c r="A353">
        <v>130912</v>
      </c>
      <c r="B353" t="s">
        <v>604</v>
      </c>
      <c r="C353" t="s">
        <v>590</v>
      </c>
      <c r="D353" t="s">
        <v>605</v>
      </c>
      <c r="E353" s="6">
        <v>23972.77</v>
      </c>
      <c r="F353" t="s">
        <v>366</v>
      </c>
      <c r="G353" s="4" t="str">
        <f t="shared" si="32"/>
        <v>23972.77</v>
      </c>
      <c r="H353" t="str">
        <f t="shared" si="33"/>
        <v>23972.77</v>
      </c>
      <c r="I353" s="1">
        <v>45761</v>
      </c>
      <c r="J353" s="2">
        <f t="shared" si="34"/>
        <v>-6.1162301073213826E-2</v>
      </c>
      <c r="K353" s="3" t="str">
        <f t="shared" si="35"/>
        <v/>
      </c>
      <c r="L353" t="str">
        <f t="shared" si="36"/>
        <v/>
      </c>
      <c r="M353" t="str">
        <f t="shared" si="37"/>
        <v/>
      </c>
      <c r="N353">
        <v>25534.52</v>
      </c>
      <c r="O353" t="s">
        <v>677</v>
      </c>
      <c r="Q353" t="s">
        <v>590</v>
      </c>
    </row>
    <row r="354" spans="1:17" x14ac:dyDescent="0.3">
      <c r="A354">
        <v>133380</v>
      </c>
      <c r="B354" t="s">
        <v>155</v>
      </c>
      <c r="C354" t="s">
        <v>611</v>
      </c>
      <c r="D354" t="s">
        <v>156</v>
      </c>
      <c r="E354" s="6">
        <v>9235.9500000000007</v>
      </c>
      <c r="F354" t="s">
        <v>366</v>
      </c>
      <c r="G354" s="4" t="str">
        <f t="shared" si="32"/>
        <v>9235.95</v>
      </c>
      <c r="H354" t="str">
        <f t="shared" si="33"/>
        <v>9235.95</v>
      </c>
      <c r="I354" s="1">
        <v>45761</v>
      </c>
      <c r="J354" s="2">
        <f t="shared" si="34"/>
        <v>-5.9634522066534489E-2</v>
      </c>
      <c r="K354" s="3" t="str">
        <f t="shared" si="35"/>
        <v/>
      </c>
      <c r="L354" t="str">
        <f t="shared" si="36"/>
        <v/>
      </c>
      <c r="M354" t="str">
        <f t="shared" si="37"/>
        <v>Check</v>
      </c>
      <c r="N354">
        <v>9821.66</v>
      </c>
      <c r="O354" t="s">
        <v>157</v>
      </c>
      <c r="Q354" t="s">
        <v>41</v>
      </c>
    </row>
    <row r="355" spans="1:17" x14ac:dyDescent="0.3">
      <c r="A355">
        <v>133380</v>
      </c>
      <c r="B355" t="s">
        <v>155</v>
      </c>
      <c r="C355" t="s">
        <v>606</v>
      </c>
      <c r="D355" t="s">
        <v>618</v>
      </c>
      <c r="E355" s="6">
        <v>1003.93</v>
      </c>
      <c r="F355" t="s">
        <v>366</v>
      </c>
      <c r="G355" s="4" t="str">
        <f t="shared" si="32"/>
        <v>1003.93</v>
      </c>
      <c r="H355" t="str">
        <f t="shared" si="33"/>
        <v>1003.93</v>
      </c>
      <c r="I355" s="1">
        <v>45761</v>
      </c>
      <c r="J355" s="2">
        <f t="shared" si="34"/>
        <v>-5.9673672773594227E-2</v>
      </c>
      <c r="K355" s="3" t="str">
        <f t="shared" si="35"/>
        <v/>
      </c>
      <c r="L355" t="str">
        <f t="shared" si="36"/>
        <v/>
      </c>
      <c r="M355" t="str">
        <f t="shared" si="37"/>
        <v/>
      </c>
      <c r="N355">
        <v>1067.6400000000001</v>
      </c>
      <c r="O355" t="s">
        <v>653</v>
      </c>
      <c r="Q355" t="s">
        <v>606</v>
      </c>
    </row>
    <row r="356" spans="1:17" x14ac:dyDescent="0.3">
      <c r="A356">
        <v>133382</v>
      </c>
      <c r="B356" t="s">
        <v>158</v>
      </c>
      <c r="C356" t="s">
        <v>611</v>
      </c>
      <c r="D356" t="s">
        <v>159</v>
      </c>
      <c r="E356" s="6">
        <v>1035.24</v>
      </c>
      <c r="F356" t="s">
        <v>366</v>
      </c>
      <c r="G356" s="4" t="str">
        <f t="shared" si="32"/>
        <v>1035.24</v>
      </c>
      <c r="H356" t="str">
        <f t="shared" si="33"/>
        <v>1035.24</v>
      </c>
      <c r="I356" s="1">
        <v>45761</v>
      </c>
      <c r="J356" s="2">
        <f t="shared" si="34"/>
        <v>-6.0597811291991044E-2</v>
      </c>
      <c r="K356" s="3" t="str">
        <f t="shared" si="35"/>
        <v/>
      </c>
      <c r="L356" t="str">
        <f t="shared" si="36"/>
        <v/>
      </c>
      <c r="M356" t="str">
        <f t="shared" si="37"/>
        <v>Check</v>
      </c>
      <c r="N356">
        <v>1102.02</v>
      </c>
      <c r="O356" t="s">
        <v>160</v>
      </c>
      <c r="Q356" t="s">
        <v>41</v>
      </c>
    </row>
    <row r="357" spans="1:17" x14ac:dyDescent="0.3">
      <c r="A357">
        <v>133382</v>
      </c>
      <c r="B357" t="s">
        <v>158</v>
      </c>
      <c r="C357" t="s">
        <v>606</v>
      </c>
      <c r="D357" t="s">
        <v>619</v>
      </c>
      <c r="E357" s="6">
        <v>113.77</v>
      </c>
      <c r="F357" t="s">
        <v>366</v>
      </c>
      <c r="G357" s="4" t="str">
        <f t="shared" si="32"/>
        <v>113.77</v>
      </c>
      <c r="H357" t="str">
        <f t="shared" si="33"/>
        <v>113.77</v>
      </c>
      <c r="I357" s="1">
        <v>45761</v>
      </c>
      <c r="J357" s="2">
        <f t="shared" si="34"/>
        <v>-5.9130003307972259E-2</v>
      </c>
      <c r="K357" s="3" t="str">
        <f t="shared" si="35"/>
        <v/>
      </c>
      <c r="L357" t="str">
        <f t="shared" si="36"/>
        <v/>
      </c>
      <c r="M357" t="str">
        <f t="shared" si="37"/>
        <v/>
      </c>
      <c r="N357">
        <v>120.92</v>
      </c>
      <c r="O357" t="s">
        <v>654</v>
      </c>
      <c r="Q357" t="s">
        <v>606</v>
      </c>
    </row>
    <row r="358" spans="1:17" x14ac:dyDescent="0.3">
      <c r="A358">
        <v>100202693</v>
      </c>
      <c r="B358" t="s">
        <v>594</v>
      </c>
      <c r="C358" t="s">
        <v>590</v>
      </c>
      <c r="D358" t="s">
        <v>599</v>
      </c>
      <c r="E358" s="6">
        <v>252831.75</v>
      </c>
      <c r="F358" t="s">
        <v>366</v>
      </c>
      <c r="G358" s="4" t="str">
        <f t="shared" si="32"/>
        <v>252831.75</v>
      </c>
      <c r="H358" t="str">
        <f t="shared" si="33"/>
        <v>252831.75</v>
      </c>
      <c r="I358" s="1">
        <v>45761</v>
      </c>
      <c r="J358" s="2">
        <f t="shared" si="34"/>
        <v>0.9871449907874229</v>
      </c>
      <c r="K358" s="3" t="str">
        <f t="shared" si="35"/>
        <v>Check!</v>
      </c>
      <c r="L358" t="str">
        <f t="shared" si="36"/>
        <v/>
      </c>
      <c r="M358" t="str">
        <f t="shared" si="37"/>
        <v/>
      </c>
      <c r="N358">
        <v>127233.67</v>
      </c>
      <c r="O358" t="s">
        <v>678</v>
      </c>
      <c r="Q358" t="s">
        <v>590</v>
      </c>
    </row>
    <row r="359" spans="1:17" x14ac:dyDescent="0.3">
      <c r="A359">
        <v>100202693</v>
      </c>
      <c r="B359" t="s">
        <v>594</v>
      </c>
      <c r="C359" t="s">
        <v>19</v>
      </c>
      <c r="D359" t="s">
        <v>597</v>
      </c>
      <c r="E359" s="6">
        <v>89265.02</v>
      </c>
      <c r="F359" t="s">
        <v>366</v>
      </c>
      <c r="G359" s="4" t="str">
        <f t="shared" si="32"/>
        <v>89265.02</v>
      </c>
      <c r="H359" t="str">
        <f t="shared" si="33"/>
        <v>89265.02</v>
      </c>
      <c r="I359" s="1">
        <v>45761</v>
      </c>
      <c r="J359" s="2">
        <f t="shared" si="34"/>
        <v>-6.1206602440515151E-2</v>
      </c>
      <c r="K359" s="3" t="str">
        <f t="shared" si="35"/>
        <v/>
      </c>
      <c r="L359" t="str">
        <f t="shared" si="36"/>
        <v/>
      </c>
      <c r="M359" t="str">
        <f t="shared" si="37"/>
        <v/>
      </c>
      <c r="N359">
        <v>95084.84</v>
      </c>
      <c r="O359" t="s">
        <v>679</v>
      </c>
      <c r="Q359" t="s">
        <v>19</v>
      </c>
    </row>
    <row r="360" spans="1:17" x14ac:dyDescent="0.3">
      <c r="A360">
        <v>100202693</v>
      </c>
      <c r="B360" t="s">
        <v>594</v>
      </c>
      <c r="C360" t="s">
        <v>19</v>
      </c>
      <c r="D360" t="s">
        <v>598</v>
      </c>
      <c r="E360" s="6">
        <v>348170.3</v>
      </c>
      <c r="F360" t="s">
        <v>366</v>
      </c>
      <c r="G360" s="4" t="str">
        <f t="shared" si="32"/>
        <v>348170.3</v>
      </c>
      <c r="H360" t="str">
        <f t="shared" si="33"/>
        <v>348170.3</v>
      </c>
      <c r="I360" s="1">
        <v>45761</v>
      </c>
      <c r="J360" s="2">
        <f t="shared" si="34"/>
        <v>-6.0890378297909303E-2</v>
      </c>
      <c r="K360" s="3" t="str">
        <f t="shared" si="35"/>
        <v/>
      </c>
      <c r="L360" t="str">
        <f t="shared" si="36"/>
        <v/>
      </c>
      <c r="M360" t="str">
        <f t="shared" si="37"/>
        <v/>
      </c>
      <c r="N360">
        <v>370745.11</v>
      </c>
      <c r="O360" t="s">
        <v>680</v>
      </c>
      <c r="Q360" t="s">
        <v>19</v>
      </c>
    </row>
    <row r="361" spans="1:17" x14ac:dyDescent="0.3">
      <c r="A361">
        <v>100205932</v>
      </c>
      <c r="B361" t="s">
        <v>165</v>
      </c>
      <c r="C361" t="s">
        <v>19</v>
      </c>
      <c r="D361" t="s">
        <v>586</v>
      </c>
      <c r="E361" s="6">
        <v>38806.46</v>
      </c>
      <c r="F361" t="s">
        <v>366</v>
      </c>
      <c r="G361" s="4" t="str">
        <f t="shared" si="32"/>
        <v>38806.46</v>
      </c>
      <c r="H361" t="str">
        <f t="shared" si="33"/>
        <v>38806.46</v>
      </c>
      <c r="I361" s="1">
        <v>45761</v>
      </c>
      <c r="J361" s="2">
        <f t="shared" si="34"/>
        <v>-5.9767510489842642E-2</v>
      </c>
      <c r="K361" s="3" t="str">
        <f t="shared" si="35"/>
        <v/>
      </c>
      <c r="L361" t="str">
        <f t="shared" si="36"/>
        <v/>
      </c>
      <c r="M361" t="str">
        <f t="shared" si="37"/>
        <v/>
      </c>
      <c r="N361">
        <v>41273.26</v>
      </c>
      <c r="O361" t="s">
        <v>681</v>
      </c>
      <c r="Q361" t="s">
        <v>19</v>
      </c>
    </row>
    <row r="362" spans="1:17" x14ac:dyDescent="0.3">
      <c r="A362">
        <v>100220898</v>
      </c>
      <c r="B362" t="s">
        <v>166</v>
      </c>
      <c r="C362" t="s">
        <v>19</v>
      </c>
      <c r="D362" t="s">
        <v>167</v>
      </c>
      <c r="E362" s="6">
        <v>90340.08</v>
      </c>
      <c r="F362" t="s">
        <v>366</v>
      </c>
      <c r="G362" s="4" t="str">
        <f t="shared" si="32"/>
        <v>90340.08</v>
      </c>
      <c r="H362" t="str">
        <f t="shared" si="33"/>
        <v>90340.08</v>
      </c>
      <c r="I362" s="1">
        <v>45761</v>
      </c>
      <c r="J362" s="2">
        <f t="shared" si="34"/>
        <v>-6.1137128834340464E-2</v>
      </c>
      <c r="K362" s="3" t="str">
        <f t="shared" si="35"/>
        <v/>
      </c>
      <c r="L362" t="str">
        <f t="shared" si="36"/>
        <v/>
      </c>
      <c r="M362" t="str">
        <f t="shared" si="37"/>
        <v/>
      </c>
      <c r="N362">
        <v>96222.87</v>
      </c>
      <c r="O362" t="s">
        <v>414</v>
      </c>
      <c r="Q362" t="s">
        <v>19</v>
      </c>
    </row>
    <row r="363" spans="1:17" x14ac:dyDescent="0.3">
      <c r="A363">
        <v>100220898</v>
      </c>
      <c r="B363" t="s">
        <v>166</v>
      </c>
      <c r="C363" t="s">
        <v>19</v>
      </c>
      <c r="D363" t="s">
        <v>169</v>
      </c>
      <c r="E363" s="6">
        <v>70941.570000000007</v>
      </c>
      <c r="F363" t="s">
        <v>366</v>
      </c>
      <c r="G363" s="4" t="str">
        <f t="shared" si="32"/>
        <v>70941.57</v>
      </c>
      <c r="H363" t="str">
        <f t="shared" si="33"/>
        <v>70941.57</v>
      </c>
      <c r="I363" s="1">
        <v>45761</v>
      </c>
      <c r="J363" s="2">
        <f t="shared" si="34"/>
        <v>-6.1202449447783705E-2</v>
      </c>
      <c r="K363" s="3" t="str">
        <f t="shared" si="35"/>
        <v/>
      </c>
      <c r="L363" t="str">
        <f t="shared" si="36"/>
        <v/>
      </c>
      <c r="M363" t="str">
        <f t="shared" si="37"/>
        <v/>
      </c>
      <c r="N363">
        <v>75566.42</v>
      </c>
      <c r="O363" t="s">
        <v>415</v>
      </c>
      <c r="Q363" t="s">
        <v>19</v>
      </c>
    </row>
    <row r="364" spans="1:17" x14ac:dyDescent="0.3">
      <c r="A364">
        <v>100247003</v>
      </c>
      <c r="B364" t="s">
        <v>105</v>
      </c>
      <c r="C364" t="s">
        <v>19</v>
      </c>
      <c r="D364" t="s">
        <v>171</v>
      </c>
      <c r="E364" s="6">
        <v>56939.87</v>
      </c>
      <c r="F364" t="s">
        <v>366</v>
      </c>
      <c r="G364" s="4" t="str">
        <f t="shared" si="32"/>
        <v>56939.87</v>
      </c>
      <c r="H364" t="str">
        <f t="shared" si="33"/>
        <v>56939.87</v>
      </c>
      <c r="I364" s="1">
        <v>45761</v>
      </c>
      <c r="J364" s="2">
        <f t="shared" si="34"/>
        <v>-6.1176974150321084E-2</v>
      </c>
      <c r="K364" s="3" t="str">
        <f t="shared" si="35"/>
        <v/>
      </c>
      <c r="L364" t="str">
        <f t="shared" si="36"/>
        <v/>
      </c>
      <c r="M364" t="str">
        <f t="shared" si="37"/>
        <v/>
      </c>
      <c r="N364">
        <v>60650.27</v>
      </c>
      <c r="O364" t="s">
        <v>416</v>
      </c>
      <c r="Q364" t="s">
        <v>19</v>
      </c>
    </row>
    <row r="365" spans="1:17" x14ac:dyDescent="0.3">
      <c r="A365">
        <v>100249944</v>
      </c>
      <c r="B365" t="s">
        <v>173</v>
      </c>
      <c r="C365" t="s">
        <v>19</v>
      </c>
      <c r="D365" t="s">
        <v>174</v>
      </c>
      <c r="E365" s="6">
        <v>121346.26</v>
      </c>
      <c r="F365" t="s">
        <v>366</v>
      </c>
      <c r="G365" s="4" t="str">
        <f t="shared" si="32"/>
        <v>121346.26</v>
      </c>
      <c r="H365" t="str">
        <f t="shared" si="33"/>
        <v>121346.26</v>
      </c>
      <c r="I365" s="1">
        <v>45761</v>
      </c>
      <c r="J365" s="2">
        <f t="shared" si="34"/>
        <v>-6.1218922758255606E-2</v>
      </c>
      <c r="K365" s="3" t="str">
        <f t="shared" si="35"/>
        <v/>
      </c>
      <c r="L365" t="str">
        <f t="shared" si="36"/>
        <v/>
      </c>
      <c r="M365" t="str">
        <f t="shared" si="37"/>
        <v/>
      </c>
      <c r="N365">
        <v>129259.38</v>
      </c>
      <c r="O365" t="s">
        <v>417</v>
      </c>
      <c r="Q365" t="s">
        <v>19</v>
      </c>
    </row>
    <row r="366" spans="1:17" x14ac:dyDescent="0.3">
      <c r="A366">
        <v>100250182</v>
      </c>
      <c r="B366" t="s">
        <v>176</v>
      </c>
      <c r="C366" t="s">
        <v>19</v>
      </c>
      <c r="D366" t="s">
        <v>177</v>
      </c>
      <c r="E366" s="6">
        <v>262366.05</v>
      </c>
      <c r="F366" t="s">
        <v>366</v>
      </c>
      <c r="G366" s="4" t="str">
        <f t="shared" si="32"/>
        <v>262366.05</v>
      </c>
      <c r="H366" t="str">
        <f t="shared" si="33"/>
        <v>262366.05</v>
      </c>
      <c r="I366" s="1">
        <v>45761</v>
      </c>
      <c r="J366" s="2">
        <f t="shared" si="34"/>
        <v>-6.0922315806089089E-2</v>
      </c>
      <c r="K366" s="3" t="str">
        <f t="shared" si="35"/>
        <v/>
      </c>
      <c r="L366" t="str">
        <f t="shared" si="36"/>
        <v/>
      </c>
      <c r="M366" t="str">
        <f t="shared" si="37"/>
        <v/>
      </c>
      <c r="N366">
        <v>279386.95</v>
      </c>
      <c r="O366" t="s">
        <v>418</v>
      </c>
      <c r="Q366" t="s">
        <v>19</v>
      </c>
    </row>
    <row r="367" spans="1:17" x14ac:dyDescent="0.3">
      <c r="A367">
        <v>100271808</v>
      </c>
      <c r="B367" t="s">
        <v>179</v>
      </c>
      <c r="C367" t="s">
        <v>611</v>
      </c>
      <c r="D367" t="s">
        <v>180</v>
      </c>
      <c r="E367" s="6">
        <v>7038.07</v>
      </c>
      <c r="F367" t="s">
        <v>366</v>
      </c>
      <c r="G367" s="4" t="str">
        <f t="shared" si="32"/>
        <v>7038.07</v>
      </c>
      <c r="H367" t="str">
        <f t="shared" si="33"/>
        <v>7038.07</v>
      </c>
      <c r="I367" s="1">
        <v>45761</v>
      </c>
      <c r="J367" s="2">
        <f t="shared" si="34"/>
        <v>-5.9648527425309135E-2</v>
      </c>
      <c r="K367" s="3" t="str">
        <f t="shared" si="35"/>
        <v/>
      </c>
      <c r="L367" t="str">
        <f t="shared" si="36"/>
        <v/>
      </c>
      <c r="M367" t="str">
        <f t="shared" si="37"/>
        <v>Check</v>
      </c>
      <c r="N367">
        <v>7484.51</v>
      </c>
      <c r="O367" t="s">
        <v>181</v>
      </c>
      <c r="Q367" t="s">
        <v>41</v>
      </c>
    </row>
    <row r="368" spans="1:17" x14ac:dyDescent="0.3">
      <c r="A368">
        <v>100273792</v>
      </c>
      <c r="B368" t="s">
        <v>182</v>
      </c>
      <c r="C368" t="s">
        <v>19</v>
      </c>
      <c r="D368" t="s">
        <v>183</v>
      </c>
      <c r="E368" s="6">
        <v>117930.44</v>
      </c>
      <c r="F368" t="s">
        <v>366</v>
      </c>
      <c r="G368" s="4" t="str">
        <f t="shared" si="32"/>
        <v>117930.44</v>
      </c>
      <c r="H368" t="str">
        <f t="shared" si="33"/>
        <v>117930.44</v>
      </c>
      <c r="I368" s="1">
        <v>45761</v>
      </c>
      <c r="J368" s="2">
        <f t="shared" si="34"/>
        <v>-6.1277279014925051E-2</v>
      </c>
      <c r="K368" s="3" t="str">
        <f t="shared" si="35"/>
        <v/>
      </c>
      <c r="L368" t="str">
        <f t="shared" si="36"/>
        <v/>
      </c>
      <c r="M368" t="str">
        <f t="shared" si="37"/>
        <v/>
      </c>
      <c r="N368">
        <v>125628.62</v>
      </c>
      <c r="O368" t="s">
        <v>419</v>
      </c>
      <c r="Q368" t="s">
        <v>19</v>
      </c>
    </row>
    <row r="369" spans="1:17" x14ac:dyDescent="0.3">
      <c r="A369">
        <v>100273792</v>
      </c>
      <c r="B369" t="s">
        <v>182</v>
      </c>
      <c r="C369" t="s">
        <v>19</v>
      </c>
      <c r="D369" t="s">
        <v>185</v>
      </c>
      <c r="E369" s="6">
        <v>168505.4</v>
      </c>
      <c r="F369" t="s">
        <v>366</v>
      </c>
      <c r="G369" s="4" t="str">
        <f t="shared" si="32"/>
        <v>168505.4</v>
      </c>
      <c r="H369" t="str">
        <f t="shared" si="33"/>
        <v>168505.4</v>
      </c>
      <c r="I369" s="1">
        <v>45761</v>
      </c>
      <c r="J369" s="2">
        <f t="shared" si="34"/>
        <v>-6.1158101536425466E-2</v>
      </c>
      <c r="K369" s="3" t="str">
        <f t="shared" si="35"/>
        <v/>
      </c>
      <c r="L369" t="str">
        <f t="shared" si="36"/>
        <v/>
      </c>
      <c r="M369" t="str">
        <f t="shared" si="37"/>
        <v/>
      </c>
      <c r="N369">
        <v>179482.19</v>
      </c>
      <c r="O369" t="s">
        <v>420</v>
      </c>
      <c r="Q369" t="s">
        <v>19</v>
      </c>
    </row>
    <row r="370" spans="1:17" x14ac:dyDescent="0.3">
      <c r="A370">
        <v>100273792</v>
      </c>
      <c r="B370" t="s">
        <v>182</v>
      </c>
      <c r="C370" t="s">
        <v>590</v>
      </c>
      <c r="D370" t="s">
        <v>588</v>
      </c>
      <c r="E370" s="6">
        <v>20758.88</v>
      </c>
      <c r="F370" t="s">
        <v>366</v>
      </c>
      <c r="G370" s="4" t="str">
        <f t="shared" si="32"/>
        <v>20758.88</v>
      </c>
      <c r="H370" t="str">
        <f t="shared" si="33"/>
        <v>20758.88</v>
      </c>
      <c r="I370" s="1">
        <v>45761</v>
      </c>
      <c r="J370" s="2">
        <f t="shared" si="34"/>
        <v>-5.6187601473263259E-2</v>
      </c>
      <c r="K370" s="3" t="str">
        <f t="shared" si="35"/>
        <v/>
      </c>
      <c r="L370" t="str">
        <f t="shared" si="36"/>
        <v/>
      </c>
      <c r="M370" t="str">
        <f t="shared" si="37"/>
        <v>Check</v>
      </c>
      <c r="N370">
        <v>21994.71</v>
      </c>
      <c r="O370" t="s">
        <v>589</v>
      </c>
      <c r="Q370" t="s">
        <v>16</v>
      </c>
    </row>
    <row r="371" spans="1:17" x14ac:dyDescent="0.3">
      <c r="A371">
        <v>100278188</v>
      </c>
      <c r="B371" t="s">
        <v>187</v>
      </c>
      <c r="C371" t="s">
        <v>19</v>
      </c>
      <c r="D371" t="s">
        <v>192</v>
      </c>
      <c r="E371" s="6">
        <v>24161.81</v>
      </c>
      <c r="F371" t="s">
        <v>366</v>
      </c>
      <c r="G371" s="4" t="str">
        <f t="shared" si="32"/>
        <v>24161.81</v>
      </c>
      <c r="H371" t="str">
        <f t="shared" si="33"/>
        <v>24161.81</v>
      </c>
      <c r="I371" s="1">
        <v>45761</v>
      </c>
      <c r="J371" s="2">
        <f t="shared" si="34"/>
        <v>-5.9396821108419304E-2</v>
      </c>
      <c r="K371" s="3" t="str">
        <f t="shared" si="35"/>
        <v/>
      </c>
      <c r="L371" t="str">
        <f t="shared" si="36"/>
        <v/>
      </c>
      <c r="M371" t="str">
        <f t="shared" si="37"/>
        <v/>
      </c>
      <c r="N371">
        <v>25687.57</v>
      </c>
      <c r="O371" t="s">
        <v>422</v>
      </c>
      <c r="Q371" t="s">
        <v>19</v>
      </c>
    </row>
    <row r="372" spans="1:17" x14ac:dyDescent="0.3">
      <c r="A372">
        <v>100278188</v>
      </c>
      <c r="B372" t="s">
        <v>187</v>
      </c>
      <c r="C372" t="s">
        <v>19</v>
      </c>
      <c r="D372" t="s">
        <v>194</v>
      </c>
      <c r="E372" s="6">
        <v>44281.69</v>
      </c>
      <c r="F372" t="s">
        <v>366</v>
      </c>
      <c r="G372" s="4" t="str">
        <f t="shared" si="32"/>
        <v>44281.69</v>
      </c>
      <c r="H372" t="str">
        <f t="shared" si="33"/>
        <v>44281.69</v>
      </c>
      <c r="I372" s="1">
        <v>45761</v>
      </c>
      <c r="J372" s="2">
        <f t="shared" si="34"/>
        <v>-5.9903195803778612E-2</v>
      </c>
      <c r="K372" s="3" t="str">
        <f t="shared" si="35"/>
        <v/>
      </c>
      <c r="L372" t="str">
        <f t="shared" si="36"/>
        <v/>
      </c>
      <c r="M372" t="str">
        <f t="shared" si="37"/>
        <v/>
      </c>
      <c r="N372">
        <v>47103.33</v>
      </c>
      <c r="O372" t="s">
        <v>423</v>
      </c>
      <c r="Q372" t="s">
        <v>19</v>
      </c>
    </row>
    <row r="373" spans="1:17" x14ac:dyDescent="0.3">
      <c r="A373">
        <v>100278188</v>
      </c>
      <c r="B373" t="s">
        <v>187</v>
      </c>
      <c r="C373" t="s">
        <v>19</v>
      </c>
      <c r="D373" t="s">
        <v>190</v>
      </c>
      <c r="E373" s="6">
        <v>13508.76</v>
      </c>
      <c r="F373" t="s">
        <v>366</v>
      </c>
      <c r="G373" s="4" t="str">
        <f t="shared" si="32"/>
        <v>13508.76</v>
      </c>
      <c r="H373" t="str">
        <f t="shared" si="33"/>
        <v>13508.76</v>
      </c>
      <c r="I373" s="1">
        <v>45761</v>
      </c>
      <c r="J373" s="2">
        <f t="shared" si="34"/>
        <v>-5.6592204403765341E-2</v>
      </c>
      <c r="K373" s="3" t="str">
        <f t="shared" si="35"/>
        <v/>
      </c>
      <c r="L373" t="str">
        <f t="shared" si="36"/>
        <v/>
      </c>
      <c r="M373" t="str">
        <f t="shared" si="37"/>
        <v/>
      </c>
      <c r="N373">
        <v>14319.11</v>
      </c>
      <c r="O373" t="s">
        <v>421</v>
      </c>
      <c r="Q373" t="s">
        <v>19</v>
      </c>
    </row>
    <row r="374" spans="1:17" x14ac:dyDescent="0.3">
      <c r="A374">
        <v>100309343</v>
      </c>
      <c r="B374" t="s">
        <v>196</v>
      </c>
      <c r="C374" t="s">
        <v>590</v>
      </c>
      <c r="D374" t="s">
        <v>424</v>
      </c>
      <c r="E374" s="6">
        <v>11226.32</v>
      </c>
      <c r="F374" t="s">
        <v>366</v>
      </c>
      <c r="G374" s="4" t="str">
        <f t="shared" si="32"/>
        <v>11226.32</v>
      </c>
      <c r="H374" t="str">
        <f t="shared" si="33"/>
        <v>11226.32</v>
      </c>
      <c r="I374" s="1">
        <v>45761</v>
      </c>
      <c r="J374" s="2">
        <f t="shared" si="34"/>
        <v>-5.0845852662941469E-2</v>
      </c>
      <c r="K374" s="3" t="str">
        <f t="shared" si="35"/>
        <v/>
      </c>
      <c r="L374" t="str">
        <f t="shared" si="36"/>
        <v/>
      </c>
      <c r="M374" t="str">
        <f t="shared" si="37"/>
        <v>Check</v>
      </c>
      <c r="N374">
        <v>11827.71</v>
      </c>
      <c r="O374" t="s">
        <v>425</v>
      </c>
      <c r="Q374" t="s">
        <v>16</v>
      </c>
    </row>
    <row r="375" spans="1:17" x14ac:dyDescent="0.3">
      <c r="A375">
        <v>100317997</v>
      </c>
      <c r="B375" t="s">
        <v>199</v>
      </c>
      <c r="C375" t="s">
        <v>611</v>
      </c>
      <c r="D375" t="s">
        <v>200</v>
      </c>
      <c r="E375" s="6">
        <v>1426.26</v>
      </c>
      <c r="F375" t="s">
        <v>366</v>
      </c>
      <c r="G375" s="4" t="str">
        <f t="shared" si="32"/>
        <v>1426.26</v>
      </c>
      <c r="H375" t="str">
        <f t="shared" si="33"/>
        <v>1426.26</v>
      </c>
      <c r="I375" s="1">
        <v>45761</v>
      </c>
      <c r="J375" s="2">
        <f t="shared" si="34"/>
        <v>-6.2028962632679596E-2</v>
      </c>
      <c r="K375" s="3" t="str">
        <f t="shared" si="35"/>
        <v/>
      </c>
      <c r="L375" t="str">
        <f t="shared" si="36"/>
        <v/>
      </c>
      <c r="M375" t="str">
        <f t="shared" si="37"/>
        <v>Check</v>
      </c>
      <c r="N375">
        <v>1520.58</v>
      </c>
      <c r="O375" t="s">
        <v>201</v>
      </c>
      <c r="Q375" t="s">
        <v>41</v>
      </c>
    </row>
    <row r="376" spans="1:17" x14ac:dyDescent="0.3">
      <c r="A376">
        <v>100317997</v>
      </c>
      <c r="B376" t="s">
        <v>199</v>
      </c>
      <c r="C376" t="s">
        <v>606</v>
      </c>
      <c r="D376" t="s">
        <v>621</v>
      </c>
      <c r="E376" s="6">
        <v>155.71</v>
      </c>
      <c r="F376" t="s">
        <v>366</v>
      </c>
      <c r="G376" s="4" t="str">
        <f t="shared" si="32"/>
        <v>155.71</v>
      </c>
      <c r="H376" t="str">
        <f t="shared" si="33"/>
        <v>155.71</v>
      </c>
      <c r="I376" s="1">
        <v>45761</v>
      </c>
      <c r="J376" s="2">
        <f t="shared" si="34"/>
        <v>-6.14225437010247E-2</v>
      </c>
      <c r="K376" s="3" t="str">
        <f t="shared" si="35"/>
        <v/>
      </c>
      <c r="L376" t="str">
        <f t="shared" si="36"/>
        <v/>
      </c>
      <c r="M376" t="str">
        <f t="shared" si="37"/>
        <v/>
      </c>
      <c r="N376">
        <v>165.9</v>
      </c>
      <c r="O376" t="s">
        <v>659</v>
      </c>
      <c r="Q376" t="s">
        <v>606</v>
      </c>
    </row>
    <row r="377" spans="1:17" x14ac:dyDescent="0.3">
      <c r="A377">
        <v>100325823</v>
      </c>
      <c r="B377" t="s">
        <v>202</v>
      </c>
      <c r="C377" t="s">
        <v>19</v>
      </c>
      <c r="D377" t="s">
        <v>203</v>
      </c>
      <c r="E377" s="6">
        <v>303021.90999999997</v>
      </c>
      <c r="F377" t="s">
        <v>366</v>
      </c>
      <c r="G377" s="4" t="str">
        <f t="shared" si="32"/>
        <v>303021.91</v>
      </c>
      <c r="H377" t="str">
        <f t="shared" si="33"/>
        <v>303021.91</v>
      </c>
      <c r="I377" s="1">
        <v>45761</v>
      </c>
      <c r="J377" s="2">
        <f t="shared" si="34"/>
        <v>1.2481991965235113</v>
      </c>
      <c r="K377" s="3" t="str">
        <f t="shared" si="35"/>
        <v>Check!</v>
      </c>
      <c r="L377" t="str">
        <f t="shared" si="36"/>
        <v/>
      </c>
      <c r="M377" t="str">
        <f t="shared" si="37"/>
        <v/>
      </c>
      <c r="N377">
        <v>134784.28</v>
      </c>
      <c r="O377" t="s">
        <v>426</v>
      </c>
      <c r="Q377" t="s">
        <v>19</v>
      </c>
    </row>
    <row r="378" spans="1:17" x14ac:dyDescent="0.3">
      <c r="A378">
        <v>100376880</v>
      </c>
      <c r="B378" t="s">
        <v>205</v>
      </c>
      <c r="C378" t="s">
        <v>19</v>
      </c>
      <c r="D378" t="s">
        <v>208</v>
      </c>
      <c r="E378" s="6">
        <v>11861.42</v>
      </c>
      <c r="F378" t="s">
        <v>366</v>
      </c>
      <c r="G378" s="4" t="str">
        <f t="shared" si="32"/>
        <v>11861.42</v>
      </c>
      <c r="H378" t="str">
        <f t="shared" si="33"/>
        <v>11861.42</v>
      </c>
      <c r="I378" s="1">
        <v>45761</v>
      </c>
      <c r="J378" s="2">
        <f t="shared" si="34"/>
        <v>-7.2301020268499966E-2</v>
      </c>
      <c r="K378" s="3" t="str">
        <f t="shared" si="35"/>
        <v/>
      </c>
      <c r="L378" t="str">
        <f t="shared" si="36"/>
        <v/>
      </c>
      <c r="M378" t="str">
        <f t="shared" si="37"/>
        <v/>
      </c>
      <c r="N378">
        <v>12785.85</v>
      </c>
      <c r="O378" t="s">
        <v>427</v>
      </c>
      <c r="Q378" t="s">
        <v>19</v>
      </c>
    </row>
    <row r="379" spans="1:17" x14ac:dyDescent="0.3">
      <c r="A379">
        <v>100388471</v>
      </c>
      <c r="B379" t="s">
        <v>210</v>
      </c>
      <c r="C379" t="s">
        <v>19</v>
      </c>
      <c r="D379" t="s">
        <v>211</v>
      </c>
      <c r="E379" s="6">
        <v>297756.95</v>
      </c>
      <c r="F379" t="s">
        <v>366</v>
      </c>
      <c r="G379" s="4" t="str">
        <f t="shared" si="32"/>
        <v>297756.95</v>
      </c>
      <c r="H379" t="str">
        <f t="shared" si="33"/>
        <v>297756.95</v>
      </c>
      <c r="I379" s="1">
        <v>45761</v>
      </c>
      <c r="J379" s="2">
        <f t="shared" si="34"/>
        <v>-6.1101815368901566E-2</v>
      </c>
      <c r="K379" s="3" t="str">
        <f t="shared" si="35"/>
        <v/>
      </c>
      <c r="L379" t="str">
        <f t="shared" si="36"/>
        <v/>
      </c>
      <c r="M379" t="str">
        <f t="shared" si="37"/>
        <v/>
      </c>
      <c r="N379">
        <v>317134.44</v>
      </c>
      <c r="O379" t="s">
        <v>428</v>
      </c>
      <c r="Q379" t="s">
        <v>19</v>
      </c>
    </row>
    <row r="380" spans="1:17" x14ac:dyDescent="0.3">
      <c r="A380">
        <v>100388471</v>
      </c>
      <c r="B380" t="s">
        <v>210</v>
      </c>
      <c r="C380" t="s">
        <v>19</v>
      </c>
      <c r="D380" t="s">
        <v>213</v>
      </c>
      <c r="E380" s="6">
        <v>12725.26</v>
      </c>
      <c r="F380" t="s">
        <v>366</v>
      </c>
      <c r="G380" s="4" t="str">
        <f t="shared" si="32"/>
        <v>12725.26</v>
      </c>
      <c r="H380" t="str">
        <f t="shared" si="33"/>
        <v>12725.26</v>
      </c>
      <c r="I380" s="1">
        <v>45761</v>
      </c>
      <c r="J380" s="2">
        <f t="shared" si="34"/>
        <v>-6.1422640309838551E-2</v>
      </c>
      <c r="K380" s="3" t="str">
        <f t="shared" si="35"/>
        <v/>
      </c>
      <c r="L380" t="str">
        <f t="shared" si="36"/>
        <v/>
      </c>
      <c r="M380" t="str">
        <f t="shared" si="37"/>
        <v/>
      </c>
      <c r="N380">
        <v>13558.03</v>
      </c>
      <c r="O380" t="s">
        <v>429</v>
      </c>
      <c r="Q380" t="s">
        <v>19</v>
      </c>
    </row>
    <row r="381" spans="1:17" x14ac:dyDescent="0.3">
      <c r="A381">
        <v>100408912</v>
      </c>
      <c r="B381" t="s">
        <v>215</v>
      </c>
      <c r="C381" t="s">
        <v>19</v>
      </c>
      <c r="D381" t="s">
        <v>216</v>
      </c>
      <c r="E381" s="6">
        <v>177043.45</v>
      </c>
      <c r="F381" t="s">
        <v>366</v>
      </c>
      <c r="G381" s="4" t="str">
        <f t="shared" si="32"/>
        <v>177043.45</v>
      </c>
      <c r="H381" t="str">
        <f t="shared" si="33"/>
        <v>177043.45</v>
      </c>
      <c r="I381" s="1">
        <v>45761</v>
      </c>
      <c r="J381" s="2">
        <f t="shared" si="34"/>
        <v>-6.1127899421732954E-2</v>
      </c>
      <c r="K381" s="3" t="str">
        <f t="shared" si="35"/>
        <v/>
      </c>
      <c r="L381" t="str">
        <f t="shared" si="36"/>
        <v/>
      </c>
      <c r="M381" t="str">
        <f t="shared" si="37"/>
        <v/>
      </c>
      <c r="N381">
        <v>188570.36</v>
      </c>
      <c r="O381" t="s">
        <v>430</v>
      </c>
      <c r="Q381" t="s">
        <v>19</v>
      </c>
    </row>
    <row r="382" spans="1:17" x14ac:dyDescent="0.3">
      <c r="A382">
        <v>100421069</v>
      </c>
      <c r="B382" t="s">
        <v>218</v>
      </c>
      <c r="C382" t="s">
        <v>19</v>
      </c>
      <c r="D382" t="s">
        <v>220</v>
      </c>
      <c r="E382" s="6">
        <v>95184.8</v>
      </c>
      <c r="F382" t="s">
        <v>366</v>
      </c>
      <c r="G382" s="4" t="str">
        <f t="shared" si="32"/>
        <v>95184.8</v>
      </c>
      <c r="H382" t="str">
        <f t="shared" si="33"/>
        <v>95184.8</v>
      </c>
      <c r="I382" s="1">
        <v>45761</v>
      </c>
      <c r="J382" s="2">
        <f t="shared" si="34"/>
        <v>-6.1264260805074716E-2</v>
      </c>
      <c r="K382" s="3" t="str">
        <f t="shared" si="35"/>
        <v/>
      </c>
      <c r="L382" t="str">
        <f t="shared" si="36"/>
        <v/>
      </c>
      <c r="M382" t="str">
        <f t="shared" si="37"/>
        <v/>
      </c>
      <c r="N382">
        <v>101396.8</v>
      </c>
      <c r="O382" t="s">
        <v>431</v>
      </c>
      <c r="Q382" t="s">
        <v>19</v>
      </c>
    </row>
    <row r="383" spans="1:17" x14ac:dyDescent="0.3">
      <c r="A383">
        <v>100421069</v>
      </c>
      <c r="B383" t="s">
        <v>218</v>
      </c>
      <c r="C383" t="s">
        <v>19</v>
      </c>
      <c r="D383" t="s">
        <v>222</v>
      </c>
      <c r="E383" s="6">
        <v>43184.13</v>
      </c>
      <c r="F383" t="s">
        <v>366</v>
      </c>
      <c r="G383" s="4" t="str">
        <f t="shared" si="32"/>
        <v>43184.13</v>
      </c>
      <c r="H383" t="str">
        <f t="shared" si="33"/>
        <v>43184.13</v>
      </c>
      <c r="I383" s="1">
        <v>45761</v>
      </c>
      <c r="J383" s="2">
        <f t="shared" si="34"/>
        <v>-6.1199870954501932E-2</v>
      </c>
      <c r="K383" s="3" t="str">
        <f t="shared" si="35"/>
        <v/>
      </c>
      <c r="L383" t="str">
        <f t="shared" si="36"/>
        <v/>
      </c>
      <c r="M383" t="str">
        <f t="shared" si="37"/>
        <v/>
      </c>
      <c r="N383">
        <v>45999.28</v>
      </c>
      <c r="O383" t="s">
        <v>432</v>
      </c>
      <c r="Q383" t="s">
        <v>19</v>
      </c>
    </row>
    <row r="384" spans="1:17" x14ac:dyDescent="0.3">
      <c r="A384">
        <v>100421069</v>
      </c>
      <c r="B384" t="s">
        <v>218</v>
      </c>
      <c r="C384" t="s">
        <v>19</v>
      </c>
      <c r="D384" t="s">
        <v>224</v>
      </c>
      <c r="E384" s="6">
        <v>51814.5</v>
      </c>
      <c r="F384" t="s">
        <v>366</v>
      </c>
      <c r="G384" s="4" t="str">
        <f t="shared" si="32"/>
        <v>51814.5</v>
      </c>
      <c r="H384" t="str">
        <f t="shared" si="33"/>
        <v>51814.5</v>
      </c>
      <c r="I384" s="1">
        <v>45761</v>
      </c>
      <c r="J384" s="2">
        <f t="shared" si="34"/>
        <v>-6.1251081840889572E-2</v>
      </c>
      <c r="K384" s="3" t="str">
        <f t="shared" si="35"/>
        <v/>
      </c>
      <c r="L384" t="str">
        <f t="shared" si="36"/>
        <v/>
      </c>
      <c r="M384" t="str">
        <f t="shared" si="37"/>
        <v/>
      </c>
      <c r="N384">
        <v>55195.27</v>
      </c>
      <c r="O384" t="s">
        <v>433</v>
      </c>
      <c r="Q384" t="s">
        <v>19</v>
      </c>
    </row>
    <row r="385" spans="1:17" x14ac:dyDescent="0.3">
      <c r="A385">
        <v>100489695</v>
      </c>
      <c r="B385" t="s">
        <v>229</v>
      </c>
      <c r="C385" t="s">
        <v>590</v>
      </c>
      <c r="D385" t="s">
        <v>230</v>
      </c>
      <c r="E385" s="6">
        <v>340937.82</v>
      </c>
      <c r="F385" t="s">
        <v>366</v>
      </c>
      <c r="G385" s="4" t="str">
        <f t="shared" si="32"/>
        <v>340937.82</v>
      </c>
      <c r="H385" t="str">
        <f t="shared" si="33"/>
        <v>340937.82</v>
      </c>
      <c r="I385" s="1">
        <v>45761</v>
      </c>
      <c r="J385" s="2">
        <f t="shared" si="34"/>
        <v>-6.0765090982179769E-2</v>
      </c>
      <c r="K385" s="3" t="str">
        <f t="shared" si="35"/>
        <v/>
      </c>
      <c r="L385" t="str">
        <f t="shared" si="36"/>
        <v/>
      </c>
      <c r="M385" t="str">
        <f t="shared" si="37"/>
        <v>Check</v>
      </c>
      <c r="N385">
        <v>362995.26</v>
      </c>
      <c r="O385" t="s">
        <v>434</v>
      </c>
      <c r="Q385" t="s">
        <v>16</v>
      </c>
    </row>
    <row r="386" spans="1:17" x14ac:dyDescent="0.3">
      <c r="A386">
        <v>100492707</v>
      </c>
      <c r="B386" t="s">
        <v>232</v>
      </c>
      <c r="C386" t="s">
        <v>19</v>
      </c>
      <c r="D386" t="s">
        <v>233</v>
      </c>
      <c r="E386" s="6">
        <v>81565.399999999994</v>
      </c>
      <c r="F386" t="s">
        <v>366</v>
      </c>
      <c r="G386" s="4" t="str">
        <f t="shared" si="32"/>
        <v>81565.4</v>
      </c>
      <c r="H386" t="str">
        <f t="shared" si="33"/>
        <v>81565.4</v>
      </c>
      <c r="I386" s="1">
        <v>45761</v>
      </c>
      <c r="J386" s="2">
        <f t="shared" si="34"/>
        <v>-6.1279779030958749E-2</v>
      </c>
      <c r="K386" s="3" t="str">
        <f t="shared" si="35"/>
        <v/>
      </c>
      <c r="L386" t="str">
        <f t="shared" si="36"/>
        <v/>
      </c>
      <c r="M386" t="str">
        <f t="shared" si="37"/>
        <v/>
      </c>
      <c r="N386">
        <v>86890</v>
      </c>
      <c r="O386" t="s">
        <v>435</v>
      </c>
      <c r="Q386" t="s">
        <v>19</v>
      </c>
    </row>
    <row r="387" spans="1:17" x14ac:dyDescent="0.3">
      <c r="A387">
        <v>100492707</v>
      </c>
      <c r="B387" t="s">
        <v>232</v>
      </c>
      <c r="C387" t="s">
        <v>19</v>
      </c>
      <c r="D387" t="s">
        <v>624</v>
      </c>
      <c r="E387" s="6">
        <v>685131.01</v>
      </c>
      <c r="F387" t="s">
        <v>366</v>
      </c>
      <c r="G387" s="4" t="str">
        <f t="shared" ref="G387:G450" si="38">SUBSTITUTE(E387,"R","")</f>
        <v>685131.01</v>
      </c>
      <c r="H387" t="str">
        <f t="shared" ref="H387:H450" si="39">SUBSTITUTE(G387,",","")</f>
        <v>685131.01</v>
      </c>
      <c r="I387" s="1">
        <v>45761</v>
      </c>
      <c r="J387" s="2">
        <f t="shared" ref="J387:J450" si="40">(H387-N387)/N387</f>
        <v>-6.0800896457937584E-2</v>
      </c>
      <c r="K387" s="3" t="str">
        <f t="shared" ref="K387:K450" si="41">IF(ABS(J387)&gt;0.1,"Check!","")</f>
        <v/>
      </c>
      <c r="L387" t="str">
        <f t="shared" ref="L387:L450" si="42">IF(LEFT(O387,10)&lt;&gt;LEFT(D387,10),"Check","")</f>
        <v/>
      </c>
      <c r="M387" t="str">
        <f t="shared" ref="M387:M450" si="43">IF(Q387&lt;&gt;C387,"Check","")</f>
        <v/>
      </c>
      <c r="N387">
        <v>729484.31</v>
      </c>
      <c r="O387" t="s">
        <v>682</v>
      </c>
      <c r="Q387" t="s">
        <v>19</v>
      </c>
    </row>
    <row r="388" spans="1:17" x14ac:dyDescent="0.3">
      <c r="A388">
        <v>100497270</v>
      </c>
      <c r="B388" t="s">
        <v>235</v>
      </c>
      <c r="C388" t="s">
        <v>606</v>
      </c>
      <c r="D388" t="s">
        <v>625</v>
      </c>
      <c r="E388" s="6">
        <v>1270.8599999999999</v>
      </c>
      <c r="F388" t="s">
        <v>366</v>
      </c>
      <c r="G388" s="4" t="str">
        <f t="shared" si="38"/>
        <v>1270.86</v>
      </c>
      <c r="H388" t="str">
        <f t="shared" si="39"/>
        <v>1270.86</v>
      </c>
      <c r="I388" s="1">
        <v>45761</v>
      </c>
      <c r="J388" s="2">
        <f t="shared" si="40"/>
        <v>-6.134085722093801E-2</v>
      </c>
      <c r="K388" s="3" t="str">
        <f t="shared" si="41"/>
        <v/>
      </c>
      <c r="L388" t="str">
        <f t="shared" si="42"/>
        <v/>
      </c>
      <c r="M388" t="str">
        <f t="shared" si="43"/>
        <v/>
      </c>
      <c r="N388">
        <v>1353.91</v>
      </c>
      <c r="O388" t="s">
        <v>661</v>
      </c>
      <c r="Q388" t="s">
        <v>606</v>
      </c>
    </row>
    <row r="389" spans="1:17" x14ac:dyDescent="0.3">
      <c r="A389">
        <v>100497270</v>
      </c>
      <c r="B389" t="s">
        <v>235</v>
      </c>
      <c r="C389" t="s">
        <v>611</v>
      </c>
      <c r="D389" t="s">
        <v>236</v>
      </c>
      <c r="E389" s="6">
        <v>11644.2</v>
      </c>
      <c r="F389" t="s">
        <v>366</v>
      </c>
      <c r="G389" s="4" t="str">
        <f t="shared" si="38"/>
        <v>11644.2</v>
      </c>
      <c r="H389" t="str">
        <f t="shared" si="39"/>
        <v>11644.2</v>
      </c>
      <c r="I389" s="1">
        <v>45761</v>
      </c>
      <c r="J389" s="2">
        <f t="shared" si="40"/>
        <v>-6.1426954735827329E-2</v>
      </c>
      <c r="K389" s="3" t="str">
        <f t="shared" si="41"/>
        <v/>
      </c>
      <c r="L389" t="str">
        <f t="shared" si="42"/>
        <v/>
      </c>
      <c r="M389" t="str">
        <f t="shared" si="43"/>
        <v>Check</v>
      </c>
      <c r="N389">
        <v>12406.28</v>
      </c>
      <c r="O389" t="s">
        <v>237</v>
      </c>
      <c r="Q389" t="s">
        <v>41</v>
      </c>
    </row>
    <row r="390" spans="1:17" x14ac:dyDescent="0.3">
      <c r="A390">
        <v>100528113</v>
      </c>
      <c r="B390" t="s">
        <v>436</v>
      </c>
      <c r="C390" t="s">
        <v>590</v>
      </c>
      <c r="D390" t="s">
        <v>437</v>
      </c>
      <c r="E390" s="6">
        <v>69378.210000000006</v>
      </c>
      <c r="F390" t="s">
        <v>366</v>
      </c>
      <c r="G390" s="4" t="str">
        <f t="shared" si="38"/>
        <v>69378.21</v>
      </c>
      <c r="H390" t="str">
        <f t="shared" si="39"/>
        <v>69378.21</v>
      </c>
      <c r="I390" s="1">
        <v>45761</v>
      </c>
      <c r="J390" s="2">
        <f t="shared" si="40"/>
        <v>-6.1374284698828961E-2</v>
      </c>
      <c r="K390" s="3" t="str">
        <f t="shared" si="41"/>
        <v/>
      </c>
      <c r="L390" t="str">
        <f t="shared" si="42"/>
        <v/>
      </c>
      <c r="M390" t="str">
        <f t="shared" si="43"/>
        <v>Check</v>
      </c>
      <c r="N390">
        <v>73914.67</v>
      </c>
      <c r="O390" t="s">
        <v>438</v>
      </c>
      <c r="Q390" t="s">
        <v>16</v>
      </c>
    </row>
    <row r="391" spans="1:17" x14ac:dyDescent="0.3">
      <c r="A391">
        <v>100562496</v>
      </c>
      <c r="B391" t="s">
        <v>238</v>
      </c>
      <c r="C391" t="s">
        <v>611</v>
      </c>
      <c r="D391" t="s">
        <v>239</v>
      </c>
      <c r="E391" s="6">
        <v>13910.02</v>
      </c>
      <c r="F391" t="s">
        <v>366</v>
      </c>
      <c r="G391" s="4" t="str">
        <f t="shared" si="38"/>
        <v>13910.02</v>
      </c>
      <c r="H391" t="str">
        <f t="shared" si="39"/>
        <v>13910.02</v>
      </c>
      <c r="I391" s="1">
        <v>45761</v>
      </c>
      <c r="J391" s="2">
        <f t="shared" si="40"/>
        <v>-6.1338188365063974E-2</v>
      </c>
      <c r="K391" s="3" t="str">
        <f t="shared" si="41"/>
        <v/>
      </c>
      <c r="L391" t="str">
        <f t="shared" si="42"/>
        <v/>
      </c>
      <c r="M391" t="str">
        <f t="shared" si="43"/>
        <v>Check</v>
      </c>
      <c r="N391">
        <v>14818.99</v>
      </c>
      <c r="O391" t="s">
        <v>240</v>
      </c>
      <c r="Q391" t="s">
        <v>41</v>
      </c>
    </row>
    <row r="392" spans="1:17" x14ac:dyDescent="0.3">
      <c r="A392">
        <v>100562496</v>
      </c>
      <c r="B392" t="s">
        <v>238</v>
      </c>
      <c r="C392" t="s">
        <v>606</v>
      </c>
      <c r="D392" t="s">
        <v>626</v>
      </c>
      <c r="E392" s="6">
        <v>1741.55</v>
      </c>
      <c r="F392" t="s">
        <v>366</v>
      </c>
      <c r="G392" s="4" t="str">
        <f t="shared" si="38"/>
        <v>1741.55</v>
      </c>
      <c r="H392" t="str">
        <f t="shared" si="39"/>
        <v>1741.55</v>
      </c>
      <c r="I392" s="1">
        <v>45761</v>
      </c>
      <c r="J392" s="2">
        <f t="shared" si="40"/>
        <v>-3.0608836986652125E-2</v>
      </c>
      <c r="K392" s="3" t="str">
        <f t="shared" si="41"/>
        <v/>
      </c>
      <c r="L392" t="str">
        <f t="shared" si="42"/>
        <v/>
      </c>
      <c r="M392" t="str">
        <f t="shared" si="43"/>
        <v/>
      </c>
      <c r="N392">
        <v>1796.54</v>
      </c>
      <c r="O392" t="s">
        <v>663</v>
      </c>
      <c r="Q392" t="s">
        <v>606</v>
      </c>
    </row>
    <row r="393" spans="1:17" x14ac:dyDescent="0.3">
      <c r="A393">
        <v>100562496</v>
      </c>
      <c r="B393" t="s">
        <v>238</v>
      </c>
      <c r="C393" t="s">
        <v>609</v>
      </c>
      <c r="D393" t="s">
        <v>627</v>
      </c>
      <c r="E393" s="6">
        <v>473.15</v>
      </c>
      <c r="F393" t="s">
        <v>366</v>
      </c>
      <c r="G393" s="4" t="str">
        <f t="shared" si="38"/>
        <v>473.15</v>
      </c>
      <c r="H393" t="str">
        <f t="shared" si="39"/>
        <v>473.15</v>
      </c>
      <c r="I393" s="1">
        <v>45761</v>
      </c>
      <c r="J393" s="2">
        <f t="shared" si="40"/>
        <v>0.29939856644604945</v>
      </c>
      <c r="K393" s="3" t="str">
        <f t="shared" si="41"/>
        <v>Check!</v>
      </c>
      <c r="L393" t="str">
        <f t="shared" si="42"/>
        <v/>
      </c>
      <c r="M393" t="str">
        <f t="shared" si="43"/>
        <v/>
      </c>
      <c r="N393">
        <v>364.13</v>
      </c>
      <c r="O393" t="s">
        <v>662</v>
      </c>
      <c r="Q393" t="s">
        <v>609</v>
      </c>
    </row>
    <row r="394" spans="1:17" x14ac:dyDescent="0.3">
      <c r="A394">
        <v>100564770</v>
      </c>
      <c r="B394" t="s">
        <v>241</v>
      </c>
      <c r="C394" t="s">
        <v>19</v>
      </c>
      <c r="D394" t="s">
        <v>242</v>
      </c>
      <c r="E394" s="6">
        <v>47995.27</v>
      </c>
      <c r="F394" t="s">
        <v>366</v>
      </c>
      <c r="G394" s="4" t="str">
        <f t="shared" si="38"/>
        <v>47995.27</v>
      </c>
      <c r="H394" t="str">
        <f t="shared" si="39"/>
        <v>47995.27</v>
      </c>
      <c r="I394" s="1">
        <v>45761</v>
      </c>
      <c r="J394" s="2">
        <f t="shared" si="40"/>
        <v>-6.1237594645866929E-2</v>
      </c>
      <c r="K394" s="3" t="str">
        <f t="shared" si="41"/>
        <v/>
      </c>
      <c r="L394" t="str">
        <f t="shared" si="42"/>
        <v/>
      </c>
      <c r="M394" t="str">
        <f t="shared" si="43"/>
        <v/>
      </c>
      <c r="N394">
        <v>51126.11</v>
      </c>
      <c r="O394" t="s">
        <v>439</v>
      </c>
      <c r="Q394" t="s">
        <v>19</v>
      </c>
    </row>
    <row r="395" spans="1:17" x14ac:dyDescent="0.3">
      <c r="A395">
        <v>100596195</v>
      </c>
      <c r="B395" t="s">
        <v>244</v>
      </c>
      <c r="C395" t="s">
        <v>590</v>
      </c>
      <c r="D395" t="s">
        <v>245</v>
      </c>
      <c r="E395" s="6">
        <v>10429.44</v>
      </c>
      <c r="F395" t="s">
        <v>366</v>
      </c>
      <c r="G395" s="4" t="str">
        <f t="shared" si="38"/>
        <v>10429.44</v>
      </c>
      <c r="H395" t="str">
        <f t="shared" si="39"/>
        <v>10429.44</v>
      </c>
      <c r="I395" s="1">
        <v>45761</v>
      </c>
      <c r="J395" s="2">
        <f t="shared" si="40"/>
        <v>-0.93520422791816404</v>
      </c>
      <c r="K395" s="3" t="str">
        <f t="shared" si="41"/>
        <v>Check!</v>
      </c>
      <c r="L395" t="str">
        <f t="shared" si="42"/>
        <v/>
      </c>
      <c r="M395" t="str">
        <f t="shared" si="43"/>
        <v>Check</v>
      </c>
      <c r="N395">
        <v>160958.65</v>
      </c>
      <c r="O395" t="s">
        <v>697</v>
      </c>
      <c r="Q395" t="s">
        <v>16</v>
      </c>
    </row>
    <row r="396" spans="1:17" x14ac:dyDescent="0.3">
      <c r="A396">
        <v>100596689</v>
      </c>
      <c r="B396" t="s">
        <v>250</v>
      </c>
      <c r="C396" t="s">
        <v>590</v>
      </c>
      <c r="D396" t="s">
        <v>440</v>
      </c>
      <c r="E396" s="6">
        <v>40406.870000000003</v>
      </c>
      <c r="F396" t="s">
        <v>366</v>
      </c>
      <c r="G396" s="4" t="str">
        <f t="shared" si="38"/>
        <v>40406.87</v>
      </c>
      <c r="H396" t="str">
        <f t="shared" si="39"/>
        <v>40406.87</v>
      </c>
      <c r="I396" s="1">
        <v>45761</v>
      </c>
      <c r="J396" s="2">
        <f t="shared" si="40"/>
        <v>-5.7109608239647572E-2</v>
      </c>
      <c r="K396" s="3" t="str">
        <f t="shared" si="41"/>
        <v/>
      </c>
      <c r="L396" t="str">
        <f t="shared" si="42"/>
        <v/>
      </c>
      <c r="M396" t="str">
        <f t="shared" si="43"/>
        <v>Check</v>
      </c>
      <c r="N396">
        <v>42854.26</v>
      </c>
      <c r="O396" t="s">
        <v>441</v>
      </c>
      <c r="Q396" t="s">
        <v>16</v>
      </c>
    </row>
    <row r="397" spans="1:17" x14ac:dyDescent="0.3">
      <c r="A397">
        <v>100596689</v>
      </c>
      <c r="B397" t="s">
        <v>250</v>
      </c>
      <c r="C397" t="s">
        <v>590</v>
      </c>
      <c r="D397" t="s">
        <v>251</v>
      </c>
      <c r="E397" s="6">
        <v>14443.04</v>
      </c>
      <c r="F397" t="s">
        <v>366</v>
      </c>
      <c r="G397" s="4" t="str">
        <f t="shared" si="38"/>
        <v>14443.04</v>
      </c>
      <c r="H397" t="str">
        <f t="shared" si="39"/>
        <v>14443.04</v>
      </c>
      <c r="I397" s="1">
        <v>45761</v>
      </c>
      <c r="J397" s="2">
        <f t="shared" si="40"/>
        <v>-6.0449679260539575E-2</v>
      </c>
      <c r="K397" s="3" t="str">
        <f t="shared" si="41"/>
        <v/>
      </c>
      <c r="L397" t="str">
        <f t="shared" si="42"/>
        <v/>
      </c>
      <c r="M397" t="str">
        <f t="shared" si="43"/>
        <v>Check</v>
      </c>
      <c r="N397">
        <v>15372.29</v>
      </c>
      <c r="O397" t="s">
        <v>442</v>
      </c>
      <c r="Q397" t="s">
        <v>16</v>
      </c>
    </row>
    <row r="398" spans="1:17" x14ac:dyDescent="0.3">
      <c r="A398">
        <v>100614771</v>
      </c>
      <c r="B398" t="s">
        <v>443</v>
      </c>
      <c r="C398" t="s">
        <v>590</v>
      </c>
      <c r="D398" t="s">
        <v>444</v>
      </c>
      <c r="E398" s="6">
        <v>4348.79</v>
      </c>
      <c r="F398" t="s">
        <v>366</v>
      </c>
      <c r="G398" s="4" t="str">
        <f t="shared" si="38"/>
        <v>4348.79</v>
      </c>
      <c r="H398" t="str">
        <f t="shared" si="39"/>
        <v>4348.79</v>
      </c>
      <c r="I398" s="1">
        <v>45761</v>
      </c>
      <c r="J398" s="2">
        <f t="shared" si="40"/>
        <v>-3.9658774219478075E-2</v>
      </c>
      <c r="K398" s="3" t="str">
        <f t="shared" si="41"/>
        <v/>
      </c>
      <c r="L398" t="str">
        <f t="shared" si="42"/>
        <v/>
      </c>
      <c r="M398" t="str">
        <f t="shared" si="43"/>
        <v>Check</v>
      </c>
      <c r="N398">
        <v>4528.38</v>
      </c>
      <c r="O398" t="s">
        <v>445</v>
      </c>
      <c r="Q398" t="s">
        <v>16</v>
      </c>
    </row>
    <row r="399" spans="1:17" x14ac:dyDescent="0.3">
      <c r="A399">
        <v>100620477</v>
      </c>
      <c r="B399" t="s">
        <v>446</v>
      </c>
      <c r="C399" t="s">
        <v>590</v>
      </c>
      <c r="D399" t="s">
        <v>447</v>
      </c>
      <c r="E399" s="6">
        <v>30726.51</v>
      </c>
      <c r="F399" t="s">
        <v>366</v>
      </c>
      <c r="G399" s="4" t="str">
        <f t="shared" si="38"/>
        <v>30726.51</v>
      </c>
      <c r="H399" t="str">
        <f t="shared" si="39"/>
        <v>30726.51</v>
      </c>
      <c r="I399" s="1">
        <v>45761</v>
      </c>
      <c r="J399" s="2">
        <f t="shared" si="40"/>
        <v>0.14535851594178692</v>
      </c>
      <c r="K399" s="3" t="str">
        <f t="shared" si="41"/>
        <v>Check!</v>
      </c>
      <c r="L399" t="str">
        <f t="shared" si="42"/>
        <v/>
      </c>
      <c r="M399" t="str">
        <f t="shared" si="43"/>
        <v>Check</v>
      </c>
      <c r="N399">
        <v>26826.98</v>
      </c>
      <c r="O399" t="s">
        <v>448</v>
      </c>
      <c r="Q399" t="s">
        <v>16</v>
      </c>
    </row>
    <row r="400" spans="1:17" x14ac:dyDescent="0.3">
      <c r="A400">
        <v>100623191</v>
      </c>
      <c r="B400" t="s">
        <v>449</v>
      </c>
      <c r="C400" t="s">
        <v>590</v>
      </c>
      <c r="D400" t="s">
        <v>450</v>
      </c>
      <c r="E400" s="6">
        <v>5652.88</v>
      </c>
      <c r="F400" t="s">
        <v>366</v>
      </c>
      <c r="G400" s="4" t="str">
        <f t="shared" si="38"/>
        <v>5652.88</v>
      </c>
      <c r="H400" t="str">
        <f t="shared" si="39"/>
        <v>5652.88</v>
      </c>
      <c r="I400" s="1">
        <v>45761</v>
      </c>
      <c r="J400" s="2">
        <f t="shared" si="40"/>
        <v>-2.4231607074427886E-2</v>
      </c>
      <c r="K400" s="3" t="str">
        <f t="shared" si="41"/>
        <v/>
      </c>
      <c r="L400" t="str">
        <f t="shared" si="42"/>
        <v/>
      </c>
      <c r="M400" t="str">
        <f t="shared" si="43"/>
        <v>Check</v>
      </c>
      <c r="N400">
        <v>5793.26</v>
      </c>
      <c r="O400" t="s">
        <v>451</v>
      </c>
      <c r="Q400" t="s">
        <v>16</v>
      </c>
    </row>
    <row r="401" spans="1:17" x14ac:dyDescent="0.3">
      <c r="A401">
        <v>100625039</v>
      </c>
      <c r="B401" t="s">
        <v>452</v>
      </c>
      <c r="C401" t="s">
        <v>590</v>
      </c>
      <c r="D401" t="s">
        <v>453</v>
      </c>
      <c r="E401" s="6">
        <v>32811.129999999997</v>
      </c>
      <c r="F401" t="s">
        <v>366</v>
      </c>
      <c r="G401" s="4" t="str">
        <f t="shared" si="38"/>
        <v>32811.13</v>
      </c>
      <c r="H401" t="str">
        <f t="shared" si="39"/>
        <v>32811.13</v>
      </c>
      <c r="I401" s="1">
        <v>45761</v>
      </c>
      <c r="J401" s="2">
        <f t="shared" si="40"/>
        <v>-3.1992419059386337E-2</v>
      </c>
      <c r="K401" s="3" t="str">
        <f t="shared" si="41"/>
        <v/>
      </c>
      <c r="L401" t="str">
        <f t="shared" si="42"/>
        <v/>
      </c>
      <c r="M401" t="str">
        <f t="shared" si="43"/>
        <v>Check</v>
      </c>
      <c r="N401">
        <v>33895.53</v>
      </c>
      <c r="O401" t="s">
        <v>454</v>
      </c>
      <c r="Q401" t="s">
        <v>16</v>
      </c>
    </row>
    <row r="402" spans="1:17" x14ac:dyDescent="0.3">
      <c r="A402">
        <v>100625041</v>
      </c>
      <c r="B402" t="s">
        <v>69</v>
      </c>
      <c r="C402" t="s">
        <v>590</v>
      </c>
      <c r="D402" t="s">
        <v>455</v>
      </c>
      <c r="E402" s="6">
        <v>25040.76</v>
      </c>
      <c r="F402" t="s">
        <v>366</v>
      </c>
      <c r="G402" s="4" t="str">
        <f t="shared" si="38"/>
        <v>25040.76</v>
      </c>
      <c r="H402" t="str">
        <f t="shared" si="39"/>
        <v>25040.76</v>
      </c>
      <c r="I402" s="1">
        <v>45761</v>
      </c>
      <c r="J402" s="2">
        <f t="shared" si="40"/>
        <v>-5.7392300739947229E-2</v>
      </c>
      <c r="K402" s="3" t="str">
        <f t="shared" si="41"/>
        <v/>
      </c>
      <c r="L402" t="str">
        <f t="shared" si="42"/>
        <v/>
      </c>
      <c r="M402" t="str">
        <f t="shared" si="43"/>
        <v>Check</v>
      </c>
      <c r="N402">
        <v>26565.41</v>
      </c>
      <c r="O402" t="s">
        <v>456</v>
      </c>
      <c r="Q402" t="s">
        <v>16</v>
      </c>
    </row>
    <row r="403" spans="1:17" x14ac:dyDescent="0.3">
      <c r="A403">
        <v>100628018</v>
      </c>
      <c r="B403" t="s">
        <v>253</v>
      </c>
      <c r="C403" t="s">
        <v>590</v>
      </c>
      <c r="D403" t="s">
        <v>254</v>
      </c>
      <c r="E403" s="6">
        <v>111721.09</v>
      </c>
      <c r="F403" t="s">
        <v>366</v>
      </c>
      <c r="G403" s="4" t="str">
        <f t="shared" si="38"/>
        <v>111721.09</v>
      </c>
      <c r="H403" t="str">
        <f t="shared" si="39"/>
        <v>111721.09</v>
      </c>
      <c r="I403" s="1">
        <v>45761</v>
      </c>
      <c r="J403" s="2">
        <f t="shared" si="40"/>
        <v>-0.14566799706752562</v>
      </c>
      <c r="K403" s="3" t="str">
        <f t="shared" si="41"/>
        <v>Check!</v>
      </c>
      <c r="L403" t="str">
        <f t="shared" si="42"/>
        <v/>
      </c>
      <c r="M403" t="str">
        <f t="shared" si="43"/>
        <v>Check</v>
      </c>
      <c r="N403">
        <v>130770.11</v>
      </c>
      <c r="O403" t="s">
        <v>584</v>
      </c>
      <c r="Q403" t="s">
        <v>16</v>
      </c>
    </row>
    <row r="404" spans="1:17" x14ac:dyDescent="0.3">
      <c r="A404">
        <v>100628990</v>
      </c>
      <c r="B404" t="s">
        <v>256</v>
      </c>
      <c r="C404" t="s">
        <v>19</v>
      </c>
      <c r="D404" t="s">
        <v>257</v>
      </c>
      <c r="E404" s="6">
        <v>36551.54</v>
      </c>
      <c r="F404" t="s">
        <v>366</v>
      </c>
      <c r="G404" s="4" t="str">
        <f t="shared" si="38"/>
        <v>36551.54</v>
      </c>
      <c r="H404" t="str">
        <f t="shared" si="39"/>
        <v>36551.54</v>
      </c>
      <c r="I404" s="1">
        <v>45761</v>
      </c>
      <c r="J404" s="2">
        <f t="shared" si="40"/>
        <v>-6.0554298444826585E-2</v>
      </c>
      <c r="K404" s="3" t="str">
        <f t="shared" si="41"/>
        <v/>
      </c>
      <c r="L404" t="str">
        <f t="shared" si="42"/>
        <v/>
      </c>
      <c r="M404" t="str">
        <f t="shared" si="43"/>
        <v/>
      </c>
      <c r="N404">
        <v>38907.56</v>
      </c>
      <c r="O404" t="s">
        <v>457</v>
      </c>
      <c r="Q404" t="s">
        <v>19</v>
      </c>
    </row>
    <row r="405" spans="1:17" x14ac:dyDescent="0.3">
      <c r="A405">
        <v>100630706</v>
      </c>
      <c r="B405" t="s">
        <v>262</v>
      </c>
      <c r="C405" t="s">
        <v>590</v>
      </c>
      <c r="D405" t="s">
        <v>263</v>
      </c>
      <c r="E405" s="6">
        <v>12315.43</v>
      </c>
      <c r="F405" t="s">
        <v>366</v>
      </c>
      <c r="G405" s="4" t="str">
        <f t="shared" si="38"/>
        <v>12315.43</v>
      </c>
      <c r="H405" t="str">
        <f t="shared" si="39"/>
        <v>12315.43</v>
      </c>
      <c r="I405" s="1">
        <v>45761</v>
      </c>
      <c r="J405" s="2">
        <f t="shared" si="40"/>
        <v>-5.9146056840414817E-2</v>
      </c>
      <c r="K405" s="3" t="str">
        <f t="shared" si="41"/>
        <v/>
      </c>
      <c r="L405" t="str">
        <f t="shared" si="42"/>
        <v/>
      </c>
      <c r="M405" t="str">
        <f t="shared" si="43"/>
        <v>Check</v>
      </c>
      <c r="N405">
        <v>13089.63</v>
      </c>
      <c r="O405" t="s">
        <v>458</v>
      </c>
      <c r="Q405" t="s">
        <v>16</v>
      </c>
    </row>
    <row r="406" spans="1:17" x14ac:dyDescent="0.3">
      <c r="A406">
        <v>100631121</v>
      </c>
      <c r="B406" t="s">
        <v>459</v>
      </c>
      <c r="C406" t="s">
        <v>590</v>
      </c>
      <c r="D406" t="s">
        <v>460</v>
      </c>
      <c r="E406" s="6">
        <v>6685.47</v>
      </c>
      <c r="F406" t="s">
        <v>366</v>
      </c>
      <c r="G406" s="4" t="str">
        <f t="shared" si="38"/>
        <v>6685.47</v>
      </c>
      <c r="H406" t="str">
        <f t="shared" si="39"/>
        <v>6685.47</v>
      </c>
      <c r="I406" s="1">
        <v>45761</v>
      </c>
      <c r="J406" s="2">
        <f t="shared" si="40"/>
        <v>-4.121413769118798E-2</v>
      </c>
      <c r="K406" s="3" t="str">
        <f t="shared" si="41"/>
        <v/>
      </c>
      <c r="L406" t="str">
        <f t="shared" si="42"/>
        <v/>
      </c>
      <c r="M406" t="str">
        <f t="shared" si="43"/>
        <v>Check</v>
      </c>
      <c r="N406">
        <v>6972.85</v>
      </c>
      <c r="O406" t="s">
        <v>461</v>
      </c>
      <c r="Q406" t="s">
        <v>16</v>
      </c>
    </row>
    <row r="407" spans="1:17" x14ac:dyDescent="0.3">
      <c r="A407">
        <v>100633203</v>
      </c>
      <c r="B407" t="s">
        <v>265</v>
      </c>
      <c r="C407" t="s">
        <v>590</v>
      </c>
      <c r="D407" t="s">
        <v>266</v>
      </c>
      <c r="E407" s="6">
        <v>204078.06</v>
      </c>
      <c r="F407" t="s">
        <v>366</v>
      </c>
      <c r="G407" s="4" t="str">
        <f t="shared" si="38"/>
        <v>204078.06</v>
      </c>
      <c r="H407" t="str">
        <f t="shared" si="39"/>
        <v>204078.06</v>
      </c>
      <c r="I407" s="1">
        <v>45761</v>
      </c>
      <c r="J407" s="2">
        <f t="shared" si="40"/>
        <v>-0.10887916386151027</v>
      </c>
      <c r="K407" s="3" t="str">
        <f t="shared" si="41"/>
        <v>Check!</v>
      </c>
      <c r="L407" t="str">
        <f t="shared" si="42"/>
        <v/>
      </c>
      <c r="M407" t="str">
        <f t="shared" si="43"/>
        <v>Check</v>
      </c>
      <c r="N407">
        <v>229012.78</v>
      </c>
      <c r="O407" t="s">
        <v>585</v>
      </c>
      <c r="Q407" t="s">
        <v>16</v>
      </c>
    </row>
    <row r="408" spans="1:17" x14ac:dyDescent="0.3">
      <c r="A408">
        <v>100637079</v>
      </c>
      <c r="B408" t="s">
        <v>268</v>
      </c>
      <c r="C408" t="s">
        <v>611</v>
      </c>
      <c r="D408" t="s">
        <v>269</v>
      </c>
      <c r="E408" s="6">
        <v>15767.48</v>
      </c>
      <c r="F408" t="s">
        <v>366</v>
      </c>
      <c r="G408" s="4" t="str">
        <f t="shared" si="38"/>
        <v>15767.48</v>
      </c>
      <c r="H408" t="str">
        <f t="shared" si="39"/>
        <v>15767.48</v>
      </c>
      <c r="I408" s="1">
        <v>45761</v>
      </c>
      <c r="J408" s="2">
        <f t="shared" si="40"/>
        <v>-6.1282955603554033E-2</v>
      </c>
      <c r="K408" s="3" t="str">
        <f t="shared" si="41"/>
        <v/>
      </c>
      <c r="L408" t="str">
        <f t="shared" si="42"/>
        <v/>
      </c>
      <c r="M408" t="str">
        <f t="shared" si="43"/>
        <v>Check</v>
      </c>
      <c r="N408">
        <v>16796.84</v>
      </c>
      <c r="O408" t="s">
        <v>270</v>
      </c>
      <c r="Q408" t="s">
        <v>41</v>
      </c>
    </row>
    <row r="409" spans="1:17" x14ac:dyDescent="0.3">
      <c r="A409">
        <v>100637079</v>
      </c>
      <c r="B409" t="s">
        <v>268</v>
      </c>
      <c r="C409" t="s">
        <v>611</v>
      </c>
      <c r="D409" t="s">
        <v>271</v>
      </c>
      <c r="E409" s="6">
        <v>22596.32</v>
      </c>
      <c r="F409" t="s">
        <v>366</v>
      </c>
      <c r="G409" s="4" t="str">
        <f t="shared" si="38"/>
        <v>22596.32</v>
      </c>
      <c r="H409" t="str">
        <f t="shared" si="39"/>
        <v>22596.32</v>
      </c>
      <c r="I409" s="1">
        <v>45761</v>
      </c>
      <c r="J409" s="2">
        <f t="shared" si="40"/>
        <v>-6.1298078920300418E-2</v>
      </c>
      <c r="K409" s="3" t="str">
        <f t="shared" si="41"/>
        <v/>
      </c>
      <c r="L409" t="str">
        <f t="shared" si="42"/>
        <v/>
      </c>
      <c r="M409" t="str">
        <f t="shared" si="43"/>
        <v>Check</v>
      </c>
      <c r="N409">
        <v>24071.88</v>
      </c>
      <c r="O409" t="s">
        <v>272</v>
      </c>
      <c r="Q409" t="s">
        <v>41</v>
      </c>
    </row>
    <row r="410" spans="1:17" x14ac:dyDescent="0.3">
      <c r="A410">
        <v>100637079</v>
      </c>
      <c r="B410" t="s">
        <v>268</v>
      </c>
      <c r="C410" t="s">
        <v>606</v>
      </c>
      <c r="D410" t="s">
        <v>628</v>
      </c>
      <c r="E410" s="6">
        <v>1719.05</v>
      </c>
      <c r="F410" t="s">
        <v>366</v>
      </c>
      <c r="G410" s="4" t="str">
        <f t="shared" si="38"/>
        <v>1719.05</v>
      </c>
      <c r="H410" t="str">
        <f t="shared" si="39"/>
        <v>1719.05</v>
      </c>
      <c r="I410" s="1">
        <v>45761</v>
      </c>
      <c r="J410" s="2">
        <f t="shared" si="40"/>
        <v>-6.1356761420100311E-2</v>
      </c>
      <c r="K410" s="3" t="str">
        <f t="shared" si="41"/>
        <v/>
      </c>
      <c r="L410" t="str">
        <f t="shared" si="42"/>
        <v/>
      </c>
      <c r="M410" t="str">
        <f t="shared" si="43"/>
        <v/>
      </c>
      <c r="N410">
        <v>1831.42</v>
      </c>
      <c r="O410" t="s">
        <v>664</v>
      </c>
      <c r="Q410" t="s">
        <v>606</v>
      </c>
    </row>
    <row r="411" spans="1:17" x14ac:dyDescent="0.3">
      <c r="A411">
        <v>100637079</v>
      </c>
      <c r="B411" t="s">
        <v>268</v>
      </c>
      <c r="C411" t="s">
        <v>606</v>
      </c>
      <c r="D411" t="s">
        <v>629</v>
      </c>
      <c r="E411" s="6">
        <v>2503.3200000000002</v>
      </c>
      <c r="F411" t="s">
        <v>366</v>
      </c>
      <c r="G411" s="4" t="str">
        <f t="shared" si="38"/>
        <v>2503.32</v>
      </c>
      <c r="H411" t="str">
        <f t="shared" si="39"/>
        <v>2503.32</v>
      </c>
      <c r="I411" s="1">
        <v>45761</v>
      </c>
      <c r="J411" s="2">
        <f t="shared" si="40"/>
        <v>-6.1058996065428639E-2</v>
      </c>
      <c r="K411" s="3" t="str">
        <f t="shared" si="41"/>
        <v/>
      </c>
      <c r="L411" t="str">
        <f t="shared" si="42"/>
        <v/>
      </c>
      <c r="M411" t="str">
        <f t="shared" si="43"/>
        <v/>
      </c>
      <c r="N411">
        <v>2666.11</v>
      </c>
      <c r="O411" t="s">
        <v>665</v>
      </c>
      <c r="Q411" t="s">
        <v>606</v>
      </c>
    </row>
    <row r="412" spans="1:17" x14ac:dyDescent="0.3">
      <c r="A412">
        <v>100637079</v>
      </c>
      <c r="B412" t="s">
        <v>268</v>
      </c>
      <c r="C412" t="s">
        <v>590</v>
      </c>
      <c r="D412" t="s">
        <v>635</v>
      </c>
      <c r="E412" s="6">
        <v>4070.24</v>
      </c>
      <c r="F412" t="s">
        <v>366</v>
      </c>
      <c r="G412" s="4" t="str">
        <f t="shared" si="38"/>
        <v>4070.24</v>
      </c>
      <c r="H412" t="str">
        <f t="shared" si="39"/>
        <v>4070.24</v>
      </c>
      <c r="I412" s="1">
        <v>45761</v>
      </c>
      <c r="J412" s="2">
        <f t="shared" si="40"/>
        <v>0.25205792964279988</v>
      </c>
      <c r="K412" s="3" t="str">
        <f t="shared" si="41"/>
        <v>Check!</v>
      </c>
      <c r="L412" t="str">
        <f t="shared" si="42"/>
        <v/>
      </c>
      <c r="M412" t="str">
        <f t="shared" si="43"/>
        <v/>
      </c>
      <c r="N412">
        <v>3250.84</v>
      </c>
      <c r="O412" t="s">
        <v>683</v>
      </c>
      <c r="Q412" t="s">
        <v>590</v>
      </c>
    </row>
    <row r="413" spans="1:17" x14ac:dyDescent="0.3">
      <c r="A413">
        <v>100641153</v>
      </c>
      <c r="B413" t="s">
        <v>273</v>
      </c>
      <c r="C413" t="s">
        <v>19</v>
      </c>
      <c r="D413" t="s">
        <v>274</v>
      </c>
      <c r="E413" s="6">
        <v>455692.01</v>
      </c>
      <c r="F413" t="s">
        <v>366</v>
      </c>
      <c r="G413" s="4" t="str">
        <f t="shared" si="38"/>
        <v>455692.01</v>
      </c>
      <c r="H413" t="str">
        <f t="shared" si="39"/>
        <v>455692.01</v>
      </c>
      <c r="I413" s="1">
        <v>45761</v>
      </c>
      <c r="J413" s="2">
        <f t="shared" si="40"/>
        <v>-6.1067087428075664E-2</v>
      </c>
      <c r="K413" s="3" t="str">
        <f t="shared" si="41"/>
        <v/>
      </c>
      <c r="L413" t="str">
        <f t="shared" si="42"/>
        <v/>
      </c>
      <c r="M413" t="str">
        <f t="shared" si="43"/>
        <v/>
      </c>
      <c r="N413">
        <v>485329.68</v>
      </c>
      <c r="O413" t="s">
        <v>462</v>
      </c>
      <c r="Q413" t="s">
        <v>19</v>
      </c>
    </row>
    <row r="414" spans="1:17" x14ac:dyDescent="0.3">
      <c r="A414">
        <v>100651921</v>
      </c>
      <c r="B414" t="s">
        <v>279</v>
      </c>
      <c r="C414" t="s">
        <v>590</v>
      </c>
      <c r="D414" t="s">
        <v>280</v>
      </c>
      <c r="E414" s="6">
        <v>74161.899999999994</v>
      </c>
      <c r="F414" t="s">
        <v>366</v>
      </c>
      <c r="G414" s="4" t="str">
        <f t="shared" si="38"/>
        <v>74161.9</v>
      </c>
      <c r="H414" t="str">
        <f t="shared" si="39"/>
        <v>74161.9</v>
      </c>
      <c r="I414" s="1">
        <v>45761</v>
      </c>
      <c r="J414" s="2">
        <f t="shared" si="40"/>
        <v>-5.2158692891819687E-2</v>
      </c>
      <c r="K414" s="3" t="str">
        <f t="shared" si="41"/>
        <v/>
      </c>
      <c r="L414" t="str">
        <f t="shared" si="42"/>
        <v/>
      </c>
      <c r="M414" t="str">
        <f t="shared" si="43"/>
        <v>Check</v>
      </c>
      <c r="N414">
        <v>78242.95</v>
      </c>
      <c r="O414" t="s">
        <v>463</v>
      </c>
      <c r="Q414" t="s">
        <v>16</v>
      </c>
    </row>
    <row r="415" spans="1:17" x14ac:dyDescent="0.3">
      <c r="A415">
        <v>100651921</v>
      </c>
      <c r="B415" t="s">
        <v>279</v>
      </c>
      <c r="C415" t="s">
        <v>590</v>
      </c>
      <c r="D415" t="s">
        <v>282</v>
      </c>
      <c r="E415" s="6">
        <v>75571.710000000006</v>
      </c>
      <c r="F415" t="s">
        <v>366</v>
      </c>
      <c r="G415" s="4" t="str">
        <f t="shared" si="38"/>
        <v>75571.71</v>
      </c>
      <c r="H415" t="str">
        <f t="shared" si="39"/>
        <v>75571.71</v>
      </c>
      <c r="I415" s="1">
        <v>45761</v>
      </c>
      <c r="J415" s="2">
        <f t="shared" si="40"/>
        <v>-4.9249569548896276E-2</v>
      </c>
      <c r="K415" s="3" t="str">
        <f t="shared" si="41"/>
        <v/>
      </c>
      <c r="L415" t="str">
        <f t="shared" si="42"/>
        <v/>
      </c>
      <c r="M415" t="str">
        <f t="shared" si="43"/>
        <v>Check</v>
      </c>
      <c r="N415">
        <v>79486.38</v>
      </c>
      <c r="O415" t="s">
        <v>464</v>
      </c>
      <c r="Q415" t="s">
        <v>16</v>
      </c>
    </row>
    <row r="416" spans="1:17" x14ac:dyDescent="0.3">
      <c r="A416">
        <v>100655835</v>
      </c>
      <c r="B416" t="s">
        <v>284</v>
      </c>
      <c r="C416" t="s">
        <v>19</v>
      </c>
      <c r="D416" t="s">
        <v>285</v>
      </c>
      <c r="E416" s="6">
        <v>1226628.23</v>
      </c>
      <c r="F416" t="s">
        <v>366</v>
      </c>
      <c r="G416" s="4" t="str">
        <f t="shared" si="38"/>
        <v>1226628.23</v>
      </c>
      <c r="H416" t="str">
        <f t="shared" si="39"/>
        <v>1226628.23</v>
      </c>
      <c r="I416" s="1">
        <v>45761</v>
      </c>
      <c r="J416" s="2">
        <f t="shared" si="40"/>
        <v>-6.0840018766842016E-2</v>
      </c>
      <c r="K416" s="3" t="str">
        <f t="shared" si="41"/>
        <v/>
      </c>
      <c r="L416" t="str">
        <f t="shared" si="42"/>
        <v/>
      </c>
      <c r="M416" t="str">
        <f t="shared" si="43"/>
        <v/>
      </c>
      <c r="N416">
        <v>1306090.82</v>
      </c>
      <c r="O416" t="s">
        <v>465</v>
      </c>
      <c r="Q416" t="s">
        <v>19</v>
      </c>
    </row>
    <row r="417" spans="1:17" x14ac:dyDescent="0.3">
      <c r="A417">
        <v>100663638</v>
      </c>
      <c r="B417" t="s">
        <v>287</v>
      </c>
      <c r="C417" t="s">
        <v>19</v>
      </c>
      <c r="D417" t="s">
        <v>288</v>
      </c>
      <c r="E417" s="6">
        <v>377750.81</v>
      </c>
      <c r="F417" t="s">
        <v>366</v>
      </c>
      <c r="G417" s="4" t="str">
        <f t="shared" si="38"/>
        <v>377750.81</v>
      </c>
      <c r="H417" t="str">
        <f t="shared" si="39"/>
        <v>377750.81</v>
      </c>
      <c r="I417" s="1">
        <v>45761</v>
      </c>
      <c r="J417" s="2">
        <f t="shared" si="40"/>
        <v>-6.0917848846953844E-2</v>
      </c>
      <c r="K417" s="3" t="str">
        <f t="shared" si="41"/>
        <v/>
      </c>
      <c r="L417" t="str">
        <f t="shared" si="42"/>
        <v/>
      </c>
      <c r="M417" t="str">
        <f t="shared" si="43"/>
        <v/>
      </c>
      <c r="N417">
        <v>402255.34</v>
      </c>
      <c r="O417" t="s">
        <v>466</v>
      </c>
      <c r="Q417" t="s">
        <v>19</v>
      </c>
    </row>
    <row r="418" spans="1:17" x14ac:dyDescent="0.3">
      <c r="A418">
        <v>100663638</v>
      </c>
      <c r="B418" t="s">
        <v>287</v>
      </c>
      <c r="C418" t="s">
        <v>19</v>
      </c>
      <c r="D418" t="s">
        <v>290</v>
      </c>
      <c r="E418" s="6">
        <v>13072.7</v>
      </c>
      <c r="F418" t="s">
        <v>366</v>
      </c>
      <c r="G418" s="4" t="str">
        <f t="shared" si="38"/>
        <v>13072.7</v>
      </c>
      <c r="H418" t="str">
        <f t="shared" si="39"/>
        <v>13072.7</v>
      </c>
      <c r="I418" s="1">
        <v>45761</v>
      </c>
      <c r="J418" s="2">
        <f t="shared" si="40"/>
        <v>-6.1258372068474468E-2</v>
      </c>
      <c r="K418" s="3" t="str">
        <f t="shared" si="41"/>
        <v/>
      </c>
      <c r="L418" t="str">
        <f t="shared" si="42"/>
        <v/>
      </c>
      <c r="M418" t="str">
        <f t="shared" si="43"/>
        <v/>
      </c>
      <c r="N418">
        <v>13925.77</v>
      </c>
      <c r="O418" t="s">
        <v>467</v>
      </c>
      <c r="Q418" t="s">
        <v>19</v>
      </c>
    </row>
    <row r="419" spans="1:17" x14ac:dyDescent="0.3">
      <c r="A419">
        <v>100664029</v>
      </c>
      <c r="B419" t="s">
        <v>292</v>
      </c>
      <c r="C419" t="s">
        <v>19</v>
      </c>
      <c r="D419" t="s">
        <v>293</v>
      </c>
      <c r="E419" s="6">
        <v>34139.019999999997</v>
      </c>
      <c r="F419" t="s">
        <v>366</v>
      </c>
      <c r="G419" s="4" t="str">
        <f t="shared" si="38"/>
        <v>34139.02</v>
      </c>
      <c r="H419" t="str">
        <f t="shared" si="39"/>
        <v>34139.02</v>
      </c>
      <c r="I419" s="1">
        <v>45761</v>
      </c>
      <c r="J419" s="2">
        <f t="shared" si="40"/>
        <v>-6.1298371055703946E-2</v>
      </c>
      <c r="K419" s="3" t="str">
        <f t="shared" si="41"/>
        <v/>
      </c>
      <c r="L419" t="str">
        <f t="shared" si="42"/>
        <v/>
      </c>
      <c r="M419" t="str">
        <f t="shared" si="43"/>
        <v/>
      </c>
      <c r="N419">
        <v>36368.339999999997</v>
      </c>
      <c r="O419" t="s">
        <v>468</v>
      </c>
      <c r="Q419" t="s">
        <v>19</v>
      </c>
    </row>
    <row r="420" spans="1:17" x14ac:dyDescent="0.3">
      <c r="A420">
        <v>100664029</v>
      </c>
      <c r="B420" t="s">
        <v>292</v>
      </c>
      <c r="C420" t="s">
        <v>19</v>
      </c>
      <c r="D420" t="s">
        <v>295</v>
      </c>
      <c r="E420" s="6">
        <v>21909.45</v>
      </c>
      <c r="F420" t="s">
        <v>366</v>
      </c>
      <c r="G420" s="4" t="str">
        <f t="shared" si="38"/>
        <v>21909.45</v>
      </c>
      <c r="H420" t="str">
        <f t="shared" si="39"/>
        <v>21909.45</v>
      </c>
      <c r="I420" s="1">
        <v>45761</v>
      </c>
      <c r="J420" s="2">
        <f t="shared" si="40"/>
        <v>-6.1225810211171641E-2</v>
      </c>
      <c r="K420" s="3" t="str">
        <f t="shared" si="41"/>
        <v/>
      </c>
      <c r="L420" t="str">
        <f t="shared" si="42"/>
        <v/>
      </c>
      <c r="M420" t="str">
        <f t="shared" si="43"/>
        <v/>
      </c>
      <c r="N420">
        <v>23338.36</v>
      </c>
      <c r="O420" t="s">
        <v>469</v>
      </c>
      <c r="Q420" t="s">
        <v>19</v>
      </c>
    </row>
    <row r="421" spans="1:17" x14ac:dyDescent="0.3">
      <c r="A421">
        <v>100664292</v>
      </c>
      <c r="B421" t="s">
        <v>297</v>
      </c>
      <c r="C421" t="s">
        <v>590</v>
      </c>
      <c r="D421" t="s">
        <v>298</v>
      </c>
      <c r="E421" s="6">
        <v>2020.93</v>
      </c>
      <c r="F421" t="s">
        <v>366</v>
      </c>
      <c r="G421" s="4" t="str">
        <f t="shared" si="38"/>
        <v>2020.93</v>
      </c>
      <c r="H421" t="str">
        <f t="shared" si="39"/>
        <v>2020.93</v>
      </c>
      <c r="I421" s="1">
        <v>45761</v>
      </c>
      <c r="J421" s="2">
        <f t="shared" si="40"/>
        <v>-6.1285632667090827E-2</v>
      </c>
      <c r="K421" s="3" t="str">
        <f t="shared" si="41"/>
        <v/>
      </c>
      <c r="L421" t="str">
        <f t="shared" si="42"/>
        <v/>
      </c>
      <c r="M421" t="str">
        <f t="shared" si="43"/>
        <v>Check</v>
      </c>
      <c r="N421">
        <v>2152.87</v>
      </c>
      <c r="O421" t="s">
        <v>470</v>
      </c>
      <c r="Q421" t="s">
        <v>16</v>
      </c>
    </row>
    <row r="422" spans="1:17" x14ac:dyDescent="0.3">
      <c r="A422">
        <v>100664292</v>
      </c>
      <c r="B422" t="s">
        <v>297</v>
      </c>
      <c r="C422" t="s">
        <v>19</v>
      </c>
      <c r="D422" t="s">
        <v>300</v>
      </c>
      <c r="E422" s="6">
        <v>174477.96</v>
      </c>
      <c r="F422" t="s">
        <v>366</v>
      </c>
      <c r="G422" s="4" t="str">
        <f t="shared" si="38"/>
        <v>174477.96</v>
      </c>
      <c r="H422" t="str">
        <f t="shared" si="39"/>
        <v>174477.96</v>
      </c>
      <c r="I422" s="1">
        <v>45761</v>
      </c>
      <c r="J422" s="2">
        <f t="shared" si="40"/>
        <v>-6.1224098887272899E-2</v>
      </c>
      <c r="K422" s="3" t="str">
        <f t="shared" si="41"/>
        <v/>
      </c>
      <c r="L422" t="str">
        <f t="shared" si="42"/>
        <v/>
      </c>
      <c r="M422" t="str">
        <f t="shared" si="43"/>
        <v/>
      </c>
      <c r="N422">
        <v>185856.88</v>
      </c>
      <c r="O422" t="s">
        <v>471</v>
      </c>
      <c r="Q422" t="s">
        <v>19</v>
      </c>
    </row>
    <row r="423" spans="1:17" x14ac:dyDescent="0.3">
      <c r="A423">
        <v>100664348</v>
      </c>
      <c r="B423" t="s">
        <v>302</v>
      </c>
      <c r="C423" t="s">
        <v>19</v>
      </c>
      <c r="D423" t="s">
        <v>303</v>
      </c>
      <c r="E423" s="6">
        <v>28755.61</v>
      </c>
      <c r="F423" t="s">
        <v>366</v>
      </c>
      <c r="G423" s="4" t="str">
        <f t="shared" si="38"/>
        <v>28755.61</v>
      </c>
      <c r="H423" t="str">
        <f t="shared" si="39"/>
        <v>28755.61</v>
      </c>
      <c r="I423" s="1">
        <v>45761</v>
      </c>
      <c r="J423" s="2">
        <f t="shared" si="40"/>
        <v>-6.129142406464104E-2</v>
      </c>
      <c r="K423" s="3" t="str">
        <f t="shared" si="41"/>
        <v/>
      </c>
      <c r="L423" t="str">
        <f t="shared" si="42"/>
        <v/>
      </c>
      <c r="M423" t="str">
        <f t="shared" si="43"/>
        <v/>
      </c>
      <c r="N423">
        <v>30633.16</v>
      </c>
      <c r="O423" t="s">
        <v>472</v>
      </c>
      <c r="Q423" t="s">
        <v>19</v>
      </c>
    </row>
    <row r="424" spans="1:17" x14ac:dyDescent="0.3">
      <c r="A424">
        <v>100664351</v>
      </c>
      <c r="B424" t="s">
        <v>305</v>
      </c>
      <c r="C424" t="s">
        <v>19</v>
      </c>
      <c r="D424" t="s">
        <v>306</v>
      </c>
      <c r="E424" s="6">
        <v>42669.41</v>
      </c>
      <c r="F424" t="s">
        <v>366</v>
      </c>
      <c r="G424" s="4" t="str">
        <f t="shared" si="38"/>
        <v>42669.41</v>
      </c>
      <c r="H424" t="str">
        <f t="shared" si="39"/>
        <v>42669.41</v>
      </c>
      <c r="I424" s="1">
        <v>45761</v>
      </c>
      <c r="J424" s="2">
        <f t="shared" si="40"/>
        <v>-7.45575946753467E-2</v>
      </c>
      <c r="K424" s="3" t="str">
        <f t="shared" si="41"/>
        <v/>
      </c>
      <c r="L424" t="str">
        <f t="shared" si="42"/>
        <v/>
      </c>
      <c r="M424" t="str">
        <f t="shared" si="43"/>
        <v/>
      </c>
      <c r="N424">
        <v>46107.040000000001</v>
      </c>
      <c r="O424" t="s">
        <v>473</v>
      </c>
      <c r="Q424" t="s">
        <v>19</v>
      </c>
    </row>
    <row r="425" spans="1:17" x14ac:dyDescent="0.3">
      <c r="A425">
        <v>100664601</v>
      </c>
      <c r="B425" t="s">
        <v>308</v>
      </c>
      <c r="C425" t="s">
        <v>623</v>
      </c>
      <c r="D425" t="s">
        <v>309</v>
      </c>
      <c r="E425" s="6">
        <v>239299.78</v>
      </c>
      <c r="F425" t="s">
        <v>366</v>
      </c>
      <c r="G425" s="4" t="str">
        <f t="shared" si="38"/>
        <v>239299.78</v>
      </c>
      <c r="H425" t="str">
        <f t="shared" si="39"/>
        <v>239299.78</v>
      </c>
      <c r="I425" s="1">
        <v>45761</v>
      </c>
      <c r="J425" s="2">
        <f t="shared" si="40"/>
        <v>-6.0673114492865485E-2</v>
      </c>
      <c r="K425" s="3" t="str">
        <f t="shared" si="41"/>
        <v/>
      </c>
      <c r="L425" t="str">
        <f t="shared" si="42"/>
        <v/>
      </c>
      <c r="M425" t="str">
        <f t="shared" si="43"/>
        <v>Check</v>
      </c>
      <c r="N425">
        <v>254756.66</v>
      </c>
      <c r="O425" t="s">
        <v>310</v>
      </c>
      <c r="Q425" t="s">
        <v>164</v>
      </c>
    </row>
    <row r="426" spans="1:17" x14ac:dyDescent="0.3">
      <c r="A426">
        <v>100664601</v>
      </c>
      <c r="B426" t="s">
        <v>308</v>
      </c>
      <c r="C426" t="s">
        <v>611</v>
      </c>
      <c r="D426" t="s">
        <v>311</v>
      </c>
      <c r="E426" s="6">
        <v>73961.98</v>
      </c>
      <c r="F426" t="s">
        <v>366</v>
      </c>
      <c r="G426" s="4" t="str">
        <f t="shared" si="38"/>
        <v>73961.98</v>
      </c>
      <c r="H426" t="str">
        <f t="shared" si="39"/>
        <v>73961.98</v>
      </c>
      <c r="I426" s="1">
        <v>45761</v>
      </c>
      <c r="J426" s="2">
        <f t="shared" si="40"/>
        <v>-6.1060176357529049E-2</v>
      </c>
      <c r="K426" s="3" t="str">
        <f t="shared" si="41"/>
        <v/>
      </c>
      <c r="L426" t="str">
        <f t="shared" si="42"/>
        <v/>
      </c>
      <c r="M426" t="str">
        <f t="shared" si="43"/>
        <v>Check</v>
      </c>
      <c r="N426">
        <v>78771.8</v>
      </c>
      <c r="O426" t="s">
        <v>312</v>
      </c>
      <c r="Q426" t="s">
        <v>41</v>
      </c>
    </row>
    <row r="427" spans="1:17" x14ac:dyDescent="0.3">
      <c r="A427">
        <v>100664601</v>
      </c>
      <c r="B427" t="s">
        <v>308</v>
      </c>
      <c r="C427" t="s">
        <v>622</v>
      </c>
      <c r="D427" t="s">
        <v>630</v>
      </c>
      <c r="E427" s="6">
        <v>3478.78</v>
      </c>
      <c r="F427" t="s">
        <v>366</v>
      </c>
      <c r="G427" s="4" t="str">
        <f t="shared" si="38"/>
        <v>3478.78</v>
      </c>
      <c r="H427" t="str">
        <f t="shared" si="39"/>
        <v>3478.78</v>
      </c>
      <c r="I427" s="1">
        <v>45761</v>
      </c>
      <c r="J427" s="2">
        <f t="shared" si="40"/>
        <v>-6.0162584054443129E-2</v>
      </c>
      <c r="K427" s="3" t="str">
        <f t="shared" si="41"/>
        <v/>
      </c>
      <c r="L427" t="str">
        <f t="shared" si="42"/>
        <v/>
      </c>
      <c r="M427" t="str">
        <f t="shared" si="43"/>
        <v/>
      </c>
      <c r="N427">
        <v>3701.47</v>
      </c>
      <c r="O427" t="s">
        <v>667</v>
      </c>
      <c r="Q427" t="s">
        <v>622</v>
      </c>
    </row>
    <row r="428" spans="1:17" x14ac:dyDescent="0.3">
      <c r="A428">
        <v>100664601</v>
      </c>
      <c r="B428" t="s">
        <v>308</v>
      </c>
      <c r="C428" t="s">
        <v>606</v>
      </c>
      <c r="D428" t="s">
        <v>631</v>
      </c>
      <c r="E428" s="6">
        <v>3448.48</v>
      </c>
      <c r="F428" t="s">
        <v>366</v>
      </c>
      <c r="G428" s="4" t="str">
        <f t="shared" si="38"/>
        <v>3448.48</v>
      </c>
      <c r="H428" t="str">
        <f t="shared" si="39"/>
        <v>3448.48</v>
      </c>
      <c r="I428" s="1">
        <v>45761</v>
      </c>
      <c r="J428" s="2">
        <f t="shared" si="40"/>
        <v>-6.0641224701043259E-2</v>
      </c>
      <c r="K428" s="3" t="str">
        <f t="shared" si="41"/>
        <v/>
      </c>
      <c r="L428" t="str">
        <f t="shared" si="42"/>
        <v/>
      </c>
      <c r="M428" t="str">
        <f t="shared" si="43"/>
        <v/>
      </c>
      <c r="N428">
        <v>3671.1</v>
      </c>
      <c r="O428" t="s">
        <v>668</v>
      </c>
      <c r="Q428" t="s">
        <v>606</v>
      </c>
    </row>
    <row r="429" spans="1:17" x14ac:dyDescent="0.3">
      <c r="A429">
        <v>100664737</v>
      </c>
      <c r="B429" t="s">
        <v>313</v>
      </c>
      <c r="C429" t="s">
        <v>19</v>
      </c>
      <c r="D429" t="s">
        <v>314</v>
      </c>
      <c r="E429" s="6">
        <v>24055.48</v>
      </c>
      <c r="F429" t="s">
        <v>366</v>
      </c>
      <c r="G429" s="4" t="str">
        <f t="shared" si="38"/>
        <v>24055.48</v>
      </c>
      <c r="H429" t="str">
        <f t="shared" si="39"/>
        <v>24055.48</v>
      </c>
      <c r="I429" s="1">
        <v>45761</v>
      </c>
      <c r="J429" s="2">
        <f t="shared" si="40"/>
        <v>-5.8773538506564998E-2</v>
      </c>
      <c r="K429" s="3" t="str">
        <f t="shared" si="41"/>
        <v/>
      </c>
      <c r="L429" t="str">
        <f t="shared" si="42"/>
        <v/>
      </c>
      <c r="M429" t="str">
        <f t="shared" si="43"/>
        <v/>
      </c>
      <c r="N429">
        <v>25557.59</v>
      </c>
      <c r="O429" t="s">
        <v>474</v>
      </c>
      <c r="Q429" t="s">
        <v>19</v>
      </c>
    </row>
    <row r="430" spans="1:17" x14ac:dyDescent="0.3">
      <c r="A430">
        <v>100664737</v>
      </c>
      <c r="B430" t="s">
        <v>313</v>
      </c>
      <c r="C430" t="s">
        <v>19</v>
      </c>
      <c r="D430" t="s">
        <v>316</v>
      </c>
      <c r="E430" s="6">
        <v>11221.68</v>
      </c>
      <c r="F430" t="s">
        <v>366</v>
      </c>
      <c r="G430" s="4" t="str">
        <f t="shared" si="38"/>
        <v>11221.68</v>
      </c>
      <c r="H430" t="str">
        <f t="shared" si="39"/>
        <v>11221.68</v>
      </c>
      <c r="I430" s="1">
        <v>45761</v>
      </c>
      <c r="J430" s="2">
        <f t="shared" si="40"/>
        <v>-6.1091063042228652E-2</v>
      </c>
      <c r="K430" s="3" t="str">
        <f t="shared" si="41"/>
        <v/>
      </c>
      <c r="L430" t="str">
        <f t="shared" si="42"/>
        <v/>
      </c>
      <c r="M430" t="str">
        <f t="shared" si="43"/>
        <v/>
      </c>
      <c r="N430">
        <v>11951.83</v>
      </c>
      <c r="O430" t="s">
        <v>475</v>
      </c>
      <c r="Q430" t="s">
        <v>19</v>
      </c>
    </row>
    <row r="431" spans="1:17" x14ac:dyDescent="0.3">
      <c r="A431">
        <v>100665510</v>
      </c>
      <c r="B431" t="s">
        <v>318</v>
      </c>
      <c r="C431" t="s">
        <v>590</v>
      </c>
      <c r="D431" t="s">
        <v>476</v>
      </c>
      <c r="E431" s="6">
        <v>10819.11</v>
      </c>
      <c r="F431" t="s">
        <v>366</v>
      </c>
      <c r="G431" s="4" t="str">
        <f t="shared" si="38"/>
        <v>10819.11</v>
      </c>
      <c r="H431" t="str">
        <f t="shared" si="39"/>
        <v>10819.11</v>
      </c>
      <c r="I431" s="1">
        <v>45761</v>
      </c>
      <c r="J431" s="2">
        <f t="shared" si="40"/>
        <v>-4.3422635967615072E-2</v>
      </c>
      <c r="K431" s="3" t="str">
        <f t="shared" si="41"/>
        <v/>
      </c>
      <c r="L431" t="str">
        <f t="shared" si="42"/>
        <v/>
      </c>
      <c r="M431" t="str">
        <f t="shared" si="43"/>
        <v>Check</v>
      </c>
      <c r="N431">
        <v>11310.23</v>
      </c>
      <c r="O431" t="s">
        <v>477</v>
      </c>
      <c r="Q431" t="s">
        <v>16</v>
      </c>
    </row>
    <row r="432" spans="1:17" x14ac:dyDescent="0.3">
      <c r="A432">
        <v>100665510</v>
      </c>
      <c r="B432" t="s">
        <v>318</v>
      </c>
      <c r="C432" t="s">
        <v>19</v>
      </c>
      <c r="D432" t="s">
        <v>319</v>
      </c>
      <c r="E432" s="6">
        <v>111205.02</v>
      </c>
      <c r="F432" t="s">
        <v>366</v>
      </c>
      <c r="G432" s="4" t="str">
        <f t="shared" si="38"/>
        <v>111205.02</v>
      </c>
      <c r="H432" t="str">
        <f t="shared" si="39"/>
        <v>111205.02</v>
      </c>
      <c r="I432" s="1">
        <v>45761</v>
      </c>
      <c r="J432" s="2">
        <f t="shared" si="40"/>
        <v>-5.9252808050131403E-2</v>
      </c>
      <c r="K432" s="3" t="str">
        <f t="shared" si="41"/>
        <v/>
      </c>
      <c r="L432" t="str">
        <f t="shared" si="42"/>
        <v/>
      </c>
      <c r="M432" t="str">
        <f t="shared" si="43"/>
        <v/>
      </c>
      <c r="N432">
        <v>118209.25</v>
      </c>
      <c r="O432" t="s">
        <v>478</v>
      </c>
      <c r="Q432" t="s">
        <v>19</v>
      </c>
    </row>
    <row r="433" spans="1:17" x14ac:dyDescent="0.3">
      <c r="A433">
        <v>100665581</v>
      </c>
      <c r="B433" t="s">
        <v>321</v>
      </c>
      <c r="C433" t="s">
        <v>590</v>
      </c>
      <c r="D433" t="s">
        <v>639</v>
      </c>
      <c r="E433" s="6">
        <v>310107.57</v>
      </c>
      <c r="F433" t="s">
        <v>366</v>
      </c>
      <c r="G433" s="4" t="str">
        <f t="shared" si="38"/>
        <v>310107.57</v>
      </c>
      <c r="H433" t="str">
        <f t="shared" si="39"/>
        <v>310107.57</v>
      </c>
      <c r="I433" s="1">
        <v>45761</v>
      </c>
      <c r="J433" s="2">
        <f t="shared" si="40"/>
        <v>0.29858366129342817</v>
      </c>
      <c r="K433" s="3" t="str">
        <f t="shared" si="41"/>
        <v>Check!</v>
      </c>
      <c r="L433" t="str">
        <f t="shared" si="42"/>
        <v/>
      </c>
      <c r="M433" t="str">
        <f t="shared" si="43"/>
        <v/>
      </c>
      <c r="N433">
        <v>238804.46</v>
      </c>
      <c r="O433" t="s">
        <v>684</v>
      </c>
      <c r="Q433" t="s">
        <v>590</v>
      </c>
    </row>
    <row r="434" spans="1:17" x14ac:dyDescent="0.3">
      <c r="A434">
        <v>100665581</v>
      </c>
      <c r="B434" t="s">
        <v>321</v>
      </c>
      <c r="C434" t="s">
        <v>19</v>
      </c>
      <c r="D434" t="s">
        <v>695</v>
      </c>
      <c r="E434" s="6">
        <v>998958.81</v>
      </c>
      <c r="F434" t="s">
        <v>366</v>
      </c>
      <c r="G434" s="4" t="str">
        <f t="shared" si="38"/>
        <v>998958.81</v>
      </c>
      <c r="H434" t="str">
        <f t="shared" si="39"/>
        <v>998958.81</v>
      </c>
      <c r="I434" s="1">
        <v>45761</v>
      </c>
      <c r="J434" s="2">
        <f t="shared" si="40"/>
        <v>7.5871191855327469</v>
      </c>
      <c r="K434" s="3" t="str">
        <f t="shared" si="41"/>
        <v>Check!</v>
      </c>
      <c r="L434" t="str">
        <f t="shared" si="42"/>
        <v/>
      </c>
      <c r="M434" t="str">
        <f t="shared" si="43"/>
        <v/>
      </c>
      <c r="N434">
        <v>116332.24</v>
      </c>
      <c r="O434" t="s">
        <v>698</v>
      </c>
      <c r="Q434" t="s">
        <v>19</v>
      </c>
    </row>
    <row r="435" spans="1:17" x14ac:dyDescent="0.3">
      <c r="A435">
        <v>100666150</v>
      </c>
      <c r="B435" t="s">
        <v>324</v>
      </c>
      <c r="C435" t="s">
        <v>19</v>
      </c>
      <c r="D435" t="s">
        <v>325</v>
      </c>
      <c r="E435" s="6">
        <v>185218.85</v>
      </c>
      <c r="F435" t="s">
        <v>366</v>
      </c>
      <c r="G435" s="4" t="str">
        <f t="shared" si="38"/>
        <v>185218.85</v>
      </c>
      <c r="H435" t="str">
        <f t="shared" si="39"/>
        <v>185218.85</v>
      </c>
      <c r="I435" s="1">
        <v>45761</v>
      </c>
      <c r="J435" s="2">
        <f t="shared" si="40"/>
        <v>-6.1019700813123821E-2</v>
      </c>
      <c r="K435" s="3" t="str">
        <f t="shared" si="41"/>
        <v/>
      </c>
      <c r="L435" t="str">
        <f t="shared" si="42"/>
        <v/>
      </c>
      <c r="M435" t="str">
        <f t="shared" si="43"/>
        <v/>
      </c>
      <c r="N435">
        <v>197255.31</v>
      </c>
      <c r="O435" t="s">
        <v>479</v>
      </c>
      <c r="Q435" t="s">
        <v>19</v>
      </c>
    </row>
    <row r="436" spans="1:17" x14ac:dyDescent="0.3">
      <c r="A436">
        <v>100668166</v>
      </c>
      <c r="B436" t="s">
        <v>480</v>
      </c>
      <c r="C436" t="s">
        <v>590</v>
      </c>
      <c r="D436" t="s">
        <v>481</v>
      </c>
      <c r="E436" s="6">
        <v>24829.43</v>
      </c>
      <c r="F436" t="s">
        <v>366</v>
      </c>
      <c r="G436" s="4" t="str">
        <f t="shared" si="38"/>
        <v>24829.43</v>
      </c>
      <c r="H436" t="str">
        <f t="shared" si="39"/>
        <v>24829.43</v>
      </c>
      <c r="I436" s="1">
        <v>45761</v>
      </c>
      <c r="J436" s="2">
        <f t="shared" si="40"/>
        <v>-5.7363213922339867E-2</v>
      </c>
      <c r="K436" s="3" t="str">
        <f t="shared" si="41"/>
        <v/>
      </c>
      <c r="L436" t="str">
        <f t="shared" si="42"/>
        <v/>
      </c>
      <c r="M436" t="str">
        <f t="shared" si="43"/>
        <v>Check</v>
      </c>
      <c r="N436">
        <v>26340.400000000001</v>
      </c>
      <c r="O436" t="s">
        <v>482</v>
      </c>
      <c r="Q436" t="s">
        <v>16</v>
      </c>
    </row>
    <row r="437" spans="1:17" x14ac:dyDescent="0.3">
      <c r="A437">
        <v>100668409</v>
      </c>
      <c r="B437" t="s">
        <v>327</v>
      </c>
      <c r="C437" t="s">
        <v>590</v>
      </c>
      <c r="D437" t="s">
        <v>328</v>
      </c>
      <c r="E437" s="6">
        <v>37243.480000000003</v>
      </c>
      <c r="F437" t="s">
        <v>366</v>
      </c>
      <c r="G437" s="4" t="str">
        <f t="shared" si="38"/>
        <v>37243.48</v>
      </c>
      <c r="H437" t="str">
        <f t="shared" si="39"/>
        <v>37243.48</v>
      </c>
      <c r="I437" s="1">
        <v>45761</v>
      </c>
      <c r="J437" s="2">
        <f t="shared" si="40"/>
        <v>-6.1027035558134858E-2</v>
      </c>
      <c r="K437" s="3" t="str">
        <f t="shared" si="41"/>
        <v/>
      </c>
      <c r="L437" t="str">
        <f t="shared" si="42"/>
        <v/>
      </c>
      <c r="M437" t="str">
        <f t="shared" si="43"/>
        <v>Check</v>
      </c>
      <c r="N437">
        <v>39664.06</v>
      </c>
      <c r="O437" t="s">
        <v>483</v>
      </c>
      <c r="Q437" t="s">
        <v>16</v>
      </c>
    </row>
    <row r="438" spans="1:17" x14ac:dyDescent="0.3">
      <c r="A438">
        <v>100668534</v>
      </c>
      <c r="B438" t="s">
        <v>330</v>
      </c>
      <c r="C438" t="s">
        <v>590</v>
      </c>
      <c r="D438" t="s">
        <v>331</v>
      </c>
      <c r="E438" s="6">
        <v>75149.899999999994</v>
      </c>
      <c r="F438" t="s">
        <v>366</v>
      </c>
      <c r="G438" s="4" t="str">
        <f t="shared" si="38"/>
        <v>75149.9</v>
      </c>
      <c r="H438" t="str">
        <f t="shared" si="39"/>
        <v>75149.9</v>
      </c>
      <c r="I438" s="1">
        <v>45761</v>
      </c>
      <c r="J438" s="2">
        <f t="shared" si="40"/>
        <v>-6.1192820133049761E-2</v>
      </c>
      <c r="K438" s="3" t="str">
        <f t="shared" si="41"/>
        <v/>
      </c>
      <c r="L438" t="str">
        <f t="shared" si="42"/>
        <v/>
      </c>
      <c r="M438" t="str">
        <f t="shared" si="43"/>
        <v>Check</v>
      </c>
      <c r="N438">
        <v>80048.28</v>
      </c>
      <c r="O438" t="s">
        <v>484</v>
      </c>
      <c r="Q438" t="s">
        <v>16</v>
      </c>
    </row>
    <row r="439" spans="1:17" x14ac:dyDescent="0.3">
      <c r="A439">
        <v>100669580</v>
      </c>
      <c r="B439" t="s">
        <v>333</v>
      </c>
      <c r="C439" t="s">
        <v>19</v>
      </c>
      <c r="D439" t="s">
        <v>334</v>
      </c>
      <c r="E439" s="6">
        <v>87348.35</v>
      </c>
      <c r="F439" t="s">
        <v>366</v>
      </c>
      <c r="G439" s="4" t="str">
        <f t="shared" si="38"/>
        <v>87348.35</v>
      </c>
      <c r="H439" t="str">
        <f t="shared" si="39"/>
        <v>87348.35</v>
      </c>
      <c r="I439" s="1">
        <v>45761</v>
      </c>
      <c r="J439" s="2">
        <f t="shared" si="40"/>
        <v>-6.1245762763778973E-2</v>
      </c>
      <c r="K439" s="3" t="str">
        <f t="shared" si="41"/>
        <v/>
      </c>
      <c r="L439" t="str">
        <f t="shared" si="42"/>
        <v/>
      </c>
      <c r="M439" t="str">
        <f t="shared" si="43"/>
        <v/>
      </c>
      <c r="N439">
        <v>93047.09</v>
      </c>
      <c r="O439" t="s">
        <v>485</v>
      </c>
      <c r="Q439" t="s">
        <v>19</v>
      </c>
    </row>
    <row r="440" spans="1:17" x14ac:dyDescent="0.3">
      <c r="A440">
        <v>100670671</v>
      </c>
      <c r="B440" t="s">
        <v>336</v>
      </c>
      <c r="C440" t="s">
        <v>590</v>
      </c>
      <c r="D440" t="s">
        <v>337</v>
      </c>
      <c r="E440" s="6">
        <v>693437.11</v>
      </c>
      <c r="F440" t="s">
        <v>366</v>
      </c>
      <c r="G440" s="4" t="str">
        <f t="shared" si="38"/>
        <v>693437.11</v>
      </c>
      <c r="H440" t="str">
        <f t="shared" si="39"/>
        <v>693437.11</v>
      </c>
      <c r="I440" s="1">
        <v>45761</v>
      </c>
      <c r="J440" s="2">
        <f t="shared" si="40"/>
        <v>-5.5190168704793326E-2</v>
      </c>
      <c r="K440" s="3" t="str">
        <f t="shared" si="41"/>
        <v/>
      </c>
      <c r="L440" t="str">
        <f t="shared" si="42"/>
        <v/>
      </c>
      <c r="M440" t="str">
        <f t="shared" si="43"/>
        <v>Check</v>
      </c>
      <c r="N440">
        <v>733943.58</v>
      </c>
      <c r="O440" t="s">
        <v>486</v>
      </c>
      <c r="Q440" t="s">
        <v>16</v>
      </c>
    </row>
    <row r="441" spans="1:17" x14ac:dyDescent="0.3">
      <c r="A441">
        <v>100670671</v>
      </c>
      <c r="B441" t="s">
        <v>336</v>
      </c>
      <c r="C441" t="s">
        <v>611</v>
      </c>
      <c r="D441" t="s">
        <v>339</v>
      </c>
      <c r="E441" s="6">
        <v>14918.73</v>
      </c>
      <c r="F441" t="s">
        <v>366</v>
      </c>
      <c r="G441" s="4" t="str">
        <f t="shared" si="38"/>
        <v>14918.73</v>
      </c>
      <c r="H441" t="str">
        <f t="shared" si="39"/>
        <v>14918.73</v>
      </c>
      <c r="I441" s="1">
        <v>45761</v>
      </c>
      <c r="J441" s="2">
        <f t="shared" si="40"/>
        <v>-6.1278204950731836E-2</v>
      </c>
      <c r="K441" s="3" t="str">
        <f t="shared" si="41"/>
        <v/>
      </c>
      <c r="L441" t="str">
        <f t="shared" si="42"/>
        <v/>
      </c>
      <c r="M441" t="str">
        <f t="shared" si="43"/>
        <v>Check</v>
      </c>
      <c r="N441">
        <v>15892.6</v>
      </c>
      <c r="O441" t="s">
        <v>340</v>
      </c>
      <c r="Q441" t="s">
        <v>41</v>
      </c>
    </row>
    <row r="442" spans="1:17" x14ac:dyDescent="0.3">
      <c r="A442">
        <v>100670671</v>
      </c>
      <c r="B442" t="s">
        <v>336</v>
      </c>
      <c r="C442" t="s">
        <v>606</v>
      </c>
      <c r="D442" t="s">
        <v>633</v>
      </c>
      <c r="E442" s="6">
        <v>1781.38</v>
      </c>
      <c r="F442" t="s">
        <v>366</v>
      </c>
      <c r="G442" s="4" t="str">
        <f t="shared" si="38"/>
        <v>1781.38</v>
      </c>
      <c r="H442" t="str">
        <f t="shared" si="39"/>
        <v>1781.38</v>
      </c>
      <c r="I442" s="1">
        <v>45761</v>
      </c>
      <c r="J442" s="2">
        <f t="shared" si="40"/>
        <v>-4.0979811574697114E-2</v>
      </c>
      <c r="K442" s="3" t="str">
        <f t="shared" si="41"/>
        <v/>
      </c>
      <c r="L442" t="str">
        <f t="shared" si="42"/>
        <v/>
      </c>
      <c r="M442" t="str">
        <f t="shared" si="43"/>
        <v/>
      </c>
      <c r="N442">
        <v>1857.5</v>
      </c>
      <c r="O442" t="s">
        <v>671</v>
      </c>
      <c r="Q442" t="s">
        <v>606</v>
      </c>
    </row>
    <row r="443" spans="1:17" x14ac:dyDescent="0.3">
      <c r="A443">
        <v>100670671</v>
      </c>
      <c r="B443" t="s">
        <v>336</v>
      </c>
      <c r="C443" t="s">
        <v>609</v>
      </c>
      <c r="D443" t="s">
        <v>634</v>
      </c>
      <c r="E443" s="6">
        <v>309.05</v>
      </c>
      <c r="F443" t="s">
        <v>366</v>
      </c>
      <c r="G443" s="4" t="str">
        <f t="shared" si="38"/>
        <v>309.05</v>
      </c>
      <c r="H443" t="str">
        <f t="shared" si="39"/>
        <v>309.05</v>
      </c>
      <c r="I443" s="1">
        <v>45761</v>
      </c>
      <c r="J443" s="2">
        <f t="shared" si="40"/>
        <v>0.24276178221006917</v>
      </c>
      <c r="K443" s="3" t="str">
        <f t="shared" si="41"/>
        <v>Check!</v>
      </c>
      <c r="L443" t="str">
        <f t="shared" si="42"/>
        <v/>
      </c>
      <c r="M443" t="str">
        <f t="shared" si="43"/>
        <v/>
      </c>
      <c r="N443">
        <v>248.68</v>
      </c>
      <c r="O443" t="s">
        <v>670</v>
      </c>
      <c r="Q443" t="s">
        <v>609</v>
      </c>
    </row>
    <row r="444" spans="1:17" x14ac:dyDescent="0.3">
      <c r="A444">
        <v>100675336</v>
      </c>
      <c r="B444" t="s">
        <v>347</v>
      </c>
      <c r="C444" t="s">
        <v>19</v>
      </c>
      <c r="D444" t="s">
        <v>348</v>
      </c>
      <c r="E444" s="6">
        <v>120340.95</v>
      </c>
      <c r="F444" t="s">
        <v>366</v>
      </c>
      <c r="G444" s="4" t="str">
        <f t="shared" si="38"/>
        <v>120340.95</v>
      </c>
      <c r="H444" t="str">
        <f t="shared" si="39"/>
        <v>120340.95</v>
      </c>
      <c r="I444" s="1">
        <v>45761</v>
      </c>
      <c r="J444" s="2">
        <f t="shared" si="40"/>
        <v>-6.1209163037988637E-2</v>
      </c>
      <c r="K444" s="3" t="str">
        <f t="shared" si="41"/>
        <v/>
      </c>
      <c r="L444" t="str">
        <f t="shared" si="42"/>
        <v/>
      </c>
      <c r="M444" t="str">
        <f t="shared" si="43"/>
        <v/>
      </c>
      <c r="N444">
        <v>128187.18</v>
      </c>
      <c r="O444" t="s">
        <v>487</v>
      </c>
      <c r="Q444" t="s">
        <v>19</v>
      </c>
    </row>
    <row r="445" spans="1:17" x14ac:dyDescent="0.3">
      <c r="A445">
        <v>100677278</v>
      </c>
      <c r="B445" t="s">
        <v>350</v>
      </c>
      <c r="C445" t="s">
        <v>19</v>
      </c>
      <c r="D445" t="s">
        <v>351</v>
      </c>
      <c r="E445" s="6">
        <v>74586.179999999993</v>
      </c>
      <c r="F445" t="s">
        <v>366</v>
      </c>
      <c r="G445" s="4" t="str">
        <f t="shared" si="38"/>
        <v>74586.18</v>
      </c>
      <c r="H445" t="str">
        <f t="shared" si="39"/>
        <v>74586.18</v>
      </c>
      <c r="I445" s="1">
        <v>45761</v>
      </c>
      <c r="J445" s="2">
        <f t="shared" si="40"/>
        <v>-6.0715824342470651E-2</v>
      </c>
      <c r="K445" s="3" t="str">
        <f t="shared" si="41"/>
        <v/>
      </c>
      <c r="L445" t="str">
        <f t="shared" si="42"/>
        <v/>
      </c>
      <c r="M445" t="str">
        <f t="shared" si="43"/>
        <v/>
      </c>
      <c r="N445">
        <v>79407.47</v>
      </c>
      <c r="O445" t="s">
        <v>488</v>
      </c>
      <c r="Q445" t="s">
        <v>19</v>
      </c>
    </row>
    <row r="446" spans="1:17" x14ac:dyDescent="0.3">
      <c r="A446">
        <v>100677585</v>
      </c>
      <c r="B446" t="s">
        <v>353</v>
      </c>
      <c r="C446" t="s">
        <v>19</v>
      </c>
      <c r="D446" t="s">
        <v>354</v>
      </c>
      <c r="E446" s="6">
        <v>58036.41</v>
      </c>
      <c r="F446" t="s">
        <v>366</v>
      </c>
      <c r="G446" s="4" t="str">
        <f t="shared" si="38"/>
        <v>58036.41</v>
      </c>
      <c r="H446" t="str">
        <f t="shared" si="39"/>
        <v>58036.41</v>
      </c>
      <c r="I446" s="1">
        <v>45761</v>
      </c>
      <c r="J446" s="2">
        <f t="shared" si="40"/>
        <v>-6.1385832130342717E-2</v>
      </c>
      <c r="K446" s="3" t="str">
        <f t="shared" si="41"/>
        <v/>
      </c>
      <c r="L446" t="str">
        <f t="shared" si="42"/>
        <v/>
      </c>
      <c r="M446" t="str">
        <f t="shared" si="43"/>
        <v/>
      </c>
      <c r="N446">
        <v>61832.02</v>
      </c>
      <c r="O446" t="s">
        <v>489</v>
      </c>
      <c r="Q446" t="s">
        <v>19</v>
      </c>
    </row>
    <row r="447" spans="1:17" x14ac:dyDescent="0.3">
      <c r="A447">
        <v>100706842</v>
      </c>
      <c r="B447" t="s">
        <v>356</v>
      </c>
      <c r="C447" t="s">
        <v>19</v>
      </c>
      <c r="D447" t="s">
        <v>357</v>
      </c>
      <c r="E447" s="6">
        <v>24236.82</v>
      </c>
      <c r="F447" t="s">
        <v>366</v>
      </c>
      <c r="G447" s="4" t="str">
        <f t="shared" si="38"/>
        <v>24236.82</v>
      </c>
      <c r="H447" t="str">
        <f t="shared" si="39"/>
        <v>24236.82</v>
      </c>
      <c r="I447" s="1">
        <v>45761</v>
      </c>
      <c r="J447" s="2">
        <f t="shared" si="40"/>
        <v>-6.1312398576291997E-2</v>
      </c>
      <c r="K447" s="3" t="str">
        <f t="shared" si="41"/>
        <v/>
      </c>
      <c r="L447" t="str">
        <f t="shared" si="42"/>
        <v/>
      </c>
      <c r="M447" t="str">
        <f t="shared" si="43"/>
        <v/>
      </c>
      <c r="N447">
        <v>25819.9</v>
      </c>
      <c r="O447" t="s">
        <v>490</v>
      </c>
      <c r="Q447" t="s">
        <v>19</v>
      </c>
    </row>
    <row r="448" spans="1:17" x14ac:dyDescent="0.3">
      <c r="A448">
        <v>100711105</v>
      </c>
      <c r="B448" t="s">
        <v>359</v>
      </c>
      <c r="C448" t="s">
        <v>590</v>
      </c>
      <c r="D448" t="s">
        <v>360</v>
      </c>
      <c r="E448" s="6">
        <v>3728.68</v>
      </c>
      <c r="F448" t="s">
        <v>366</v>
      </c>
      <c r="G448" s="4" t="str">
        <f t="shared" si="38"/>
        <v>3728.68</v>
      </c>
      <c r="H448" t="str">
        <f t="shared" si="39"/>
        <v>3728.68</v>
      </c>
      <c r="I448" s="1">
        <v>45761</v>
      </c>
      <c r="J448" s="2">
        <f t="shared" si="40"/>
        <v>-0.18455663979635131</v>
      </c>
      <c r="K448" s="3" t="str">
        <f t="shared" si="41"/>
        <v>Check!</v>
      </c>
      <c r="L448" t="str">
        <f t="shared" si="42"/>
        <v/>
      </c>
      <c r="M448" t="str">
        <f t="shared" si="43"/>
        <v>Check</v>
      </c>
      <c r="N448">
        <v>4572.58</v>
      </c>
      <c r="O448" t="s">
        <v>491</v>
      </c>
      <c r="Q448" t="s">
        <v>16</v>
      </c>
    </row>
    <row r="449" spans="1:17" x14ac:dyDescent="0.3">
      <c r="A449">
        <v>100786852</v>
      </c>
      <c r="B449" t="s">
        <v>636</v>
      </c>
      <c r="C449" t="s">
        <v>19</v>
      </c>
      <c r="D449" t="s">
        <v>637</v>
      </c>
      <c r="E449" s="6">
        <v>339644.24</v>
      </c>
      <c r="F449" t="s">
        <v>366</v>
      </c>
      <c r="G449" s="4" t="str">
        <f t="shared" si="38"/>
        <v>339644.24</v>
      </c>
      <c r="H449" t="str">
        <f t="shared" si="39"/>
        <v>339644.24</v>
      </c>
      <c r="I449" s="1">
        <v>45761</v>
      </c>
      <c r="J449" s="2">
        <f t="shared" si="40"/>
        <v>-6.1055328678090354E-2</v>
      </c>
      <c r="K449" s="3" t="str">
        <f t="shared" si="41"/>
        <v/>
      </c>
      <c r="L449" t="str">
        <f t="shared" si="42"/>
        <v/>
      </c>
      <c r="M449" t="str">
        <f t="shared" si="43"/>
        <v/>
      </c>
      <c r="N449">
        <v>361729.77</v>
      </c>
      <c r="O449" t="s">
        <v>685</v>
      </c>
      <c r="Q449" t="s">
        <v>19</v>
      </c>
    </row>
    <row r="450" spans="1:17" x14ac:dyDescent="0.3">
      <c r="A450">
        <v>100799345</v>
      </c>
      <c r="B450" t="s">
        <v>640</v>
      </c>
      <c r="C450" t="s">
        <v>590</v>
      </c>
      <c r="D450" t="s">
        <v>641</v>
      </c>
      <c r="E450" s="6">
        <v>1443561.93</v>
      </c>
      <c r="F450" t="s">
        <v>366</v>
      </c>
      <c r="G450" s="4" t="str">
        <f t="shared" si="38"/>
        <v>1443561.93</v>
      </c>
      <c r="H450" t="str">
        <f t="shared" si="39"/>
        <v>1443561.93</v>
      </c>
      <c r="I450" s="1">
        <v>45761</v>
      </c>
      <c r="J450" s="2">
        <f t="shared" si="40"/>
        <v>1.513680828399826</v>
      </c>
      <c r="K450" s="3" t="str">
        <f t="shared" si="41"/>
        <v>Check!</v>
      </c>
      <c r="L450" t="str">
        <f t="shared" si="42"/>
        <v/>
      </c>
      <c r="M450" t="str">
        <f t="shared" si="43"/>
        <v/>
      </c>
      <c r="N450">
        <v>574282.11</v>
      </c>
      <c r="O450" t="s">
        <v>686</v>
      </c>
      <c r="Q450" t="s">
        <v>590</v>
      </c>
    </row>
    <row r="451" spans="1:17" s="7" customFormat="1" x14ac:dyDescent="0.3">
      <c r="A451" s="7">
        <v>32490</v>
      </c>
      <c r="B451" s="7" t="s">
        <v>15</v>
      </c>
      <c r="C451" s="7" t="s">
        <v>590</v>
      </c>
      <c r="D451" s="7" t="s">
        <v>17</v>
      </c>
      <c r="E451" s="8">
        <v>11153.59</v>
      </c>
      <c r="F451" s="7" t="s">
        <v>492</v>
      </c>
      <c r="G451" s="4" t="str">
        <f t="shared" ref="G451:G514" si="44">SUBSTITUTE(E451,"R","")</f>
        <v>11153.59</v>
      </c>
      <c r="H451" t="str">
        <f t="shared" ref="H451:H514" si="45">SUBSTITUTE(G451,",","")</f>
        <v>11153.59</v>
      </c>
      <c r="I451" s="1">
        <v>45761</v>
      </c>
      <c r="J451" s="2">
        <f t="shared" ref="J451:J514" si="46">(H451-N451)/N451</f>
        <v>-6.6712353755294634E-2</v>
      </c>
      <c r="K451" s="3" t="str">
        <f t="shared" ref="K451:K514" si="47">IF(ABS(J451)&gt;0.1,"Check!","")</f>
        <v/>
      </c>
      <c r="L451" t="str">
        <f t="shared" ref="L451:L514" si="48">IF(LEFT(O451,10)&lt;&gt;LEFT(D451,10),"Check","")</f>
        <v/>
      </c>
      <c r="M451" t="str">
        <f t="shared" ref="M451:M514" si="49">IF(Q451&lt;&gt;C451,"Check","")</f>
        <v>Check</v>
      </c>
      <c r="N451" s="7">
        <v>11950.86</v>
      </c>
      <c r="O451" s="7" t="s">
        <v>367</v>
      </c>
      <c r="Q451" s="7" t="s">
        <v>16</v>
      </c>
    </row>
    <row r="452" spans="1:17" x14ac:dyDescent="0.3">
      <c r="A452">
        <v>32490</v>
      </c>
      <c r="B452" t="s">
        <v>15</v>
      </c>
      <c r="C452" t="s">
        <v>19</v>
      </c>
      <c r="D452" t="s">
        <v>20</v>
      </c>
      <c r="E452" s="6">
        <v>7746.32</v>
      </c>
      <c r="F452" t="s">
        <v>492</v>
      </c>
      <c r="G452" s="4" t="str">
        <f t="shared" si="44"/>
        <v>7746.32</v>
      </c>
      <c r="H452" t="str">
        <f t="shared" si="45"/>
        <v>7746.32</v>
      </c>
      <c r="I452" s="1">
        <v>45761</v>
      </c>
      <c r="J452" s="2">
        <f t="shared" si="46"/>
        <v>-6.0571589346308158E-2</v>
      </c>
      <c r="K452" s="3" t="str">
        <f t="shared" si="47"/>
        <v/>
      </c>
      <c r="L452" t="str">
        <f t="shared" si="48"/>
        <v/>
      </c>
      <c r="M452" t="str">
        <f t="shared" si="49"/>
        <v/>
      </c>
      <c r="N452">
        <v>8245.7800000000007</v>
      </c>
      <c r="O452" t="s">
        <v>368</v>
      </c>
      <c r="Q452" t="s">
        <v>19</v>
      </c>
    </row>
    <row r="453" spans="1:17" x14ac:dyDescent="0.3">
      <c r="A453">
        <v>32490</v>
      </c>
      <c r="B453" t="s">
        <v>15</v>
      </c>
      <c r="C453" t="s">
        <v>19</v>
      </c>
      <c r="D453" t="s">
        <v>22</v>
      </c>
      <c r="E453" s="6">
        <v>28527.81</v>
      </c>
      <c r="F453" t="s">
        <v>492</v>
      </c>
      <c r="G453" s="4" t="str">
        <f t="shared" si="44"/>
        <v>28527.81</v>
      </c>
      <c r="H453" t="str">
        <f t="shared" si="45"/>
        <v>28527.81</v>
      </c>
      <c r="I453" s="1">
        <v>45761</v>
      </c>
      <c r="J453" s="2">
        <f t="shared" si="46"/>
        <v>-6.6857757990459801E-2</v>
      </c>
      <c r="K453" s="3" t="str">
        <f t="shared" si="47"/>
        <v/>
      </c>
      <c r="L453" t="str">
        <f t="shared" si="48"/>
        <v/>
      </c>
      <c r="M453" t="str">
        <f t="shared" si="49"/>
        <v/>
      </c>
      <c r="N453">
        <v>30571.77</v>
      </c>
      <c r="O453" t="s">
        <v>369</v>
      </c>
      <c r="Q453" t="s">
        <v>19</v>
      </c>
    </row>
    <row r="454" spans="1:17" x14ac:dyDescent="0.3">
      <c r="A454">
        <v>33672</v>
      </c>
      <c r="B454" t="s">
        <v>24</v>
      </c>
      <c r="C454" t="s">
        <v>19</v>
      </c>
      <c r="D454" t="s">
        <v>25</v>
      </c>
      <c r="E454" s="6">
        <v>150308.95000000001</v>
      </c>
      <c r="F454" t="s">
        <v>492</v>
      </c>
      <c r="G454" s="4" t="str">
        <f t="shared" si="44"/>
        <v>150308.95</v>
      </c>
      <c r="H454" t="str">
        <f t="shared" si="45"/>
        <v>150308.95</v>
      </c>
      <c r="I454" s="1">
        <v>45761</v>
      </c>
      <c r="J454" s="2">
        <f t="shared" si="46"/>
        <v>-6.6655228751168874E-2</v>
      </c>
      <c r="K454" s="3" t="str">
        <f t="shared" si="47"/>
        <v/>
      </c>
      <c r="L454" t="str">
        <f t="shared" si="48"/>
        <v/>
      </c>
      <c r="M454" t="str">
        <f t="shared" si="49"/>
        <v/>
      </c>
      <c r="N454">
        <v>161043.32999999999</v>
      </c>
      <c r="O454" t="s">
        <v>370</v>
      </c>
      <c r="Q454" t="s">
        <v>19</v>
      </c>
    </row>
    <row r="455" spans="1:17" x14ac:dyDescent="0.3">
      <c r="A455">
        <v>34171</v>
      </c>
      <c r="B455" t="s">
        <v>27</v>
      </c>
      <c r="C455" t="s">
        <v>19</v>
      </c>
      <c r="D455" t="s">
        <v>28</v>
      </c>
      <c r="E455" s="6">
        <v>22840.45</v>
      </c>
      <c r="F455" t="s">
        <v>492</v>
      </c>
      <c r="G455" s="4" t="str">
        <f t="shared" si="44"/>
        <v>22840.45</v>
      </c>
      <c r="H455" t="str">
        <f t="shared" si="45"/>
        <v>22840.45</v>
      </c>
      <c r="I455" s="1">
        <v>45761</v>
      </c>
      <c r="J455" s="2">
        <f t="shared" si="46"/>
        <v>-6.6687234012123842E-2</v>
      </c>
      <c r="K455" s="3" t="str">
        <f t="shared" si="47"/>
        <v/>
      </c>
      <c r="L455" t="str">
        <f t="shared" si="48"/>
        <v/>
      </c>
      <c r="M455" t="str">
        <f t="shared" si="49"/>
        <v/>
      </c>
      <c r="N455">
        <v>24472.45</v>
      </c>
      <c r="O455" t="s">
        <v>371</v>
      </c>
      <c r="Q455" t="s">
        <v>19</v>
      </c>
    </row>
    <row r="456" spans="1:17" x14ac:dyDescent="0.3">
      <c r="A456">
        <v>34173</v>
      </c>
      <c r="B456" t="s">
        <v>30</v>
      </c>
      <c r="C456" t="s">
        <v>19</v>
      </c>
      <c r="D456" t="s">
        <v>31</v>
      </c>
      <c r="E456" s="6">
        <v>89844.31</v>
      </c>
      <c r="F456" t="s">
        <v>492</v>
      </c>
      <c r="G456" s="4" t="str">
        <f t="shared" si="44"/>
        <v>89844.31</v>
      </c>
      <c r="H456" t="str">
        <f t="shared" si="45"/>
        <v>89844.31</v>
      </c>
      <c r="I456" s="1">
        <v>45761</v>
      </c>
      <c r="J456" s="2">
        <f t="shared" si="46"/>
        <v>-6.6714845305330284E-2</v>
      </c>
      <c r="K456" s="3" t="str">
        <f t="shared" si="47"/>
        <v/>
      </c>
      <c r="L456" t="str">
        <f t="shared" si="48"/>
        <v/>
      </c>
      <c r="M456" t="str">
        <f t="shared" si="49"/>
        <v/>
      </c>
      <c r="N456">
        <v>96266.73</v>
      </c>
      <c r="O456" t="s">
        <v>372</v>
      </c>
      <c r="Q456" t="s">
        <v>19</v>
      </c>
    </row>
    <row r="457" spans="1:17" x14ac:dyDescent="0.3">
      <c r="A457">
        <v>34199</v>
      </c>
      <c r="B457" t="s">
        <v>36</v>
      </c>
      <c r="C457" t="s">
        <v>19</v>
      </c>
      <c r="D457" t="s">
        <v>39</v>
      </c>
      <c r="E457" s="6">
        <v>19982.88</v>
      </c>
      <c r="F457" t="s">
        <v>492</v>
      </c>
      <c r="G457" s="4" t="str">
        <f t="shared" si="44"/>
        <v>19982.88</v>
      </c>
      <c r="H457" t="str">
        <f t="shared" si="45"/>
        <v>19982.88</v>
      </c>
      <c r="I457" s="1">
        <v>45761</v>
      </c>
      <c r="J457" s="2">
        <f t="shared" si="46"/>
        <v>-6.6630545461339424E-2</v>
      </c>
      <c r="K457" s="3" t="str">
        <f t="shared" si="47"/>
        <v/>
      </c>
      <c r="L457" t="str">
        <f t="shared" si="48"/>
        <v/>
      </c>
      <c r="M457" t="str">
        <f t="shared" si="49"/>
        <v/>
      </c>
      <c r="N457">
        <v>21409.4</v>
      </c>
      <c r="O457" t="s">
        <v>373</v>
      </c>
      <c r="Q457" t="s">
        <v>19</v>
      </c>
    </row>
    <row r="458" spans="1:17" x14ac:dyDescent="0.3">
      <c r="A458">
        <v>34200</v>
      </c>
      <c r="B458" t="s">
        <v>592</v>
      </c>
      <c r="C458" t="s">
        <v>590</v>
      </c>
      <c r="D458" t="s">
        <v>595</v>
      </c>
      <c r="E458" s="6">
        <v>25100.26</v>
      </c>
      <c r="F458" t="s">
        <v>492</v>
      </c>
      <c r="G458" s="4" t="str">
        <f t="shared" si="44"/>
        <v>25100.26</v>
      </c>
      <c r="H458" t="str">
        <f t="shared" si="45"/>
        <v>25100.26</v>
      </c>
      <c r="I458" s="1">
        <v>45761</v>
      </c>
      <c r="J458" s="2">
        <f t="shared" si="46"/>
        <v>5.7489772789511055E-2</v>
      </c>
      <c r="K458" s="3" t="str">
        <f t="shared" si="47"/>
        <v/>
      </c>
      <c r="L458" t="str">
        <f t="shared" si="48"/>
        <v/>
      </c>
      <c r="M458" t="str">
        <f t="shared" si="49"/>
        <v/>
      </c>
      <c r="N458">
        <v>23735.7</v>
      </c>
      <c r="O458" t="s">
        <v>676</v>
      </c>
      <c r="Q458" t="s">
        <v>590</v>
      </c>
    </row>
    <row r="459" spans="1:17" x14ac:dyDescent="0.3">
      <c r="A459">
        <v>34200</v>
      </c>
      <c r="B459" t="s">
        <v>592</v>
      </c>
      <c r="C459" t="s">
        <v>611</v>
      </c>
      <c r="D459" t="s">
        <v>42</v>
      </c>
      <c r="E459" s="6">
        <v>49773.35</v>
      </c>
      <c r="F459" t="s">
        <v>492</v>
      </c>
      <c r="G459" s="4" t="str">
        <f t="shared" si="44"/>
        <v>49773.35</v>
      </c>
      <c r="H459" t="str">
        <f t="shared" si="45"/>
        <v>49773.35</v>
      </c>
      <c r="I459" s="1">
        <v>45761</v>
      </c>
      <c r="J459" s="2">
        <f t="shared" si="46"/>
        <v>-6.6565509207035398E-2</v>
      </c>
      <c r="K459" s="3" t="str">
        <f t="shared" si="47"/>
        <v/>
      </c>
      <c r="L459" t="str">
        <f t="shared" si="48"/>
        <v/>
      </c>
      <c r="M459" t="str">
        <f t="shared" si="49"/>
        <v>Check</v>
      </c>
      <c r="N459">
        <v>53322.81</v>
      </c>
      <c r="O459" t="s">
        <v>43</v>
      </c>
      <c r="Q459" t="s">
        <v>41</v>
      </c>
    </row>
    <row r="460" spans="1:17" x14ac:dyDescent="0.3">
      <c r="A460">
        <v>34200</v>
      </c>
      <c r="B460" t="s">
        <v>592</v>
      </c>
      <c r="C460" t="s">
        <v>611</v>
      </c>
      <c r="D460" t="s">
        <v>44</v>
      </c>
      <c r="E460" s="6">
        <v>27470.74</v>
      </c>
      <c r="F460" t="s">
        <v>492</v>
      </c>
      <c r="G460" s="4" t="str">
        <f t="shared" si="44"/>
        <v>27470.74</v>
      </c>
      <c r="H460" t="str">
        <f t="shared" si="45"/>
        <v>27470.74</v>
      </c>
      <c r="I460" s="1">
        <v>45761</v>
      </c>
      <c r="J460" s="2">
        <f t="shared" si="46"/>
        <v>-6.6695341144750342E-2</v>
      </c>
      <c r="K460" s="3" t="str">
        <f t="shared" si="47"/>
        <v/>
      </c>
      <c r="L460" t="str">
        <f t="shared" si="48"/>
        <v/>
      </c>
      <c r="M460" t="str">
        <f t="shared" si="49"/>
        <v>Check</v>
      </c>
      <c r="N460">
        <v>29433.84</v>
      </c>
      <c r="O460" t="s">
        <v>45</v>
      </c>
      <c r="Q460" t="s">
        <v>41</v>
      </c>
    </row>
    <row r="461" spans="1:17" x14ac:dyDescent="0.3">
      <c r="A461">
        <v>34200</v>
      </c>
      <c r="B461" t="s">
        <v>592</v>
      </c>
      <c r="C461" t="s">
        <v>609</v>
      </c>
      <c r="D461" t="s">
        <v>610</v>
      </c>
      <c r="E461" s="6">
        <v>2670.69</v>
      </c>
      <c r="F461" t="s">
        <v>492</v>
      </c>
      <c r="G461" s="4" t="str">
        <f t="shared" si="44"/>
        <v>2670.69</v>
      </c>
      <c r="H461" t="str">
        <f t="shared" si="45"/>
        <v>2670.69</v>
      </c>
      <c r="I461" s="1">
        <v>45761</v>
      </c>
      <c r="J461" s="2">
        <f t="shared" si="46"/>
        <v>0.22951453628893029</v>
      </c>
      <c r="K461" s="3" t="str">
        <f t="shared" si="47"/>
        <v>Check!</v>
      </c>
      <c r="L461" t="str">
        <f t="shared" si="48"/>
        <v/>
      </c>
      <c r="M461" t="str">
        <f t="shared" si="49"/>
        <v/>
      </c>
      <c r="N461">
        <v>2172.15</v>
      </c>
      <c r="O461" t="s">
        <v>644</v>
      </c>
      <c r="Q461" t="s">
        <v>609</v>
      </c>
    </row>
    <row r="462" spans="1:17" x14ac:dyDescent="0.3">
      <c r="A462">
        <v>34200</v>
      </c>
      <c r="B462" t="s">
        <v>592</v>
      </c>
      <c r="C462" t="s">
        <v>606</v>
      </c>
      <c r="D462" t="s">
        <v>607</v>
      </c>
      <c r="E462" s="6">
        <v>3705.06</v>
      </c>
      <c r="F462" t="s">
        <v>492</v>
      </c>
      <c r="G462" s="4" t="str">
        <f t="shared" si="44"/>
        <v>3705.06</v>
      </c>
      <c r="H462" t="str">
        <f t="shared" si="45"/>
        <v>3705.06</v>
      </c>
      <c r="I462" s="1">
        <v>45761</v>
      </c>
      <c r="J462" s="2">
        <f t="shared" si="46"/>
        <v>2.2288564901166506E-2</v>
      </c>
      <c r="K462" s="3" t="str">
        <f t="shared" si="47"/>
        <v/>
      </c>
      <c r="L462" t="str">
        <f t="shared" si="48"/>
        <v/>
      </c>
      <c r="M462" t="str">
        <f t="shared" si="49"/>
        <v/>
      </c>
      <c r="N462">
        <v>3624.28</v>
      </c>
      <c r="O462" t="s">
        <v>645</v>
      </c>
      <c r="Q462" t="s">
        <v>606</v>
      </c>
    </row>
    <row r="463" spans="1:17" x14ac:dyDescent="0.3">
      <c r="A463">
        <v>34200</v>
      </c>
      <c r="B463" t="s">
        <v>592</v>
      </c>
      <c r="C463" t="s">
        <v>606</v>
      </c>
      <c r="D463" t="s">
        <v>608</v>
      </c>
      <c r="E463" s="6">
        <v>2400.42</v>
      </c>
      <c r="F463" t="s">
        <v>492</v>
      </c>
      <c r="G463" s="4" t="str">
        <f t="shared" si="44"/>
        <v>2400.42</v>
      </c>
      <c r="H463" t="str">
        <f t="shared" si="45"/>
        <v>2400.42</v>
      </c>
      <c r="I463" s="1">
        <v>45761</v>
      </c>
      <c r="J463" s="2">
        <f t="shared" si="46"/>
        <v>-6.6213340698583631E-2</v>
      </c>
      <c r="K463" s="3" t="str">
        <f t="shared" si="47"/>
        <v/>
      </c>
      <c r="L463" t="str">
        <f t="shared" si="48"/>
        <v/>
      </c>
      <c r="M463" t="str">
        <f t="shared" si="49"/>
        <v/>
      </c>
      <c r="N463">
        <v>2570.63</v>
      </c>
      <c r="O463" t="s">
        <v>646</v>
      </c>
      <c r="Q463" t="s">
        <v>606</v>
      </c>
    </row>
    <row r="464" spans="1:17" x14ac:dyDescent="0.3">
      <c r="A464">
        <v>34202</v>
      </c>
      <c r="B464" t="s">
        <v>46</v>
      </c>
      <c r="C464" t="s">
        <v>19</v>
      </c>
      <c r="D464" t="s">
        <v>49</v>
      </c>
      <c r="E464" s="6">
        <v>450141.94</v>
      </c>
      <c r="F464" t="s">
        <v>492</v>
      </c>
      <c r="G464" s="4" t="str">
        <f t="shared" si="44"/>
        <v>450141.94</v>
      </c>
      <c r="H464" t="str">
        <f t="shared" si="45"/>
        <v>450141.94</v>
      </c>
      <c r="I464" s="1">
        <v>45761</v>
      </c>
      <c r="J464" s="2">
        <f t="shared" si="46"/>
        <v>-6.6418343118504808E-2</v>
      </c>
      <c r="K464" s="3" t="str">
        <f t="shared" si="47"/>
        <v/>
      </c>
      <c r="L464" t="str">
        <f t="shared" si="48"/>
        <v/>
      </c>
      <c r="M464" t="str">
        <f t="shared" si="49"/>
        <v/>
      </c>
      <c r="N464">
        <v>482166.65</v>
      </c>
      <c r="O464" t="s">
        <v>375</v>
      </c>
      <c r="Q464" t="s">
        <v>19</v>
      </c>
    </row>
    <row r="465" spans="1:17" x14ac:dyDescent="0.3">
      <c r="A465">
        <v>34202</v>
      </c>
      <c r="B465" t="s">
        <v>46</v>
      </c>
      <c r="C465" t="s">
        <v>19</v>
      </c>
      <c r="D465" t="s">
        <v>47</v>
      </c>
      <c r="E465" s="6">
        <v>1168.03</v>
      </c>
      <c r="F465" t="s">
        <v>492</v>
      </c>
      <c r="G465" s="4" t="str">
        <f t="shared" si="44"/>
        <v>1168.03</v>
      </c>
      <c r="H465" t="str">
        <f t="shared" si="45"/>
        <v>1168.03</v>
      </c>
      <c r="I465" s="1">
        <v>45761</v>
      </c>
      <c r="J465" s="2">
        <f t="shared" si="46"/>
        <v>-6.5680643767898089E-2</v>
      </c>
      <c r="K465" s="3" t="str">
        <f t="shared" si="47"/>
        <v/>
      </c>
      <c r="L465" t="str">
        <f t="shared" si="48"/>
        <v/>
      </c>
      <c r="M465" t="str">
        <f t="shared" si="49"/>
        <v/>
      </c>
      <c r="N465">
        <v>1250.1400000000001</v>
      </c>
      <c r="O465" t="s">
        <v>374</v>
      </c>
      <c r="Q465" t="s">
        <v>19</v>
      </c>
    </row>
    <row r="466" spans="1:17" x14ac:dyDescent="0.3">
      <c r="A466">
        <v>34202</v>
      </c>
      <c r="B466" t="s">
        <v>46</v>
      </c>
      <c r="C466" t="s">
        <v>19</v>
      </c>
      <c r="D466" t="s">
        <v>47</v>
      </c>
      <c r="E466" s="6">
        <v>86034.35</v>
      </c>
      <c r="F466" t="s">
        <v>492</v>
      </c>
      <c r="G466" s="4" t="str">
        <f t="shared" si="44"/>
        <v>86034.35</v>
      </c>
      <c r="H466" t="str">
        <f t="shared" si="45"/>
        <v>86034.35</v>
      </c>
      <c r="I466" s="1">
        <v>45761</v>
      </c>
      <c r="J466" s="2">
        <f t="shared" si="46"/>
        <v>-6.6724268010047147E-2</v>
      </c>
      <c r="K466" s="3" t="str">
        <f t="shared" si="47"/>
        <v/>
      </c>
      <c r="L466" t="str">
        <f t="shared" si="48"/>
        <v/>
      </c>
      <c r="M466" t="str">
        <f t="shared" si="49"/>
        <v/>
      </c>
      <c r="N466">
        <v>92185.35</v>
      </c>
      <c r="O466" t="s">
        <v>374</v>
      </c>
      <c r="Q466" t="s">
        <v>19</v>
      </c>
    </row>
    <row r="467" spans="1:17" x14ac:dyDescent="0.3">
      <c r="A467">
        <v>34209</v>
      </c>
      <c r="B467" t="s">
        <v>51</v>
      </c>
      <c r="C467" t="s">
        <v>590</v>
      </c>
      <c r="D467" t="s">
        <v>376</v>
      </c>
      <c r="E467" s="6">
        <v>51260.7</v>
      </c>
      <c r="F467" t="s">
        <v>492</v>
      </c>
      <c r="G467" s="4" t="str">
        <f t="shared" si="44"/>
        <v>51260.7</v>
      </c>
      <c r="H467" t="str">
        <f t="shared" si="45"/>
        <v>51260.7</v>
      </c>
      <c r="I467" s="1">
        <v>45761</v>
      </c>
      <c r="J467" s="2">
        <f t="shared" si="46"/>
        <v>0.11831970722501889</v>
      </c>
      <c r="K467" s="3" t="str">
        <f t="shared" si="47"/>
        <v>Check!</v>
      </c>
      <c r="L467" t="str">
        <f t="shared" si="48"/>
        <v/>
      </c>
      <c r="M467" t="str">
        <f t="shared" si="49"/>
        <v>Check</v>
      </c>
      <c r="N467">
        <v>45837.25</v>
      </c>
      <c r="O467" t="s">
        <v>377</v>
      </c>
      <c r="Q467" t="s">
        <v>16</v>
      </c>
    </row>
    <row r="468" spans="1:17" x14ac:dyDescent="0.3">
      <c r="A468">
        <v>34209</v>
      </c>
      <c r="B468" t="s">
        <v>51</v>
      </c>
      <c r="C468" t="s">
        <v>19</v>
      </c>
      <c r="D468" t="s">
        <v>54</v>
      </c>
      <c r="E468" s="6">
        <v>130949.84</v>
      </c>
      <c r="F468" t="s">
        <v>492</v>
      </c>
      <c r="G468" s="4" t="str">
        <f t="shared" si="44"/>
        <v>130949.84</v>
      </c>
      <c r="H468" t="str">
        <f t="shared" si="45"/>
        <v>130949.84</v>
      </c>
      <c r="I468" s="1">
        <v>45761</v>
      </c>
      <c r="J468" s="2">
        <f t="shared" si="46"/>
        <v>-6.6507916977771753E-2</v>
      </c>
      <c r="K468" s="3" t="str">
        <f t="shared" si="47"/>
        <v/>
      </c>
      <c r="L468" t="str">
        <f t="shared" si="48"/>
        <v/>
      </c>
      <c r="M468" t="str">
        <f t="shared" si="49"/>
        <v/>
      </c>
      <c r="N468">
        <v>140279.54</v>
      </c>
      <c r="O468" t="s">
        <v>379</v>
      </c>
      <c r="Q468" t="s">
        <v>19</v>
      </c>
    </row>
    <row r="469" spans="1:17" x14ac:dyDescent="0.3">
      <c r="A469">
        <v>34209</v>
      </c>
      <c r="B469" t="s">
        <v>51</v>
      </c>
      <c r="C469" t="s">
        <v>19</v>
      </c>
      <c r="D469" t="s">
        <v>52</v>
      </c>
      <c r="E469" s="6">
        <v>101621.49</v>
      </c>
      <c r="F469" t="s">
        <v>492</v>
      </c>
      <c r="G469" s="4" t="str">
        <f t="shared" si="44"/>
        <v>101621.49</v>
      </c>
      <c r="H469" t="str">
        <f t="shared" si="45"/>
        <v>101621.49</v>
      </c>
      <c r="I469" s="1">
        <v>45761</v>
      </c>
      <c r="J469" s="2">
        <f t="shared" si="46"/>
        <v>-6.6758226242149818E-2</v>
      </c>
      <c r="K469" s="3" t="str">
        <f t="shared" si="47"/>
        <v/>
      </c>
      <c r="L469" t="str">
        <f t="shared" si="48"/>
        <v/>
      </c>
      <c r="M469" t="str">
        <f t="shared" si="49"/>
        <v/>
      </c>
      <c r="N469">
        <v>108890.85</v>
      </c>
      <c r="O469" t="s">
        <v>378</v>
      </c>
      <c r="Q469" t="s">
        <v>19</v>
      </c>
    </row>
    <row r="470" spans="1:17" x14ac:dyDescent="0.3">
      <c r="A470">
        <v>34209</v>
      </c>
      <c r="B470" t="s">
        <v>51</v>
      </c>
      <c r="C470" t="s">
        <v>612</v>
      </c>
      <c r="D470" t="s">
        <v>57</v>
      </c>
      <c r="E470" s="6">
        <v>9663.7800000000007</v>
      </c>
      <c r="F470" t="s">
        <v>492</v>
      </c>
      <c r="G470" s="4" t="str">
        <f t="shared" si="44"/>
        <v>9663.78</v>
      </c>
      <c r="H470" t="str">
        <f t="shared" si="45"/>
        <v>9663.78</v>
      </c>
      <c r="I470" s="1">
        <v>45761</v>
      </c>
      <c r="J470" s="2">
        <f t="shared" si="46"/>
        <v>-6.6848717708551511E-2</v>
      </c>
      <c r="K470" s="3" t="str">
        <f t="shared" si="47"/>
        <v/>
      </c>
      <c r="L470" t="str">
        <f t="shared" si="48"/>
        <v/>
      </c>
      <c r="M470" t="str">
        <f t="shared" si="49"/>
        <v>Check</v>
      </c>
      <c r="N470">
        <v>10356.07</v>
      </c>
      <c r="O470" t="s">
        <v>58</v>
      </c>
      <c r="Q470" t="s">
        <v>56</v>
      </c>
    </row>
    <row r="471" spans="1:17" x14ac:dyDescent="0.3">
      <c r="A471">
        <v>34216</v>
      </c>
      <c r="B471" t="s">
        <v>59</v>
      </c>
      <c r="C471" t="s">
        <v>19</v>
      </c>
      <c r="D471" t="s">
        <v>60</v>
      </c>
      <c r="E471" s="6">
        <v>57650.2</v>
      </c>
      <c r="F471" t="s">
        <v>492</v>
      </c>
      <c r="G471" s="4" t="str">
        <f t="shared" si="44"/>
        <v>57650.2</v>
      </c>
      <c r="H471" t="str">
        <f t="shared" si="45"/>
        <v>57650.2</v>
      </c>
      <c r="I471" s="1">
        <v>45761</v>
      </c>
      <c r="J471" s="2">
        <f t="shared" si="46"/>
        <v>-6.677950528639659E-2</v>
      </c>
      <c r="K471" s="3" t="str">
        <f t="shared" si="47"/>
        <v/>
      </c>
      <c r="L471" t="str">
        <f t="shared" si="48"/>
        <v/>
      </c>
      <c r="M471" t="str">
        <f t="shared" si="49"/>
        <v/>
      </c>
      <c r="N471">
        <v>61775.54</v>
      </c>
      <c r="O471" t="s">
        <v>380</v>
      </c>
      <c r="Q471" t="s">
        <v>19</v>
      </c>
    </row>
    <row r="472" spans="1:17" x14ac:dyDescent="0.3">
      <c r="A472">
        <v>34337</v>
      </c>
      <c r="B472" t="s">
        <v>64</v>
      </c>
      <c r="C472" t="s">
        <v>590</v>
      </c>
      <c r="D472" t="s">
        <v>65</v>
      </c>
      <c r="E472" s="6">
        <v>2527.08</v>
      </c>
      <c r="F472" t="s">
        <v>492</v>
      </c>
      <c r="G472" s="4" t="str">
        <f t="shared" si="44"/>
        <v>2527.08</v>
      </c>
      <c r="H472" t="str">
        <f t="shared" si="45"/>
        <v>2527.08</v>
      </c>
      <c r="I472" s="1">
        <v>45761</v>
      </c>
      <c r="J472" s="2">
        <f t="shared" si="46"/>
        <v>-6.6647460969961644E-2</v>
      </c>
      <c r="K472" s="3" t="str">
        <f t="shared" si="47"/>
        <v/>
      </c>
      <c r="L472" t="str">
        <f t="shared" si="48"/>
        <v/>
      </c>
      <c r="M472" t="str">
        <f t="shared" si="49"/>
        <v>Check</v>
      </c>
      <c r="N472">
        <v>2707.53</v>
      </c>
      <c r="O472" t="s">
        <v>381</v>
      </c>
      <c r="Q472" t="s">
        <v>16</v>
      </c>
    </row>
    <row r="473" spans="1:17" x14ac:dyDescent="0.3">
      <c r="A473">
        <v>34337</v>
      </c>
      <c r="B473" t="s">
        <v>64</v>
      </c>
      <c r="C473" t="s">
        <v>19</v>
      </c>
      <c r="D473" t="s">
        <v>67</v>
      </c>
      <c r="E473" s="6">
        <v>32823.15</v>
      </c>
      <c r="F473" t="s">
        <v>492</v>
      </c>
      <c r="G473" s="4" t="str">
        <f t="shared" si="44"/>
        <v>32823.15</v>
      </c>
      <c r="H473" t="str">
        <f t="shared" si="45"/>
        <v>32823.15</v>
      </c>
      <c r="I473" s="1">
        <v>45761</v>
      </c>
      <c r="J473" s="2">
        <f t="shared" si="46"/>
        <v>-6.6806224788843141E-2</v>
      </c>
      <c r="K473" s="3" t="str">
        <f t="shared" si="47"/>
        <v/>
      </c>
      <c r="L473" t="str">
        <f t="shared" si="48"/>
        <v/>
      </c>
      <c r="M473" t="str">
        <f t="shared" si="49"/>
        <v/>
      </c>
      <c r="N473">
        <v>35172.92</v>
      </c>
      <c r="O473" t="s">
        <v>382</v>
      </c>
      <c r="Q473" t="s">
        <v>19</v>
      </c>
    </row>
    <row r="474" spans="1:17" x14ac:dyDescent="0.3">
      <c r="A474">
        <v>34395</v>
      </c>
      <c r="B474" t="s">
        <v>69</v>
      </c>
      <c r="C474" t="s">
        <v>590</v>
      </c>
      <c r="D474" t="s">
        <v>383</v>
      </c>
      <c r="E474" s="6">
        <v>14165.07</v>
      </c>
      <c r="F474" t="s">
        <v>492</v>
      </c>
      <c r="G474" s="4" t="str">
        <f t="shared" si="44"/>
        <v>14165.07</v>
      </c>
      <c r="H474" t="str">
        <f t="shared" si="45"/>
        <v>14165.07</v>
      </c>
      <c r="I474" s="1">
        <v>45761</v>
      </c>
      <c r="J474" s="2">
        <f t="shared" si="46"/>
        <v>-4.2971159556492153E-2</v>
      </c>
      <c r="K474" s="3" t="str">
        <f t="shared" si="47"/>
        <v/>
      </c>
      <c r="L474" t="str">
        <f t="shared" si="48"/>
        <v/>
      </c>
      <c r="M474" t="str">
        <f t="shared" si="49"/>
        <v>Check</v>
      </c>
      <c r="N474">
        <v>14801.09</v>
      </c>
      <c r="O474" t="s">
        <v>384</v>
      </c>
      <c r="Q474" t="s">
        <v>16</v>
      </c>
    </row>
    <row r="475" spans="1:17" x14ac:dyDescent="0.3">
      <c r="A475">
        <v>34395</v>
      </c>
      <c r="B475" t="s">
        <v>69</v>
      </c>
      <c r="C475" t="s">
        <v>19</v>
      </c>
      <c r="D475" t="s">
        <v>74</v>
      </c>
      <c r="E475" s="6">
        <v>12604.97</v>
      </c>
      <c r="F475" t="s">
        <v>492</v>
      </c>
      <c r="G475" s="4" t="str">
        <f t="shared" si="44"/>
        <v>12604.97</v>
      </c>
      <c r="H475" t="str">
        <f t="shared" si="45"/>
        <v>12604.97</v>
      </c>
      <c r="I475" s="1">
        <v>45761</v>
      </c>
      <c r="J475" s="2">
        <f t="shared" si="46"/>
        <v>-6.6735424601223753E-2</v>
      </c>
      <c r="K475" s="3" t="str">
        <f t="shared" si="47"/>
        <v/>
      </c>
      <c r="L475" t="str">
        <f t="shared" si="48"/>
        <v/>
      </c>
      <c r="M475" t="str">
        <f t="shared" si="49"/>
        <v/>
      </c>
      <c r="N475">
        <v>13506.32</v>
      </c>
      <c r="O475" t="s">
        <v>386</v>
      </c>
      <c r="Q475" t="s">
        <v>19</v>
      </c>
    </row>
    <row r="476" spans="1:17" x14ac:dyDescent="0.3">
      <c r="A476">
        <v>34395</v>
      </c>
      <c r="B476" t="s">
        <v>69</v>
      </c>
      <c r="C476" t="s">
        <v>19</v>
      </c>
      <c r="D476" t="s">
        <v>72</v>
      </c>
      <c r="E476" s="6">
        <v>7593.33</v>
      </c>
      <c r="F476" t="s">
        <v>492</v>
      </c>
      <c r="G476" s="4" t="str">
        <f t="shared" si="44"/>
        <v>7593.33</v>
      </c>
      <c r="H476" t="str">
        <f t="shared" si="45"/>
        <v>7593.33</v>
      </c>
      <c r="I476" s="1">
        <v>45761</v>
      </c>
      <c r="J476" s="2">
        <f t="shared" si="46"/>
        <v>-6.6634461853890992E-2</v>
      </c>
      <c r="K476" s="3" t="str">
        <f t="shared" si="47"/>
        <v/>
      </c>
      <c r="L476" t="str">
        <f t="shared" si="48"/>
        <v/>
      </c>
      <c r="M476" t="str">
        <f t="shared" si="49"/>
        <v/>
      </c>
      <c r="N476">
        <v>8135.43</v>
      </c>
      <c r="O476" t="s">
        <v>387</v>
      </c>
      <c r="Q476" t="s">
        <v>19</v>
      </c>
    </row>
    <row r="477" spans="1:17" x14ac:dyDescent="0.3">
      <c r="A477">
        <v>34395</v>
      </c>
      <c r="B477" t="s">
        <v>69</v>
      </c>
      <c r="C477" t="s">
        <v>19</v>
      </c>
      <c r="D477" t="s">
        <v>70</v>
      </c>
      <c r="E477" s="6">
        <v>125499.77</v>
      </c>
      <c r="F477" t="s">
        <v>492</v>
      </c>
      <c r="G477" s="4" t="str">
        <f t="shared" si="44"/>
        <v>125499.77</v>
      </c>
      <c r="H477" t="str">
        <f t="shared" si="45"/>
        <v>125499.77</v>
      </c>
      <c r="I477" s="1">
        <v>45761</v>
      </c>
      <c r="J477" s="2">
        <f t="shared" si="46"/>
        <v>-6.6395402580339033E-2</v>
      </c>
      <c r="K477" s="3" t="str">
        <f t="shared" si="47"/>
        <v/>
      </c>
      <c r="L477" t="str">
        <f t="shared" si="48"/>
        <v/>
      </c>
      <c r="M477" t="str">
        <f t="shared" si="49"/>
        <v/>
      </c>
      <c r="N477">
        <v>134424.97</v>
      </c>
      <c r="O477" t="s">
        <v>385</v>
      </c>
      <c r="Q477" t="s">
        <v>19</v>
      </c>
    </row>
    <row r="478" spans="1:17" x14ac:dyDescent="0.3">
      <c r="A478">
        <v>36048</v>
      </c>
      <c r="B478" t="s">
        <v>76</v>
      </c>
      <c r="C478" t="s">
        <v>19</v>
      </c>
      <c r="D478" t="s">
        <v>77</v>
      </c>
      <c r="E478" s="6">
        <v>6870.02</v>
      </c>
      <c r="F478" t="s">
        <v>492</v>
      </c>
      <c r="G478" s="4" t="str">
        <f t="shared" si="44"/>
        <v>6870.02</v>
      </c>
      <c r="H478" t="str">
        <f t="shared" si="45"/>
        <v>6870.02</v>
      </c>
      <c r="I478" s="1">
        <v>45761</v>
      </c>
      <c r="J478" s="2">
        <f t="shared" si="46"/>
        <v>-6.6150853579132904E-2</v>
      </c>
      <c r="K478" s="3" t="str">
        <f t="shared" si="47"/>
        <v/>
      </c>
      <c r="L478" t="str">
        <f t="shared" si="48"/>
        <v/>
      </c>
      <c r="M478" t="str">
        <f t="shared" si="49"/>
        <v/>
      </c>
      <c r="N478">
        <v>7356.67</v>
      </c>
      <c r="O478" t="s">
        <v>388</v>
      </c>
      <c r="Q478" t="s">
        <v>19</v>
      </c>
    </row>
    <row r="479" spans="1:17" x14ac:dyDescent="0.3">
      <c r="A479">
        <v>36048</v>
      </c>
      <c r="B479" t="s">
        <v>76</v>
      </c>
      <c r="C479" t="s">
        <v>19</v>
      </c>
      <c r="D479" t="s">
        <v>79</v>
      </c>
      <c r="E479" s="6">
        <v>20782.849999999999</v>
      </c>
      <c r="F479" t="s">
        <v>492</v>
      </c>
      <c r="G479" s="4" t="str">
        <f t="shared" si="44"/>
        <v>20782.85</v>
      </c>
      <c r="H479" t="str">
        <f t="shared" si="45"/>
        <v>20782.85</v>
      </c>
      <c r="I479" s="1">
        <v>45761</v>
      </c>
      <c r="J479" s="2">
        <f t="shared" si="46"/>
        <v>-6.6584536172299882E-2</v>
      </c>
      <c r="K479" s="3" t="str">
        <f t="shared" si="47"/>
        <v/>
      </c>
      <c r="L479" t="str">
        <f t="shared" si="48"/>
        <v/>
      </c>
      <c r="M479" t="str">
        <f t="shared" si="49"/>
        <v/>
      </c>
      <c r="N479">
        <v>22265.38</v>
      </c>
      <c r="O479" t="s">
        <v>389</v>
      </c>
      <c r="Q479" t="s">
        <v>19</v>
      </c>
    </row>
    <row r="480" spans="1:17" x14ac:dyDescent="0.3">
      <c r="A480">
        <v>36059</v>
      </c>
      <c r="B480" t="s">
        <v>81</v>
      </c>
      <c r="C480" t="s">
        <v>19</v>
      </c>
      <c r="D480" t="s">
        <v>82</v>
      </c>
      <c r="E480" s="6">
        <v>30508.31</v>
      </c>
      <c r="F480" t="s">
        <v>492</v>
      </c>
      <c r="G480" s="4" t="str">
        <f t="shared" si="44"/>
        <v>30508.31</v>
      </c>
      <c r="H480" t="str">
        <f t="shared" si="45"/>
        <v>30508.31</v>
      </c>
      <c r="I480" s="1">
        <v>45761</v>
      </c>
      <c r="J480" s="2">
        <f t="shared" si="46"/>
        <v>-6.6839524517542076E-2</v>
      </c>
      <c r="K480" s="3" t="str">
        <f t="shared" si="47"/>
        <v/>
      </c>
      <c r="L480" t="str">
        <f t="shared" si="48"/>
        <v/>
      </c>
      <c r="M480" t="str">
        <f t="shared" si="49"/>
        <v/>
      </c>
      <c r="N480">
        <v>32693.53</v>
      </c>
      <c r="O480" t="s">
        <v>390</v>
      </c>
      <c r="Q480" t="s">
        <v>19</v>
      </c>
    </row>
    <row r="481" spans="1:17" x14ac:dyDescent="0.3">
      <c r="A481">
        <v>36059</v>
      </c>
      <c r="B481" t="s">
        <v>81</v>
      </c>
      <c r="C481" t="s">
        <v>19</v>
      </c>
      <c r="D481" t="s">
        <v>84</v>
      </c>
      <c r="E481" s="6">
        <v>19703.46</v>
      </c>
      <c r="F481" t="s">
        <v>492</v>
      </c>
      <c r="G481" s="4" t="str">
        <f t="shared" si="44"/>
        <v>19703.46</v>
      </c>
      <c r="H481" t="str">
        <f t="shared" si="45"/>
        <v>19703.46</v>
      </c>
      <c r="I481" s="1">
        <v>45761</v>
      </c>
      <c r="J481" s="2">
        <f t="shared" si="46"/>
        <v>-6.6772761180775145E-2</v>
      </c>
      <c r="K481" s="3" t="str">
        <f t="shared" si="47"/>
        <v/>
      </c>
      <c r="L481" t="str">
        <f t="shared" si="48"/>
        <v/>
      </c>
      <c r="M481" t="str">
        <f t="shared" si="49"/>
        <v/>
      </c>
      <c r="N481">
        <v>21113.25</v>
      </c>
      <c r="O481" t="s">
        <v>391</v>
      </c>
      <c r="Q481" t="s">
        <v>19</v>
      </c>
    </row>
    <row r="482" spans="1:17" x14ac:dyDescent="0.3">
      <c r="A482">
        <v>36060</v>
      </c>
      <c r="B482" t="s">
        <v>86</v>
      </c>
      <c r="C482" t="s">
        <v>19</v>
      </c>
      <c r="D482" t="s">
        <v>87</v>
      </c>
      <c r="E482" s="6">
        <v>48218.46</v>
      </c>
      <c r="F482" t="s">
        <v>492</v>
      </c>
      <c r="G482" s="4" t="str">
        <f t="shared" si="44"/>
        <v>48218.46</v>
      </c>
      <c r="H482" t="str">
        <f t="shared" si="45"/>
        <v>48218.46</v>
      </c>
      <c r="I482" s="1">
        <v>45761</v>
      </c>
      <c r="J482" s="2">
        <f t="shared" si="46"/>
        <v>-6.6589957604176214E-2</v>
      </c>
      <c r="K482" s="3" t="str">
        <f t="shared" si="47"/>
        <v/>
      </c>
      <c r="L482" t="str">
        <f t="shared" si="48"/>
        <v/>
      </c>
      <c r="M482" t="str">
        <f t="shared" si="49"/>
        <v/>
      </c>
      <c r="N482">
        <v>51658.39</v>
      </c>
      <c r="O482" t="s">
        <v>392</v>
      </c>
      <c r="Q482" t="s">
        <v>19</v>
      </c>
    </row>
    <row r="483" spans="1:17" x14ac:dyDescent="0.3">
      <c r="A483">
        <v>36060</v>
      </c>
      <c r="B483" t="s">
        <v>86</v>
      </c>
      <c r="C483" t="s">
        <v>19</v>
      </c>
      <c r="D483" t="s">
        <v>89</v>
      </c>
      <c r="E483" s="6">
        <v>8210.18</v>
      </c>
      <c r="F483" t="s">
        <v>492</v>
      </c>
      <c r="G483" s="4" t="str">
        <f t="shared" si="44"/>
        <v>8210.18</v>
      </c>
      <c r="H483" t="str">
        <f t="shared" si="45"/>
        <v>8210.18</v>
      </c>
      <c r="I483" s="1">
        <v>45761</v>
      </c>
      <c r="J483" s="2">
        <f t="shared" si="46"/>
        <v>-6.676199656266768E-2</v>
      </c>
      <c r="K483" s="3" t="str">
        <f t="shared" si="47"/>
        <v/>
      </c>
      <c r="L483" t="str">
        <f t="shared" si="48"/>
        <v/>
      </c>
      <c r="M483" t="str">
        <f t="shared" si="49"/>
        <v/>
      </c>
      <c r="N483">
        <v>8797.52</v>
      </c>
      <c r="O483" t="s">
        <v>393</v>
      </c>
      <c r="Q483" t="s">
        <v>19</v>
      </c>
    </row>
    <row r="484" spans="1:17" x14ac:dyDescent="0.3">
      <c r="A484">
        <v>36062</v>
      </c>
      <c r="B484" t="s">
        <v>91</v>
      </c>
      <c r="C484" t="s">
        <v>611</v>
      </c>
      <c r="D484" t="s">
        <v>92</v>
      </c>
      <c r="E484" s="6">
        <v>14156.88</v>
      </c>
      <c r="F484" t="s">
        <v>492</v>
      </c>
      <c r="G484" s="4" t="str">
        <f t="shared" si="44"/>
        <v>14156.88</v>
      </c>
      <c r="H484" t="str">
        <f t="shared" si="45"/>
        <v>14156.88</v>
      </c>
      <c r="I484" s="1">
        <v>45761</v>
      </c>
      <c r="J484" s="2">
        <f t="shared" si="46"/>
        <v>-6.6833039017744067E-2</v>
      </c>
      <c r="K484" s="3" t="str">
        <f t="shared" si="47"/>
        <v/>
      </c>
      <c r="L484" t="str">
        <f t="shared" si="48"/>
        <v/>
      </c>
      <c r="M484" t="str">
        <f t="shared" si="49"/>
        <v>Check</v>
      </c>
      <c r="N484">
        <v>15170.79</v>
      </c>
      <c r="O484" t="s">
        <v>93</v>
      </c>
      <c r="Q484" t="s">
        <v>41</v>
      </c>
    </row>
    <row r="485" spans="1:17" x14ac:dyDescent="0.3">
      <c r="A485">
        <v>36062</v>
      </c>
      <c r="B485" t="s">
        <v>91</v>
      </c>
      <c r="C485" t="s">
        <v>606</v>
      </c>
      <c r="D485" t="s">
        <v>613</v>
      </c>
      <c r="E485" s="6">
        <v>1544.8</v>
      </c>
      <c r="F485" t="s">
        <v>492</v>
      </c>
      <c r="G485" s="4" t="str">
        <f t="shared" si="44"/>
        <v>1544.8</v>
      </c>
      <c r="H485" t="str">
        <f t="shared" si="45"/>
        <v>1544.8</v>
      </c>
      <c r="I485" s="1">
        <v>45761</v>
      </c>
      <c r="J485" s="2">
        <f t="shared" si="46"/>
        <v>-6.6625580791144778E-2</v>
      </c>
      <c r="K485" s="3" t="str">
        <f t="shared" si="47"/>
        <v/>
      </c>
      <c r="L485" t="str">
        <f t="shared" si="48"/>
        <v/>
      </c>
      <c r="M485" t="str">
        <f t="shared" si="49"/>
        <v/>
      </c>
      <c r="N485">
        <v>1655.07</v>
      </c>
      <c r="O485" t="s">
        <v>647</v>
      </c>
      <c r="Q485" t="s">
        <v>606</v>
      </c>
    </row>
    <row r="486" spans="1:17" x14ac:dyDescent="0.3">
      <c r="A486">
        <v>36062</v>
      </c>
      <c r="B486" t="s">
        <v>91</v>
      </c>
      <c r="C486" t="s">
        <v>590</v>
      </c>
      <c r="D486" t="s">
        <v>582</v>
      </c>
      <c r="E486" s="6">
        <v>3016.36</v>
      </c>
      <c r="F486" t="s">
        <v>492</v>
      </c>
      <c r="G486" s="4" t="str">
        <f t="shared" si="44"/>
        <v>3016.36</v>
      </c>
      <c r="H486" t="str">
        <f t="shared" si="45"/>
        <v>3016.36</v>
      </c>
      <c r="I486" s="1">
        <v>45761</v>
      </c>
      <c r="J486" s="2">
        <f t="shared" si="46"/>
        <v>6.0384800621530683E-2</v>
      </c>
      <c r="K486" s="3" t="str">
        <f t="shared" si="47"/>
        <v/>
      </c>
      <c r="L486" t="str">
        <f t="shared" si="48"/>
        <v/>
      </c>
      <c r="M486" t="str">
        <f t="shared" si="49"/>
        <v>Check</v>
      </c>
      <c r="N486">
        <v>2844.59</v>
      </c>
      <c r="O486" t="s">
        <v>583</v>
      </c>
      <c r="Q486" t="s">
        <v>16</v>
      </c>
    </row>
    <row r="487" spans="1:17" x14ac:dyDescent="0.3">
      <c r="A487">
        <v>36355</v>
      </c>
      <c r="B487" t="s">
        <v>94</v>
      </c>
      <c r="C487" t="s">
        <v>19</v>
      </c>
      <c r="D487" t="s">
        <v>95</v>
      </c>
      <c r="E487" s="6">
        <v>606.45000000000005</v>
      </c>
      <c r="F487" t="s">
        <v>492</v>
      </c>
      <c r="G487" s="4" t="str">
        <f t="shared" si="44"/>
        <v>606.45</v>
      </c>
      <c r="H487" t="str">
        <f t="shared" si="45"/>
        <v>606.45</v>
      </c>
      <c r="I487" s="1">
        <v>45761</v>
      </c>
      <c r="J487" s="2">
        <f t="shared" si="46"/>
        <v>-7.5096463267702737E-2</v>
      </c>
      <c r="K487" s="3" t="str">
        <f t="shared" si="47"/>
        <v/>
      </c>
      <c r="L487" t="str">
        <f t="shared" si="48"/>
        <v/>
      </c>
      <c r="M487" t="str">
        <f t="shared" si="49"/>
        <v/>
      </c>
      <c r="N487">
        <v>655.69</v>
      </c>
      <c r="O487" t="s">
        <v>394</v>
      </c>
      <c r="Q487" t="s">
        <v>19</v>
      </c>
    </row>
    <row r="488" spans="1:17" x14ac:dyDescent="0.3">
      <c r="A488">
        <v>37040</v>
      </c>
      <c r="B488" t="s">
        <v>596</v>
      </c>
      <c r="C488" t="s">
        <v>19</v>
      </c>
      <c r="D488" t="s">
        <v>97</v>
      </c>
      <c r="E488" s="6">
        <v>25165.27</v>
      </c>
      <c r="F488" t="s">
        <v>492</v>
      </c>
      <c r="G488" s="4" t="str">
        <f t="shared" si="44"/>
        <v>25165.27</v>
      </c>
      <c r="H488" t="str">
        <f t="shared" si="45"/>
        <v>25165.27</v>
      </c>
      <c r="I488" s="1">
        <v>45761</v>
      </c>
      <c r="J488" s="2">
        <f t="shared" si="46"/>
        <v>-6.648977211688839E-2</v>
      </c>
      <c r="K488" s="3" t="str">
        <f t="shared" si="47"/>
        <v/>
      </c>
      <c r="L488" t="str">
        <f t="shared" si="48"/>
        <v/>
      </c>
      <c r="M488" t="str">
        <f t="shared" si="49"/>
        <v/>
      </c>
      <c r="N488">
        <v>26957.68</v>
      </c>
      <c r="O488" t="s">
        <v>395</v>
      </c>
      <c r="Q488" t="s">
        <v>19</v>
      </c>
    </row>
    <row r="489" spans="1:17" x14ac:dyDescent="0.3">
      <c r="A489">
        <v>37041</v>
      </c>
      <c r="B489" t="s">
        <v>99</v>
      </c>
      <c r="C489" t="s">
        <v>19</v>
      </c>
      <c r="D489" t="s">
        <v>100</v>
      </c>
      <c r="E489" s="6">
        <v>5527.43</v>
      </c>
      <c r="F489" t="s">
        <v>492</v>
      </c>
      <c r="G489" s="4" t="str">
        <f t="shared" si="44"/>
        <v>5527.43</v>
      </c>
      <c r="H489" t="str">
        <f t="shared" si="45"/>
        <v>5527.43</v>
      </c>
      <c r="I489" s="1">
        <v>45761</v>
      </c>
      <c r="J489" s="2">
        <f t="shared" si="46"/>
        <v>-3.621875626618299E-2</v>
      </c>
      <c r="K489" s="3" t="str">
        <f t="shared" si="47"/>
        <v/>
      </c>
      <c r="L489" t="str">
        <f t="shared" si="48"/>
        <v/>
      </c>
      <c r="M489" t="str">
        <f t="shared" si="49"/>
        <v/>
      </c>
      <c r="N489">
        <v>5735.15</v>
      </c>
      <c r="O489" t="s">
        <v>396</v>
      </c>
      <c r="Q489" t="s">
        <v>19</v>
      </c>
    </row>
    <row r="490" spans="1:17" x14ac:dyDescent="0.3">
      <c r="A490">
        <v>38586</v>
      </c>
      <c r="B490" t="s">
        <v>102</v>
      </c>
      <c r="C490" t="s">
        <v>19</v>
      </c>
      <c r="D490" t="s">
        <v>103</v>
      </c>
      <c r="E490" s="6">
        <v>3751.3</v>
      </c>
      <c r="F490" t="s">
        <v>492</v>
      </c>
      <c r="G490" s="4" t="str">
        <f t="shared" si="44"/>
        <v>3751.3</v>
      </c>
      <c r="H490" t="str">
        <f t="shared" si="45"/>
        <v>3751.3</v>
      </c>
      <c r="I490" s="1">
        <v>45761</v>
      </c>
      <c r="J490" s="2">
        <f t="shared" si="46"/>
        <v>-6.6153187421583992E-2</v>
      </c>
      <c r="K490" s="3" t="str">
        <f t="shared" si="47"/>
        <v/>
      </c>
      <c r="L490" t="str">
        <f t="shared" si="48"/>
        <v/>
      </c>
      <c r="M490" t="str">
        <f t="shared" si="49"/>
        <v/>
      </c>
      <c r="N490">
        <v>4017.04</v>
      </c>
      <c r="O490" t="s">
        <v>397</v>
      </c>
      <c r="Q490" t="s">
        <v>19</v>
      </c>
    </row>
    <row r="491" spans="1:17" x14ac:dyDescent="0.3">
      <c r="A491">
        <v>38842</v>
      </c>
      <c r="B491" t="s">
        <v>105</v>
      </c>
      <c r="C491" t="s">
        <v>19</v>
      </c>
      <c r="D491" t="s">
        <v>106</v>
      </c>
      <c r="E491" s="6">
        <v>6655.21</v>
      </c>
      <c r="F491" t="s">
        <v>492</v>
      </c>
      <c r="G491" s="4" t="str">
        <f t="shared" si="44"/>
        <v>6655.21</v>
      </c>
      <c r="H491" t="str">
        <f t="shared" si="45"/>
        <v>6655.21</v>
      </c>
      <c r="I491" s="1">
        <v>45761</v>
      </c>
      <c r="J491" s="2">
        <f t="shared" si="46"/>
        <v>-6.5986563542486831E-2</v>
      </c>
      <c r="K491" s="3" t="str">
        <f t="shared" si="47"/>
        <v/>
      </c>
      <c r="L491" t="str">
        <f t="shared" si="48"/>
        <v/>
      </c>
      <c r="M491" t="str">
        <f t="shared" si="49"/>
        <v/>
      </c>
      <c r="N491">
        <v>7125.39</v>
      </c>
      <c r="O491" t="s">
        <v>398</v>
      </c>
      <c r="Q491" t="s">
        <v>19</v>
      </c>
    </row>
    <row r="492" spans="1:17" x14ac:dyDescent="0.3">
      <c r="A492">
        <v>38851</v>
      </c>
      <c r="B492" t="s">
        <v>108</v>
      </c>
      <c r="C492" t="s">
        <v>19</v>
      </c>
      <c r="D492" t="s">
        <v>109</v>
      </c>
      <c r="E492" s="6">
        <v>225.33</v>
      </c>
      <c r="F492" t="s">
        <v>492</v>
      </c>
      <c r="G492" s="4" t="str">
        <f t="shared" si="44"/>
        <v>225.33</v>
      </c>
      <c r="H492" t="str">
        <f t="shared" si="45"/>
        <v>225.33</v>
      </c>
      <c r="I492" s="1">
        <v>45761</v>
      </c>
      <c r="J492" s="2">
        <f t="shared" si="46"/>
        <v>-8.2756655540177415E-2</v>
      </c>
      <c r="K492" s="3" t="str">
        <f t="shared" si="47"/>
        <v/>
      </c>
      <c r="L492" t="str">
        <f t="shared" si="48"/>
        <v/>
      </c>
      <c r="M492" t="str">
        <f t="shared" si="49"/>
        <v/>
      </c>
      <c r="N492">
        <v>245.66</v>
      </c>
      <c r="O492" t="s">
        <v>399</v>
      </c>
      <c r="Q492" t="s">
        <v>19</v>
      </c>
    </row>
    <row r="493" spans="1:17" x14ac:dyDescent="0.3">
      <c r="A493">
        <v>38887</v>
      </c>
      <c r="B493" t="s">
        <v>111</v>
      </c>
      <c r="C493" t="s">
        <v>19</v>
      </c>
      <c r="D493" t="s">
        <v>112</v>
      </c>
      <c r="E493" s="6">
        <v>1365.2</v>
      </c>
      <c r="F493" t="s">
        <v>492</v>
      </c>
      <c r="G493" s="4" t="str">
        <f t="shared" si="44"/>
        <v>1365.2</v>
      </c>
      <c r="H493" t="str">
        <f t="shared" si="45"/>
        <v>1365.2</v>
      </c>
      <c r="I493" s="1">
        <v>45761</v>
      </c>
      <c r="J493" s="2">
        <f t="shared" si="46"/>
        <v>-6.6791531946599605E-2</v>
      </c>
      <c r="K493" s="3" t="str">
        <f t="shared" si="47"/>
        <v/>
      </c>
      <c r="L493" t="str">
        <f t="shared" si="48"/>
        <v/>
      </c>
      <c r="M493" t="str">
        <f t="shared" si="49"/>
        <v/>
      </c>
      <c r="N493">
        <v>1462.91</v>
      </c>
      <c r="O493" t="s">
        <v>400</v>
      </c>
      <c r="Q493" t="s">
        <v>19</v>
      </c>
    </row>
    <row r="494" spans="1:17" x14ac:dyDescent="0.3">
      <c r="A494">
        <v>41695</v>
      </c>
      <c r="B494" t="s">
        <v>114</v>
      </c>
      <c r="C494" t="s">
        <v>611</v>
      </c>
      <c r="D494" t="s">
        <v>115</v>
      </c>
      <c r="E494" s="6">
        <v>3675.47</v>
      </c>
      <c r="F494" t="s">
        <v>492</v>
      </c>
      <c r="G494" s="4" t="str">
        <f t="shared" si="44"/>
        <v>3675.47</v>
      </c>
      <c r="H494" t="str">
        <f t="shared" si="45"/>
        <v>3675.47</v>
      </c>
      <c r="I494" s="1">
        <v>45761</v>
      </c>
      <c r="J494" s="2">
        <f t="shared" si="46"/>
        <v>-6.5113214937962044E-2</v>
      </c>
      <c r="K494" s="3" t="str">
        <f t="shared" si="47"/>
        <v/>
      </c>
      <c r="L494" t="str">
        <f t="shared" si="48"/>
        <v/>
      </c>
      <c r="M494" t="str">
        <f t="shared" si="49"/>
        <v>Check</v>
      </c>
      <c r="N494">
        <v>3931.46</v>
      </c>
      <c r="O494" t="s">
        <v>116</v>
      </c>
      <c r="Q494" t="s">
        <v>41</v>
      </c>
    </row>
    <row r="495" spans="1:17" x14ac:dyDescent="0.3">
      <c r="A495">
        <v>41695</v>
      </c>
      <c r="B495" t="s">
        <v>114</v>
      </c>
      <c r="C495" t="s">
        <v>606</v>
      </c>
      <c r="D495" t="s">
        <v>614</v>
      </c>
      <c r="E495" s="6">
        <v>399.48</v>
      </c>
      <c r="F495" t="s">
        <v>492</v>
      </c>
      <c r="G495" s="4" t="str">
        <f t="shared" si="44"/>
        <v>399.48</v>
      </c>
      <c r="H495" t="str">
        <f t="shared" si="45"/>
        <v>399.48</v>
      </c>
      <c r="I495" s="1">
        <v>45761</v>
      </c>
      <c r="J495" s="2">
        <f t="shared" si="46"/>
        <v>-6.523773867465367E-2</v>
      </c>
      <c r="K495" s="3" t="str">
        <f t="shared" si="47"/>
        <v/>
      </c>
      <c r="L495" t="str">
        <f t="shared" si="48"/>
        <v/>
      </c>
      <c r="M495" t="str">
        <f t="shared" si="49"/>
        <v/>
      </c>
      <c r="N495">
        <v>427.36</v>
      </c>
      <c r="O495" t="s">
        <v>648</v>
      </c>
      <c r="Q495" t="s">
        <v>606</v>
      </c>
    </row>
    <row r="496" spans="1:17" x14ac:dyDescent="0.3">
      <c r="A496">
        <v>41695</v>
      </c>
      <c r="B496" t="s">
        <v>114</v>
      </c>
      <c r="C496" t="s">
        <v>590</v>
      </c>
      <c r="D496" t="s">
        <v>117</v>
      </c>
      <c r="E496" s="6">
        <v>62556.99</v>
      </c>
      <c r="F496" t="s">
        <v>492</v>
      </c>
      <c r="G496" s="4" t="str">
        <f t="shared" si="44"/>
        <v>62556.99</v>
      </c>
      <c r="H496" t="str">
        <f t="shared" si="45"/>
        <v>62556.99</v>
      </c>
      <c r="I496" s="1">
        <v>45761</v>
      </c>
      <c r="J496" s="2">
        <f t="shared" si="46"/>
        <v>-6.3974076101252414E-2</v>
      </c>
      <c r="K496" s="3" t="str">
        <f t="shared" si="47"/>
        <v/>
      </c>
      <c r="L496" t="str">
        <f t="shared" si="48"/>
        <v/>
      </c>
      <c r="M496" t="str">
        <f t="shared" si="49"/>
        <v>Check</v>
      </c>
      <c r="N496">
        <v>66832.539999999994</v>
      </c>
      <c r="O496" t="s">
        <v>401</v>
      </c>
      <c r="Q496" t="s">
        <v>16</v>
      </c>
    </row>
    <row r="497" spans="1:17" x14ac:dyDescent="0.3">
      <c r="A497">
        <v>46589</v>
      </c>
      <c r="B497" t="s">
        <v>638</v>
      </c>
      <c r="C497" t="s">
        <v>19</v>
      </c>
      <c r="D497" t="s">
        <v>118</v>
      </c>
      <c r="E497" s="6">
        <v>71976.2</v>
      </c>
      <c r="F497" t="s">
        <v>492</v>
      </c>
      <c r="G497" s="4" t="str">
        <f t="shared" si="44"/>
        <v>71976.2</v>
      </c>
      <c r="H497" t="str">
        <f t="shared" si="45"/>
        <v>71976.2</v>
      </c>
      <c r="I497" s="1">
        <v>45761</v>
      </c>
      <c r="J497" s="2">
        <f t="shared" si="46"/>
        <v>-6.5513336547991713E-2</v>
      </c>
      <c r="K497" s="3" t="str">
        <f t="shared" si="47"/>
        <v/>
      </c>
      <c r="L497" t="str">
        <f t="shared" si="48"/>
        <v/>
      </c>
      <c r="M497" t="str">
        <f t="shared" si="49"/>
        <v/>
      </c>
      <c r="N497">
        <v>77022.179999999993</v>
      </c>
      <c r="O497" t="s">
        <v>402</v>
      </c>
      <c r="Q497" t="s">
        <v>19</v>
      </c>
    </row>
    <row r="498" spans="1:17" x14ac:dyDescent="0.3">
      <c r="A498">
        <v>46589</v>
      </c>
      <c r="B498" t="s">
        <v>638</v>
      </c>
      <c r="C498" t="s">
        <v>19</v>
      </c>
      <c r="D498" t="s">
        <v>120</v>
      </c>
      <c r="E498" s="6">
        <v>3188.02</v>
      </c>
      <c r="F498" t="s">
        <v>492</v>
      </c>
      <c r="G498" s="4" t="str">
        <f t="shared" si="44"/>
        <v>3188.02</v>
      </c>
      <c r="H498" t="str">
        <f t="shared" si="45"/>
        <v>3188.02</v>
      </c>
      <c r="I498" s="1">
        <v>45761</v>
      </c>
      <c r="J498" s="2">
        <f t="shared" si="46"/>
        <v>-6.612376418894178E-2</v>
      </c>
      <c r="K498" s="3" t="str">
        <f t="shared" si="47"/>
        <v/>
      </c>
      <c r="L498" t="str">
        <f t="shared" si="48"/>
        <v/>
      </c>
      <c r="M498" t="str">
        <f t="shared" si="49"/>
        <v/>
      </c>
      <c r="N498">
        <v>3413.75</v>
      </c>
      <c r="O498" t="s">
        <v>403</v>
      </c>
      <c r="Q498" t="s">
        <v>19</v>
      </c>
    </row>
    <row r="499" spans="1:17" x14ac:dyDescent="0.3">
      <c r="A499">
        <v>54985</v>
      </c>
      <c r="B499" t="s">
        <v>122</v>
      </c>
      <c r="C499" t="s">
        <v>19</v>
      </c>
      <c r="D499" t="s">
        <v>123</v>
      </c>
      <c r="E499" s="6">
        <v>1354.91</v>
      </c>
      <c r="F499" t="s">
        <v>492</v>
      </c>
      <c r="G499" s="4" t="str">
        <f t="shared" si="44"/>
        <v>1354.91</v>
      </c>
      <c r="H499" t="str">
        <f t="shared" si="45"/>
        <v>1354.91</v>
      </c>
      <c r="I499" s="1">
        <v>45761</v>
      </c>
      <c r="J499" s="2">
        <f t="shared" si="46"/>
        <v>-6.6866391184572951E-2</v>
      </c>
      <c r="K499" s="3" t="str">
        <f t="shared" si="47"/>
        <v/>
      </c>
      <c r="L499" t="str">
        <f t="shared" si="48"/>
        <v/>
      </c>
      <c r="M499" t="str">
        <f t="shared" si="49"/>
        <v/>
      </c>
      <c r="N499">
        <v>1452</v>
      </c>
      <c r="O499" t="s">
        <v>404</v>
      </c>
      <c r="Q499" t="s">
        <v>19</v>
      </c>
    </row>
    <row r="500" spans="1:17" x14ac:dyDescent="0.3">
      <c r="A500">
        <v>61172</v>
      </c>
      <c r="B500" t="s">
        <v>125</v>
      </c>
      <c r="C500" t="s">
        <v>611</v>
      </c>
      <c r="D500" t="s">
        <v>126</v>
      </c>
      <c r="E500" s="6">
        <v>28932.69</v>
      </c>
      <c r="F500" t="s">
        <v>492</v>
      </c>
      <c r="G500" s="4" t="str">
        <f t="shared" si="44"/>
        <v>28932.69</v>
      </c>
      <c r="H500" t="str">
        <f t="shared" si="45"/>
        <v>28932.69</v>
      </c>
      <c r="I500" s="1">
        <v>45761</v>
      </c>
      <c r="J500" s="2">
        <f t="shared" si="46"/>
        <v>-6.495517340673386E-2</v>
      </c>
      <c r="K500" s="3" t="str">
        <f t="shared" si="47"/>
        <v/>
      </c>
      <c r="L500" t="str">
        <f t="shared" si="48"/>
        <v/>
      </c>
      <c r="M500" t="str">
        <f t="shared" si="49"/>
        <v>Check</v>
      </c>
      <c r="N500">
        <v>30942.57</v>
      </c>
      <c r="O500" t="s">
        <v>127</v>
      </c>
      <c r="Q500" t="s">
        <v>41</v>
      </c>
    </row>
    <row r="501" spans="1:17" x14ac:dyDescent="0.3">
      <c r="A501">
        <v>61172</v>
      </c>
      <c r="B501" t="s">
        <v>125</v>
      </c>
      <c r="C501" t="s">
        <v>606</v>
      </c>
      <c r="D501" t="s">
        <v>615</v>
      </c>
      <c r="E501" s="6">
        <v>2389.1</v>
      </c>
      <c r="F501" t="s">
        <v>492</v>
      </c>
      <c r="G501" s="4" t="str">
        <f t="shared" si="44"/>
        <v>2389.1</v>
      </c>
      <c r="H501" t="str">
        <f t="shared" si="45"/>
        <v>2389.1</v>
      </c>
      <c r="I501" s="1">
        <v>45761</v>
      </c>
      <c r="J501" s="2">
        <f t="shared" si="46"/>
        <v>-6.4484802919593812E-2</v>
      </c>
      <c r="K501" s="3" t="str">
        <f t="shared" si="47"/>
        <v/>
      </c>
      <c r="L501" t="str">
        <f t="shared" si="48"/>
        <v/>
      </c>
      <c r="M501" t="str">
        <f t="shared" si="49"/>
        <v/>
      </c>
      <c r="N501">
        <v>2553.7800000000002</v>
      </c>
      <c r="O501" t="s">
        <v>649</v>
      </c>
      <c r="Q501" t="s">
        <v>606</v>
      </c>
    </row>
    <row r="502" spans="1:17" x14ac:dyDescent="0.3">
      <c r="A502">
        <v>62166</v>
      </c>
      <c r="B502" t="s">
        <v>128</v>
      </c>
      <c r="C502" t="s">
        <v>611</v>
      </c>
      <c r="D502" t="s">
        <v>129</v>
      </c>
      <c r="E502" s="6">
        <v>25410.34</v>
      </c>
      <c r="F502" t="s">
        <v>492</v>
      </c>
      <c r="G502" s="4" t="str">
        <f t="shared" si="44"/>
        <v>25410.34</v>
      </c>
      <c r="H502" t="str">
        <f t="shared" si="45"/>
        <v>25410.34</v>
      </c>
      <c r="I502" s="1">
        <v>45761</v>
      </c>
      <c r="J502" s="2">
        <f t="shared" si="46"/>
        <v>-6.672068179531003E-2</v>
      </c>
      <c r="K502" s="3" t="str">
        <f t="shared" si="47"/>
        <v/>
      </c>
      <c r="L502" t="str">
        <f t="shared" si="48"/>
        <v/>
      </c>
      <c r="M502" t="str">
        <f t="shared" si="49"/>
        <v>Check</v>
      </c>
      <c r="N502">
        <v>27226.94</v>
      </c>
      <c r="O502" t="s">
        <v>130</v>
      </c>
      <c r="Q502" t="s">
        <v>41</v>
      </c>
    </row>
    <row r="503" spans="1:17" x14ac:dyDescent="0.3">
      <c r="A503">
        <v>62166</v>
      </c>
      <c r="B503" t="s">
        <v>128</v>
      </c>
      <c r="C503" t="s">
        <v>606</v>
      </c>
      <c r="D503" t="s">
        <v>616</v>
      </c>
      <c r="E503" s="6">
        <v>2374.6</v>
      </c>
      <c r="F503" t="s">
        <v>492</v>
      </c>
      <c r="G503" s="4" t="str">
        <f t="shared" si="44"/>
        <v>2374.6</v>
      </c>
      <c r="H503" t="str">
        <f t="shared" si="45"/>
        <v>2374.6</v>
      </c>
      <c r="I503" s="1">
        <v>45761</v>
      </c>
      <c r="J503" s="2">
        <f t="shared" si="46"/>
        <v>-6.6213654845889508E-2</v>
      </c>
      <c r="K503" s="3" t="str">
        <f t="shared" si="47"/>
        <v/>
      </c>
      <c r="L503" t="str">
        <f t="shared" si="48"/>
        <v/>
      </c>
      <c r="M503" t="str">
        <f t="shared" si="49"/>
        <v/>
      </c>
      <c r="N503">
        <v>2542.98</v>
      </c>
      <c r="O503" t="s">
        <v>650</v>
      </c>
      <c r="Q503" t="s">
        <v>606</v>
      </c>
    </row>
    <row r="504" spans="1:17" x14ac:dyDescent="0.3">
      <c r="A504">
        <v>69046</v>
      </c>
      <c r="B504" t="s">
        <v>131</v>
      </c>
      <c r="C504" t="s">
        <v>19</v>
      </c>
      <c r="D504" t="s">
        <v>132</v>
      </c>
      <c r="E504" s="6">
        <v>95969.71</v>
      </c>
      <c r="F504" t="s">
        <v>492</v>
      </c>
      <c r="G504" s="4" t="str">
        <f t="shared" si="44"/>
        <v>95969.71</v>
      </c>
      <c r="H504" t="str">
        <f t="shared" si="45"/>
        <v>95969.71</v>
      </c>
      <c r="I504" s="1">
        <v>45761</v>
      </c>
      <c r="J504" s="2">
        <f t="shared" si="46"/>
        <v>-6.4912714205009714E-2</v>
      </c>
      <c r="K504" s="3" t="str">
        <f t="shared" si="47"/>
        <v/>
      </c>
      <c r="L504" t="str">
        <f t="shared" si="48"/>
        <v/>
      </c>
      <c r="M504" t="str">
        <f t="shared" si="49"/>
        <v/>
      </c>
      <c r="N504">
        <v>102631.82</v>
      </c>
      <c r="O504" t="s">
        <v>405</v>
      </c>
      <c r="Q504" t="s">
        <v>19</v>
      </c>
    </row>
    <row r="505" spans="1:17" x14ac:dyDescent="0.3">
      <c r="A505">
        <v>72002</v>
      </c>
      <c r="B505" t="s">
        <v>134</v>
      </c>
      <c r="C505" t="s">
        <v>590</v>
      </c>
      <c r="D505" t="s">
        <v>135</v>
      </c>
      <c r="E505" s="6">
        <v>13942.22</v>
      </c>
      <c r="F505" t="s">
        <v>492</v>
      </c>
      <c r="G505" s="4" t="str">
        <f t="shared" si="44"/>
        <v>13942.22</v>
      </c>
      <c r="H505" t="str">
        <f t="shared" si="45"/>
        <v>13942.22</v>
      </c>
      <c r="I505" s="1">
        <v>45761</v>
      </c>
      <c r="J505" s="2">
        <f t="shared" si="46"/>
        <v>-0.18492527235471742</v>
      </c>
      <c r="K505" s="3" t="str">
        <f t="shared" si="47"/>
        <v>Check!</v>
      </c>
      <c r="L505" t="str">
        <f t="shared" si="48"/>
        <v/>
      </c>
      <c r="M505" t="str">
        <f t="shared" si="49"/>
        <v>Check</v>
      </c>
      <c r="N505">
        <v>17105.45</v>
      </c>
      <c r="O505" t="s">
        <v>406</v>
      </c>
      <c r="Q505" t="s">
        <v>16</v>
      </c>
    </row>
    <row r="506" spans="1:17" x14ac:dyDescent="0.3">
      <c r="A506">
        <v>72002</v>
      </c>
      <c r="B506" t="s">
        <v>134</v>
      </c>
      <c r="C506" t="s">
        <v>19</v>
      </c>
      <c r="D506" t="s">
        <v>137</v>
      </c>
      <c r="E506" s="6">
        <v>43576.9</v>
      </c>
      <c r="F506" t="s">
        <v>492</v>
      </c>
      <c r="G506" s="4" t="str">
        <f t="shared" si="44"/>
        <v>43576.9</v>
      </c>
      <c r="H506" t="str">
        <f t="shared" si="45"/>
        <v>43576.9</v>
      </c>
      <c r="I506" s="1">
        <v>45761</v>
      </c>
      <c r="J506" s="2">
        <f t="shared" si="46"/>
        <v>-6.6688940933570209E-2</v>
      </c>
      <c r="K506" s="3" t="str">
        <f t="shared" si="47"/>
        <v/>
      </c>
      <c r="L506" t="str">
        <f t="shared" si="48"/>
        <v/>
      </c>
      <c r="M506" t="str">
        <f t="shared" si="49"/>
        <v/>
      </c>
      <c r="N506">
        <v>46690.65</v>
      </c>
      <c r="O506" t="s">
        <v>407</v>
      </c>
      <c r="Q506" t="s">
        <v>19</v>
      </c>
    </row>
    <row r="507" spans="1:17" x14ac:dyDescent="0.3">
      <c r="A507">
        <v>72002</v>
      </c>
      <c r="B507" t="s">
        <v>134</v>
      </c>
      <c r="C507" t="s">
        <v>19</v>
      </c>
      <c r="D507" t="s">
        <v>139</v>
      </c>
      <c r="E507" s="6">
        <v>6408.19</v>
      </c>
      <c r="F507" t="s">
        <v>492</v>
      </c>
      <c r="G507" s="4" t="str">
        <f t="shared" si="44"/>
        <v>6408.19</v>
      </c>
      <c r="H507" t="str">
        <f t="shared" si="45"/>
        <v>6408.19</v>
      </c>
      <c r="I507" s="1">
        <v>45761</v>
      </c>
      <c r="J507" s="2">
        <f t="shared" si="46"/>
        <v>-6.0133261173419932E-2</v>
      </c>
      <c r="K507" s="3" t="str">
        <f t="shared" si="47"/>
        <v/>
      </c>
      <c r="L507" t="str">
        <f t="shared" si="48"/>
        <v/>
      </c>
      <c r="M507" t="str">
        <f t="shared" si="49"/>
        <v/>
      </c>
      <c r="N507">
        <v>6818.19</v>
      </c>
      <c r="O507" t="s">
        <v>408</v>
      </c>
      <c r="Q507" t="s">
        <v>19</v>
      </c>
    </row>
    <row r="508" spans="1:17" x14ac:dyDescent="0.3">
      <c r="A508">
        <v>80212</v>
      </c>
      <c r="B508" t="s">
        <v>141</v>
      </c>
      <c r="C508" t="s">
        <v>590</v>
      </c>
      <c r="D508" t="s">
        <v>142</v>
      </c>
      <c r="E508" s="6">
        <v>7594.92</v>
      </c>
      <c r="F508" t="s">
        <v>492</v>
      </c>
      <c r="G508" s="4" t="str">
        <f t="shared" si="44"/>
        <v>7594.92</v>
      </c>
      <c r="H508" t="str">
        <f t="shared" si="45"/>
        <v>7594.92</v>
      </c>
      <c r="I508" s="1">
        <v>45761</v>
      </c>
      <c r="J508" s="2">
        <f t="shared" si="46"/>
        <v>-5.2680026991731639E-2</v>
      </c>
      <c r="K508" s="3" t="str">
        <f t="shared" si="47"/>
        <v/>
      </c>
      <c r="L508" t="str">
        <f t="shared" si="48"/>
        <v/>
      </c>
      <c r="M508" t="str">
        <f t="shared" si="49"/>
        <v>Check</v>
      </c>
      <c r="N508">
        <v>8017.27</v>
      </c>
      <c r="O508" t="s">
        <v>409</v>
      </c>
      <c r="Q508" t="s">
        <v>16</v>
      </c>
    </row>
    <row r="509" spans="1:17" x14ac:dyDescent="0.3">
      <c r="A509">
        <v>80212</v>
      </c>
      <c r="B509" t="s">
        <v>141</v>
      </c>
      <c r="C509" t="s">
        <v>611</v>
      </c>
      <c r="D509" t="s">
        <v>144</v>
      </c>
      <c r="E509" s="6">
        <v>10482.120000000001</v>
      </c>
      <c r="F509" t="s">
        <v>492</v>
      </c>
      <c r="G509" s="4" t="str">
        <f t="shared" si="44"/>
        <v>10482.12</v>
      </c>
      <c r="H509" t="str">
        <f t="shared" si="45"/>
        <v>10482.12</v>
      </c>
      <c r="I509" s="1">
        <v>45761</v>
      </c>
      <c r="J509" s="2">
        <f t="shared" si="46"/>
        <v>-6.5990300025573004E-2</v>
      </c>
      <c r="K509" s="3" t="str">
        <f t="shared" si="47"/>
        <v/>
      </c>
      <c r="L509" t="str">
        <f t="shared" si="48"/>
        <v/>
      </c>
      <c r="M509" t="str">
        <f t="shared" si="49"/>
        <v>Check</v>
      </c>
      <c r="N509">
        <v>11222.71</v>
      </c>
      <c r="O509" t="s">
        <v>145</v>
      </c>
      <c r="Q509" t="s">
        <v>41</v>
      </c>
    </row>
    <row r="510" spans="1:17" x14ac:dyDescent="0.3">
      <c r="A510">
        <v>80212</v>
      </c>
      <c r="B510" t="s">
        <v>141</v>
      </c>
      <c r="C510" t="s">
        <v>606</v>
      </c>
      <c r="D510" t="s">
        <v>617</v>
      </c>
      <c r="E510" s="6">
        <v>1142.1199999999999</v>
      </c>
      <c r="F510" t="s">
        <v>492</v>
      </c>
      <c r="G510" s="4" t="str">
        <f t="shared" si="44"/>
        <v>1142.12</v>
      </c>
      <c r="H510" t="str">
        <f t="shared" si="45"/>
        <v>1142.12</v>
      </c>
      <c r="I510" s="1">
        <v>45761</v>
      </c>
      <c r="J510" s="2">
        <f t="shared" si="46"/>
        <v>-6.5972080242723663E-2</v>
      </c>
      <c r="K510" s="3" t="str">
        <f t="shared" si="47"/>
        <v/>
      </c>
      <c r="L510" t="str">
        <f t="shared" si="48"/>
        <v/>
      </c>
      <c r="M510" t="str">
        <f t="shared" si="49"/>
        <v/>
      </c>
      <c r="N510">
        <v>1222.79</v>
      </c>
      <c r="O510" t="s">
        <v>651</v>
      </c>
      <c r="Q510" t="s">
        <v>606</v>
      </c>
    </row>
    <row r="511" spans="1:17" x14ac:dyDescent="0.3">
      <c r="A511">
        <v>81381</v>
      </c>
      <c r="B511" t="s">
        <v>593</v>
      </c>
      <c r="C511" t="s">
        <v>19</v>
      </c>
      <c r="D511" t="s">
        <v>146</v>
      </c>
      <c r="E511" s="6">
        <v>15833.97</v>
      </c>
      <c r="F511" t="s">
        <v>492</v>
      </c>
      <c r="G511" s="4" t="str">
        <f t="shared" si="44"/>
        <v>15833.97</v>
      </c>
      <c r="H511" t="str">
        <f t="shared" si="45"/>
        <v>15833.97</v>
      </c>
      <c r="I511" s="1">
        <v>45761</v>
      </c>
      <c r="J511" s="2">
        <f t="shared" si="46"/>
        <v>-6.2579480196554418E-2</v>
      </c>
      <c r="K511" s="3" t="str">
        <f t="shared" si="47"/>
        <v/>
      </c>
      <c r="L511" t="str">
        <f t="shared" si="48"/>
        <v/>
      </c>
      <c r="M511" t="str">
        <f t="shared" si="49"/>
        <v/>
      </c>
      <c r="N511">
        <v>16891</v>
      </c>
      <c r="O511" t="s">
        <v>410</v>
      </c>
      <c r="Q511" t="s">
        <v>19</v>
      </c>
    </row>
    <row r="512" spans="1:17" x14ac:dyDescent="0.3">
      <c r="A512">
        <v>81381</v>
      </c>
      <c r="B512" t="s">
        <v>593</v>
      </c>
      <c r="C512" t="s">
        <v>19</v>
      </c>
      <c r="D512" t="s">
        <v>148</v>
      </c>
      <c r="E512" s="6">
        <v>533278.06999999995</v>
      </c>
      <c r="F512" t="s">
        <v>492</v>
      </c>
      <c r="G512" s="4" t="str">
        <f t="shared" si="44"/>
        <v>533278.07</v>
      </c>
      <c r="H512" t="str">
        <f t="shared" si="45"/>
        <v>533278.07</v>
      </c>
      <c r="I512" s="1">
        <v>45761</v>
      </c>
      <c r="J512" s="2">
        <f t="shared" si="46"/>
        <v>-6.6131402938982467E-2</v>
      </c>
      <c r="K512" s="3" t="str">
        <f t="shared" si="47"/>
        <v/>
      </c>
      <c r="L512" t="str">
        <f t="shared" si="48"/>
        <v/>
      </c>
      <c r="M512" t="str">
        <f t="shared" si="49"/>
        <v/>
      </c>
      <c r="N512">
        <v>571041.87</v>
      </c>
      <c r="O512" t="s">
        <v>411</v>
      </c>
      <c r="Q512" t="s">
        <v>19</v>
      </c>
    </row>
    <row r="513" spans="1:17" x14ac:dyDescent="0.3">
      <c r="A513">
        <v>113590</v>
      </c>
      <c r="B513" t="s">
        <v>150</v>
      </c>
      <c r="C513" t="s">
        <v>19</v>
      </c>
      <c r="D513" t="s">
        <v>151</v>
      </c>
      <c r="E513" s="6">
        <v>93968.81</v>
      </c>
      <c r="F513" t="s">
        <v>492</v>
      </c>
      <c r="G513" s="4" t="str">
        <f t="shared" si="44"/>
        <v>93968.81</v>
      </c>
      <c r="H513" t="str">
        <f t="shared" si="45"/>
        <v>93968.81</v>
      </c>
      <c r="I513" s="1">
        <v>45761</v>
      </c>
      <c r="J513" s="2">
        <f t="shared" si="46"/>
        <v>-6.6705434421495596E-2</v>
      </c>
      <c r="K513" s="3" t="str">
        <f t="shared" si="47"/>
        <v/>
      </c>
      <c r="L513" t="str">
        <f t="shared" si="48"/>
        <v/>
      </c>
      <c r="M513" t="str">
        <f t="shared" si="49"/>
        <v/>
      </c>
      <c r="N513">
        <v>100685.05</v>
      </c>
      <c r="O513" t="s">
        <v>412</v>
      </c>
      <c r="Q513" t="s">
        <v>19</v>
      </c>
    </row>
    <row r="514" spans="1:17" x14ac:dyDescent="0.3">
      <c r="A514">
        <v>113590</v>
      </c>
      <c r="B514" t="s">
        <v>150</v>
      </c>
      <c r="C514" t="s">
        <v>19</v>
      </c>
      <c r="D514" t="s">
        <v>153</v>
      </c>
      <c r="E514" s="6">
        <v>24468.240000000002</v>
      </c>
      <c r="F514" t="s">
        <v>492</v>
      </c>
      <c r="G514" s="4" t="str">
        <f t="shared" si="44"/>
        <v>24468.24</v>
      </c>
      <c r="H514" t="str">
        <f t="shared" si="45"/>
        <v>24468.24</v>
      </c>
      <c r="I514" s="1">
        <v>45761</v>
      </c>
      <c r="J514" s="2">
        <f t="shared" si="46"/>
        <v>-6.4317055281539526E-2</v>
      </c>
      <c r="K514" s="3" t="str">
        <f t="shared" si="47"/>
        <v/>
      </c>
      <c r="L514" t="str">
        <f t="shared" si="48"/>
        <v/>
      </c>
      <c r="M514" t="str">
        <f t="shared" si="49"/>
        <v/>
      </c>
      <c r="N514">
        <v>26150.14</v>
      </c>
      <c r="O514" t="s">
        <v>413</v>
      </c>
      <c r="Q514" t="s">
        <v>19</v>
      </c>
    </row>
    <row r="515" spans="1:17" x14ac:dyDescent="0.3">
      <c r="A515">
        <v>130912</v>
      </c>
      <c r="B515" t="s">
        <v>604</v>
      </c>
      <c r="C515" t="s">
        <v>590</v>
      </c>
      <c r="D515" t="s">
        <v>605</v>
      </c>
      <c r="E515" s="6">
        <v>16486.91</v>
      </c>
      <c r="F515" t="s">
        <v>492</v>
      </c>
      <c r="G515" s="4" t="str">
        <f t="shared" ref="G515:G578" si="50">SUBSTITUTE(E515,"R","")</f>
        <v>16486.91</v>
      </c>
      <c r="H515" t="str">
        <f t="shared" ref="H515:H578" si="51">SUBSTITUTE(G515,",","")</f>
        <v>16486.91</v>
      </c>
      <c r="I515" s="1">
        <v>45761</v>
      </c>
      <c r="J515" s="2">
        <f t="shared" ref="J515:J578" si="52">(H515-N515)/N515</f>
        <v>-6.6676894197140832E-2</v>
      </c>
      <c r="K515" s="3" t="str">
        <f t="shared" ref="K515:K578" si="53">IF(ABS(J515)&gt;0.1,"Check!","")</f>
        <v/>
      </c>
      <c r="L515" t="str">
        <f t="shared" ref="L515:L578" si="54">IF(LEFT(O515,10)&lt;&gt;LEFT(D515,10),"Check","")</f>
        <v/>
      </c>
      <c r="M515" t="str">
        <f t="shared" ref="M515:M578" si="55">IF(Q515&lt;&gt;C515,"Check","")</f>
        <v/>
      </c>
      <c r="N515">
        <v>17664.740000000002</v>
      </c>
      <c r="O515" t="s">
        <v>677</v>
      </c>
      <c r="Q515" t="s">
        <v>590</v>
      </c>
    </row>
    <row r="516" spans="1:17" x14ac:dyDescent="0.3">
      <c r="A516">
        <v>133380</v>
      </c>
      <c r="B516" t="s">
        <v>155</v>
      </c>
      <c r="C516" t="s">
        <v>611</v>
      </c>
      <c r="D516" t="s">
        <v>156</v>
      </c>
      <c r="E516" s="6">
        <v>6360.88</v>
      </c>
      <c r="F516" t="s">
        <v>492</v>
      </c>
      <c r="G516" s="4" t="str">
        <f t="shared" si="50"/>
        <v>6360.88</v>
      </c>
      <c r="H516" t="str">
        <f t="shared" si="51"/>
        <v>6360.88</v>
      </c>
      <c r="I516" s="1">
        <v>45761</v>
      </c>
      <c r="J516" s="2">
        <f t="shared" si="52"/>
        <v>-6.5138762126897204E-2</v>
      </c>
      <c r="K516" s="3" t="str">
        <f t="shared" si="53"/>
        <v/>
      </c>
      <c r="L516" t="str">
        <f t="shared" si="54"/>
        <v/>
      </c>
      <c r="M516" t="str">
        <f t="shared" si="55"/>
        <v>Check</v>
      </c>
      <c r="N516">
        <v>6804.09</v>
      </c>
      <c r="O516" t="s">
        <v>157</v>
      </c>
      <c r="Q516" t="s">
        <v>41</v>
      </c>
    </row>
    <row r="517" spans="1:17" x14ac:dyDescent="0.3">
      <c r="A517">
        <v>133380</v>
      </c>
      <c r="B517" t="s">
        <v>155</v>
      </c>
      <c r="C517" t="s">
        <v>606</v>
      </c>
      <c r="D517" t="s">
        <v>618</v>
      </c>
      <c r="E517" s="6">
        <v>691.47</v>
      </c>
      <c r="F517" t="s">
        <v>492</v>
      </c>
      <c r="G517" s="4" t="str">
        <f t="shared" si="50"/>
        <v>691.47</v>
      </c>
      <c r="H517" t="str">
        <f t="shared" si="51"/>
        <v>691.47</v>
      </c>
      <c r="I517" s="1">
        <v>45761</v>
      </c>
      <c r="J517" s="2">
        <f t="shared" si="52"/>
        <v>-6.5151556120379553E-2</v>
      </c>
      <c r="K517" s="3" t="str">
        <f t="shared" si="53"/>
        <v/>
      </c>
      <c r="L517" t="str">
        <f t="shared" si="54"/>
        <v/>
      </c>
      <c r="M517" t="str">
        <f t="shared" si="55"/>
        <v/>
      </c>
      <c r="N517">
        <v>739.66</v>
      </c>
      <c r="O517" t="s">
        <v>653</v>
      </c>
      <c r="Q517" t="s">
        <v>606</v>
      </c>
    </row>
    <row r="518" spans="1:17" x14ac:dyDescent="0.3">
      <c r="A518">
        <v>133382</v>
      </c>
      <c r="B518" t="s">
        <v>158</v>
      </c>
      <c r="C518" t="s">
        <v>611</v>
      </c>
      <c r="D518" t="s">
        <v>159</v>
      </c>
      <c r="E518" s="6">
        <v>712.84</v>
      </c>
      <c r="F518" t="s">
        <v>492</v>
      </c>
      <c r="G518" s="4" t="str">
        <f t="shared" si="50"/>
        <v>712.84</v>
      </c>
      <c r="H518" t="str">
        <f t="shared" si="51"/>
        <v>712.84</v>
      </c>
      <c r="I518" s="1">
        <v>45761</v>
      </c>
      <c r="J518" s="2">
        <f t="shared" si="52"/>
        <v>-6.6095455200513478E-2</v>
      </c>
      <c r="K518" s="3" t="str">
        <f t="shared" si="53"/>
        <v/>
      </c>
      <c r="L518" t="str">
        <f t="shared" si="54"/>
        <v/>
      </c>
      <c r="M518" t="str">
        <f t="shared" si="55"/>
        <v>Check</v>
      </c>
      <c r="N518">
        <v>763.29</v>
      </c>
      <c r="O518" t="s">
        <v>160</v>
      </c>
      <c r="Q518" t="s">
        <v>41</v>
      </c>
    </row>
    <row r="519" spans="1:17" x14ac:dyDescent="0.3">
      <c r="A519">
        <v>133382</v>
      </c>
      <c r="B519" t="s">
        <v>158</v>
      </c>
      <c r="C519" t="s">
        <v>606</v>
      </c>
      <c r="D519" t="s">
        <v>619</v>
      </c>
      <c r="E519" s="6">
        <v>78.349999999999994</v>
      </c>
      <c r="F519" t="s">
        <v>492</v>
      </c>
      <c r="G519" s="4" t="str">
        <f t="shared" si="50"/>
        <v>78.35</v>
      </c>
      <c r="H519" t="str">
        <f t="shared" si="51"/>
        <v>78.35</v>
      </c>
      <c r="I519" s="1">
        <v>45761</v>
      </c>
      <c r="J519" s="2">
        <f t="shared" si="52"/>
        <v>-6.4589302769818654E-2</v>
      </c>
      <c r="K519" s="3" t="str">
        <f t="shared" si="53"/>
        <v/>
      </c>
      <c r="L519" t="str">
        <f t="shared" si="54"/>
        <v/>
      </c>
      <c r="M519" t="str">
        <f t="shared" si="55"/>
        <v/>
      </c>
      <c r="N519">
        <v>83.76</v>
      </c>
      <c r="O519" t="s">
        <v>654</v>
      </c>
      <c r="Q519" t="s">
        <v>606</v>
      </c>
    </row>
    <row r="520" spans="1:17" x14ac:dyDescent="0.3">
      <c r="A520">
        <v>100202693</v>
      </c>
      <c r="B520" t="s">
        <v>594</v>
      </c>
      <c r="C520" t="s">
        <v>590</v>
      </c>
      <c r="D520" t="s">
        <v>599</v>
      </c>
      <c r="E520" s="6">
        <v>170511.66</v>
      </c>
      <c r="F520" t="s">
        <v>492</v>
      </c>
      <c r="G520" s="4" t="str">
        <f t="shared" si="50"/>
        <v>170511.66</v>
      </c>
      <c r="H520" t="str">
        <f t="shared" si="51"/>
        <v>170511.66</v>
      </c>
      <c r="I520" s="1">
        <v>45761</v>
      </c>
      <c r="J520" s="2">
        <f t="shared" si="52"/>
        <v>0.94603228298145081</v>
      </c>
      <c r="K520" s="3" t="str">
        <f t="shared" si="53"/>
        <v>Check!</v>
      </c>
      <c r="L520" t="str">
        <f t="shared" si="54"/>
        <v/>
      </c>
      <c r="M520" t="str">
        <f t="shared" si="55"/>
        <v/>
      </c>
      <c r="N520">
        <v>87620.160000000003</v>
      </c>
      <c r="O520" t="s">
        <v>678</v>
      </c>
      <c r="Q520" t="s">
        <v>590</v>
      </c>
    </row>
    <row r="521" spans="1:17" x14ac:dyDescent="0.3">
      <c r="A521">
        <v>100202693</v>
      </c>
      <c r="B521" t="s">
        <v>594</v>
      </c>
      <c r="C521" t="s">
        <v>19</v>
      </c>
      <c r="D521" t="s">
        <v>597</v>
      </c>
      <c r="E521" s="6">
        <v>61568.67</v>
      </c>
      <c r="F521" t="s">
        <v>492</v>
      </c>
      <c r="G521" s="4" t="str">
        <f t="shared" si="50"/>
        <v>61568.67</v>
      </c>
      <c r="H521" t="str">
        <f t="shared" si="51"/>
        <v>61568.67</v>
      </c>
      <c r="I521" s="1">
        <v>45761</v>
      </c>
      <c r="J521" s="2">
        <f t="shared" si="52"/>
        <v>-6.6686585463462178E-2</v>
      </c>
      <c r="K521" s="3" t="str">
        <f t="shared" si="53"/>
        <v/>
      </c>
      <c r="L521" t="str">
        <f t="shared" si="54"/>
        <v/>
      </c>
      <c r="M521" t="str">
        <f t="shared" si="55"/>
        <v/>
      </c>
      <c r="N521">
        <v>65967.839999999997</v>
      </c>
      <c r="O521" t="s">
        <v>679</v>
      </c>
      <c r="Q521" t="s">
        <v>19</v>
      </c>
    </row>
    <row r="522" spans="1:17" x14ac:dyDescent="0.3">
      <c r="A522">
        <v>100202693</v>
      </c>
      <c r="B522" t="s">
        <v>594</v>
      </c>
      <c r="C522" t="s">
        <v>19</v>
      </c>
      <c r="D522" t="s">
        <v>598</v>
      </c>
      <c r="E522" s="6">
        <v>240158.86</v>
      </c>
      <c r="F522" t="s">
        <v>492</v>
      </c>
      <c r="G522" s="4" t="str">
        <f t="shared" si="50"/>
        <v>240158.86</v>
      </c>
      <c r="H522" t="str">
        <f t="shared" si="51"/>
        <v>240158.86</v>
      </c>
      <c r="I522" s="1">
        <v>45761</v>
      </c>
      <c r="J522" s="2">
        <f t="shared" si="52"/>
        <v>-6.6371373852551943E-2</v>
      </c>
      <c r="K522" s="3" t="str">
        <f t="shared" si="53"/>
        <v/>
      </c>
      <c r="L522" t="str">
        <f t="shared" si="54"/>
        <v/>
      </c>
      <c r="M522" t="str">
        <f t="shared" si="55"/>
        <v/>
      </c>
      <c r="N522">
        <v>257231.68</v>
      </c>
      <c r="O522" t="s">
        <v>680</v>
      </c>
      <c r="Q522" t="s">
        <v>19</v>
      </c>
    </row>
    <row r="523" spans="1:17" x14ac:dyDescent="0.3">
      <c r="A523">
        <v>100205932</v>
      </c>
      <c r="B523" t="s">
        <v>165</v>
      </c>
      <c r="C523" t="s">
        <v>19</v>
      </c>
      <c r="D523" t="s">
        <v>586</v>
      </c>
      <c r="E523" s="6">
        <v>26217.53</v>
      </c>
      <c r="F523" t="s">
        <v>492</v>
      </c>
      <c r="G523" s="4" t="str">
        <f t="shared" si="50"/>
        <v>26217.53</v>
      </c>
      <c r="H523" t="str">
        <f t="shared" si="51"/>
        <v>26217.53</v>
      </c>
      <c r="I523" s="1">
        <v>45761</v>
      </c>
      <c r="J523" s="2">
        <f t="shared" si="52"/>
        <v>-6.5236722044664741E-2</v>
      </c>
      <c r="K523" s="3" t="str">
        <f t="shared" si="53"/>
        <v/>
      </c>
      <c r="L523" t="str">
        <f t="shared" si="54"/>
        <v/>
      </c>
      <c r="M523" t="str">
        <f t="shared" si="55"/>
        <v/>
      </c>
      <c r="N523">
        <v>28047.24</v>
      </c>
      <c r="O523" t="s">
        <v>681</v>
      </c>
      <c r="Q523" t="s">
        <v>19</v>
      </c>
    </row>
    <row r="524" spans="1:17" x14ac:dyDescent="0.3">
      <c r="A524">
        <v>100220898</v>
      </c>
      <c r="B524" t="s">
        <v>166</v>
      </c>
      <c r="C524" t="s">
        <v>19</v>
      </c>
      <c r="D524" t="s">
        <v>167</v>
      </c>
      <c r="E524" s="6">
        <v>62319.23</v>
      </c>
      <c r="F524" t="s">
        <v>492</v>
      </c>
      <c r="G524" s="4" t="str">
        <f t="shared" si="50"/>
        <v>62319.23</v>
      </c>
      <c r="H524" t="str">
        <f t="shared" si="51"/>
        <v>62319.23</v>
      </c>
      <c r="I524" s="1">
        <v>45761</v>
      </c>
      <c r="J524" s="2">
        <f t="shared" si="52"/>
        <v>-6.6616711871113565E-2</v>
      </c>
      <c r="K524" s="3" t="str">
        <f t="shared" si="53"/>
        <v/>
      </c>
      <c r="L524" t="str">
        <f t="shared" si="54"/>
        <v/>
      </c>
      <c r="M524" t="str">
        <f t="shared" si="55"/>
        <v/>
      </c>
      <c r="N524">
        <v>66767.03</v>
      </c>
      <c r="O524" t="s">
        <v>414</v>
      </c>
      <c r="Q524" t="s">
        <v>19</v>
      </c>
    </row>
    <row r="525" spans="1:17" x14ac:dyDescent="0.3">
      <c r="A525">
        <v>100220898</v>
      </c>
      <c r="B525" t="s">
        <v>166</v>
      </c>
      <c r="C525" t="s">
        <v>19</v>
      </c>
      <c r="D525" t="s">
        <v>169</v>
      </c>
      <c r="E525" s="6">
        <v>49313.88</v>
      </c>
      <c r="F525" t="s">
        <v>492</v>
      </c>
      <c r="G525" s="4" t="str">
        <f t="shared" si="50"/>
        <v>49313.88</v>
      </c>
      <c r="H525" t="str">
        <f t="shared" si="51"/>
        <v>49313.88</v>
      </c>
      <c r="I525" s="1">
        <v>45761</v>
      </c>
      <c r="J525" s="2">
        <f t="shared" si="52"/>
        <v>-6.6690866573033997E-2</v>
      </c>
      <c r="K525" s="3" t="str">
        <f t="shared" si="53"/>
        <v/>
      </c>
      <c r="L525" t="str">
        <f t="shared" si="54"/>
        <v/>
      </c>
      <c r="M525" t="str">
        <f t="shared" si="55"/>
        <v/>
      </c>
      <c r="N525">
        <v>52837.67</v>
      </c>
      <c r="O525" t="s">
        <v>415</v>
      </c>
      <c r="Q525" t="s">
        <v>19</v>
      </c>
    </row>
    <row r="526" spans="1:17" x14ac:dyDescent="0.3">
      <c r="A526">
        <v>100247003</v>
      </c>
      <c r="B526" t="s">
        <v>105</v>
      </c>
      <c r="C526" t="s">
        <v>19</v>
      </c>
      <c r="D526" t="s">
        <v>171</v>
      </c>
      <c r="E526" s="6">
        <v>39580.39</v>
      </c>
      <c r="F526" t="s">
        <v>492</v>
      </c>
      <c r="G526" s="4" t="str">
        <f t="shared" si="50"/>
        <v>39580.39</v>
      </c>
      <c r="H526" t="str">
        <f t="shared" si="51"/>
        <v>39580.39</v>
      </c>
      <c r="I526" s="1">
        <v>45761</v>
      </c>
      <c r="J526" s="2">
        <f t="shared" si="52"/>
        <v>-6.6690199612673126E-2</v>
      </c>
      <c r="K526" s="3" t="str">
        <f t="shared" si="53"/>
        <v/>
      </c>
      <c r="L526" t="str">
        <f t="shared" si="54"/>
        <v/>
      </c>
      <c r="M526" t="str">
        <f t="shared" si="55"/>
        <v/>
      </c>
      <c r="N526">
        <v>42408.63</v>
      </c>
      <c r="O526" t="s">
        <v>416</v>
      </c>
      <c r="Q526" t="s">
        <v>19</v>
      </c>
    </row>
    <row r="527" spans="1:17" x14ac:dyDescent="0.3">
      <c r="A527">
        <v>100249944</v>
      </c>
      <c r="B527" t="s">
        <v>173</v>
      </c>
      <c r="C527" t="s">
        <v>19</v>
      </c>
      <c r="D527" t="s">
        <v>174</v>
      </c>
      <c r="E527" s="6">
        <v>83711.100000000006</v>
      </c>
      <c r="F527" t="s">
        <v>492</v>
      </c>
      <c r="G527" s="4" t="str">
        <f t="shared" si="50"/>
        <v>83711.1</v>
      </c>
      <c r="H527" t="str">
        <f t="shared" si="51"/>
        <v>83711.1</v>
      </c>
      <c r="I527" s="1">
        <v>45761</v>
      </c>
      <c r="J527" s="2">
        <f t="shared" si="52"/>
        <v>-6.6697943562669559E-2</v>
      </c>
      <c r="K527" s="3" t="str">
        <f t="shared" si="53"/>
        <v/>
      </c>
      <c r="L527" t="str">
        <f t="shared" si="54"/>
        <v/>
      </c>
      <c r="M527" t="str">
        <f t="shared" si="55"/>
        <v/>
      </c>
      <c r="N527">
        <v>89693.47</v>
      </c>
      <c r="O527" t="s">
        <v>417</v>
      </c>
      <c r="Q527" t="s">
        <v>19</v>
      </c>
    </row>
    <row r="528" spans="1:17" x14ac:dyDescent="0.3">
      <c r="A528">
        <v>100250182</v>
      </c>
      <c r="B528" t="s">
        <v>176</v>
      </c>
      <c r="C528" t="s">
        <v>19</v>
      </c>
      <c r="D528" t="s">
        <v>177</v>
      </c>
      <c r="E528" s="6">
        <v>180998.89</v>
      </c>
      <c r="F528" t="s">
        <v>492</v>
      </c>
      <c r="G528" s="4" t="str">
        <f t="shared" si="50"/>
        <v>180998.89</v>
      </c>
      <c r="H528" t="str">
        <f t="shared" si="51"/>
        <v>180998.89</v>
      </c>
      <c r="I528" s="1">
        <v>45761</v>
      </c>
      <c r="J528" s="2">
        <f t="shared" si="52"/>
        <v>-6.6400866096459316E-2</v>
      </c>
      <c r="K528" s="3" t="str">
        <f t="shared" si="53"/>
        <v/>
      </c>
      <c r="L528" t="str">
        <f t="shared" si="54"/>
        <v/>
      </c>
      <c r="M528" t="str">
        <f t="shared" si="55"/>
        <v/>
      </c>
      <c r="N528">
        <v>193872.17</v>
      </c>
      <c r="O528" t="s">
        <v>418</v>
      </c>
      <c r="Q528" t="s">
        <v>19</v>
      </c>
    </row>
    <row r="529" spans="1:17" x14ac:dyDescent="0.3">
      <c r="A529">
        <v>100271808</v>
      </c>
      <c r="B529" t="s">
        <v>179</v>
      </c>
      <c r="C529" t="s">
        <v>611</v>
      </c>
      <c r="D529" t="s">
        <v>180</v>
      </c>
      <c r="E529" s="6">
        <v>4847.01</v>
      </c>
      <c r="F529" t="s">
        <v>492</v>
      </c>
      <c r="G529" s="4" t="str">
        <f t="shared" si="50"/>
        <v>4847.01</v>
      </c>
      <c r="H529" t="str">
        <f t="shared" si="51"/>
        <v>4847.01</v>
      </c>
      <c r="I529" s="1">
        <v>45761</v>
      </c>
      <c r="J529" s="2">
        <f t="shared" si="52"/>
        <v>-6.516087223184415E-2</v>
      </c>
      <c r="K529" s="3" t="str">
        <f t="shared" si="53"/>
        <v/>
      </c>
      <c r="L529" t="str">
        <f t="shared" si="54"/>
        <v/>
      </c>
      <c r="M529" t="str">
        <f t="shared" si="55"/>
        <v>Check</v>
      </c>
      <c r="N529">
        <v>5184.8599999999997</v>
      </c>
      <c r="O529" t="s">
        <v>181</v>
      </c>
      <c r="Q529" t="s">
        <v>41</v>
      </c>
    </row>
    <row r="530" spans="1:17" x14ac:dyDescent="0.3">
      <c r="A530">
        <v>100273792</v>
      </c>
      <c r="B530" t="s">
        <v>182</v>
      </c>
      <c r="C530" t="s">
        <v>19</v>
      </c>
      <c r="D530" t="s">
        <v>183</v>
      </c>
      <c r="E530" s="6">
        <v>81908.77</v>
      </c>
      <c r="F530" t="s">
        <v>492</v>
      </c>
      <c r="G530" s="4" t="str">
        <f t="shared" si="50"/>
        <v>81908.77</v>
      </c>
      <c r="H530" t="str">
        <f t="shared" si="51"/>
        <v>81908.77</v>
      </c>
      <c r="I530" s="1">
        <v>45761</v>
      </c>
      <c r="J530" s="2">
        <f t="shared" si="52"/>
        <v>-6.6743484026159275E-2</v>
      </c>
      <c r="K530" s="3" t="str">
        <f t="shared" si="53"/>
        <v/>
      </c>
      <c r="L530" t="str">
        <f t="shared" si="54"/>
        <v/>
      </c>
      <c r="M530" t="str">
        <f t="shared" si="55"/>
        <v/>
      </c>
      <c r="N530">
        <v>87766.62</v>
      </c>
      <c r="O530" t="s">
        <v>419</v>
      </c>
      <c r="Q530" t="s">
        <v>19</v>
      </c>
    </row>
    <row r="531" spans="1:17" x14ac:dyDescent="0.3">
      <c r="A531">
        <v>100273792</v>
      </c>
      <c r="B531" t="s">
        <v>182</v>
      </c>
      <c r="C531" t="s">
        <v>19</v>
      </c>
      <c r="D531" t="s">
        <v>185</v>
      </c>
      <c r="E531" s="6">
        <v>117115.65</v>
      </c>
      <c r="F531" t="s">
        <v>492</v>
      </c>
      <c r="G531" s="4" t="str">
        <f t="shared" si="50"/>
        <v>117115.65</v>
      </c>
      <c r="H531" t="str">
        <f t="shared" si="51"/>
        <v>117115.65</v>
      </c>
      <c r="I531" s="1">
        <v>45761</v>
      </c>
      <c r="J531" s="2">
        <f t="shared" si="52"/>
        <v>-6.6633018939876679E-2</v>
      </c>
      <c r="K531" s="3" t="str">
        <f t="shared" si="53"/>
        <v/>
      </c>
      <c r="L531" t="str">
        <f t="shared" si="54"/>
        <v/>
      </c>
      <c r="M531" t="str">
        <f t="shared" si="55"/>
        <v/>
      </c>
      <c r="N531">
        <v>125476.53</v>
      </c>
      <c r="O531" t="s">
        <v>420</v>
      </c>
      <c r="Q531" t="s">
        <v>19</v>
      </c>
    </row>
    <row r="532" spans="1:17" x14ac:dyDescent="0.3">
      <c r="A532">
        <v>100273792</v>
      </c>
      <c r="B532" t="s">
        <v>182</v>
      </c>
      <c r="C532" t="s">
        <v>590</v>
      </c>
      <c r="D532" t="s">
        <v>588</v>
      </c>
      <c r="E532" s="6">
        <v>14234.74</v>
      </c>
      <c r="F532" t="s">
        <v>492</v>
      </c>
      <c r="G532" s="4" t="str">
        <f t="shared" si="50"/>
        <v>14234.74</v>
      </c>
      <c r="H532" t="str">
        <f t="shared" si="51"/>
        <v>14234.74</v>
      </c>
      <c r="I532" s="1">
        <v>45761</v>
      </c>
      <c r="J532" s="2">
        <f t="shared" si="52"/>
        <v>-6.2627627538639805E-2</v>
      </c>
      <c r="K532" s="3" t="str">
        <f t="shared" si="53"/>
        <v/>
      </c>
      <c r="L532" t="str">
        <f t="shared" si="54"/>
        <v/>
      </c>
      <c r="M532" t="str">
        <f t="shared" si="55"/>
        <v>Check</v>
      </c>
      <c r="N532">
        <v>15185.79</v>
      </c>
      <c r="O532" t="s">
        <v>589</v>
      </c>
      <c r="Q532" t="s">
        <v>16</v>
      </c>
    </row>
    <row r="533" spans="1:17" x14ac:dyDescent="0.3">
      <c r="A533">
        <v>100278188</v>
      </c>
      <c r="B533" t="s">
        <v>187</v>
      </c>
      <c r="C533" t="s">
        <v>19</v>
      </c>
      <c r="D533" t="s">
        <v>192</v>
      </c>
      <c r="E533" s="6">
        <v>16664.79</v>
      </c>
      <c r="F533" t="s">
        <v>492</v>
      </c>
      <c r="G533" s="4" t="str">
        <f t="shared" si="50"/>
        <v>16664.79</v>
      </c>
      <c r="H533" t="str">
        <f t="shared" si="51"/>
        <v>16664.79</v>
      </c>
      <c r="I533" s="1">
        <v>45761</v>
      </c>
      <c r="J533" s="2">
        <f t="shared" si="52"/>
        <v>-6.5088920056100938E-2</v>
      </c>
      <c r="K533" s="3" t="str">
        <f t="shared" si="53"/>
        <v/>
      </c>
      <c r="L533" t="str">
        <f t="shared" si="54"/>
        <v/>
      </c>
      <c r="M533" t="str">
        <f t="shared" si="55"/>
        <v/>
      </c>
      <c r="N533">
        <v>17825</v>
      </c>
      <c r="O533" t="s">
        <v>422</v>
      </c>
      <c r="Q533" t="s">
        <v>19</v>
      </c>
    </row>
    <row r="534" spans="1:17" x14ac:dyDescent="0.3">
      <c r="A534">
        <v>100278188</v>
      </c>
      <c r="B534" t="s">
        <v>187</v>
      </c>
      <c r="C534" t="s">
        <v>19</v>
      </c>
      <c r="D534" t="s">
        <v>194</v>
      </c>
      <c r="E534" s="6">
        <v>30544.7</v>
      </c>
      <c r="F534" t="s">
        <v>492</v>
      </c>
      <c r="G534" s="4" t="str">
        <f t="shared" si="50"/>
        <v>30544.7</v>
      </c>
      <c r="H534" t="str">
        <f t="shared" si="51"/>
        <v>30544.7</v>
      </c>
      <c r="I534" s="1">
        <v>45761</v>
      </c>
      <c r="J534" s="2">
        <f t="shared" si="52"/>
        <v>-6.5447754207132655E-2</v>
      </c>
      <c r="K534" s="3" t="str">
        <f t="shared" si="53"/>
        <v/>
      </c>
      <c r="L534" t="str">
        <f t="shared" si="54"/>
        <v/>
      </c>
      <c r="M534" t="str">
        <f t="shared" si="55"/>
        <v/>
      </c>
      <c r="N534">
        <v>32683.78</v>
      </c>
      <c r="O534" t="s">
        <v>423</v>
      </c>
      <c r="Q534" t="s">
        <v>19</v>
      </c>
    </row>
    <row r="535" spans="1:17" x14ac:dyDescent="0.3">
      <c r="A535">
        <v>100278188</v>
      </c>
      <c r="B535" t="s">
        <v>187</v>
      </c>
      <c r="C535" t="s">
        <v>19</v>
      </c>
      <c r="D535" t="s">
        <v>190</v>
      </c>
      <c r="E535" s="6">
        <v>9316.15</v>
      </c>
      <c r="F535" t="s">
        <v>492</v>
      </c>
      <c r="G535" s="4" t="str">
        <f t="shared" si="50"/>
        <v>9316.15</v>
      </c>
      <c r="H535" t="str">
        <f t="shared" si="51"/>
        <v>9316.15</v>
      </c>
      <c r="I535" s="1">
        <v>45761</v>
      </c>
      <c r="J535" s="2">
        <f t="shared" si="52"/>
        <v>-6.1983978670447186E-2</v>
      </c>
      <c r="K535" s="3" t="str">
        <f t="shared" si="53"/>
        <v/>
      </c>
      <c r="L535" t="str">
        <f t="shared" si="54"/>
        <v/>
      </c>
      <c r="M535" t="str">
        <f t="shared" si="55"/>
        <v/>
      </c>
      <c r="N535">
        <v>9931.76</v>
      </c>
      <c r="O535" t="s">
        <v>421</v>
      </c>
      <c r="Q535" t="s">
        <v>19</v>
      </c>
    </row>
    <row r="536" spans="1:17" x14ac:dyDescent="0.3">
      <c r="A536">
        <v>100309343</v>
      </c>
      <c r="B536" t="s">
        <v>196</v>
      </c>
      <c r="C536" t="s">
        <v>590</v>
      </c>
      <c r="D536" t="s">
        <v>424</v>
      </c>
      <c r="E536" s="6">
        <v>7685.86</v>
      </c>
      <c r="F536" t="s">
        <v>492</v>
      </c>
      <c r="G536" s="4" t="str">
        <f t="shared" si="50"/>
        <v>7685.86</v>
      </c>
      <c r="H536" t="str">
        <f t="shared" si="51"/>
        <v>7685.86</v>
      </c>
      <c r="I536" s="1">
        <v>45761</v>
      </c>
      <c r="J536" s="2">
        <f t="shared" si="52"/>
        <v>-5.8276195003847328E-2</v>
      </c>
      <c r="K536" s="3" t="str">
        <f t="shared" si="53"/>
        <v/>
      </c>
      <c r="L536" t="str">
        <f t="shared" si="54"/>
        <v/>
      </c>
      <c r="M536" t="str">
        <f t="shared" si="55"/>
        <v>Check</v>
      </c>
      <c r="N536">
        <v>8161.48</v>
      </c>
      <c r="O536" t="s">
        <v>425</v>
      </c>
      <c r="Q536" t="s">
        <v>16</v>
      </c>
    </row>
    <row r="537" spans="1:17" x14ac:dyDescent="0.3">
      <c r="A537">
        <v>100317997</v>
      </c>
      <c r="B537" t="s">
        <v>199</v>
      </c>
      <c r="C537" t="s">
        <v>611</v>
      </c>
      <c r="D537" t="s">
        <v>200</v>
      </c>
      <c r="E537" s="6">
        <v>981.8</v>
      </c>
      <c r="F537" t="s">
        <v>492</v>
      </c>
      <c r="G537" s="4" t="str">
        <f t="shared" si="50"/>
        <v>981.8</v>
      </c>
      <c r="H537" t="str">
        <f t="shared" si="51"/>
        <v>981.8</v>
      </c>
      <c r="I537" s="1">
        <v>45761</v>
      </c>
      <c r="J537" s="2">
        <f t="shared" si="52"/>
        <v>-6.7545492535045507E-2</v>
      </c>
      <c r="K537" s="3" t="str">
        <f t="shared" si="53"/>
        <v/>
      </c>
      <c r="L537" t="str">
        <f t="shared" si="54"/>
        <v/>
      </c>
      <c r="M537" t="str">
        <f t="shared" si="55"/>
        <v>Check</v>
      </c>
      <c r="N537">
        <v>1052.92</v>
      </c>
      <c r="O537" t="s">
        <v>201</v>
      </c>
      <c r="Q537" t="s">
        <v>41</v>
      </c>
    </row>
    <row r="538" spans="1:17" x14ac:dyDescent="0.3">
      <c r="A538">
        <v>100317997</v>
      </c>
      <c r="B538" t="s">
        <v>199</v>
      </c>
      <c r="C538" t="s">
        <v>606</v>
      </c>
      <c r="D538" t="s">
        <v>621</v>
      </c>
      <c r="E538" s="6">
        <v>107.22</v>
      </c>
      <c r="F538" t="s">
        <v>492</v>
      </c>
      <c r="G538" s="4" t="str">
        <f t="shared" si="50"/>
        <v>107.22</v>
      </c>
      <c r="H538" t="str">
        <f t="shared" si="51"/>
        <v>107.22</v>
      </c>
      <c r="I538" s="1">
        <v>45761</v>
      </c>
      <c r="J538" s="2">
        <f t="shared" si="52"/>
        <v>-6.6840731070496137E-2</v>
      </c>
      <c r="K538" s="3" t="str">
        <f t="shared" si="53"/>
        <v/>
      </c>
      <c r="L538" t="str">
        <f t="shared" si="54"/>
        <v/>
      </c>
      <c r="M538" t="str">
        <f t="shared" si="55"/>
        <v/>
      </c>
      <c r="N538">
        <v>114.9</v>
      </c>
      <c r="O538" t="s">
        <v>659</v>
      </c>
      <c r="Q538" t="s">
        <v>606</v>
      </c>
    </row>
    <row r="539" spans="1:17" x14ac:dyDescent="0.3">
      <c r="A539">
        <v>100325823</v>
      </c>
      <c r="B539" t="s">
        <v>202</v>
      </c>
      <c r="C539" t="s">
        <v>19</v>
      </c>
      <c r="D539" t="s">
        <v>203</v>
      </c>
      <c r="E539" s="6">
        <v>204756.84</v>
      </c>
      <c r="F539" t="s">
        <v>492</v>
      </c>
      <c r="G539" s="4" t="str">
        <f t="shared" si="50"/>
        <v>204756.84</v>
      </c>
      <c r="H539" t="str">
        <f t="shared" si="51"/>
        <v>204756.84</v>
      </c>
      <c r="I539" s="1">
        <v>45761</v>
      </c>
      <c r="J539" s="2">
        <f t="shared" si="52"/>
        <v>1.1891726230308661</v>
      </c>
      <c r="K539" s="3" t="str">
        <f t="shared" si="53"/>
        <v>Check!</v>
      </c>
      <c r="L539" t="str">
        <f t="shared" si="54"/>
        <v/>
      </c>
      <c r="M539" t="str">
        <f t="shared" si="55"/>
        <v/>
      </c>
      <c r="N539">
        <v>93531.61</v>
      </c>
      <c r="O539" t="s">
        <v>426</v>
      </c>
      <c r="Q539" t="s">
        <v>19</v>
      </c>
    </row>
    <row r="540" spans="1:17" x14ac:dyDescent="0.3">
      <c r="A540">
        <v>100376880</v>
      </c>
      <c r="B540" t="s">
        <v>205</v>
      </c>
      <c r="C540" t="s">
        <v>19</v>
      </c>
      <c r="D540" t="s">
        <v>208</v>
      </c>
      <c r="E540" s="6">
        <v>8127.76</v>
      </c>
      <c r="F540" t="s">
        <v>492</v>
      </c>
      <c r="G540" s="4" t="str">
        <f t="shared" si="50"/>
        <v>8127.76</v>
      </c>
      <c r="H540" t="str">
        <f t="shared" si="51"/>
        <v>8127.76</v>
      </c>
      <c r="I540" s="1">
        <v>45761</v>
      </c>
      <c r="J540" s="2">
        <f t="shared" si="52"/>
        <v>-7.8359867555676407E-2</v>
      </c>
      <c r="K540" s="3" t="str">
        <f t="shared" si="53"/>
        <v/>
      </c>
      <c r="L540" t="str">
        <f t="shared" si="54"/>
        <v/>
      </c>
      <c r="M540" t="str">
        <f t="shared" si="55"/>
        <v/>
      </c>
      <c r="N540">
        <v>8818.7999999999993</v>
      </c>
      <c r="O540" t="s">
        <v>427</v>
      </c>
      <c r="Q540" t="s">
        <v>19</v>
      </c>
    </row>
    <row r="541" spans="1:17" x14ac:dyDescent="0.3">
      <c r="A541">
        <v>100388471</v>
      </c>
      <c r="B541" t="s">
        <v>210</v>
      </c>
      <c r="C541" t="s">
        <v>19</v>
      </c>
      <c r="D541" t="s">
        <v>211</v>
      </c>
      <c r="E541" s="6">
        <v>206893.39</v>
      </c>
      <c r="F541" t="s">
        <v>492</v>
      </c>
      <c r="G541" s="4" t="str">
        <f t="shared" si="50"/>
        <v>206893.39</v>
      </c>
      <c r="H541" t="str">
        <f t="shared" si="51"/>
        <v>206893.39</v>
      </c>
      <c r="I541" s="1">
        <v>45761</v>
      </c>
      <c r="J541" s="2">
        <f t="shared" si="52"/>
        <v>-6.6691973700533369E-2</v>
      </c>
      <c r="K541" s="3" t="str">
        <f t="shared" si="53"/>
        <v/>
      </c>
      <c r="L541" t="str">
        <f t="shared" si="54"/>
        <v/>
      </c>
      <c r="M541" t="str">
        <f t="shared" si="55"/>
        <v/>
      </c>
      <c r="N541">
        <v>221677.5</v>
      </c>
      <c r="O541" t="s">
        <v>428</v>
      </c>
      <c r="Q541" t="s">
        <v>19</v>
      </c>
    </row>
    <row r="542" spans="1:17" x14ac:dyDescent="0.3">
      <c r="A542">
        <v>100388471</v>
      </c>
      <c r="B542" t="s">
        <v>210</v>
      </c>
      <c r="C542" t="s">
        <v>19</v>
      </c>
      <c r="D542" t="s">
        <v>213</v>
      </c>
      <c r="E542" s="6">
        <v>8824.56</v>
      </c>
      <c r="F542" t="s">
        <v>492</v>
      </c>
      <c r="G542" s="4" t="str">
        <f t="shared" si="50"/>
        <v>8824.56</v>
      </c>
      <c r="H542" t="str">
        <f t="shared" si="51"/>
        <v>8824.56</v>
      </c>
      <c r="I542" s="1">
        <v>45761</v>
      </c>
      <c r="J542" s="2">
        <f t="shared" si="52"/>
        <v>-6.6916770112779231E-2</v>
      </c>
      <c r="K542" s="3" t="str">
        <f t="shared" si="53"/>
        <v/>
      </c>
      <c r="L542" t="str">
        <f t="shared" si="54"/>
        <v/>
      </c>
      <c r="M542" t="str">
        <f t="shared" si="55"/>
        <v/>
      </c>
      <c r="N542">
        <v>9457.42</v>
      </c>
      <c r="O542" t="s">
        <v>429</v>
      </c>
      <c r="Q542" t="s">
        <v>19</v>
      </c>
    </row>
    <row r="543" spans="1:17" x14ac:dyDescent="0.3">
      <c r="A543">
        <v>100408912</v>
      </c>
      <c r="B543" t="s">
        <v>215</v>
      </c>
      <c r="C543" t="s">
        <v>19</v>
      </c>
      <c r="D543" t="s">
        <v>216</v>
      </c>
      <c r="E543" s="6">
        <v>122135.43</v>
      </c>
      <c r="F543" t="s">
        <v>492</v>
      </c>
      <c r="G543" s="4" t="str">
        <f t="shared" si="50"/>
        <v>122135.43</v>
      </c>
      <c r="H543" t="str">
        <f t="shared" si="51"/>
        <v>122135.43</v>
      </c>
      <c r="I543" s="1">
        <v>45761</v>
      </c>
      <c r="J543" s="2">
        <f t="shared" si="52"/>
        <v>-6.6607540937753007E-2</v>
      </c>
      <c r="K543" s="3" t="str">
        <f t="shared" si="53"/>
        <v/>
      </c>
      <c r="L543" t="str">
        <f t="shared" si="54"/>
        <v/>
      </c>
      <c r="M543" t="str">
        <f t="shared" si="55"/>
        <v/>
      </c>
      <c r="N543">
        <v>130851.1</v>
      </c>
      <c r="O543" t="s">
        <v>430</v>
      </c>
      <c r="Q543" t="s">
        <v>19</v>
      </c>
    </row>
    <row r="544" spans="1:17" x14ac:dyDescent="0.3">
      <c r="A544">
        <v>100421069</v>
      </c>
      <c r="B544" t="s">
        <v>218</v>
      </c>
      <c r="C544" t="s">
        <v>19</v>
      </c>
      <c r="D544" t="s">
        <v>220</v>
      </c>
      <c r="E544" s="6">
        <v>65662.649999999994</v>
      </c>
      <c r="F544" t="s">
        <v>492</v>
      </c>
      <c r="G544" s="4" t="str">
        <f t="shared" si="50"/>
        <v>65662.65</v>
      </c>
      <c r="H544" t="str">
        <f t="shared" si="51"/>
        <v>65662.65</v>
      </c>
      <c r="I544" s="1">
        <v>45761</v>
      </c>
      <c r="J544" s="2">
        <f t="shared" si="52"/>
        <v>-6.674255413982326E-2</v>
      </c>
      <c r="K544" s="3" t="str">
        <f t="shared" si="53"/>
        <v/>
      </c>
      <c r="L544" t="str">
        <f t="shared" si="54"/>
        <v/>
      </c>
      <c r="M544" t="str">
        <f t="shared" si="55"/>
        <v/>
      </c>
      <c r="N544">
        <v>70358.559999999998</v>
      </c>
      <c r="O544" t="s">
        <v>431</v>
      </c>
      <c r="Q544" t="s">
        <v>19</v>
      </c>
    </row>
    <row r="545" spans="1:17" x14ac:dyDescent="0.3">
      <c r="A545">
        <v>100421069</v>
      </c>
      <c r="B545" t="s">
        <v>218</v>
      </c>
      <c r="C545" t="s">
        <v>19</v>
      </c>
      <c r="D545" t="s">
        <v>222</v>
      </c>
      <c r="E545" s="6">
        <v>30015.41</v>
      </c>
      <c r="F545" t="s">
        <v>492</v>
      </c>
      <c r="G545" s="4" t="str">
        <f t="shared" si="50"/>
        <v>30015.41</v>
      </c>
      <c r="H545" t="str">
        <f t="shared" si="51"/>
        <v>30015.41</v>
      </c>
      <c r="I545" s="1">
        <v>45761</v>
      </c>
      <c r="J545" s="2">
        <f t="shared" si="52"/>
        <v>-6.6710260014732167E-2</v>
      </c>
      <c r="K545" s="3" t="str">
        <f t="shared" si="53"/>
        <v/>
      </c>
      <c r="L545" t="str">
        <f t="shared" si="54"/>
        <v/>
      </c>
      <c r="M545" t="str">
        <f t="shared" si="55"/>
        <v/>
      </c>
      <c r="N545">
        <v>32160.87</v>
      </c>
      <c r="O545" t="s">
        <v>432</v>
      </c>
      <c r="Q545" t="s">
        <v>19</v>
      </c>
    </row>
    <row r="546" spans="1:17" x14ac:dyDescent="0.3">
      <c r="A546">
        <v>100421069</v>
      </c>
      <c r="B546" t="s">
        <v>218</v>
      </c>
      <c r="C546" t="s">
        <v>19</v>
      </c>
      <c r="D546" t="s">
        <v>224</v>
      </c>
      <c r="E546" s="6">
        <v>35742.959999999999</v>
      </c>
      <c r="F546" t="s">
        <v>492</v>
      </c>
      <c r="G546" s="4" t="str">
        <f t="shared" si="50"/>
        <v>35742.96</v>
      </c>
      <c r="H546" t="str">
        <f t="shared" si="51"/>
        <v>35742.96</v>
      </c>
      <c r="I546" s="1">
        <v>45761</v>
      </c>
      <c r="J546" s="2">
        <f t="shared" si="52"/>
        <v>-6.6776116877786465E-2</v>
      </c>
      <c r="K546" s="3" t="str">
        <f t="shared" si="53"/>
        <v/>
      </c>
      <c r="L546" t="str">
        <f t="shared" si="54"/>
        <v/>
      </c>
      <c r="M546" t="str">
        <f t="shared" si="55"/>
        <v/>
      </c>
      <c r="N546">
        <v>38300.519999999997</v>
      </c>
      <c r="O546" t="s">
        <v>433</v>
      </c>
      <c r="Q546" t="s">
        <v>19</v>
      </c>
    </row>
    <row r="547" spans="1:17" x14ac:dyDescent="0.3">
      <c r="A547">
        <v>100489695</v>
      </c>
      <c r="B547" t="s">
        <v>229</v>
      </c>
      <c r="C547" t="s">
        <v>590</v>
      </c>
      <c r="D547" t="s">
        <v>230</v>
      </c>
      <c r="E547" s="6">
        <v>236980.26</v>
      </c>
      <c r="F547" t="s">
        <v>492</v>
      </c>
      <c r="G547" s="4" t="str">
        <f t="shared" si="50"/>
        <v>236980.26</v>
      </c>
      <c r="H547" t="str">
        <f t="shared" si="51"/>
        <v>236980.26</v>
      </c>
      <c r="I547" s="1">
        <v>45761</v>
      </c>
      <c r="J547" s="2">
        <f t="shared" si="52"/>
        <v>-6.6248857684905668E-2</v>
      </c>
      <c r="K547" s="3" t="str">
        <f t="shared" si="53"/>
        <v/>
      </c>
      <c r="L547" t="str">
        <f t="shared" si="54"/>
        <v/>
      </c>
      <c r="M547" t="str">
        <f t="shared" si="55"/>
        <v>Check</v>
      </c>
      <c r="N547">
        <v>253793.81</v>
      </c>
      <c r="O547" t="s">
        <v>434</v>
      </c>
      <c r="Q547" t="s">
        <v>16</v>
      </c>
    </row>
    <row r="548" spans="1:17" x14ac:dyDescent="0.3">
      <c r="A548">
        <v>100492707</v>
      </c>
      <c r="B548" t="s">
        <v>232</v>
      </c>
      <c r="C548" t="s">
        <v>19</v>
      </c>
      <c r="D548" t="s">
        <v>233</v>
      </c>
      <c r="E548" s="6">
        <v>56261.51</v>
      </c>
      <c r="F548" t="s">
        <v>492</v>
      </c>
      <c r="G548" s="4" t="str">
        <f t="shared" si="50"/>
        <v>56261.51</v>
      </c>
      <c r="H548" t="str">
        <f t="shared" si="51"/>
        <v>56261.51</v>
      </c>
      <c r="I548" s="1">
        <v>45761</v>
      </c>
      <c r="J548" s="2">
        <f t="shared" si="52"/>
        <v>-6.677086837410165E-2</v>
      </c>
      <c r="K548" s="3" t="str">
        <f t="shared" si="53"/>
        <v/>
      </c>
      <c r="L548" t="str">
        <f t="shared" si="54"/>
        <v/>
      </c>
      <c r="M548" t="str">
        <f t="shared" si="55"/>
        <v/>
      </c>
      <c r="N548">
        <v>60286.92</v>
      </c>
      <c r="O548" t="s">
        <v>435</v>
      </c>
      <c r="Q548" t="s">
        <v>19</v>
      </c>
    </row>
    <row r="549" spans="1:17" x14ac:dyDescent="0.3">
      <c r="A549">
        <v>100492707</v>
      </c>
      <c r="B549" t="s">
        <v>232</v>
      </c>
      <c r="C549" t="s">
        <v>19</v>
      </c>
      <c r="D549" t="s">
        <v>624</v>
      </c>
      <c r="E549" s="6">
        <v>460220.06</v>
      </c>
      <c r="F549" t="s">
        <v>492</v>
      </c>
      <c r="G549" s="4" t="str">
        <f t="shared" si="50"/>
        <v>460220.06</v>
      </c>
      <c r="H549" t="str">
        <f t="shared" si="51"/>
        <v>460220.06</v>
      </c>
      <c r="I549" s="1">
        <v>45761</v>
      </c>
      <c r="J549" s="2">
        <f t="shared" si="52"/>
        <v>-6.6556129445943732E-2</v>
      </c>
      <c r="K549" s="3" t="str">
        <f t="shared" si="53"/>
        <v/>
      </c>
      <c r="L549" t="str">
        <f t="shared" si="54"/>
        <v/>
      </c>
      <c r="M549" t="str">
        <f t="shared" si="55"/>
        <v/>
      </c>
      <c r="N549">
        <v>493034.53</v>
      </c>
      <c r="O549" t="s">
        <v>682</v>
      </c>
      <c r="Q549" t="s">
        <v>19</v>
      </c>
    </row>
    <row r="550" spans="1:17" x14ac:dyDescent="0.3">
      <c r="A550">
        <v>100497270</v>
      </c>
      <c r="B550" t="s">
        <v>235</v>
      </c>
      <c r="C550" t="s">
        <v>606</v>
      </c>
      <c r="D550" t="s">
        <v>625</v>
      </c>
      <c r="E550" s="6">
        <v>874.88</v>
      </c>
      <c r="F550" t="s">
        <v>492</v>
      </c>
      <c r="G550" s="4" t="str">
        <f t="shared" si="50"/>
        <v>874.88</v>
      </c>
      <c r="H550" t="str">
        <f t="shared" si="51"/>
        <v>874.88</v>
      </c>
      <c r="I550" s="1">
        <v>45761</v>
      </c>
      <c r="J550" s="2">
        <f t="shared" si="52"/>
        <v>-6.6834481728779538E-2</v>
      </c>
      <c r="K550" s="3" t="str">
        <f t="shared" si="53"/>
        <v/>
      </c>
      <c r="L550" t="str">
        <f t="shared" si="54"/>
        <v/>
      </c>
      <c r="M550" t="str">
        <f t="shared" si="55"/>
        <v/>
      </c>
      <c r="N550">
        <v>937.54</v>
      </c>
      <c r="O550" t="s">
        <v>661</v>
      </c>
      <c r="Q550" t="s">
        <v>606</v>
      </c>
    </row>
    <row r="551" spans="1:17" x14ac:dyDescent="0.3">
      <c r="A551">
        <v>100497270</v>
      </c>
      <c r="B551" t="s">
        <v>235</v>
      </c>
      <c r="C551" t="s">
        <v>611</v>
      </c>
      <c r="D551" t="s">
        <v>236</v>
      </c>
      <c r="E551" s="6">
        <v>8017.33</v>
      </c>
      <c r="F551" t="s">
        <v>492</v>
      </c>
      <c r="G551" s="4" t="str">
        <f t="shared" si="50"/>
        <v>8017.33</v>
      </c>
      <c r="H551" t="str">
        <f t="shared" si="51"/>
        <v>8017.33</v>
      </c>
      <c r="I551" s="1">
        <v>45761</v>
      </c>
      <c r="J551" s="2">
        <f t="shared" si="52"/>
        <v>-6.6906031051418818E-2</v>
      </c>
      <c r="K551" s="3" t="str">
        <f t="shared" si="53"/>
        <v/>
      </c>
      <c r="L551" t="str">
        <f t="shared" si="54"/>
        <v/>
      </c>
      <c r="M551" t="str">
        <f t="shared" si="55"/>
        <v>Check</v>
      </c>
      <c r="N551">
        <v>8592.2000000000007</v>
      </c>
      <c r="O551" t="s">
        <v>237</v>
      </c>
      <c r="Q551" t="s">
        <v>41</v>
      </c>
    </row>
    <row r="552" spans="1:17" x14ac:dyDescent="0.3">
      <c r="A552">
        <v>100528113</v>
      </c>
      <c r="B552" t="s">
        <v>436</v>
      </c>
      <c r="C552" t="s">
        <v>590</v>
      </c>
      <c r="D552" t="s">
        <v>437</v>
      </c>
      <c r="E552" s="6">
        <v>47845.93</v>
      </c>
      <c r="F552" t="s">
        <v>492</v>
      </c>
      <c r="G552" s="4" t="str">
        <f t="shared" si="50"/>
        <v>47845.93</v>
      </c>
      <c r="H552" t="str">
        <f t="shared" si="51"/>
        <v>47845.93</v>
      </c>
      <c r="I552" s="1">
        <v>45761</v>
      </c>
      <c r="J552" s="2">
        <f t="shared" si="52"/>
        <v>-6.6852219920196923E-2</v>
      </c>
      <c r="K552" s="3" t="str">
        <f t="shared" si="53"/>
        <v/>
      </c>
      <c r="L552" t="str">
        <f t="shared" si="54"/>
        <v/>
      </c>
      <c r="M552" t="str">
        <f t="shared" si="55"/>
        <v>Check</v>
      </c>
      <c r="N552">
        <v>51273.69</v>
      </c>
      <c r="O552" t="s">
        <v>438</v>
      </c>
      <c r="Q552" t="s">
        <v>16</v>
      </c>
    </row>
    <row r="553" spans="1:17" x14ac:dyDescent="0.3">
      <c r="A553">
        <v>100562496</v>
      </c>
      <c r="B553" t="s">
        <v>238</v>
      </c>
      <c r="C553" t="s">
        <v>611</v>
      </c>
      <c r="D553" t="s">
        <v>239</v>
      </c>
      <c r="E553" s="6">
        <v>9579.84</v>
      </c>
      <c r="F553" t="s">
        <v>492</v>
      </c>
      <c r="G553" s="4" t="str">
        <f t="shared" si="50"/>
        <v>9579.84</v>
      </c>
      <c r="H553" t="str">
        <f t="shared" si="51"/>
        <v>9579.84</v>
      </c>
      <c r="I553" s="1">
        <v>45761</v>
      </c>
      <c r="J553" s="2">
        <f t="shared" si="52"/>
        <v>-6.6817199294353979E-2</v>
      </c>
      <c r="K553" s="3" t="str">
        <f t="shared" si="53"/>
        <v/>
      </c>
      <c r="L553" t="str">
        <f t="shared" si="54"/>
        <v/>
      </c>
      <c r="M553" t="str">
        <f t="shared" si="55"/>
        <v>Check</v>
      </c>
      <c r="N553">
        <v>10265.77</v>
      </c>
      <c r="O553" t="s">
        <v>240</v>
      </c>
      <c r="Q553" t="s">
        <v>41</v>
      </c>
    </row>
    <row r="554" spans="1:17" x14ac:dyDescent="0.3">
      <c r="A554">
        <v>100562496</v>
      </c>
      <c r="B554" t="s">
        <v>238</v>
      </c>
      <c r="C554" t="s">
        <v>606</v>
      </c>
      <c r="D554" t="s">
        <v>626</v>
      </c>
      <c r="E554" s="6">
        <v>1196.1199999999999</v>
      </c>
      <c r="F554" t="s">
        <v>492</v>
      </c>
      <c r="G554" s="4" t="str">
        <f t="shared" si="50"/>
        <v>1196.12</v>
      </c>
      <c r="H554" t="str">
        <f t="shared" si="51"/>
        <v>1196.12</v>
      </c>
      <c r="I554" s="1">
        <v>45761</v>
      </c>
      <c r="J554" s="2">
        <f t="shared" si="52"/>
        <v>-3.6296397753732508E-2</v>
      </c>
      <c r="K554" s="3" t="str">
        <f t="shared" si="53"/>
        <v/>
      </c>
      <c r="L554" t="str">
        <f t="shared" si="54"/>
        <v/>
      </c>
      <c r="M554" t="str">
        <f t="shared" si="55"/>
        <v/>
      </c>
      <c r="N554">
        <v>1241.17</v>
      </c>
      <c r="O554" t="s">
        <v>663</v>
      </c>
      <c r="Q554" t="s">
        <v>606</v>
      </c>
    </row>
    <row r="555" spans="1:17" x14ac:dyDescent="0.3">
      <c r="A555">
        <v>100562496</v>
      </c>
      <c r="B555" t="s">
        <v>238</v>
      </c>
      <c r="C555" t="s">
        <v>609</v>
      </c>
      <c r="D555" t="s">
        <v>627</v>
      </c>
      <c r="E555" s="6">
        <v>315.86</v>
      </c>
      <c r="F555" t="s">
        <v>492</v>
      </c>
      <c r="G555" s="4" t="str">
        <f t="shared" si="50"/>
        <v>315.86</v>
      </c>
      <c r="H555" t="str">
        <f t="shared" si="51"/>
        <v>315.86</v>
      </c>
      <c r="I555" s="1">
        <v>45761</v>
      </c>
      <c r="J555" s="2">
        <f t="shared" si="52"/>
        <v>0.28712306438467811</v>
      </c>
      <c r="K555" s="3" t="str">
        <f t="shared" si="53"/>
        <v>Check!</v>
      </c>
      <c r="L555" t="str">
        <f t="shared" si="54"/>
        <v/>
      </c>
      <c r="M555" t="str">
        <f t="shared" si="55"/>
        <v/>
      </c>
      <c r="N555">
        <v>245.4</v>
      </c>
      <c r="O555" t="s">
        <v>662</v>
      </c>
      <c r="Q555" t="s">
        <v>609</v>
      </c>
    </row>
    <row r="556" spans="1:17" x14ac:dyDescent="0.3">
      <c r="A556">
        <v>100564770</v>
      </c>
      <c r="B556" t="s">
        <v>241</v>
      </c>
      <c r="C556" t="s">
        <v>19</v>
      </c>
      <c r="D556" t="s">
        <v>242</v>
      </c>
      <c r="E556" s="6">
        <v>33368.839999999997</v>
      </c>
      <c r="F556" t="s">
        <v>492</v>
      </c>
      <c r="G556" s="4" t="str">
        <f t="shared" si="50"/>
        <v>33368.84</v>
      </c>
      <c r="H556" t="str">
        <f t="shared" si="51"/>
        <v>33368.84</v>
      </c>
      <c r="I556" s="1">
        <v>45761</v>
      </c>
      <c r="J556" s="2">
        <f t="shared" si="52"/>
        <v>-6.6721000290593718E-2</v>
      </c>
      <c r="K556" s="3" t="str">
        <f t="shared" si="53"/>
        <v/>
      </c>
      <c r="L556" t="str">
        <f t="shared" si="54"/>
        <v/>
      </c>
      <c r="M556" t="str">
        <f t="shared" si="55"/>
        <v/>
      </c>
      <c r="N556">
        <v>35754.410000000003</v>
      </c>
      <c r="O556" t="s">
        <v>439</v>
      </c>
      <c r="Q556" t="s">
        <v>19</v>
      </c>
    </row>
    <row r="557" spans="1:17" x14ac:dyDescent="0.3">
      <c r="A557">
        <v>100596195</v>
      </c>
      <c r="B557" t="s">
        <v>244</v>
      </c>
      <c r="C557" t="s">
        <v>590</v>
      </c>
      <c r="D557" t="s">
        <v>245</v>
      </c>
      <c r="E557" s="6">
        <v>6922.35</v>
      </c>
      <c r="F557" t="s">
        <v>492</v>
      </c>
      <c r="G557" s="4" t="str">
        <f t="shared" si="50"/>
        <v>6922.35</v>
      </c>
      <c r="H557" t="str">
        <f t="shared" si="51"/>
        <v>6922.35</v>
      </c>
      <c r="I557" s="1">
        <v>45761</v>
      </c>
      <c r="J557" s="2">
        <f t="shared" si="52"/>
        <v>-0.95699299167829743</v>
      </c>
      <c r="K557" s="3" t="str">
        <f t="shared" si="53"/>
        <v>Check!</v>
      </c>
      <c r="L557" t="str">
        <f t="shared" si="54"/>
        <v/>
      </c>
      <c r="M557" t="str">
        <f t="shared" si="55"/>
        <v>Check</v>
      </c>
      <c r="N557">
        <v>160958.65</v>
      </c>
      <c r="O557" t="s">
        <v>697</v>
      </c>
      <c r="Q557" t="s">
        <v>16</v>
      </c>
    </row>
    <row r="558" spans="1:17" x14ac:dyDescent="0.3">
      <c r="A558">
        <v>100596689</v>
      </c>
      <c r="B558" t="s">
        <v>250</v>
      </c>
      <c r="C558" t="s">
        <v>590</v>
      </c>
      <c r="D558" t="s">
        <v>440</v>
      </c>
      <c r="E558" s="6">
        <v>27753.3</v>
      </c>
      <c r="F558" t="s">
        <v>492</v>
      </c>
      <c r="G558" s="4" t="str">
        <f t="shared" si="50"/>
        <v>27753.3</v>
      </c>
      <c r="H558" t="str">
        <f t="shared" si="51"/>
        <v>27753.3</v>
      </c>
      <c r="I558" s="1">
        <v>45761</v>
      </c>
      <c r="J558" s="2">
        <f t="shared" si="52"/>
        <v>-6.306399372884551E-2</v>
      </c>
      <c r="K558" s="3" t="str">
        <f t="shared" si="53"/>
        <v/>
      </c>
      <c r="L558" t="str">
        <f t="shared" si="54"/>
        <v/>
      </c>
      <c r="M558" t="str">
        <f t="shared" si="55"/>
        <v>Check</v>
      </c>
      <c r="N558">
        <v>29621.34</v>
      </c>
      <c r="O558" t="s">
        <v>441</v>
      </c>
      <c r="Q558" t="s">
        <v>16</v>
      </c>
    </row>
    <row r="559" spans="1:17" x14ac:dyDescent="0.3">
      <c r="A559">
        <v>100596689</v>
      </c>
      <c r="B559" t="s">
        <v>250</v>
      </c>
      <c r="C559" t="s">
        <v>590</v>
      </c>
      <c r="D559" t="s">
        <v>251</v>
      </c>
      <c r="E559" s="6">
        <v>9956.7199999999993</v>
      </c>
      <c r="F559" t="s">
        <v>492</v>
      </c>
      <c r="G559" s="4" t="str">
        <f t="shared" si="50"/>
        <v>9956.72</v>
      </c>
      <c r="H559" t="str">
        <f t="shared" si="51"/>
        <v>9956.72</v>
      </c>
      <c r="I559" s="1">
        <v>45761</v>
      </c>
      <c r="J559" s="2">
        <f t="shared" si="52"/>
        <v>-6.6104268727917054E-2</v>
      </c>
      <c r="K559" s="3" t="str">
        <f t="shared" si="53"/>
        <v/>
      </c>
      <c r="L559" t="str">
        <f t="shared" si="54"/>
        <v/>
      </c>
      <c r="M559" t="str">
        <f t="shared" si="55"/>
        <v>Check</v>
      </c>
      <c r="N559">
        <v>10661.49</v>
      </c>
      <c r="O559" t="s">
        <v>442</v>
      </c>
      <c r="Q559" t="s">
        <v>16</v>
      </c>
    </row>
    <row r="560" spans="1:17" x14ac:dyDescent="0.3">
      <c r="A560">
        <v>100614771</v>
      </c>
      <c r="B560" t="s">
        <v>443</v>
      </c>
      <c r="C560" t="s">
        <v>590</v>
      </c>
      <c r="D560" t="s">
        <v>444</v>
      </c>
      <c r="E560" s="6">
        <v>3019.51</v>
      </c>
      <c r="F560" t="s">
        <v>492</v>
      </c>
      <c r="G560" s="4" t="str">
        <f t="shared" si="50"/>
        <v>3019.51</v>
      </c>
      <c r="H560" t="str">
        <f t="shared" si="51"/>
        <v>3019.51</v>
      </c>
      <c r="I560" s="1">
        <v>45761</v>
      </c>
      <c r="J560" s="2">
        <f t="shared" si="52"/>
        <v>-5.038493955442605E-2</v>
      </c>
      <c r="K560" s="3" t="str">
        <f t="shared" si="53"/>
        <v/>
      </c>
      <c r="L560" t="str">
        <f t="shared" si="54"/>
        <v/>
      </c>
      <c r="M560" t="str">
        <f t="shared" si="55"/>
        <v>Check</v>
      </c>
      <c r="N560">
        <v>3179.72</v>
      </c>
      <c r="O560" t="s">
        <v>445</v>
      </c>
      <c r="Q560" t="s">
        <v>16</v>
      </c>
    </row>
    <row r="561" spans="1:17" x14ac:dyDescent="0.3">
      <c r="A561">
        <v>100620477</v>
      </c>
      <c r="B561" t="s">
        <v>446</v>
      </c>
      <c r="C561" t="s">
        <v>590</v>
      </c>
      <c r="D561" t="s">
        <v>447</v>
      </c>
      <c r="E561" s="6">
        <v>20992.560000000001</v>
      </c>
      <c r="F561" t="s">
        <v>492</v>
      </c>
      <c r="G561" s="4" t="str">
        <f t="shared" si="50"/>
        <v>20992.56</v>
      </c>
      <c r="H561" t="str">
        <f t="shared" si="51"/>
        <v>20992.56</v>
      </c>
      <c r="I561" s="1">
        <v>45761</v>
      </c>
      <c r="J561" s="2">
        <f t="shared" si="52"/>
        <v>0.13110122094464258</v>
      </c>
      <c r="K561" s="3" t="str">
        <f t="shared" si="53"/>
        <v>Check!</v>
      </c>
      <c r="L561" t="str">
        <f t="shared" si="54"/>
        <v/>
      </c>
      <c r="M561" t="str">
        <f t="shared" si="55"/>
        <v>Check</v>
      </c>
      <c r="N561">
        <v>18559.400000000001</v>
      </c>
      <c r="O561" t="s">
        <v>448</v>
      </c>
      <c r="Q561" t="s">
        <v>16</v>
      </c>
    </row>
    <row r="562" spans="1:17" x14ac:dyDescent="0.3">
      <c r="A562">
        <v>100623191</v>
      </c>
      <c r="B562" t="s">
        <v>449</v>
      </c>
      <c r="C562" t="s">
        <v>590</v>
      </c>
      <c r="D562" t="s">
        <v>450</v>
      </c>
      <c r="E562" s="6">
        <v>3809.11</v>
      </c>
      <c r="F562" t="s">
        <v>492</v>
      </c>
      <c r="G562" s="4" t="str">
        <f t="shared" si="50"/>
        <v>3809.11</v>
      </c>
      <c r="H562" t="str">
        <f t="shared" si="51"/>
        <v>3809.11</v>
      </c>
      <c r="I562" s="1">
        <v>45761</v>
      </c>
      <c r="J562" s="2">
        <f t="shared" si="52"/>
        <v>-3.6592737601137099E-2</v>
      </c>
      <c r="K562" s="3" t="str">
        <f t="shared" si="53"/>
        <v/>
      </c>
      <c r="L562" t="str">
        <f t="shared" si="54"/>
        <v/>
      </c>
      <c r="M562" t="str">
        <f t="shared" si="55"/>
        <v>Check</v>
      </c>
      <c r="N562">
        <v>3953.79</v>
      </c>
      <c r="O562" t="s">
        <v>451</v>
      </c>
      <c r="Q562" t="s">
        <v>16</v>
      </c>
    </row>
    <row r="563" spans="1:17" x14ac:dyDescent="0.3">
      <c r="A563">
        <v>100625039</v>
      </c>
      <c r="B563" t="s">
        <v>452</v>
      </c>
      <c r="C563" t="s">
        <v>590</v>
      </c>
      <c r="D563" t="s">
        <v>453</v>
      </c>
      <c r="E563" s="6">
        <v>22477.02</v>
      </c>
      <c r="F563" t="s">
        <v>492</v>
      </c>
      <c r="G563" s="4" t="str">
        <f t="shared" si="50"/>
        <v>22477.02</v>
      </c>
      <c r="H563" t="str">
        <f t="shared" si="51"/>
        <v>22477.02</v>
      </c>
      <c r="I563" s="1">
        <v>45761</v>
      </c>
      <c r="J563" s="2">
        <f t="shared" si="52"/>
        <v>-3.9168069134354354E-2</v>
      </c>
      <c r="K563" s="3" t="str">
        <f t="shared" si="53"/>
        <v/>
      </c>
      <c r="L563" t="str">
        <f t="shared" si="54"/>
        <v/>
      </c>
      <c r="M563" t="str">
        <f t="shared" si="55"/>
        <v>Check</v>
      </c>
      <c r="N563">
        <v>23393.29</v>
      </c>
      <c r="O563" t="s">
        <v>454</v>
      </c>
      <c r="Q563" t="s">
        <v>16</v>
      </c>
    </row>
    <row r="564" spans="1:17" x14ac:dyDescent="0.3">
      <c r="A564">
        <v>100625041</v>
      </c>
      <c r="B564" t="s">
        <v>69</v>
      </c>
      <c r="C564" t="s">
        <v>590</v>
      </c>
      <c r="D564" t="s">
        <v>455</v>
      </c>
      <c r="E564" s="6">
        <v>17200.47</v>
      </c>
      <c r="F564" t="s">
        <v>492</v>
      </c>
      <c r="G564" s="4" t="str">
        <f t="shared" si="50"/>
        <v>17200.47</v>
      </c>
      <c r="H564" t="str">
        <f t="shared" si="51"/>
        <v>17200.47</v>
      </c>
      <c r="I564" s="1">
        <v>45761</v>
      </c>
      <c r="J564" s="2">
        <f t="shared" si="52"/>
        <v>-6.3609653485155015E-2</v>
      </c>
      <c r="K564" s="3" t="str">
        <f t="shared" si="53"/>
        <v/>
      </c>
      <c r="L564" t="str">
        <f t="shared" si="54"/>
        <v/>
      </c>
      <c r="M564" t="str">
        <f t="shared" si="55"/>
        <v>Check</v>
      </c>
      <c r="N564">
        <v>18368.91</v>
      </c>
      <c r="O564" t="s">
        <v>456</v>
      </c>
      <c r="Q564" t="s">
        <v>16</v>
      </c>
    </row>
    <row r="565" spans="1:17" x14ac:dyDescent="0.3">
      <c r="A565">
        <v>100628018</v>
      </c>
      <c r="B565" t="s">
        <v>253</v>
      </c>
      <c r="C565" t="s">
        <v>590</v>
      </c>
      <c r="D565" t="s">
        <v>254</v>
      </c>
      <c r="E565" s="6">
        <v>76877.08</v>
      </c>
      <c r="F565" t="s">
        <v>492</v>
      </c>
      <c r="G565" s="4" t="str">
        <f t="shared" si="50"/>
        <v>76877.08</v>
      </c>
      <c r="H565" t="str">
        <f t="shared" si="51"/>
        <v>76877.08</v>
      </c>
      <c r="I565" s="1">
        <v>45761</v>
      </c>
      <c r="J565" s="2">
        <f t="shared" si="52"/>
        <v>-0.15071052810953325</v>
      </c>
      <c r="K565" s="3" t="str">
        <f t="shared" si="53"/>
        <v>Check!</v>
      </c>
      <c r="L565" t="str">
        <f t="shared" si="54"/>
        <v/>
      </c>
      <c r="M565" t="str">
        <f t="shared" si="55"/>
        <v>Check</v>
      </c>
      <c r="N565">
        <v>90519.29</v>
      </c>
      <c r="O565" t="s">
        <v>584</v>
      </c>
      <c r="Q565" t="s">
        <v>16</v>
      </c>
    </row>
    <row r="566" spans="1:17" x14ac:dyDescent="0.3">
      <c r="A566">
        <v>100628990</v>
      </c>
      <c r="B566" t="s">
        <v>256</v>
      </c>
      <c r="C566" t="s">
        <v>19</v>
      </c>
      <c r="D566" t="s">
        <v>257</v>
      </c>
      <c r="E566" s="6">
        <v>25200.67</v>
      </c>
      <c r="F566" t="s">
        <v>492</v>
      </c>
      <c r="G566" s="4" t="str">
        <f t="shared" si="50"/>
        <v>25200.67</v>
      </c>
      <c r="H566" t="str">
        <f t="shared" si="51"/>
        <v>25200.67</v>
      </c>
      <c r="I566" s="1">
        <v>45761</v>
      </c>
      <c r="J566" s="2">
        <f t="shared" si="52"/>
        <v>-6.6183590095139341E-2</v>
      </c>
      <c r="K566" s="3" t="str">
        <f t="shared" si="53"/>
        <v/>
      </c>
      <c r="L566" t="str">
        <f t="shared" si="54"/>
        <v/>
      </c>
      <c r="M566" t="str">
        <f t="shared" si="55"/>
        <v/>
      </c>
      <c r="N566">
        <v>26986.75</v>
      </c>
      <c r="O566" t="s">
        <v>457</v>
      </c>
      <c r="Q566" t="s">
        <v>19</v>
      </c>
    </row>
    <row r="567" spans="1:17" x14ac:dyDescent="0.3">
      <c r="A567">
        <v>100630706</v>
      </c>
      <c r="B567" t="s">
        <v>262</v>
      </c>
      <c r="C567" t="s">
        <v>590</v>
      </c>
      <c r="D567" t="s">
        <v>263</v>
      </c>
      <c r="E567" s="6">
        <v>8482.24</v>
      </c>
      <c r="F567" t="s">
        <v>492</v>
      </c>
      <c r="G567" s="4" t="str">
        <f t="shared" si="50"/>
        <v>8482.24</v>
      </c>
      <c r="H567" t="str">
        <f t="shared" si="51"/>
        <v>8482.24</v>
      </c>
      <c r="I567" s="1">
        <v>45761</v>
      </c>
      <c r="J567" s="2">
        <f t="shared" si="52"/>
        <v>-6.5037675204028186E-2</v>
      </c>
      <c r="K567" s="3" t="str">
        <f t="shared" si="53"/>
        <v/>
      </c>
      <c r="L567" t="str">
        <f t="shared" si="54"/>
        <v/>
      </c>
      <c r="M567" t="str">
        <f t="shared" si="55"/>
        <v>Check</v>
      </c>
      <c r="N567">
        <v>9072.2800000000007</v>
      </c>
      <c r="O567" t="s">
        <v>458</v>
      </c>
      <c r="Q567" t="s">
        <v>16</v>
      </c>
    </row>
    <row r="568" spans="1:17" x14ac:dyDescent="0.3">
      <c r="A568">
        <v>100631121</v>
      </c>
      <c r="B568" t="s">
        <v>459</v>
      </c>
      <c r="C568" t="s">
        <v>590</v>
      </c>
      <c r="D568" t="s">
        <v>460</v>
      </c>
      <c r="E568" s="6">
        <v>4516.07</v>
      </c>
      <c r="F568" t="s">
        <v>492</v>
      </c>
      <c r="G568" s="4" t="str">
        <f t="shared" si="50"/>
        <v>4516.07</v>
      </c>
      <c r="H568" t="str">
        <f t="shared" si="51"/>
        <v>4516.07</v>
      </c>
      <c r="I568" s="1">
        <v>45761</v>
      </c>
      <c r="J568" s="2">
        <f t="shared" si="52"/>
        <v>-5.0425892945379434E-2</v>
      </c>
      <c r="K568" s="3" t="str">
        <f t="shared" si="53"/>
        <v/>
      </c>
      <c r="L568" t="str">
        <f t="shared" si="54"/>
        <v/>
      </c>
      <c r="M568" t="str">
        <f t="shared" si="55"/>
        <v>Check</v>
      </c>
      <c r="N568">
        <v>4755.8900000000003</v>
      </c>
      <c r="O568" t="s">
        <v>461</v>
      </c>
      <c r="Q568" t="s">
        <v>16</v>
      </c>
    </row>
    <row r="569" spans="1:17" x14ac:dyDescent="0.3">
      <c r="A569">
        <v>100633203</v>
      </c>
      <c r="B569" t="s">
        <v>265</v>
      </c>
      <c r="C569" t="s">
        <v>590</v>
      </c>
      <c r="D569" t="s">
        <v>266</v>
      </c>
      <c r="E569" s="6">
        <v>140819.59</v>
      </c>
      <c r="F569" t="s">
        <v>492</v>
      </c>
      <c r="G569" s="4" t="str">
        <f t="shared" si="50"/>
        <v>140819.59</v>
      </c>
      <c r="H569" t="str">
        <f t="shared" si="51"/>
        <v>140819.59</v>
      </c>
      <c r="I569" s="1">
        <v>45761</v>
      </c>
      <c r="J569" s="2">
        <f t="shared" si="52"/>
        <v>-0.11411192607487226</v>
      </c>
      <c r="K569" s="3" t="str">
        <f t="shared" si="53"/>
        <v>Check!</v>
      </c>
      <c r="L569" t="str">
        <f t="shared" si="54"/>
        <v/>
      </c>
      <c r="M569" t="str">
        <f t="shared" si="55"/>
        <v>Check</v>
      </c>
      <c r="N569">
        <v>158958.67000000001</v>
      </c>
      <c r="O569" t="s">
        <v>585</v>
      </c>
      <c r="Q569" t="s">
        <v>16</v>
      </c>
    </row>
    <row r="570" spans="1:17" x14ac:dyDescent="0.3">
      <c r="A570">
        <v>100637079</v>
      </c>
      <c r="B570" t="s">
        <v>268</v>
      </c>
      <c r="C570" t="s">
        <v>611</v>
      </c>
      <c r="D570" t="s">
        <v>269</v>
      </c>
      <c r="E570" s="6">
        <v>10858.68</v>
      </c>
      <c r="F570" t="s">
        <v>492</v>
      </c>
      <c r="G570" s="4" t="str">
        <f t="shared" si="50"/>
        <v>10858.68</v>
      </c>
      <c r="H570" t="str">
        <f t="shared" si="51"/>
        <v>10858.68</v>
      </c>
      <c r="I570" s="1">
        <v>45761</v>
      </c>
      <c r="J570" s="2">
        <f t="shared" si="52"/>
        <v>-6.6770142296179211E-2</v>
      </c>
      <c r="K570" s="3" t="str">
        <f t="shared" si="53"/>
        <v/>
      </c>
      <c r="L570" t="str">
        <f t="shared" si="54"/>
        <v/>
      </c>
      <c r="M570" t="str">
        <f t="shared" si="55"/>
        <v>Check</v>
      </c>
      <c r="N570">
        <v>11635.59</v>
      </c>
      <c r="O570" t="s">
        <v>270</v>
      </c>
      <c r="Q570" t="s">
        <v>41</v>
      </c>
    </row>
    <row r="571" spans="1:17" x14ac:dyDescent="0.3">
      <c r="A571">
        <v>100637079</v>
      </c>
      <c r="B571" t="s">
        <v>268</v>
      </c>
      <c r="C571" t="s">
        <v>611</v>
      </c>
      <c r="D571" t="s">
        <v>271</v>
      </c>
      <c r="E571" s="6">
        <v>15562.13</v>
      </c>
      <c r="F571" t="s">
        <v>492</v>
      </c>
      <c r="G571" s="4" t="str">
        <f t="shared" si="50"/>
        <v>15562.13</v>
      </c>
      <c r="H571" t="str">
        <f t="shared" si="51"/>
        <v>15562.13</v>
      </c>
      <c r="I571" s="1">
        <v>45761</v>
      </c>
      <c r="J571" s="2">
        <f t="shared" si="52"/>
        <v>-6.6785281452257692E-2</v>
      </c>
      <c r="K571" s="3" t="str">
        <f t="shared" si="53"/>
        <v/>
      </c>
      <c r="L571" t="str">
        <f t="shared" si="54"/>
        <v/>
      </c>
      <c r="M571" t="str">
        <f t="shared" si="55"/>
        <v>Check</v>
      </c>
      <c r="N571">
        <v>16675.830000000002</v>
      </c>
      <c r="O571" t="s">
        <v>272</v>
      </c>
      <c r="Q571" t="s">
        <v>41</v>
      </c>
    </row>
    <row r="572" spans="1:17" x14ac:dyDescent="0.3">
      <c r="A572">
        <v>100637079</v>
      </c>
      <c r="B572" t="s">
        <v>268</v>
      </c>
      <c r="C572" t="s">
        <v>606</v>
      </c>
      <c r="D572" t="s">
        <v>628</v>
      </c>
      <c r="E572" s="6">
        <v>1183.81</v>
      </c>
      <c r="F572" t="s">
        <v>492</v>
      </c>
      <c r="G572" s="4" t="str">
        <f t="shared" si="50"/>
        <v>1183.81</v>
      </c>
      <c r="H572" t="str">
        <f t="shared" si="51"/>
        <v>1183.81</v>
      </c>
      <c r="I572" s="1">
        <v>45761</v>
      </c>
      <c r="J572" s="2">
        <f t="shared" si="52"/>
        <v>-6.6837458615796916E-2</v>
      </c>
      <c r="K572" s="3" t="str">
        <f t="shared" si="53"/>
        <v/>
      </c>
      <c r="L572" t="str">
        <f t="shared" si="54"/>
        <v/>
      </c>
      <c r="M572" t="str">
        <f t="shared" si="55"/>
        <v/>
      </c>
      <c r="N572">
        <v>1268.5999999999999</v>
      </c>
      <c r="O572" t="s">
        <v>664</v>
      </c>
      <c r="Q572" t="s">
        <v>606</v>
      </c>
    </row>
    <row r="573" spans="1:17" x14ac:dyDescent="0.3">
      <c r="A573">
        <v>100637079</v>
      </c>
      <c r="B573" t="s">
        <v>268</v>
      </c>
      <c r="C573" t="s">
        <v>606</v>
      </c>
      <c r="D573" t="s">
        <v>629</v>
      </c>
      <c r="E573" s="6">
        <v>1724.15</v>
      </c>
      <c r="F573" t="s">
        <v>492</v>
      </c>
      <c r="G573" s="4" t="str">
        <f t="shared" si="50"/>
        <v>1724.15</v>
      </c>
      <c r="H573" t="str">
        <f t="shared" si="51"/>
        <v>1724.15</v>
      </c>
      <c r="I573" s="1">
        <v>45761</v>
      </c>
      <c r="J573" s="2">
        <f t="shared" si="52"/>
        <v>-6.6619388158357704E-2</v>
      </c>
      <c r="K573" s="3" t="str">
        <f t="shared" si="53"/>
        <v/>
      </c>
      <c r="L573" t="str">
        <f t="shared" si="54"/>
        <v/>
      </c>
      <c r="M573" t="str">
        <f t="shared" si="55"/>
        <v/>
      </c>
      <c r="N573">
        <v>1847.21</v>
      </c>
      <c r="O573" t="s">
        <v>665</v>
      </c>
      <c r="Q573" t="s">
        <v>606</v>
      </c>
    </row>
    <row r="574" spans="1:17" x14ac:dyDescent="0.3">
      <c r="A574">
        <v>100637079</v>
      </c>
      <c r="B574" t="s">
        <v>268</v>
      </c>
      <c r="C574" t="s">
        <v>590</v>
      </c>
      <c r="D574" t="s">
        <v>635</v>
      </c>
      <c r="E574" s="6">
        <v>2660.59</v>
      </c>
      <c r="F574" t="s">
        <v>492</v>
      </c>
      <c r="G574" s="4" t="str">
        <f t="shared" si="50"/>
        <v>2660.59</v>
      </c>
      <c r="H574" t="str">
        <f t="shared" si="51"/>
        <v>2660.59</v>
      </c>
      <c r="I574" s="1">
        <v>45761</v>
      </c>
      <c r="J574" s="2">
        <f t="shared" si="52"/>
        <v>0.23643706257958377</v>
      </c>
      <c r="K574" s="3" t="str">
        <f t="shared" si="53"/>
        <v>Check!</v>
      </c>
      <c r="L574" t="str">
        <f t="shared" si="54"/>
        <v/>
      </c>
      <c r="M574" t="str">
        <f t="shared" si="55"/>
        <v/>
      </c>
      <c r="N574">
        <v>2151.8200000000002</v>
      </c>
      <c r="O574" t="s">
        <v>683</v>
      </c>
      <c r="Q574" t="s">
        <v>590</v>
      </c>
    </row>
    <row r="575" spans="1:17" x14ac:dyDescent="0.3">
      <c r="A575">
        <v>100641153</v>
      </c>
      <c r="B575" t="s">
        <v>273</v>
      </c>
      <c r="C575" t="s">
        <v>19</v>
      </c>
      <c r="D575" t="s">
        <v>274</v>
      </c>
      <c r="E575" s="6">
        <v>314385.14</v>
      </c>
      <c r="F575" t="s">
        <v>492</v>
      </c>
      <c r="G575" s="4" t="str">
        <f t="shared" si="50"/>
        <v>314385.14</v>
      </c>
      <c r="H575" t="str">
        <f t="shared" si="51"/>
        <v>314385.14</v>
      </c>
      <c r="I575" s="1">
        <v>45761</v>
      </c>
      <c r="J575" s="2">
        <f t="shared" si="52"/>
        <v>-6.6537357372993156E-2</v>
      </c>
      <c r="K575" s="3" t="str">
        <f t="shared" si="53"/>
        <v/>
      </c>
      <c r="L575" t="str">
        <f t="shared" si="54"/>
        <v/>
      </c>
      <c r="M575" t="str">
        <f t="shared" si="55"/>
        <v/>
      </c>
      <c r="N575">
        <v>336794.56</v>
      </c>
      <c r="O575" t="s">
        <v>462</v>
      </c>
      <c r="Q575" t="s">
        <v>19</v>
      </c>
    </row>
    <row r="576" spans="1:17" x14ac:dyDescent="0.3">
      <c r="A576">
        <v>100651921</v>
      </c>
      <c r="B576" t="s">
        <v>279</v>
      </c>
      <c r="C576" t="s">
        <v>590</v>
      </c>
      <c r="D576" t="s">
        <v>280</v>
      </c>
      <c r="E576" s="6">
        <v>51090.69</v>
      </c>
      <c r="F576" t="s">
        <v>492</v>
      </c>
      <c r="G576" s="4" t="str">
        <f t="shared" si="50"/>
        <v>51090.69</v>
      </c>
      <c r="H576" t="str">
        <f t="shared" si="51"/>
        <v>51090.69</v>
      </c>
      <c r="I576" s="1">
        <v>45761</v>
      </c>
      <c r="J576" s="2">
        <f t="shared" si="52"/>
        <v>-5.8077608268451451E-2</v>
      </c>
      <c r="K576" s="3" t="str">
        <f t="shared" si="53"/>
        <v/>
      </c>
      <c r="L576" t="str">
        <f t="shared" si="54"/>
        <v/>
      </c>
      <c r="M576" t="str">
        <f t="shared" si="55"/>
        <v>Check</v>
      </c>
      <c r="N576">
        <v>54240.87</v>
      </c>
      <c r="O576" t="s">
        <v>463</v>
      </c>
      <c r="Q576" t="s">
        <v>16</v>
      </c>
    </row>
    <row r="577" spans="1:17" x14ac:dyDescent="0.3">
      <c r="A577">
        <v>100651921</v>
      </c>
      <c r="B577" t="s">
        <v>279</v>
      </c>
      <c r="C577" t="s">
        <v>590</v>
      </c>
      <c r="D577" t="s">
        <v>282</v>
      </c>
      <c r="E577" s="6">
        <v>52036.78</v>
      </c>
      <c r="F577" t="s">
        <v>492</v>
      </c>
      <c r="G577" s="4" t="str">
        <f t="shared" si="50"/>
        <v>52036.78</v>
      </c>
      <c r="H577" t="str">
        <f t="shared" si="51"/>
        <v>52036.78</v>
      </c>
      <c r="I577" s="1">
        <v>45761</v>
      </c>
      <c r="J577" s="2">
        <f t="shared" si="52"/>
        <v>-5.5331516736952337E-2</v>
      </c>
      <c r="K577" s="3" t="str">
        <f t="shared" si="53"/>
        <v/>
      </c>
      <c r="L577" t="str">
        <f t="shared" si="54"/>
        <v/>
      </c>
      <c r="M577" t="str">
        <f t="shared" si="55"/>
        <v>Check</v>
      </c>
      <c r="N577">
        <v>55084.7</v>
      </c>
      <c r="O577" t="s">
        <v>464</v>
      </c>
      <c r="Q577" t="s">
        <v>16</v>
      </c>
    </row>
    <row r="578" spans="1:17" x14ac:dyDescent="0.3">
      <c r="A578">
        <v>100655835</v>
      </c>
      <c r="B578" t="s">
        <v>284</v>
      </c>
      <c r="C578" t="s">
        <v>19</v>
      </c>
      <c r="D578" t="s">
        <v>285</v>
      </c>
      <c r="E578" s="6">
        <v>846377.39</v>
      </c>
      <c r="F578" t="s">
        <v>492</v>
      </c>
      <c r="G578" s="4" t="str">
        <f t="shared" si="50"/>
        <v>846377.39</v>
      </c>
      <c r="H578" t="str">
        <f t="shared" si="51"/>
        <v>846377.39</v>
      </c>
      <c r="I578" s="1">
        <v>45761</v>
      </c>
      <c r="J578" s="2">
        <f t="shared" si="52"/>
        <v>-6.6316931387155165E-2</v>
      </c>
      <c r="K578" s="3" t="str">
        <f t="shared" si="53"/>
        <v/>
      </c>
      <c r="L578" t="str">
        <f t="shared" si="54"/>
        <v/>
      </c>
      <c r="M578" t="str">
        <f t="shared" si="55"/>
        <v/>
      </c>
      <c r="N578">
        <v>906493.24</v>
      </c>
      <c r="O578" t="s">
        <v>465</v>
      </c>
      <c r="Q578" t="s">
        <v>19</v>
      </c>
    </row>
    <row r="579" spans="1:17" x14ac:dyDescent="0.3">
      <c r="A579">
        <v>100663638</v>
      </c>
      <c r="B579" t="s">
        <v>287</v>
      </c>
      <c r="C579" t="s">
        <v>19</v>
      </c>
      <c r="D579" t="s">
        <v>288</v>
      </c>
      <c r="E579" s="6">
        <v>260627.55</v>
      </c>
      <c r="F579" t="s">
        <v>492</v>
      </c>
      <c r="G579" s="4" t="str">
        <f t="shared" ref="G579:G642" si="56">SUBSTITUTE(E579,"R","")</f>
        <v>260627.55</v>
      </c>
      <c r="H579" t="str">
        <f t="shared" ref="H579:H642" si="57">SUBSTITUTE(G579,",","")</f>
        <v>260627.55</v>
      </c>
      <c r="I579" s="1">
        <v>45761</v>
      </c>
      <c r="J579" s="2">
        <f t="shared" ref="J579:J642" si="58">(H579-N579)/N579</f>
        <v>-6.6388621261220873E-2</v>
      </c>
      <c r="K579" s="3" t="str">
        <f t="shared" ref="K579:K642" si="59">IF(ABS(J579)&gt;0.1,"Check!","")</f>
        <v/>
      </c>
      <c r="L579" t="str">
        <f t="shared" ref="L579:L642" si="60">IF(LEFT(O579,10)&lt;&gt;LEFT(D579,10),"Check","")</f>
        <v/>
      </c>
      <c r="M579" t="str">
        <f t="shared" ref="M579:M642" si="61">IF(Q579&lt;&gt;C579,"Check","")</f>
        <v/>
      </c>
      <c r="N579">
        <v>279160.64</v>
      </c>
      <c r="O579" t="s">
        <v>466</v>
      </c>
      <c r="Q579" t="s">
        <v>19</v>
      </c>
    </row>
    <row r="580" spans="1:17" x14ac:dyDescent="0.3">
      <c r="A580">
        <v>100663638</v>
      </c>
      <c r="B580" t="s">
        <v>287</v>
      </c>
      <c r="C580" t="s">
        <v>19</v>
      </c>
      <c r="D580" t="s">
        <v>290</v>
      </c>
      <c r="E580" s="6">
        <v>9016.31</v>
      </c>
      <c r="F580" t="s">
        <v>492</v>
      </c>
      <c r="G580" s="4" t="str">
        <f t="shared" si="56"/>
        <v>9016.31</v>
      </c>
      <c r="H580" t="str">
        <f t="shared" si="57"/>
        <v>9016.31</v>
      </c>
      <c r="I580" s="1">
        <v>45761</v>
      </c>
      <c r="J580" s="2">
        <f t="shared" si="58"/>
        <v>-6.6755337042308238E-2</v>
      </c>
      <c r="K580" s="3" t="str">
        <f t="shared" si="59"/>
        <v/>
      </c>
      <c r="L580" t="str">
        <f t="shared" si="60"/>
        <v/>
      </c>
      <c r="M580" t="str">
        <f t="shared" si="61"/>
        <v/>
      </c>
      <c r="N580">
        <v>9661.25</v>
      </c>
      <c r="O580" t="s">
        <v>467</v>
      </c>
      <c r="Q580" t="s">
        <v>19</v>
      </c>
    </row>
    <row r="581" spans="1:17" x14ac:dyDescent="0.3">
      <c r="A581">
        <v>100664029</v>
      </c>
      <c r="B581" t="s">
        <v>292</v>
      </c>
      <c r="C581" t="s">
        <v>19</v>
      </c>
      <c r="D581" t="s">
        <v>293</v>
      </c>
      <c r="E581" s="6">
        <v>23551.040000000001</v>
      </c>
      <c r="F581" t="s">
        <v>492</v>
      </c>
      <c r="G581" s="4" t="str">
        <f t="shared" si="56"/>
        <v>23551.04</v>
      </c>
      <c r="H581" t="str">
        <f t="shared" si="57"/>
        <v>23551.04</v>
      </c>
      <c r="I581" s="1">
        <v>45761</v>
      </c>
      <c r="J581" s="2">
        <f t="shared" si="58"/>
        <v>-6.6789557063595809E-2</v>
      </c>
      <c r="K581" s="3" t="str">
        <f t="shared" si="59"/>
        <v/>
      </c>
      <c r="L581" t="str">
        <f t="shared" si="60"/>
        <v/>
      </c>
      <c r="M581" t="str">
        <f t="shared" si="61"/>
        <v/>
      </c>
      <c r="N581">
        <v>25236.58</v>
      </c>
      <c r="O581" t="s">
        <v>468</v>
      </c>
      <c r="Q581" t="s">
        <v>19</v>
      </c>
    </row>
    <row r="582" spans="1:17" x14ac:dyDescent="0.3">
      <c r="A582">
        <v>100664029</v>
      </c>
      <c r="B582" t="s">
        <v>292</v>
      </c>
      <c r="C582" t="s">
        <v>19</v>
      </c>
      <c r="D582" t="s">
        <v>295</v>
      </c>
      <c r="E582" s="6">
        <v>15109.45</v>
      </c>
      <c r="F582" t="s">
        <v>492</v>
      </c>
      <c r="G582" s="4" t="str">
        <f t="shared" si="56"/>
        <v>15109.45</v>
      </c>
      <c r="H582" t="str">
        <f t="shared" si="57"/>
        <v>15109.45</v>
      </c>
      <c r="I582" s="1">
        <v>45761</v>
      </c>
      <c r="J582" s="2">
        <f t="shared" si="58"/>
        <v>-6.6753344615878743E-2</v>
      </c>
      <c r="K582" s="3" t="str">
        <f t="shared" si="59"/>
        <v/>
      </c>
      <c r="L582" t="str">
        <f t="shared" si="60"/>
        <v/>
      </c>
      <c r="M582" t="str">
        <f t="shared" si="61"/>
        <v/>
      </c>
      <c r="N582">
        <v>16190.2</v>
      </c>
      <c r="O582" t="s">
        <v>469</v>
      </c>
      <c r="Q582" t="s">
        <v>19</v>
      </c>
    </row>
    <row r="583" spans="1:17" x14ac:dyDescent="0.3">
      <c r="A583">
        <v>100664292</v>
      </c>
      <c r="B583" t="s">
        <v>297</v>
      </c>
      <c r="C583" t="s">
        <v>590</v>
      </c>
      <c r="D583" t="s">
        <v>298</v>
      </c>
      <c r="E583" s="6">
        <v>1393.93</v>
      </c>
      <c r="F583" t="s">
        <v>492</v>
      </c>
      <c r="G583" s="4" t="str">
        <f t="shared" si="56"/>
        <v>1393.93</v>
      </c>
      <c r="H583" t="str">
        <f t="shared" si="57"/>
        <v>1393.93</v>
      </c>
      <c r="I583" s="1">
        <v>45761</v>
      </c>
      <c r="J583" s="2">
        <f t="shared" si="58"/>
        <v>-6.6781372181457868E-2</v>
      </c>
      <c r="K583" s="3" t="str">
        <f t="shared" si="59"/>
        <v/>
      </c>
      <c r="L583" t="str">
        <f t="shared" si="60"/>
        <v/>
      </c>
      <c r="M583" t="str">
        <f t="shared" si="61"/>
        <v>Check</v>
      </c>
      <c r="N583">
        <v>1493.68</v>
      </c>
      <c r="O583" t="s">
        <v>470</v>
      </c>
      <c r="Q583" t="s">
        <v>16</v>
      </c>
    </row>
    <row r="584" spans="1:17" x14ac:dyDescent="0.3">
      <c r="A584">
        <v>100664292</v>
      </c>
      <c r="B584" t="s">
        <v>297</v>
      </c>
      <c r="C584" t="s">
        <v>19</v>
      </c>
      <c r="D584" t="s">
        <v>300</v>
      </c>
      <c r="E584" s="6">
        <v>120376</v>
      </c>
      <c r="F584" t="s">
        <v>492</v>
      </c>
      <c r="G584" s="4" t="str">
        <f t="shared" si="56"/>
        <v>120376</v>
      </c>
      <c r="H584" t="str">
        <f t="shared" si="57"/>
        <v>120376</v>
      </c>
      <c r="I584" s="1">
        <v>45761</v>
      </c>
      <c r="J584" s="2">
        <f t="shared" si="58"/>
        <v>-6.67034580801565E-2</v>
      </c>
      <c r="K584" s="3" t="str">
        <f t="shared" si="59"/>
        <v/>
      </c>
      <c r="L584" t="str">
        <f t="shared" si="60"/>
        <v/>
      </c>
      <c r="M584" t="str">
        <f t="shared" si="61"/>
        <v/>
      </c>
      <c r="N584">
        <v>128979.37</v>
      </c>
      <c r="O584" t="s">
        <v>471</v>
      </c>
      <c r="Q584" t="s">
        <v>19</v>
      </c>
    </row>
    <row r="585" spans="1:17" x14ac:dyDescent="0.3">
      <c r="A585">
        <v>100664348</v>
      </c>
      <c r="B585" t="s">
        <v>302</v>
      </c>
      <c r="C585" t="s">
        <v>19</v>
      </c>
      <c r="D585" t="s">
        <v>303</v>
      </c>
      <c r="E585" s="6">
        <v>19838.38</v>
      </c>
      <c r="F585" t="s">
        <v>492</v>
      </c>
      <c r="G585" s="4" t="str">
        <f t="shared" si="56"/>
        <v>19838.38</v>
      </c>
      <c r="H585" t="str">
        <f t="shared" si="57"/>
        <v>19838.38</v>
      </c>
      <c r="I585" s="1">
        <v>45761</v>
      </c>
      <c r="J585" s="2">
        <f t="shared" si="58"/>
        <v>-6.6781384155250548E-2</v>
      </c>
      <c r="K585" s="3" t="str">
        <f t="shared" si="59"/>
        <v/>
      </c>
      <c r="L585" t="str">
        <f t="shared" si="60"/>
        <v/>
      </c>
      <c r="M585" t="str">
        <f t="shared" si="61"/>
        <v/>
      </c>
      <c r="N585">
        <v>21258.02</v>
      </c>
      <c r="O585" t="s">
        <v>472</v>
      </c>
      <c r="Q585" t="s">
        <v>19</v>
      </c>
    </row>
    <row r="586" spans="1:17" x14ac:dyDescent="0.3">
      <c r="A586">
        <v>100664351</v>
      </c>
      <c r="B586" t="s">
        <v>305</v>
      </c>
      <c r="C586" t="s">
        <v>19</v>
      </c>
      <c r="D586" t="s">
        <v>306</v>
      </c>
      <c r="E586" s="6">
        <v>29429.919999999998</v>
      </c>
      <c r="F586" t="s">
        <v>492</v>
      </c>
      <c r="G586" s="4" t="str">
        <f t="shared" si="56"/>
        <v>29429.92</v>
      </c>
      <c r="H586" t="str">
        <f t="shared" si="57"/>
        <v>29429.92</v>
      </c>
      <c r="I586" s="1">
        <v>45761</v>
      </c>
      <c r="J586" s="2">
        <f t="shared" si="58"/>
        <v>-7.9931446421727115E-2</v>
      </c>
      <c r="K586" s="3" t="str">
        <f t="shared" si="59"/>
        <v/>
      </c>
      <c r="L586" t="str">
        <f t="shared" si="60"/>
        <v/>
      </c>
      <c r="M586" t="str">
        <f t="shared" si="61"/>
        <v/>
      </c>
      <c r="N586">
        <v>31986.66</v>
      </c>
      <c r="O586" t="s">
        <v>473</v>
      </c>
      <c r="Q586" t="s">
        <v>19</v>
      </c>
    </row>
    <row r="587" spans="1:17" x14ac:dyDescent="0.3">
      <c r="A587">
        <v>100664601</v>
      </c>
      <c r="B587" t="s">
        <v>308</v>
      </c>
      <c r="C587" t="s">
        <v>623</v>
      </c>
      <c r="D587" t="s">
        <v>309</v>
      </c>
      <c r="E587" s="6">
        <v>164766.99</v>
      </c>
      <c r="F587" t="s">
        <v>492</v>
      </c>
      <c r="G587" s="4" t="str">
        <f t="shared" si="56"/>
        <v>164766.99</v>
      </c>
      <c r="H587" t="str">
        <f t="shared" si="57"/>
        <v>164766.99</v>
      </c>
      <c r="I587" s="1">
        <v>45761</v>
      </c>
      <c r="J587" s="2">
        <f t="shared" si="58"/>
        <v>-6.6156989262791246E-2</v>
      </c>
      <c r="K587" s="3" t="str">
        <f t="shared" si="59"/>
        <v/>
      </c>
      <c r="L587" t="str">
        <f t="shared" si="60"/>
        <v/>
      </c>
      <c r="M587" t="str">
        <f t="shared" si="61"/>
        <v>Check</v>
      </c>
      <c r="N587">
        <v>176439.71</v>
      </c>
      <c r="O587" t="s">
        <v>310</v>
      </c>
      <c r="Q587" t="s">
        <v>164</v>
      </c>
    </row>
    <row r="588" spans="1:17" x14ac:dyDescent="0.3">
      <c r="A588">
        <v>100664601</v>
      </c>
      <c r="B588" t="s">
        <v>308</v>
      </c>
      <c r="C588" t="s">
        <v>611</v>
      </c>
      <c r="D588" t="s">
        <v>311</v>
      </c>
      <c r="E588" s="6">
        <v>50938.51</v>
      </c>
      <c r="F588" t="s">
        <v>492</v>
      </c>
      <c r="G588" s="4" t="str">
        <f t="shared" si="56"/>
        <v>50938.51</v>
      </c>
      <c r="H588" t="str">
        <f t="shared" si="57"/>
        <v>50938.51</v>
      </c>
      <c r="I588" s="1">
        <v>45761</v>
      </c>
      <c r="J588" s="2">
        <f t="shared" si="58"/>
        <v>-6.6542238641590395E-2</v>
      </c>
      <c r="K588" s="3" t="str">
        <f t="shared" si="59"/>
        <v/>
      </c>
      <c r="L588" t="str">
        <f t="shared" si="60"/>
        <v/>
      </c>
      <c r="M588" t="str">
        <f t="shared" si="61"/>
        <v>Check</v>
      </c>
      <c r="N588">
        <v>54569.7</v>
      </c>
      <c r="O588" t="s">
        <v>312</v>
      </c>
      <c r="Q588" t="s">
        <v>41</v>
      </c>
    </row>
    <row r="589" spans="1:17" x14ac:dyDescent="0.3">
      <c r="A589">
        <v>100664601</v>
      </c>
      <c r="B589" t="s">
        <v>308</v>
      </c>
      <c r="C589" t="s">
        <v>622</v>
      </c>
      <c r="D589" t="s">
        <v>630</v>
      </c>
      <c r="E589" s="6">
        <v>2395.25</v>
      </c>
      <c r="F589" t="s">
        <v>492</v>
      </c>
      <c r="G589" s="4" t="str">
        <f t="shared" si="56"/>
        <v>2395.25</v>
      </c>
      <c r="H589" t="str">
        <f t="shared" si="57"/>
        <v>2395.25</v>
      </c>
      <c r="I589" s="1">
        <v>45761</v>
      </c>
      <c r="J589" s="2">
        <f t="shared" si="58"/>
        <v>-6.5709460118344137E-2</v>
      </c>
      <c r="K589" s="3" t="str">
        <f t="shared" si="59"/>
        <v/>
      </c>
      <c r="L589" t="str">
        <f t="shared" si="60"/>
        <v/>
      </c>
      <c r="M589" t="str">
        <f t="shared" si="61"/>
        <v/>
      </c>
      <c r="N589">
        <v>2563.71</v>
      </c>
      <c r="O589" t="s">
        <v>667</v>
      </c>
      <c r="Q589" t="s">
        <v>622</v>
      </c>
    </row>
    <row r="590" spans="1:17" x14ac:dyDescent="0.3">
      <c r="A590">
        <v>100664601</v>
      </c>
      <c r="B590" t="s">
        <v>308</v>
      </c>
      <c r="C590" t="s">
        <v>606</v>
      </c>
      <c r="D590" t="s">
        <v>631</v>
      </c>
      <c r="E590" s="6">
        <v>2374.9</v>
      </c>
      <c r="F590" t="s">
        <v>492</v>
      </c>
      <c r="G590" s="4" t="str">
        <f t="shared" si="56"/>
        <v>2374.9</v>
      </c>
      <c r="H590" t="str">
        <f t="shared" si="57"/>
        <v>2374.9</v>
      </c>
      <c r="I590" s="1">
        <v>45761</v>
      </c>
      <c r="J590" s="2">
        <f t="shared" si="58"/>
        <v>-6.618381421976853E-2</v>
      </c>
      <c r="K590" s="3" t="str">
        <f t="shared" si="59"/>
        <v/>
      </c>
      <c r="L590" t="str">
        <f t="shared" si="60"/>
        <v/>
      </c>
      <c r="M590" t="str">
        <f t="shared" si="61"/>
        <v/>
      </c>
      <c r="N590">
        <v>2543.2199999999998</v>
      </c>
      <c r="O590" t="s">
        <v>668</v>
      </c>
      <c r="Q590" t="s">
        <v>606</v>
      </c>
    </row>
    <row r="591" spans="1:17" x14ac:dyDescent="0.3">
      <c r="A591">
        <v>100664737</v>
      </c>
      <c r="B591" t="s">
        <v>313</v>
      </c>
      <c r="C591" t="s">
        <v>19</v>
      </c>
      <c r="D591" t="s">
        <v>314</v>
      </c>
      <c r="E591" s="6">
        <v>16593.43</v>
      </c>
      <c r="F591" t="s">
        <v>492</v>
      </c>
      <c r="G591" s="4" t="str">
        <f t="shared" si="56"/>
        <v>16593.43</v>
      </c>
      <c r="H591" t="str">
        <f t="shared" si="57"/>
        <v>16593.43</v>
      </c>
      <c r="I591" s="1">
        <v>45761</v>
      </c>
      <c r="J591" s="2">
        <f t="shared" si="58"/>
        <v>-6.4227318124578173E-2</v>
      </c>
      <c r="K591" s="3" t="str">
        <f t="shared" si="59"/>
        <v/>
      </c>
      <c r="L591" t="str">
        <f t="shared" si="60"/>
        <v/>
      </c>
      <c r="M591" t="str">
        <f t="shared" si="61"/>
        <v/>
      </c>
      <c r="N591">
        <v>17732.330000000002</v>
      </c>
      <c r="O591" t="s">
        <v>474</v>
      </c>
      <c r="Q591" t="s">
        <v>19</v>
      </c>
    </row>
    <row r="592" spans="1:17" x14ac:dyDescent="0.3">
      <c r="A592">
        <v>100664737</v>
      </c>
      <c r="B592" t="s">
        <v>313</v>
      </c>
      <c r="C592" t="s">
        <v>19</v>
      </c>
      <c r="D592" t="s">
        <v>316</v>
      </c>
      <c r="E592" s="6">
        <v>7738.13</v>
      </c>
      <c r="F592" t="s">
        <v>492</v>
      </c>
      <c r="G592" s="4" t="str">
        <f t="shared" si="56"/>
        <v>7738.13</v>
      </c>
      <c r="H592" t="str">
        <f t="shared" si="57"/>
        <v>7738.13</v>
      </c>
      <c r="I592" s="1">
        <v>45761</v>
      </c>
      <c r="J592" s="2">
        <f t="shared" si="58"/>
        <v>-6.6664013132581398E-2</v>
      </c>
      <c r="K592" s="3" t="str">
        <f t="shared" si="59"/>
        <v/>
      </c>
      <c r="L592" t="str">
        <f t="shared" si="60"/>
        <v/>
      </c>
      <c r="M592" t="str">
        <f t="shared" si="61"/>
        <v/>
      </c>
      <c r="N592">
        <v>8290.83</v>
      </c>
      <c r="O592" t="s">
        <v>475</v>
      </c>
      <c r="Q592" t="s">
        <v>19</v>
      </c>
    </row>
    <row r="593" spans="1:17" x14ac:dyDescent="0.3">
      <c r="A593">
        <v>100665510</v>
      </c>
      <c r="B593" t="s">
        <v>318</v>
      </c>
      <c r="C593" t="s">
        <v>590</v>
      </c>
      <c r="D593" t="s">
        <v>476</v>
      </c>
      <c r="E593" s="6">
        <v>7378.06</v>
      </c>
      <c r="F593" t="s">
        <v>492</v>
      </c>
      <c r="G593" s="4" t="str">
        <f t="shared" si="56"/>
        <v>7378.06</v>
      </c>
      <c r="H593" t="str">
        <f t="shared" si="57"/>
        <v>7378.06</v>
      </c>
      <c r="I593" s="1">
        <v>45761</v>
      </c>
      <c r="J593" s="2">
        <f t="shared" si="58"/>
        <v>-5.1931330472102931E-2</v>
      </c>
      <c r="K593" s="3" t="str">
        <f t="shared" si="59"/>
        <v/>
      </c>
      <c r="L593" t="str">
        <f t="shared" si="60"/>
        <v/>
      </c>
      <c r="M593" t="str">
        <f t="shared" si="61"/>
        <v>Check</v>
      </c>
      <c r="N593">
        <v>7782.2</v>
      </c>
      <c r="O593" t="s">
        <v>477</v>
      </c>
      <c r="Q593" t="s">
        <v>16</v>
      </c>
    </row>
    <row r="594" spans="1:17" x14ac:dyDescent="0.3">
      <c r="A594">
        <v>100665510</v>
      </c>
      <c r="B594" t="s">
        <v>318</v>
      </c>
      <c r="C594" t="s">
        <v>19</v>
      </c>
      <c r="D594" t="s">
        <v>319</v>
      </c>
      <c r="E594" s="6">
        <v>76700.5</v>
      </c>
      <c r="F594" t="s">
        <v>492</v>
      </c>
      <c r="G594" s="4" t="str">
        <f t="shared" si="56"/>
        <v>76700.5</v>
      </c>
      <c r="H594" t="str">
        <f t="shared" si="57"/>
        <v>76700.5</v>
      </c>
      <c r="I594" s="1">
        <v>45761</v>
      </c>
      <c r="J594" s="2">
        <f t="shared" si="58"/>
        <v>-6.4916898231314663E-2</v>
      </c>
      <c r="K594" s="3" t="str">
        <f t="shared" si="59"/>
        <v/>
      </c>
      <c r="L594" t="str">
        <f t="shared" si="60"/>
        <v/>
      </c>
      <c r="M594" t="str">
        <f t="shared" si="61"/>
        <v/>
      </c>
      <c r="N594">
        <v>82025.33</v>
      </c>
      <c r="O594" t="s">
        <v>478</v>
      </c>
      <c r="Q594" t="s">
        <v>19</v>
      </c>
    </row>
    <row r="595" spans="1:17" x14ac:dyDescent="0.3">
      <c r="A595">
        <v>100665581</v>
      </c>
      <c r="B595" t="s">
        <v>321</v>
      </c>
      <c r="C595" t="s">
        <v>590</v>
      </c>
      <c r="D595" t="s">
        <v>639</v>
      </c>
      <c r="E595" s="6">
        <v>207287.08</v>
      </c>
      <c r="F595" t="s">
        <v>492</v>
      </c>
      <c r="G595" s="4" t="str">
        <f t="shared" si="56"/>
        <v>207287.08</v>
      </c>
      <c r="H595" t="str">
        <f t="shared" si="57"/>
        <v>207287.08</v>
      </c>
      <c r="I595" s="1">
        <v>45761</v>
      </c>
      <c r="J595" s="2">
        <f t="shared" si="58"/>
        <v>0.29014579618409209</v>
      </c>
      <c r="K595" s="3" t="str">
        <f t="shared" si="59"/>
        <v>Check!</v>
      </c>
      <c r="L595" t="str">
        <f t="shared" si="60"/>
        <v/>
      </c>
      <c r="M595" t="str">
        <f t="shared" si="61"/>
        <v/>
      </c>
      <c r="N595">
        <v>160669.5</v>
      </c>
      <c r="O595" t="s">
        <v>684</v>
      </c>
      <c r="Q595" t="s">
        <v>590</v>
      </c>
    </row>
    <row r="596" spans="1:17" x14ac:dyDescent="0.3">
      <c r="A596">
        <v>100665581</v>
      </c>
      <c r="B596" t="s">
        <v>321</v>
      </c>
      <c r="C596" t="s">
        <v>19</v>
      </c>
      <c r="D596" t="s">
        <v>695</v>
      </c>
      <c r="E596" s="6">
        <v>662475.93000000005</v>
      </c>
      <c r="F596" t="s">
        <v>492</v>
      </c>
      <c r="G596" s="4" t="str">
        <f t="shared" si="56"/>
        <v>662475.93</v>
      </c>
      <c r="H596" t="str">
        <f t="shared" si="57"/>
        <v>662475.93</v>
      </c>
      <c r="I596" s="1">
        <v>45761</v>
      </c>
      <c r="J596" s="2">
        <f t="shared" si="58"/>
        <v>4.6946890217191726</v>
      </c>
      <c r="K596" s="3" t="str">
        <f t="shared" si="59"/>
        <v>Check!</v>
      </c>
      <c r="L596" t="str">
        <f t="shared" si="60"/>
        <v/>
      </c>
      <c r="M596" t="str">
        <f t="shared" si="61"/>
        <v/>
      </c>
      <c r="N596">
        <v>116332.24</v>
      </c>
      <c r="O596" t="s">
        <v>698</v>
      </c>
      <c r="Q596" t="s">
        <v>19</v>
      </c>
    </row>
    <row r="597" spans="1:17" x14ac:dyDescent="0.3">
      <c r="A597">
        <v>100666150</v>
      </c>
      <c r="B597" t="s">
        <v>324</v>
      </c>
      <c r="C597" t="s">
        <v>19</v>
      </c>
      <c r="D597" t="s">
        <v>325</v>
      </c>
      <c r="E597" s="6">
        <v>127786.75</v>
      </c>
      <c r="F597" t="s">
        <v>492</v>
      </c>
      <c r="G597" s="4" t="str">
        <f t="shared" si="56"/>
        <v>127786.75</v>
      </c>
      <c r="H597" t="str">
        <f t="shared" si="57"/>
        <v>127786.75</v>
      </c>
      <c r="I597" s="1">
        <v>45761</v>
      </c>
      <c r="J597" s="2">
        <f t="shared" si="58"/>
        <v>-6.6499110963709418E-2</v>
      </c>
      <c r="K597" s="3" t="str">
        <f t="shared" si="59"/>
        <v/>
      </c>
      <c r="L597" t="str">
        <f t="shared" si="60"/>
        <v/>
      </c>
      <c r="M597" t="str">
        <f t="shared" si="61"/>
        <v/>
      </c>
      <c r="N597">
        <v>136889.79999999999</v>
      </c>
      <c r="O597" t="s">
        <v>479</v>
      </c>
      <c r="Q597" t="s">
        <v>19</v>
      </c>
    </row>
    <row r="598" spans="1:17" x14ac:dyDescent="0.3">
      <c r="A598">
        <v>100668166</v>
      </c>
      <c r="B598" t="s">
        <v>480</v>
      </c>
      <c r="C598" t="s">
        <v>590</v>
      </c>
      <c r="D598" t="s">
        <v>481</v>
      </c>
      <c r="E598" s="6">
        <v>17035.400000000001</v>
      </c>
      <c r="F598" t="s">
        <v>492</v>
      </c>
      <c r="G598" s="4" t="str">
        <f t="shared" si="56"/>
        <v>17035.4</v>
      </c>
      <c r="H598" t="str">
        <f t="shared" si="57"/>
        <v>17035.4</v>
      </c>
      <c r="I598" s="1">
        <v>45761</v>
      </c>
      <c r="J598" s="2">
        <f t="shared" si="58"/>
        <v>-6.3585117756834675E-2</v>
      </c>
      <c r="K598" s="3" t="str">
        <f t="shared" si="59"/>
        <v/>
      </c>
      <c r="L598" t="str">
        <f t="shared" si="60"/>
        <v/>
      </c>
      <c r="M598" t="str">
        <f t="shared" si="61"/>
        <v>Check</v>
      </c>
      <c r="N598">
        <v>18192.150000000001</v>
      </c>
      <c r="O598" t="s">
        <v>482</v>
      </c>
      <c r="Q598" t="s">
        <v>16</v>
      </c>
    </row>
    <row r="599" spans="1:17" x14ac:dyDescent="0.3">
      <c r="A599">
        <v>100668409</v>
      </c>
      <c r="B599" t="s">
        <v>327</v>
      </c>
      <c r="C599" t="s">
        <v>590</v>
      </c>
      <c r="D599" t="s">
        <v>328</v>
      </c>
      <c r="E599" s="6">
        <v>25686.54</v>
      </c>
      <c r="F599" t="s">
        <v>492</v>
      </c>
      <c r="G599" s="4" t="str">
        <f t="shared" si="56"/>
        <v>25686.54</v>
      </c>
      <c r="H599" t="str">
        <f t="shared" si="57"/>
        <v>25686.54</v>
      </c>
      <c r="I599" s="1">
        <v>45761</v>
      </c>
      <c r="J599" s="2">
        <f t="shared" si="58"/>
        <v>-6.6568211294338028E-2</v>
      </c>
      <c r="K599" s="3" t="str">
        <f t="shared" si="59"/>
        <v/>
      </c>
      <c r="L599" t="str">
        <f t="shared" si="60"/>
        <v/>
      </c>
      <c r="M599" t="str">
        <f t="shared" si="61"/>
        <v>Check</v>
      </c>
      <c r="N599">
        <v>27518.39</v>
      </c>
      <c r="O599" t="s">
        <v>483</v>
      </c>
      <c r="Q599" t="s">
        <v>16</v>
      </c>
    </row>
    <row r="600" spans="1:17" x14ac:dyDescent="0.3">
      <c r="A600">
        <v>100668534</v>
      </c>
      <c r="B600" t="s">
        <v>330</v>
      </c>
      <c r="C600" t="s">
        <v>590</v>
      </c>
      <c r="D600" t="s">
        <v>331</v>
      </c>
      <c r="E600" s="6">
        <v>51835.29</v>
      </c>
      <c r="F600" t="s">
        <v>492</v>
      </c>
      <c r="G600" s="4" t="str">
        <f t="shared" si="56"/>
        <v>51835.29</v>
      </c>
      <c r="H600" t="str">
        <f t="shared" si="57"/>
        <v>51835.29</v>
      </c>
      <c r="I600" s="1">
        <v>45761</v>
      </c>
      <c r="J600" s="2">
        <f t="shared" si="58"/>
        <v>-6.6719420535658755E-2</v>
      </c>
      <c r="K600" s="3" t="str">
        <f t="shared" si="59"/>
        <v/>
      </c>
      <c r="L600" t="str">
        <f t="shared" si="60"/>
        <v/>
      </c>
      <c r="M600" t="str">
        <f t="shared" si="61"/>
        <v>Check</v>
      </c>
      <c r="N600">
        <v>55540.95</v>
      </c>
      <c r="O600" t="s">
        <v>484</v>
      </c>
      <c r="Q600" t="s">
        <v>16</v>
      </c>
    </row>
    <row r="601" spans="1:17" x14ac:dyDescent="0.3">
      <c r="A601">
        <v>100669580</v>
      </c>
      <c r="B601" t="s">
        <v>333</v>
      </c>
      <c r="C601" t="s">
        <v>19</v>
      </c>
      <c r="D601" t="s">
        <v>334</v>
      </c>
      <c r="E601" s="6">
        <v>60261.22</v>
      </c>
      <c r="F601" t="s">
        <v>492</v>
      </c>
      <c r="G601" s="4" t="str">
        <f t="shared" si="56"/>
        <v>60261.22</v>
      </c>
      <c r="H601" t="str">
        <f t="shared" si="57"/>
        <v>60261.22</v>
      </c>
      <c r="I601" s="1">
        <v>45761</v>
      </c>
      <c r="J601" s="2">
        <f t="shared" si="58"/>
        <v>-6.672531134983696E-2</v>
      </c>
      <c r="K601" s="3" t="str">
        <f t="shared" si="59"/>
        <v/>
      </c>
      <c r="L601" t="str">
        <f t="shared" si="60"/>
        <v/>
      </c>
      <c r="M601" t="str">
        <f t="shared" si="61"/>
        <v/>
      </c>
      <c r="N601">
        <v>64569.65</v>
      </c>
      <c r="O601" t="s">
        <v>485</v>
      </c>
      <c r="Q601" t="s">
        <v>19</v>
      </c>
    </row>
    <row r="602" spans="1:17" x14ac:dyDescent="0.3">
      <c r="A602">
        <v>100670671</v>
      </c>
      <c r="B602" t="s">
        <v>336</v>
      </c>
      <c r="C602" t="s">
        <v>590</v>
      </c>
      <c r="D602" t="s">
        <v>337</v>
      </c>
      <c r="E602" s="6">
        <v>471250.49</v>
      </c>
      <c r="F602" t="s">
        <v>492</v>
      </c>
      <c r="G602" s="4" t="str">
        <f t="shared" si="56"/>
        <v>471250.49</v>
      </c>
      <c r="H602" t="str">
        <f t="shared" si="57"/>
        <v>471250.49</v>
      </c>
      <c r="I602" s="1">
        <v>45761</v>
      </c>
      <c r="J602" s="2">
        <f t="shared" si="58"/>
        <v>-6.0852041174435781E-2</v>
      </c>
      <c r="K602" s="3" t="str">
        <f t="shared" si="59"/>
        <v/>
      </c>
      <c r="L602" t="str">
        <f t="shared" si="60"/>
        <v/>
      </c>
      <c r="M602" t="str">
        <f t="shared" si="61"/>
        <v>Check</v>
      </c>
      <c r="N602">
        <v>501785.14</v>
      </c>
      <c r="O602" t="s">
        <v>486</v>
      </c>
      <c r="Q602" t="s">
        <v>16</v>
      </c>
    </row>
    <row r="603" spans="1:17" x14ac:dyDescent="0.3">
      <c r="A603">
        <v>100670671</v>
      </c>
      <c r="B603" t="s">
        <v>336</v>
      </c>
      <c r="C603" t="s">
        <v>611</v>
      </c>
      <c r="D603" t="s">
        <v>339</v>
      </c>
      <c r="E603" s="6">
        <v>10250.56</v>
      </c>
      <c r="F603" t="s">
        <v>492</v>
      </c>
      <c r="G603" s="4" t="str">
        <f t="shared" si="56"/>
        <v>10250.56</v>
      </c>
      <c r="H603" t="str">
        <f t="shared" si="57"/>
        <v>10250.56</v>
      </c>
      <c r="I603" s="1">
        <v>45761</v>
      </c>
      <c r="J603" s="2">
        <f t="shared" si="58"/>
        <v>-6.6768390941684033E-2</v>
      </c>
      <c r="K603" s="3" t="str">
        <f t="shared" si="59"/>
        <v/>
      </c>
      <c r="L603" t="str">
        <f t="shared" si="60"/>
        <v/>
      </c>
      <c r="M603" t="str">
        <f t="shared" si="61"/>
        <v>Check</v>
      </c>
      <c r="N603">
        <v>10983.94</v>
      </c>
      <c r="O603" t="s">
        <v>340</v>
      </c>
      <c r="Q603" t="s">
        <v>41</v>
      </c>
    </row>
    <row r="604" spans="1:17" x14ac:dyDescent="0.3">
      <c r="A604">
        <v>100670671</v>
      </c>
      <c r="B604" t="s">
        <v>336</v>
      </c>
      <c r="C604" t="s">
        <v>606</v>
      </c>
      <c r="D604" t="s">
        <v>633</v>
      </c>
      <c r="E604" s="6">
        <v>1220.8800000000001</v>
      </c>
      <c r="F604" t="s">
        <v>492</v>
      </c>
      <c r="G604" s="4" t="str">
        <f t="shared" si="56"/>
        <v>1220.88</v>
      </c>
      <c r="H604" t="str">
        <f t="shared" si="57"/>
        <v>1220.88</v>
      </c>
      <c r="I604" s="1">
        <v>45761</v>
      </c>
      <c r="J604" s="2">
        <f t="shared" si="58"/>
        <v>-4.7333676670255988E-2</v>
      </c>
      <c r="K604" s="3" t="str">
        <f t="shared" si="59"/>
        <v/>
      </c>
      <c r="L604" t="str">
        <f t="shared" si="60"/>
        <v/>
      </c>
      <c r="M604" t="str">
        <f t="shared" si="61"/>
        <v/>
      </c>
      <c r="N604">
        <v>1281.54</v>
      </c>
      <c r="O604" t="s">
        <v>671</v>
      </c>
      <c r="Q604" t="s">
        <v>606</v>
      </c>
    </row>
    <row r="605" spans="1:17" x14ac:dyDescent="0.3">
      <c r="A605">
        <v>100670671</v>
      </c>
      <c r="B605" t="s">
        <v>336</v>
      </c>
      <c r="C605" t="s">
        <v>609</v>
      </c>
      <c r="D605" t="s">
        <v>634</v>
      </c>
      <c r="E605" s="6">
        <v>206.4</v>
      </c>
      <c r="F605" t="s">
        <v>492</v>
      </c>
      <c r="G605" s="4" t="str">
        <f t="shared" si="56"/>
        <v>206.4</v>
      </c>
      <c r="H605" t="str">
        <f t="shared" si="57"/>
        <v>206.4</v>
      </c>
      <c r="I605" s="1">
        <v>45761</v>
      </c>
      <c r="J605" s="2">
        <f t="shared" si="58"/>
        <v>0.23113629585445869</v>
      </c>
      <c r="K605" s="3" t="str">
        <f t="shared" si="59"/>
        <v>Check!</v>
      </c>
      <c r="L605" t="str">
        <f t="shared" si="60"/>
        <v/>
      </c>
      <c r="M605" t="str">
        <f t="shared" si="61"/>
        <v/>
      </c>
      <c r="N605">
        <v>167.65</v>
      </c>
      <c r="O605" t="s">
        <v>670</v>
      </c>
      <c r="Q605" t="s">
        <v>609</v>
      </c>
    </row>
    <row r="606" spans="1:17" x14ac:dyDescent="0.3">
      <c r="A606">
        <v>100675336</v>
      </c>
      <c r="B606" t="s">
        <v>347</v>
      </c>
      <c r="C606" t="s">
        <v>19</v>
      </c>
      <c r="D606" t="s">
        <v>348</v>
      </c>
      <c r="E606" s="6">
        <v>83030.77</v>
      </c>
      <c r="F606" t="s">
        <v>492</v>
      </c>
      <c r="G606" s="4" t="str">
        <f t="shared" si="56"/>
        <v>83030.77</v>
      </c>
      <c r="H606" t="str">
        <f t="shared" si="57"/>
        <v>83030.77</v>
      </c>
      <c r="I606" s="1">
        <v>45761</v>
      </c>
      <c r="J606" s="2">
        <f t="shared" si="58"/>
        <v>-6.6688495814356374E-2</v>
      </c>
      <c r="K606" s="3" t="str">
        <f t="shared" si="59"/>
        <v/>
      </c>
      <c r="L606" t="str">
        <f t="shared" si="60"/>
        <v/>
      </c>
      <c r="M606" t="str">
        <f t="shared" si="61"/>
        <v/>
      </c>
      <c r="N606">
        <v>88963.62</v>
      </c>
      <c r="O606" t="s">
        <v>487</v>
      </c>
      <c r="Q606" t="s">
        <v>19</v>
      </c>
    </row>
    <row r="607" spans="1:17" x14ac:dyDescent="0.3">
      <c r="A607">
        <v>100677278</v>
      </c>
      <c r="B607" t="s">
        <v>350</v>
      </c>
      <c r="C607" t="s">
        <v>19</v>
      </c>
      <c r="D607" t="s">
        <v>351</v>
      </c>
      <c r="E607" s="6">
        <v>51460.6</v>
      </c>
      <c r="F607" t="s">
        <v>492</v>
      </c>
      <c r="G607" s="4" t="str">
        <f t="shared" si="56"/>
        <v>51460.6</v>
      </c>
      <c r="H607" t="str">
        <f t="shared" si="57"/>
        <v>51460.6</v>
      </c>
      <c r="I607" s="1">
        <v>45761</v>
      </c>
      <c r="J607" s="2">
        <f t="shared" si="58"/>
        <v>-6.6166232449310705E-2</v>
      </c>
      <c r="K607" s="3" t="str">
        <f t="shared" si="59"/>
        <v/>
      </c>
      <c r="L607" t="str">
        <f t="shared" si="60"/>
        <v/>
      </c>
      <c r="M607" t="str">
        <f t="shared" si="61"/>
        <v/>
      </c>
      <c r="N607">
        <v>55106.81</v>
      </c>
      <c r="O607" t="s">
        <v>488</v>
      </c>
      <c r="Q607" t="s">
        <v>19</v>
      </c>
    </row>
    <row r="608" spans="1:17" x14ac:dyDescent="0.3">
      <c r="A608">
        <v>100677585</v>
      </c>
      <c r="B608" t="s">
        <v>353</v>
      </c>
      <c r="C608" t="s">
        <v>19</v>
      </c>
      <c r="D608" t="s">
        <v>354</v>
      </c>
      <c r="E608" s="6">
        <v>40032.400000000001</v>
      </c>
      <c r="F608" t="s">
        <v>492</v>
      </c>
      <c r="G608" s="4" t="str">
        <f t="shared" si="56"/>
        <v>40032.4</v>
      </c>
      <c r="H608" t="str">
        <f t="shared" si="57"/>
        <v>40032.4</v>
      </c>
      <c r="I608" s="1">
        <v>45761</v>
      </c>
      <c r="J608" s="2">
        <f t="shared" si="58"/>
        <v>-6.6864704193099589E-2</v>
      </c>
      <c r="K608" s="3" t="str">
        <f t="shared" si="59"/>
        <v/>
      </c>
      <c r="L608" t="str">
        <f t="shared" si="60"/>
        <v/>
      </c>
      <c r="M608" t="str">
        <f t="shared" si="61"/>
        <v/>
      </c>
      <c r="N608">
        <v>42900.959999999999</v>
      </c>
      <c r="O608" t="s">
        <v>489</v>
      </c>
      <c r="Q608" t="s">
        <v>19</v>
      </c>
    </row>
    <row r="609" spans="1:17" x14ac:dyDescent="0.3">
      <c r="A609">
        <v>100706842</v>
      </c>
      <c r="B609" t="s">
        <v>356</v>
      </c>
      <c r="C609" t="s">
        <v>19</v>
      </c>
      <c r="D609" t="s">
        <v>357</v>
      </c>
      <c r="E609" s="6">
        <v>16718.36</v>
      </c>
      <c r="F609" t="s">
        <v>492</v>
      </c>
      <c r="G609" s="4" t="str">
        <f t="shared" si="56"/>
        <v>16718.36</v>
      </c>
      <c r="H609" t="str">
        <f t="shared" si="57"/>
        <v>16718.36</v>
      </c>
      <c r="I609" s="1">
        <v>45761</v>
      </c>
      <c r="J609" s="2">
        <f t="shared" si="58"/>
        <v>-6.6802715468592427E-2</v>
      </c>
      <c r="K609" s="3" t="str">
        <f t="shared" si="59"/>
        <v/>
      </c>
      <c r="L609" t="str">
        <f t="shared" si="60"/>
        <v/>
      </c>
      <c r="M609" t="str">
        <f t="shared" si="61"/>
        <v/>
      </c>
      <c r="N609">
        <v>17915.14</v>
      </c>
      <c r="O609" t="s">
        <v>490</v>
      </c>
      <c r="Q609" t="s">
        <v>19</v>
      </c>
    </row>
    <row r="610" spans="1:17" x14ac:dyDescent="0.3">
      <c r="A610">
        <v>100711105</v>
      </c>
      <c r="B610" t="s">
        <v>359</v>
      </c>
      <c r="C610" t="s">
        <v>590</v>
      </c>
      <c r="D610" t="s">
        <v>360</v>
      </c>
      <c r="E610" s="6">
        <v>2567.8200000000002</v>
      </c>
      <c r="F610" t="s">
        <v>492</v>
      </c>
      <c r="G610" s="4" t="str">
        <f t="shared" si="56"/>
        <v>2567.82</v>
      </c>
      <c r="H610" t="str">
        <f t="shared" si="57"/>
        <v>2567.82</v>
      </c>
      <c r="I610" s="1">
        <v>45761</v>
      </c>
      <c r="J610" s="2">
        <f t="shared" si="58"/>
        <v>-0.18996470042681254</v>
      </c>
      <c r="K610" s="3" t="str">
        <f t="shared" si="59"/>
        <v>Check!</v>
      </c>
      <c r="L610" t="str">
        <f t="shared" si="60"/>
        <v/>
      </c>
      <c r="M610" t="str">
        <f t="shared" si="61"/>
        <v>Check</v>
      </c>
      <c r="N610">
        <v>3170.01</v>
      </c>
      <c r="O610" t="s">
        <v>491</v>
      </c>
      <c r="Q610" t="s">
        <v>16</v>
      </c>
    </row>
    <row r="611" spans="1:17" x14ac:dyDescent="0.3">
      <c r="A611">
        <v>100786852</v>
      </c>
      <c r="B611" t="s">
        <v>636</v>
      </c>
      <c r="C611" t="s">
        <v>19</v>
      </c>
      <c r="D611" t="s">
        <v>637</v>
      </c>
      <c r="E611" s="6">
        <v>228986.57</v>
      </c>
      <c r="F611" t="s">
        <v>492</v>
      </c>
      <c r="G611" s="4" t="str">
        <f t="shared" si="56"/>
        <v>228986.57</v>
      </c>
      <c r="H611" t="str">
        <f t="shared" si="57"/>
        <v>228986.57</v>
      </c>
      <c r="I611" s="1">
        <v>45761</v>
      </c>
      <c r="J611" s="2">
        <f t="shared" si="58"/>
        <v>-6.6537558657695228E-2</v>
      </c>
      <c r="K611" s="3" t="str">
        <f t="shared" si="59"/>
        <v/>
      </c>
      <c r="L611" t="str">
        <f t="shared" si="60"/>
        <v/>
      </c>
      <c r="M611" t="str">
        <f t="shared" si="61"/>
        <v/>
      </c>
      <c r="N611">
        <v>245308.82</v>
      </c>
      <c r="O611" t="s">
        <v>685</v>
      </c>
      <c r="Q611" t="s">
        <v>19</v>
      </c>
    </row>
    <row r="612" spans="1:17" x14ac:dyDescent="0.3">
      <c r="A612">
        <v>100799345</v>
      </c>
      <c r="B612" t="s">
        <v>640</v>
      </c>
      <c r="C612" t="s">
        <v>590</v>
      </c>
      <c r="D612" t="s">
        <v>641</v>
      </c>
      <c r="E612" s="6">
        <v>957986.84</v>
      </c>
      <c r="F612" t="s">
        <v>492</v>
      </c>
      <c r="G612" s="4" t="str">
        <f t="shared" si="56"/>
        <v>957986.84</v>
      </c>
      <c r="H612" t="str">
        <f t="shared" si="57"/>
        <v>957986.84</v>
      </c>
      <c r="I612" s="1">
        <v>45761</v>
      </c>
      <c r="J612" s="2">
        <f t="shared" si="58"/>
        <v>1.4828185301667891</v>
      </c>
      <c r="K612" s="3" t="str">
        <f t="shared" si="59"/>
        <v>Check!</v>
      </c>
      <c r="L612" t="str">
        <f t="shared" si="60"/>
        <v/>
      </c>
      <c r="M612" t="str">
        <f t="shared" si="61"/>
        <v/>
      </c>
      <c r="N612">
        <v>385846.5</v>
      </c>
      <c r="O612" t="s">
        <v>686</v>
      </c>
      <c r="Q612" t="s">
        <v>590</v>
      </c>
    </row>
    <row r="613" spans="1:17" s="7" customFormat="1" x14ac:dyDescent="0.3">
      <c r="A613" s="7">
        <v>32490</v>
      </c>
      <c r="B613" s="7" t="s">
        <v>15</v>
      </c>
      <c r="C613" s="7" t="s">
        <v>19</v>
      </c>
      <c r="D613" s="7" t="s">
        <v>20</v>
      </c>
      <c r="E613" s="8">
        <v>5482.67</v>
      </c>
      <c r="F613" s="7" t="s">
        <v>493</v>
      </c>
      <c r="G613" s="4" t="str">
        <f t="shared" si="56"/>
        <v>5482.67</v>
      </c>
      <c r="H613" t="str">
        <f t="shared" si="57"/>
        <v>5482.67</v>
      </c>
      <c r="I613" s="1">
        <v>45761</v>
      </c>
      <c r="J613" s="2">
        <f t="shared" si="58"/>
        <v>-1.7884428330625497E-2</v>
      </c>
      <c r="K613" s="3" t="str">
        <f t="shared" si="59"/>
        <v/>
      </c>
      <c r="L613" t="str">
        <f t="shared" si="60"/>
        <v/>
      </c>
      <c r="M613" t="str">
        <f t="shared" si="61"/>
        <v/>
      </c>
      <c r="N613" s="7">
        <v>5582.51</v>
      </c>
      <c r="O613" s="7" t="s">
        <v>494</v>
      </c>
      <c r="Q613" s="7" t="s">
        <v>19</v>
      </c>
    </row>
    <row r="614" spans="1:17" x14ac:dyDescent="0.3">
      <c r="A614">
        <v>32490</v>
      </c>
      <c r="B614" t="s">
        <v>15</v>
      </c>
      <c r="C614" t="s">
        <v>19</v>
      </c>
      <c r="D614" t="s">
        <v>22</v>
      </c>
      <c r="E614" s="6">
        <v>20179.740000000002</v>
      </c>
      <c r="F614" t="s">
        <v>493</v>
      </c>
      <c r="G614" s="4" t="str">
        <f t="shared" si="56"/>
        <v>20179.74</v>
      </c>
      <c r="H614" t="str">
        <f t="shared" si="57"/>
        <v>20179.74</v>
      </c>
      <c r="I614" s="1">
        <v>45761</v>
      </c>
      <c r="J614" s="2">
        <f t="shared" si="58"/>
        <v>-2.2693844974387763E-2</v>
      </c>
      <c r="K614" s="3" t="str">
        <f t="shared" si="59"/>
        <v/>
      </c>
      <c r="L614" t="str">
        <f t="shared" si="60"/>
        <v/>
      </c>
      <c r="M614" t="str">
        <f t="shared" si="61"/>
        <v/>
      </c>
      <c r="N614">
        <v>20648.330000000002</v>
      </c>
      <c r="O614" t="s">
        <v>495</v>
      </c>
      <c r="Q614" t="s">
        <v>19</v>
      </c>
    </row>
    <row r="615" spans="1:17" x14ac:dyDescent="0.3">
      <c r="A615">
        <v>33672</v>
      </c>
      <c r="B615" t="s">
        <v>24</v>
      </c>
      <c r="C615" t="s">
        <v>19</v>
      </c>
      <c r="D615" t="s">
        <v>25</v>
      </c>
      <c r="E615" s="6">
        <v>50946.7</v>
      </c>
      <c r="F615" t="s">
        <v>493</v>
      </c>
      <c r="G615" s="4" t="str">
        <f t="shared" si="56"/>
        <v>50946.7</v>
      </c>
      <c r="H615" t="str">
        <f t="shared" si="57"/>
        <v>50946.7</v>
      </c>
      <c r="I615" s="1">
        <v>45761</v>
      </c>
      <c r="J615" s="2">
        <f t="shared" si="58"/>
        <v>-2.2616151225559593E-2</v>
      </c>
      <c r="K615" s="3" t="str">
        <f t="shared" si="59"/>
        <v/>
      </c>
      <c r="L615" t="str">
        <f t="shared" si="60"/>
        <v/>
      </c>
      <c r="M615" t="str">
        <f t="shared" si="61"/>
        <v/>
      </c>
      <c r="N615">
        <v>52125.58</v>
      </c>
      <c r="O615" t="s">
        <v>496</v>
      </c>
      <c r="Q615" t="s">
        <v>19</v>
      </c>
    </row>
    <row r="616" spans="1:17" x14ac:dyDescent="0.3">
      <c r="A616">
        <v>34171</v>
      </c>
      <c r="B616" t="s">
        <v>27</v>
      </c>
      <c r="C616" t="s">
        <v>19</v>
      </c>
      <c r="D616" t="s">
        <v>28</v>
      </c>
      <c r="E616" s="6">
        <v>3215.44</v>
      </c>
      <c r="F616" t="s">
        <v>493</v>
      </c>
      <c r="G616" s="4" t="str">
        <f t="shared" si="56"/>
        <v>3215.44</v>
      </c>
      <c r="H616" t="str">
        <f t="shared" si="57"/>
        <v>3215.44</v>
      </c>
      <c r="I616" s="1">
        <v>45761</v>
      </c>
      <c r="J616" s="2">
        <f t="shared" si="58"/>
        <v>-2.1728944950499891E-2</v>
      </c>
      <c r="K616" s="3" t="str">
        <f t="shared" si="59"/>
        <v/>
      </c>
      <c r="L616" t="str">
        <f t="shared" si="60"/>
        <v/>
      </c>
      <c r="M616" t="str">
        <f t="shared" si="61"/>
        <v/>
      </c>
      <c r="N616">
        <v>3286.86</v>
      </c>
      <c r="O616" t="s">
        <v>497</v>
      </c>
      <c r="Q616" t="s">
        <v>19</v>
      </c>
    </row>
    <row r="617" spans="1:17" x14ac:dyDescent="0.3">
      <c r="A617">
        <v>34173</v>
      </c>
      <c r="B617" t="s">
        <v>30</v>
      </c>
      <c r="C617" t="s">
        <v>19</v>
      </c>
      <c r="D617" t="s">
        <v>31</v>
      </c>
      <c r="E617" s="6">
        <v>18667.3</v>
      </c>
      <c r="F617" t="s">
        <v>493</v>
      </c>
      <c r="G617" s="4" t="str">
        <f t="shared" si="56"/>
        <v>18667.3</v>
      </c>
      <c r="H617" t="str">
        <f t="shared" si="57"/>
        <v>18667.3</v>
      </c>
      <c r="I617" s="1">
        <v>45761</v>
      </c>
      <c r="J617" s="2">
        <f t="shared" si="58"/>
        <v>-2.2807424387491292E-2</v>
      </c>
      <c r="K617" s="3" t="str">
        <f t="shared" si="59"/>
        <v/>
      </c>
      <c r="L617" t="str">
        <f t="shared" si="60"/>
        <v/>
      </c>
      <c r="M617" t="str">
        <f t="shared" si="61"/>
        <v/>
      </c>
      <c r="N617">
        <v>19102.990000000002</v>
      </c>
      <c r="O617" t="s">
        <v>498</v>
      </c>
      <c r="Q617" t="s">
        <v>19</v>
      </c>
    </row>
    <row r="618" spans="1:17" x14ac:dyDescent="0.3">
      <c r="A618">
        <v>34199</v>
      </c>
      <c r="B618" t="s">
        <v>36</v>
      </c>
      <c r="C618" t="s">
        <v>19</v>
      </c>
      <c r="D618" t="s">
        <v>39</v>
      </c>
      <c r="E618" s="6">
        <v>2923</v>
      </c>
      <c r="F618" t="s">
        <v>493</v>
      </c>
      <c r="G618" s="4" t="str">
        <f t="shared" si="56"/>
        <v>2923</v>
      </c>
      <c r="H618" t="str">
        <f t="shared" si="57"/>
        <v>2923</v>
      </c>
      <c r="I618" s="1">
        <v>45761</v>
      </c>
      <c r="J618" s="2">
        <f t="shared" si="58"/>
        <v>-2.1380312435132588E-2</v>
      </c>
      <c r="K618" s="3" t="str">
        <f t="shared" si="59"/>
        <v/>
      </c>
      <c r="L618" t="str">
        <f t="shared" si="60"/>
        <v/>
      </c>
      <c r="M618" t="str">
        <f t="shared" si="61"/>
        <v/>
      </c>
      <c r="N618">
        <v>2986.86</v>
      </c>
      <c r="O618" t="s">
        <v>499</v>
      </c>
      <c r="Q618" t="s">
        <v>19</v>
      </c>
    </row>
    <row r="619" spans="1:17" x14ac:dyDescent="0.3">
      <c r="A619">
        <v>34202</v>
      </c>
      <c r="B619" t="s">
        <v>46</v>
      </c>
      <c r="C619" t="s">
        <v>19</v>
      </c>
      <c r="D619" t="s">
        <v>49</v>
      </c>
      <c r="E619" s="6">
        <v>112246.9</v>
      </c>
      <c r="F619" t="s">
        <v>493</v>
      </c>
      <c r="G619" s="4" t="str">
        <f t="shared" si="56"/>
        <v>112246.9</v>
      </c>
      <c r="H619" t="str">
        <f t="shared" si="57"/>
        <v>112246.9</v>
      </c>
      <c r="I619" s="1">
        <v>45761</v>
      </c>
      <c r="J619" s="2">
        <f t="shared" si="58"/>
        <v>-2.3026402254769478E-2</v>
      </c>
      <c r="K619" s="3" t="str">
        <f t="shared" si="59"/>
        <v/>
      </c>
      <c r="L619" t="str">
        <f t="shared" si="60"/>
        <v/>
      </c>
      <c r="M619" t="str">
        <f t="shared" si="61"/>
        <v/>
      </c>
      <c r="N619">
        <v>114892.46</v>
      </c>
      <c r="O619" t="s">
        <v>501</v>
      </c>
      <c r="Q619" t="s">
        <v>19</v>
      </c>
    </row>
    <row r="620" spans="1:17" x14ac:dyDescent="0.3">
      <c r="A620">
        <v>34202</v>
      </c>
      <c r="B620" t="s">
        <v>46</v>
      </c>
      <c r="C620" t="s">
        <v>19</v>
      </c>
      <c r="D620" t="s">
        <v>47</v>
      </c>
      <c r="E620" s="6">
        <v>21499.89</v>
      </c>
      <c r="F620" t="s">
        <v>493</v>
      </c>
      <c r="G620" s="4" t="str">
        <f t="shared" si="56"/>
        <v>21499.89</v>
      </c>
      <c r="H620" t="str">
        <f t="shared" si="57"/>
        <v>21499.89</v>
      </c>
      <c r="I620" s="1">
        <v>45761</v>
      </c>
      <c r="J620" s="2">
        <f t="shared" si="58"/>
        <v>-2.2668301925217009E-2</v>
      </c>
      <c r="K620" s="3" t="str">
        <f t="shared" si="59"/>
        <v/>
      </c>
      <c r="L620" t="str">
        <f t="shared" si="60"/>
        <v/>
      </c>
      <c r="M620" t="str">
        <f t="shared" si="61"/>
        <v/>
      </c>
      <c r="N620">
        <v>21998.560000000001</v>
      </c>
      <c r="O620" t="s">
        <v>500</v>
      </c>
      <c r="Q620" t="s">
        <v>19</v>
      </c>
    </row>
    <row r="621" spans="1:17" x14ac:dyDescent="0.3">
      <c r="A621">
        <v>34209</v>
      </c>
      <c r="B621" t="s">
        <v>51</v>
      </c>
      <c r="C621" t="s">
        <v>19</v>
      </c>
      <c r="D621" t="s">
        <v>52</v>
      </c>
      <c r="E621" s="6">
        <v>38255.64</v>
      </c>
      <c r="F621" t="s">
        <v>493</v>
      </c>
      <c r="G621" s="4" t="str">
        <f t="shared" si="56"/>
        <v>38255.64</v>
      </c>
      <c r="H621" t="str">
        <f t="shared" si="57"/>
        <v>38255.64</v>
      </c>
      <c r="I621" s="1">
        <v>45761</v>
      </c>
      <c r="J621" s="2">
        <f t="shared" si="58"/>
        <v>-2.2697412203266369E-2</v>
      </c>
      <c r="K621" s="3" t="str">
        <f t="shared" si="59"/>
        <v/>
      </c>
      <c r="L621" t="str">
        <f t="shared" si="60"/>
        <v/>
      </c>
      <c r="M621" t="str">
        <f t="shared" si="61"/>
        <v/>
      </c>
      <c r="N621">
        <v>39144.11</v>
      </c>
      <c r="O621" t="s">
        <v>502</v>
      </c>
      <c r="Q621" t="s">
        <v>19</v>
      </c>
    </row>
    <row r="622" spans="1:17" x14ac:dyDescent="0.3">
      <c r="A622">
        <v>34209</v>
      </c>
      <c r="B622" t="s">
        <v>51</v>
      </c>
      <c r="C622" t="s">
        <v>19</v>
      </c>
      <c r="D622" t="s">
        <v>54</v>
      </c>
      <c r="E622" s="6">
        <v>49331.17</v>
      </c>
      <c r="F622" t="s">
        <v>493</v>
      </c>
      <c r="G622" s="4" t="str">
        <f t="shared" si="56"/>
        <v>49331.17</v>
      </c>
      <c r="H622" t="str">
        <f t="shared" si="57"/>
        <v>49331.17</v>
      </c>
      <c r="I622" s="1">
        <v>45761</v>
      </c>
      <c r="J622" s="2">
        <f t="shared" si="58"/>
        <v>-2.2455447278941644E-2</v>
      </c>
      <c r="K622" s="3" t="str">
        <f t="shared" si="59"/>
        <v/>
      </c>
      <c r="L622" t="str">
        <f t="shared" si="60"/>
        <v/>
      </c>
      <c r="M622" t="str">
        <f t="shared" si="61"/>
        <v/>
      </c>
      <c r="N622">
        <v>50464.37</v>
      </c>
      <c r="O622" t="s">
        <v>503</v>
      </c>
      <c r="Q622" t="s">
        <v>19</v>
      </c>
    </row>
    <row r="623" spans="1:17" x14ac:dyDescent="0.3">
      <c r="A623">
        <v>34216</v>
      </c>
      <c r="B623" t="s">
        <v>59</v>
      </c>
      <c r="C623" t="s">
        <v>19</v>
      </c>
      <c r="D623" t="s">
        <v>60</v>
      </c>
      <c r="E623" s="6">
        <v>25582.26</v>
      </c>
      <c r="F623" t="s">
        <v>493</v>
      </c>
      <c r="G623" s="4" t="str">
        <f t="shared" si="56"/>
        <v>25582.26</v>
      </c>
      <c r="H623" t="str">
        <f t="shared" si="57"/>
        <v>25582.26</v>
      </c>
      <c r="I623" s="1">
        <v>45761</v>
      </c>
      <c r="J623" s="2">
        <f t="shared" si="58"/>
        <v>-2.2725918319634424E-2</v>
      </c>
      <c r="K623" s="3" t="str">
        <f t="shared" si="59"/>
        <v/>
      </c>
      <c r="L623" t="str">
        <f t="shared" si="60"/>
        <v/>
      </c>
      <c r="M623" t="str">
        <f t="shared" si="61"/>
        <v/>
      </c>
      <c r="N623">
        <v>26177.16</v>
      </c>
      <c r="O623" t="s">
        <v>504</v>
      </c>
      <c r="Q623" t="s">
        <v>19</v>
      </c>
    </row>
    <row r="624" spans="1:17" x14ac:dyDescent="0.3">
      <c r="A624">
        <v>34395</v>
      </c>
      <c r="B624" t="s">
        <v>69</v>
      </c>
      <c r="C624" t="s">
        <v>19</v>
      </c>
      <c r="D624" t="s">
        <v>74</v>
      </c>
      <c r="E624" s="6">
        <v>8365.3799999999992</v>
      </c>
      <c r="F624" t="s">
        <v>493</v>
      </c>
      <c r="G624" s="4" t="str">
        <f t="shared" si="56"/>
        <v>8365.38</v>
      </c>
      <c r="H624" t="str">
        <f t="shared" si="57"/>
        <v>8365.38</v>
      </c>
      <c r="I624" s="1">
        <v>45761</v>
      </c>
      <c r="J624" s="2">
        <f t="shared" si="58"/>
        <v>-2.1937306281648333E-2</v>
      </c>
      <c r="K624" s="3" t="str">
        <f t="shared" si="59"/>
        <v/>
      </c>
      <c r="L624" t="str">
        <f t="shared" si="60"/>
        <v/>
      </c>
      <c r="M624" t="str">
        <f t="shared" si="61"/>
        <v/>
      </c>
      <c r="N624">
        <v>8553.01</v>
      </c>
      <c r="O624" t="s">
        <v>506</v>
      </c>
      <c r="Q624" t="s">
        <v>19</v>
      </c>
    </row>
    <row r="625" spans="1:17" x14ac:dyDescent="0.3">
      <c r="A625">
        <v>34395</v>
      </c>
      <c r="B625" t="s">
        <v>69</v>
      </c>
      <c r="C625" t="s">
        <v>19</v>
      </c>
      <c r="D625" t="s">
        <v>72</v>
      </c>
      <c r="E625" s="6">
        <v>5041.84</v>
      </c>
      <c r="F625" t="s">
        <v>493</v>
      </c>
      <c r="G625" s="4" t="str">
        <f t="shared" si="56"/>
        <v>5041.84</v>
      </c>
      <c r="H625" t="str">
        <f t="shared" si="57"/>
        <v>5041.84</v>
      </c>
      <c r="I625" s="1">
        <v>45761</v>
      </c>
      <c r="J625" s="2">
        <f t="shared" si="58"/>
        <v>-2.1254705095577215E-2</v>
      </c>
      <c r="K625" s="3" t="str">
        <f t="shared" si="59"/>
        <v/>
      </c>
      <c r="L625" t="str">
        <f t="shared" si="60"/>
        <v/>
      </c>
      <c r="M625" t="str">
        <f t="shared" si="61"/>
        <v/>
      </c>
      <c r="N625">
        <v>5151.33</v>
      </c>
      <c r="O625" t="s">
        <v>507</v>
      </c>
      <c r="Q625" t="s">
        <v>19</v>
      </c>
    </row>
    <row r="626" spans="1:17" x14ac:dyDescent="0.3">
      <c r="A626">
        <v>34395</v>
      </c>
      <c r="B626" t="s">
        <v>69</v>
      </c>
      <c r="C626" t="s">
        <v>19</v>
      </c>
      <c r="D626" t="s">
        <v>70</v>
      </c>
      <c r="E626" s="6">
        <v>78517.31</v>
      </c>
      <c r="F626" t="s">
        <v>493</v>
      </c>
      <c r="G626" s="4" t="str">
        <f t="shared" si="56"/>
        <v>78517.31</v>
      </c>
      <c r="H626" t="str">
        <f t="shared" si="57"/>
        <v>78517.31</v>
      </c>
      <c r="I626" s="1">
        <v>45761</v>
      </c>
      <c r="J626" s="2">
        <f t="shared" si="58"/>
        <v>-2.2352682041689362E-2</v>
      </c>
      <c r="K626" s="3" t="str">
        <f t="shared" si="59"/>
        <v/>
      </c>
      <c r="L626" t="str">
        <f t="shared" si="60"/>
        <v/>
      </c>
      <c r="M626" t="str">
        <f t="shared" si="61"/>
        <v/>
      </c>
      <c r="N626">
        <v>80312.509999999995</v>
      </c>
      <c r="O626" t="s">
        <v>505</v>
      </c>
      <c r="Q626" t="s">
        <v>19</v>
      </c>
    </row>
    <row r="627" spans="1:17" x14ac:dyDescent="0.3">
      <c r="A627">
        <v>36048</v>
      </c>
      <c r="B627" t="s">
        <v>76</v>
      </c>
      <c r="C627" t="s">
        <v>19</v>
      </c>
      <c r="D627" t="s">
        <v>77</v>
      </c>
      <c r="E627" s="6">
        <v>4974.0200000000004</v>
      </c>
      <c r="F627" t="s">
        <v>493</v>
      </c>
      <c r="G627" s="4" t="str">
        <f t="shared" si="56"/>
        <v>4974.02</v>
      </c>
      <c r="H627" t="str">
        <f t="shared" si="57"/>
        <v>4974.02</v>
      </c>
      <c r="I627" s="1">
        <v>45761</v>
      </c>
      <c r="J627" s="2">
        <f t="shared" si="58"/>
        <v>-1.6974610220339772E-2</v>
      </c>
      <c r="K627" s="3" t="str">
        <f t="shared" si="59"/>
        <v/>
      </c>
      <c r="L627" t="str">
        <f t="shared" si="60"/>
        <v/>
      </c>
      <c r="M627" t="str">
        <f t="shared" si="61"/>
        <v/>
      </c>
      <c r="N627">
        <v>5059.91</v>
      </c>
      <c r="O627" t="s">
        <v>508</v>
      </c>
      <c r="Q627" t="s">
        <v>19</v>
      </c>
    </row>
    <row r="628" spans="1:17" x14ac:dyDescent="0.3">
      <c r="A628">
        <v>36048</v>
      </c>
      <c r="B628" t="s">
        <v>76</v>
      </c>
      <c r="C628" t="s">
        <v>19</v>
      </c>
      <c r="D628" t="s">
        <v>79</v>
      </c>
      <c r="E628" s="6">
        <v>14846.83</v>
      </c>
      <c r="F628" t="s">
        <v>493</v>
      </c>
      <c r="G628" s="4" t="str">
        <f t="shared" si="56"/>
        <v>14846.83</v>
      </c>
      <c r="H628" t="str">
        <f t="shared" si="57"/>
        <v>14846.83</v>
      </c>
      <c r="I628" s="1">
        <v>45761</v>
      </c>
      <c r="J628" s="2">
        <f t="shared" si="58"/>
        <v>-2.0941165454067028E-2</v>
      </c>
      <c r="K628" s="3" t="str">
        <f t="shared" si="59"/>
        <v/>
      </c>
      <c r="L628" t="str">
        <f t="shared" si="60"/>
        <v/>
      </c>
      <c r="M628" t="str">
        <f t="shared" si="61"/>
        <v/>
      </c>
      <c r="N628">
        <v>15164.39</v>
      </c>
      <c r="O628" t="s">
        <v>509</v>
      </c>
      <c r="Q628" t="s">
        <v>19</v>
      </c>
    </row>
    <row r="629" spans="1:17" x14ac:dyDescent="0.3">
      <c r="A629">
        <v>36059</v>
      </c>
      <c r="B629" t="s">
        <v>81</v>
      </c>
      <c r="C629" t="s">
        <v>19</v>
      </c>
      <c r="D629" t="s">
        <v>82</v>
      </c>
      <c r="E629" s="6">
        <v>30405.91</v>
      </c>
      <c r="F629" t="s">
        <v>493</v>
      </c>
      <c r="G629" s="4" t="str">
        <f t="shared" si="56"/>
        <v>30405.91</v>
      </c>
      <c r="H629" t="str">
        <f t="shared" si="57"/>
        <v>30405.91</v>
      </c>
      <c r="I629" s="1">
        <v>45761</v>
      </c>
      <c r="J629" s="2">
        <f t="shared" si="58"/>
        <v>-2.2728397656803973E-2</v>
      </c>
      <c r="K629" s="3" t="str">
        <f t="shared" si="59"/>
        <v/>
      </c>
      <c r="L629" t="str">
        <f t="shared" si="60"/>
        <v/>
      </c>
      <c r="M629" t="str">
        <f t="shared" si="61"/>
        <v/>
      </c>
      <c r="N629">
        <v>31113.06</v>
      </c>
      <c r="O629" t="s">
        <v>510</v>
      </c>
      <c r="Q629" t="s">
        <v>19</v>
      </c>
    </row>
    <row r="630" spans="1:17" x14ac:dyDescent="0.3">
      <c r="A630">
        <v>36059</v>
      </c>
      <c r="B630" t="s">
        <v>81</v>
      </c>
      <c r="C630" t="s">
        <v>19</v>
      </c>
      <c r="D630" t="s">
        <v>84</v>
      </c>
      <c r="E630" s="6">
        <v>19656.82</v>
      </c>
      <c r="F630" t="s">
        <v>493</v>
      </c>
      <c r="G630" s="4" t="str">
        <f t="shared" si="56"/>
        <v>19656.82</v>
      </c>
      <c r="H630" t="str">
        <f t="shared" si="57"/>
        <v>19656.82</v>
      </c>
      <c r="I630" s="1">
        <v>45761</v>
      </c>
      <c r="J630" s="2">
        <f t="shared" si="58"/>
        <v>-2.2210748169581955E-2</v>
      </c>
      <c r="K630" s="3" t="str">
        <f t="shared" si="59"/>
        <v/>
      </c>
      <c r="L630" t="str">
        <f t="shared" si="60"/>
        <v/>
      </c>
      <c r="M630" t="str">
        <f t="shared" si="61"/>
        <v/>
      </c>
      <c r="N630">
        <v>20103.330000000002</v>
      </c>
      <c r="O630" t="s">
        <v>511</v>
      </c>
      <c r="Q630" t="s">
        <v>19</v>
      </c>
    </row>
    <row r="631" spans="1:17" x14ac:dyDescent="0.3">
      <c r="A631">
        <v>36060</v>
      </c>
      <c r="B631" t="s">
        <v>86</v>
      </c>
      <c r="C631" t="s">
        <v>19</v>
      </c>
      <c r="D631" t="s">
        <v>87</v>
      </c>
      <c r="E631" s="6">
        <v>42128.11</v>
      </c>
      <c r="F631" t="s">
        <v>493</v>
      </c>
      <c r="G631" s="4" t="str">
        <f t="shared" si="56"/>
        <v>42128.11</v>
      </c>
      <c r="H631" t="str">
        <f t="shared" si="57"/>
        <v>42128.11</v>
      </c>
      <c r="I631" s="1">
        <v>45761</v>
      </c>
      <c r="J631" s="2">
        <f t="shared" si="58"/>
        <v>-2.146463561336337E-2</v>
      </c>
      <c r="K631" s="3" t="str">
        <f t="shared" si="59"/>
        <v/>
      </c>
      <c r="L631" t="str">
        <f t="shared" si="60"/>
        <v/>
      </c>
      <c r="M631" t="str">
        <f t="shared" si="61"/>
        <v/>
      </c>
      <c r="N631">
        <v>43052.21</v>
      </c>
      <c r="O631" t="s">
        <v>512</v>
      </c>
      <c r="Q631" t="s">
        <v>19</v>
      </c>
    </row>
    <row r="632" spans="1:17" x14ac:dyDescent="0.3">
      <c r="A632">
        <v>36060</v>
      </c>
      <c r="B632" t="s">
        <v>86</v>
      </c>
      <c r="C632" t="s">
        <v>19</v>
      </c>
      <c r="D632" t="s">
        <v>89</v>
      </c>
      <c r="E632" s="6">
        <v>7354.97</v>
      </c>
      <c r="F632" t="s">
        <v>493</v>
      </c>
      <c r="G632" s="4" t="str">
        <f t="shared" si="56"/>
        <v>7354.97</v>
      </c>
      <c r="H632" t="str">
        <f t="shared" si="57"/>
        <v>7354.97</v>
      </c>
      <c r="I632" s="1">
        <v>45761</v>
      </c>
      <c r="J632" s="2">
        <f t="shared" si="58"/>
        <v>-1.6203613911512729E-2</v>
      </c>
      <c r="K632" s="3" t="str">
        <f t="shared" si="59"/>
        <v/>
      </c>
      <c r="L632" t="str">
        <f t="shared" si="60"/>
        <v/>
      </c>
      <c r="M632" t="str">
        <f t="shared" si="61"/>
        <v/>
      </c>
      <c r="N632">
        <v>7476.11</v>
      </c>
      <c r="O632" t="s">
        <v>513</v>
      </c>
      <c r="Q632" t="s">
        <v>19</v>
      </c>
    </row>
    <row r="633" spans="1:17" x14ac:dyDescent="0.3">
      <c r="A633">
        <v>36355</v>
      </c>
      <c r="B633" t="s">
        <v>94</v>
      </c>
      <c r="C633" t="s">
        <v>19</v>
      </c>
      <c r="D633" t="s">
        <v>95</v>
      </c>
      <c r="E633" s="6">
        <v>455.33</v>
      </c>
      <c r="F633" t="s">
        <v>493</v>
      </c>
      <c r="G633" s="4" t="str">
        <f t="shared" si="56"/>
        <v>455.33</v>
      </c>
      <c r="H633" t="str">
        <f t="shared" si="57"/>
        <v>455.33</v>
      </c>
      <c r="I633" s="1">
        <v>45761</v>
      </c>
      <c r="J633" s="2">
        <f t="shared" si="58"/>
        <v>-3.1563051662164818E-2</v>
      </c>
      <c r="K633" s="3" t="str">
        <f t="shared" si="59"/>
        <v/>
      </c>
      <c r="L633" t="str">
        <f t="shared" si="60"/>
        <v/>
      </c>
      <c r="M633" t="str">
        <f t="shared" si="61"/>
        <v/>
      </c>
      <c r="N633">
        <v>470.17</v>
      </c>
      <c r="O633" t="s">
        <v>514</v>
      </c>
      <c r="Q633" t="s">
        <v>19</v>
      </c>
    </row>
    <row r="634" spans="1:17" x14ac:dyDescent="0.3">
      <c r="A634">
        <v>37040</v>
      </c>
      <c r="B634" t="s">
        <v>596</v>
      </c>
      <c r="C634" t="s">
        <v>19</v>
      </c>
      <c r="D634" t="s">
        <v>97</v>
      </c>
      <c r="E634" s="6">
        <v>22134.66</v>
      </c>
      <c r="F634" t="s">
        <v>493</v>
      </c>
      <c r="G634" s="4" t="str">
        <f t="shared" si="56"/>
        <v>22134.66</v>
      </c>
      <c r="H634" t="str">
        <f t="shared" si="57"/>
        <v>22134.66</v>
      </c>
      <c r="I634" s="1">
        <v>45761</v>
      </c>
      <c r="J634" s="2">
        <f t="shared" si="58"/>
        <v>-2.032410575262486E-2</v>
      </c>
      <c r="K634" s="3" t="str">
        <f t="shared" si="59"/>
        <v/>
      </c>
      <c r="L634" t="str">
        <f t="shared" si="60"/>
        <v/>
      </c>
      <c r="M634" t="str">
        <f t="shared" si="61"/>
        <v/>
      </c>
      <c r="N634">
        <v>22593.86</v>
      </c>
      <c r="O634" t="s">
        <v>515</v>
      </c>
      <c r="Q634" t="s">
        <v>19</v>
      </c>
    </row>
    <row r="635" spans="1:17" x14ac:dyDescent="0.3">
      <c r="A635">
        <v>37041</v>
      </c>
      <c r="B635" t="s">
        <v>99</v>
      </c>
      <c r="C635" t="s">
        <v>19</v>
      </c>
      <c r="D635" t="s">
        <v>100</v>
      </c>
      <c r="E635" s="6">
        <v>4050.69</v>
      </c>
      <c r="F635" t="s">
        <v>493</v>
      </c>
      <c r="G635" s="4" t="str">
        <f t="shared" si="56"/>
        <v>4050.69</v>
      </c>
      <c r="H635" t="str">
        <f t="shared" si="57"/>
        <v>4050.69</v>
      </c>
      <c r="I635" s="1">
        <v>45761</v>
      </c>
      <c r="J635" s="2">
        <f t="shared" si="58"/>
        <v>-2.2375343920451703E-2</v>
      </c>
      <c r="K635" s="3" t="str">
        <f t="shared" si="59"/>
        <v/>
      </c>
      <c r="L635" t="str">
        <f t="shared" si="60"/>
        <v/>
      </c>
      <c r="M635" t="str">
        <f t="shared" si="61"/>
        <v/>
      </c>
      <c r="N635">
        <v>4143.3999999999996</v>
      </c>
      <c r="O635" t="s">
        <v>516</v>
      </c>
      <c r="Q635" t="s">
        <v>19</v>
      </c>
    </row>
    <row r="636" spans="1:17" x14ac:dyDescent="0.3">
      <c r="A636">
        <v>38586</v>
      </c>
      <c r="B636" t="s">
        <v>102</v>
      </c>
      <c r="C636" t="s">
        <v>19</v>
      </c>
      <c r="D636" t="s">
        <v>103</v>
      </c>
      <c r="E636" s="6">
        <v>2863.48</v>
      </c>
      <c r="F636" t="s">
        <v>493</v>
      </c>
      <c r="G636" s="4" t="str">
        <f t="shared" si="56"/>
        <v>2863.48</v>
      </c>
      <c r="H636" t="str">
        <f t="shared" si="57"/>
        <v>2863.48</v>
      </c>
      <c r="I636" s="1">
        <v>45761</v>
      </c>
      <c r="J636" s="2">
        <f t="shared" si="58"/>
        <v>-1.8253380509613466E-2</v>
      </c>
      <c r="K636" s="3" t="str">
        <f t="shared" si="59"/>
        <v/>
      </c>
      <c r="L636" t="str">
        <f t="shared" si="60"/>
        <v/>
      </c>
      <c r="M636" t="str">
        <f t="shared" si="61"/>
        <v/>
      </c>
      <c r="N636">
        <v>2916.72</v>
      </c>
      <c r="O636" t="s">
        <v>517</v>
      </c>
      <c r="Q636" t="s">
        <v>19</v>
      </c>
    </row>
    <row r="637" spans="1:17" x14ac:dyDescent="0.3">
      <c r="A637">
        <v>38842</v>
      </c>
      <c r="B637" t="s">
        <v>105</v>
      </c>
      <c r="C637" t="s">
        <v>19</v>
      </c>
      <c r="D637" t="s">
        <v>106</v>
      </c>
      <c r="E637" s="6">
        <v>2112.59</v>
      </c>
      <c r="F637" t="s">
        <v>493</v>
      </c>
      <c r="G637" s="4" t="str">
        <f t="shared" si="56"/>
        <v>2112.59</v>
      </c>
      <c r="H637" t="str">
        <f t="shared" si="57"/>
        <v>2112.59</v>
      </c>
      <c r="I637" s="1">
        <v>45761</v>
      </c>
      <c r="J637" s="2">
        <f t="shared" si="58"/>
        <v>-1.7102845046176641E-2</v>
      </c>
      <c r="K637" s="3" t="str">
        <f t="shared" si="59"/>
        <v/>
      </c>
      <c r="L637" t="str">
        <f t="shared" si="60"/>
        <v/>
      </c>
      <c r="M637" t="str">
        <f t="shared" si="61"/>
        <v/>
      </c>
      <c r="N637">
        <v>2149.35</v>
      </c>
      <c r="O637" t="s">
        <v>518</v>
      </c>
      <c r="Q637" t="s">
        <v>19</v>
      </c>
    </row>
    <row r="638" spans="1:17" x14ac:dyDescent="0.3">
      <c r="A638">
        <v>38851</v>
      </c>
      <c r="B638" t="s">
        <v>108</v>
      </c>
      <c r="C638" t="s">
        <v>19</v>
      </c>
      <c r="D638" t="s">
        <v>109</v>
      </c>
      <c r="E638" s="6">
        <v>170.48</v>
      </c>
      <c r="F638" t="s">
        <v>493</v>
      </c>
      <c r="G638" s="4" t="str">
        <f t="shared" si="56"/>
        <v>170.48</v>
      </c>
      <c r="H638" t="str">
        <f t="shared" si="57"/>
        <v>170.48</v>
      </c>
      <c r="I638" s="1">
        <v>45761</v>
      </c>
      <c r="J638" s="2">
        <f t="shared" si="58"/>
        <v>-3.8086102804265644E-2</v>
      </c>
      <c r="K638" s="3" t="str">
        <f t="shared" si="59"/>
        <v/>
      </c>
      <c r="L638" t="str">
        <f t="shared" si="60"/>
        <v/>
      </c>
      <c r="M638" t="str">
        <f t="shared" si="61"/>
        <v/>
      </c>
      <c r="N638">
        <v>177.23</v>
      </c>
      <c r="O638" t="s">
        <v>519</v>
      </c>
      <c r="Q638" t="s">
        <v>19</v>
      </c>
    </row>
    <row r="639" spans="1:17" x14ac:dyDescent="0.3">
      <c r="A639">
        <v>38887</v>
      </c>
      <c r="B639" t="s">
        <v>111</v>
      </c>
      <c r="C639" t="s">
        <v>19</v>
      </c>
      <c r="D639" t="s">
        <v>112</v>
      </c>
      <c r="E639" s="6">
        <v>1064.05</v>
      </c>
      <c r="F639" t="s">
        <v>493</v>
      </c>
      <c r="G639" s="4" t="str">
        <f t="shared" si="56"/>
        <v>1064.05</v>
      </c>
      <c r="H639" t="str">
        <f t="shared" si="57"/>
        <v>1064.05</v>
      </c>
      <c r="I639" s="1">
        <v>45761</v>
      </c>
      <c r="J639" s="2">
        <f t="shared" si="58"/>
        <v>-2.2857090381471983E-2</v>
      </c>
      <c r="K639" s="3" t="str">
        <f t="shared" si="59"/>
        <v/>
      </c>
      <c r="L639" t="str">
        <f t="shared" si="60"/>
        <v/>
      </c>
      <c r="M639" t="str">
        <f t="shared" si="61"/>
        <v/>
      </c>
      <c r="N639">
        <v>1088.94</v>
      </c>
      <c r="O639" t="s">
        <v>520</v>
      </c>
      <c r="Q639" t="s">
        <v>19</v>
      </c>
    </row>
    <row r="640" spans="1:17" x14ac:dyDescent="0.3">
      <c r="A640">
        <v>46589</v>
      </c>
      <c r="B640" t="s">
        <v>638</v>
      </c>
      <c r="C640" t="s">
        <v>19</v>
      </c>
      <c r="D640" t="s">
        <v>118</v>
      </c>
      <c r="E640" s="6">
        <v>52237.49</v>
      </c>
      <c r="F640" t="s">
        <v>493</v>
      </c>
      <c r="G640" s="4" t="str">
        <f t="shared" si="56"/>
        <v>52237.49</v>
      </c>
      <c r="H640" t="str">
        <f t="shared" si="57"/>
        <v>52237.49</v>
      </c>
      <c r="I640" s="1">
        <v>45761</v>
      </c>
      <c r="J640" s="2">
        <f t="shared" si="58"/>
        <v>-2.1304144912401176E-2</v>
      </c>
      <c r="K640" s="3" t="str">
        <f t="shared" si="59"/>
        <v/>
      </c>
      <c r="L640" t="str">
        <f t="shared" si="60"/>
        <v/>
      </c>
      <c r="M640" t="str">
        <f t="shared" si="61"/>
        <v/>
      </c>
      <c r="N640">
        <v>53374.59</v>
      </c>
      <c r="O640" t="s">
        <v>521</v>
      </c>
      <c r="Q640" t="s">
        <v>19</v>
      </c>
    </row>
    <row r="641" spans="1:17" x14ac:dyDescent="0.3">
      <c r="A641">
        <v>46589</v>
      </c>
      <c r="B641" t="s">
        <v>638</v>
      </c>
      <c r="C641" t="s">
        <v>19</v>
      </c>
      <c r="D641" t="s">
        <v>120</v>
      </c>
      <c r="E641" s="6">
        <v>2470.6</v>
      </c>
      <c r="F641" t="s">
        <v>493</v>
      </c>
      <c r="G641" s="4" t="str">
        <f t="shared" si="56"/>
        <v>2470.6</v>
      </c>
      <c r="H641" t="str">
        <f t="shared" si="57"/>
        <v>2470.6</v>
      </c>
      <c r="I641" s="1">
        <v>45761</v>
      </c>
      <c r="J641" s="2">
        <f t="shared" si="58"/>
        <v>-1.800158194515657E-2</v>
      </c>
      <c r="K641" s="3" t="str">
        <f t="shared" si="59"/>
        <v/>
      </c>
      <c r="L641" t="str">
        <f t="shared" si="60"/>
        <v/>
      </c>
      <c r="M641" t="str">
        <f t="shared" si="61"/>
        <v/>
      </c>
      <c r="N641">
        <v>2515.89</v>
      </c>
      <c r="O641" t="s">
        <v>522</v>
      </c>
      <c r="Q641" t="s">
        <v>19</v>
      </c>
    </row>
    <row r="642" spans="1:17" x14ac:dyDescent="0.3">
      <c r="A642">
        <v>54985</v>
      </c>
      <c r="B642" t="s">
        <v>122</v>
      </c>
      <c r="C642" t="s">
        <v>19</v>
      </c>
      <c r="D642" t="s">
        <v>123</v>
      </c>
      <c r="E642" s="6">
        <v>1072.03</v>
      </c>
      <c r="F642" t="s">
        <v>493</v>
      </c>
      <c r="G642" s="4" t="str">
        <f t="shared" si="56"/>
        <v>1072.03</v>
      </c>
      <c r="H642" t="str">
        <f t="shared" si="57"/>
        <v>1072.03</v>
      </c>
      <c r="I642" s="1">
        <v>45761</v>
      </c>
      <c r="J642" s="2">
        <f t="shared" si="58"/>
        <v>-2.2922401064547376E-2</v>
      </c>
      <c r="K642" s="3" t="str">
        <f t="shared" si="59"/>
        <v/>
      </c>
      <c r="L642" t="str">
        <f t="shared" si="60"/>
        <v/>
      </c>
      <c r="M642" t="str">
        <f t="shared" si="61"/>
        <v/>
      </c>
      <c r="N642">
        <v>1097.18</v>
      </c>
      <c r="O642" t="s">
        <v>523</v>
      </c>
      <c r="Q642" t="s">
        <v>19</v>
      </c>
    </row>
    <row r="643" spans="1:17" x14ac:dyDescent="0.3">
      <c r="A643">
        <v>69046</v>
      </c>
      <c r="B643" t="s">
        <v>131</v>
      </c>
      <c r="C643" t="s">
        <v>19</v>
      </c>
      <c r="D643" t="s">
        <v>132</v>
      </c>
      <c r="E643" s="6">
        <v>39423.39</v>
      </c>
      <c r="F643" t="s">
        <v>493</v>
      </c>
      <c r="G643" s="4" t="str">
        <f t="shared" ref="G643:G706" si="62">SUBSTITUTE(E643,"R","")</f>
        <v>39423.39</v>
      </c>
      <c r="H643" t="str">
        <f t="shared" ref="H643:H706" si="63">SUBSTITUTE(G643,",","")</f>
        <v>39423.39</v>
      </c>
      <c r="I643" s="1">
        <v>45761</v>
      </c>
      <c r="J643" s="2">
        <f t="shared" ref="J643:J706" si="64">(H643-N643)/N643</f>
        <v>-2.0446361750700921E-2</v>
      </c>
      <c r="K643" s="3" t="str">
        <f t="shared" ref="K643:K706" si="65">IF(ABS(J643)&gt;0.1,"Check!","")</f>
        <v/>
      </c>
      <c r="L643" t="str">
        <f t="shared" ref="L643:L706" si="66">IF(LEFT(O643,10)&lt;&gt;LEFT(D643,10),"Check","")</f>
        <v/>
      </c>
      <c r="M643" t="str">
        <f t="shared" ref="M643:M706" si="67">IF(Q643&lt;&gt;C643,"Check","")</f>
        <v/>
      </c>
      <c r="N643">
        <v>40246.28</v>
      </c>
      <c r="O643" t="s">
        <v>524</v>
      </c>
      <c r="Q643" t="s">
        <v>19</v>
      </c>
    </row>
    <row r="644" spans="1:17" x14ac:dyDescent="0.3">
      <c r="A644">
        <v>72002</v>
      </c>
      <c r="B644" t="s">
        <v>134</v>
      </c>
      <c r="C644" t="s">
        <v>19</v>
      </c>
      <c r="D644" t="s">
        <v>137</v>
      </c>
      <c r="E644" s="6">
        <v>42394.13</v>
      </c>
      <c r="F644" t="s">
        <v>493</v>
      </c>
      <c r="G644" s="4" t="str">
        <f t="shared" si="62"/>
        <v>42394.13</v>
      </c>
      <c r="H644" t="str">
        <f t="shared" si="63"/>
        <v>42394.13</v>
      </c>
      <c r="I644" s="1">
        <v>45761</v>
      </c>
      <c r="J644" s="2">
        <f t="shared" si="64"/>
        <v>-2.2223283164597436E-2</v>
      </c>
      <c r="K644" s="3" t="str">
        <f t="shared" si="65"/>
        <v/>
      </c>
      <c r="L644" t="str">
        <f t="shared" si="66"/>
        <v/>
      </c>
      <c r="M644" t="str">
        <f t="shared" si="67"/>
        <v/>
      </c>
      <c r="N644">
        <v>43357.68</v>
      </c>
      <c r="O644" t="s">
        <v>525</v>
      </c>
      <c r="Q644" t="s">
        <v>19</v>
      </c>
    </row>
    <row r="645" spans="1:17" x14ac:dyDescent="0.3">
      <c r="A645">
        <v>72002</v>
      </c>
      <c r="B645" t="s">
        <v>134</v>
      </c>
      <c r="C645" t="s">
        <v>19</v>
      </c>
      <c r="D645" t="s">
        <v>139</v>
      </c>
      <c r="E645" s="6">
        <v>6205.05</v>
      </c>
      <c r="F645" t="s">
        <v>493</v>
      </c>
      <c r="G645" s="4" t="str">
        <f t="shared" si="62"/>
        <v>6205.05</v>
      </c>
      <c r="H645" t="str">
        <f t="shared" si="63"/>
        <v>6205.05</v>
      </c>
      <c r="I645" s="1">
        <v>45761</v>
      </c>
      <c r="J645" s="2">
        <f t="shared" si="64"/>
        <v>-2.0386222052420376E-2</v>
      </c>
      <c r="K645" s="3" t="str">
        <f t="shared" si="65"/>
        <v/>
      </c>
      <c r="L645" t="str">
        <f t="shared" si="66"/>
        <v/>
      </c>
      <c r="M645" t="str">
        <f t="shared" si="67"/>
        <v/>
      </c>
      <c r="N645">
        <v>6334.18</v>
      </c>
      <c r="O645" t="s">
        <v>526</v>
      </c>
      <c r="Q645" t="s">
        <v>19</v>
      </c>
    </row>
    <row r="646" spans="1:17" x14ac:dyDescent="0.3">
      <c r="A646">
        <v>80212</v>
      </c>
      <c r="B646" t="s">
        <v>141</v>
      </c>
      <c r="C646" t="s">
        <v>590</v>
      </c>
      <c r="D646" t="s">
        <v>142</v>
      </c>
      <c r="E646" s="6">
        <v>309.11</v>
      </c>
      <c r="F646" t="s">
        <v>493</v>
      </c>
      <c r="G646" s="4" t="str">
        <f t="shared" si="62"/>
        <v>309.11</v>
      </c>
      <c r="H646" t="str">
        <f t="shared" si="63"/>
        <v>309.11</v>
      </c>
      <c r="I646" s="1">
        <v>45761</v>
      </c>
      <c r="J646" s="2">
        <f t="shared" si="64"/>
        <v>-9.1040230806218141E-3</v>
      </c>
      <c r="K646" s="3" t="str">
        <f t="shared" si="65"/>
        <v/>
      </c>
      <c r="L646" t="str">
        <f t="shared" si="66"/>
        <v/>
      </c>
      <c r="M646" t="str">
        <f t="shared" si="67"/>
        <v>Check</v>
      </c>
      <c r="N646">
        <v>311.95</v>
      </c>
      <c r="O646" t="s">
        <v>527</v>
      </c>
      <c r="Q646" t="s">
        <v>16</v>
      </c>
    </row>
    <row r="647" spans="1:17" x14ac:dyDescent="0.3">
      <c r="A647">
        <v>81381</v>
      </c>
      <c r="B647" t="s">
        <v>593</v>
      </c>
      <c r="C647" t="s">
        <v>19</v>
      </c>
      <c r="D647" t="s">
        <v>146</v>
      </c>
      <c r="E647" s="6">
        <v>2910.62</v>
      </c>
      <c r="F647" t="s">
        <v>493</v>
      </c>
      <c r="G647" s="4" t="str">
        <f t="shared" si="62"/>
        <v>2910.62</v>
      </c>
      <c r="H647" t="str">
        <f t="shared" si="63"/>
        <v>2910.62</v>
      </c>
      <c r="I647" s="1">
        <v>45761</v>
      </c>
      <c r="J647" s="2">
        <f t="shared" si="64"/>
        <v>-2.2360010614035437E-2</v>
      </c>
      <c r="K647" s="3" t="str">
        <f t="shared" si="65"/>
        <v/>
      </c>
      <c r="L647" t="str">
        <f t="shared" si="66"/>
        <v/>
      </c>
      <c r="M647" t="str">
        <f t="shared" si="67"/>
        <v/>
      </c>
      <c r="N647">
        <v>2977.19</v>
      </c>
      <c r="O647" t="s">
        <v>528</v>
      </c>
      <c r="Q647" t="s">
        <v>19</v>
      </c>
    </row>
    <row r="648" spans="1:17" x14ac:dyDescent="0.3">
      <c r="A648">
        <v>81381</v>
      </c>
      <c r="B648" t="s">
        <v>593</v>
      </c>
      <c r="C648" t="s">
        <v>19</v>
      </c>
      <c r="D648" t="s">
        <v>148</v>
      </c>
      <c r="E648" s="6">
        <v>97982.63</v>
      </c>
      <c r="F648" t="s">
        <v>493</v>
      </c>
      <c r="G648" s="4" t="str">
        <f t="shared" si="62"/>
        <v>97982.63</v>
      </c>
      <c r="H648" t="str">
        <f t="shared" si="63"/>
        <v>97982.63</v>
      </c>
      <c r="I648" s="1">
        <v>45761</v>
      </c>
      <c r="J648" s="2">
        <f t="shared" si="64"/>
        <v>-2.2119779426962305E-2</v>
      </c>
      <c r="K648" s="3" t="str">
        <f t="shared" si="65"/>
        <v/>
      </c>
      <c r="L648" t="str">
        <f t="shared" si="66"/>
        <v/>
      </c>
      <c r="M648" t="str">
        <f t="shared" si="67"/>
        <v/>
      </c>
      <c r="N648">
        <v>100199.01</v>
      </c>
      <c r="O648" t="s">
        <v>529</v>
      </c>
      <c r="Q648" t="s">
        <v>19</v>
      </c>
    </row>
    <row r="649" spans="1:17" x14ac:dyDescent="0.3">
      <c r="A649">
        <v>113590</v>
      </c>
      <c r="B649" t="s">
        <v>150</v>
      </c>
      <c r="C649" t="s">
        <v>19</v>
      </c>
      <c r="D649" t="s">
        <v>151</v>
      </c>
      <c r="E649" s="6">
        <v>11514.34</v>
      </c>
      <c r="F649" t="s">
        <v>493</v>
      </c>
      <c r="G649" s="4" t="str">
        <f t="shared" si="62"/>
        <v>11514.34</v>
      </c>
      <c r="H649" t="str">
        <f t="shared" si="63"/>
        <v>11514.34</v>
      </c>
      <c r="I649" s="1">
        <v>45761</v>
      </c>
      <c r="J649" s="2">
        <f t="shared" si="64"/>
        <v>-2.2677888761382256E-2</v>
      </c>
      <c r="K649" s="3" t="str">
        <f t="shared" si="65"/>
        <v/>
      </c>
      <c r="L649" t="str">
        <f t="shared" si="66"/>
        <v/>
      </c>
      <c r="M649" t="str">
        <f t="shared" si="67"/>
        <v/>
      </c>
      <c r="N649">
        <v>11781.52</v>
      </c>
      <c r="O649" t="s">
        <v>530</v>
      </c>
      <c r="Q649" t="s">
        <v>19</v>
      </c>
    </row>
    <row r="650" spans="1:17" x14ac:dyDescent="0.3">
      <c r="A650">
        <v>113590</v>
      </c>
      <c r="B650" t="s">
        <v>150</v>
      </c>
      <c r="C650" t="s">
        <v>19</v>
      </c>
      <c r="D650" t="s">
        <v>153</v>
      </c>
      <c r="E650" s="6">
        <v>3009.87</v>
      </c>
      <c r="F650" t="s">
        <v>493</v>
      </c>
      <c r="G650" s="4" t="str">
        <f t="shared" si="62"/>
        <v>3009.87</v>
      </c>
      <c r="H650" t="str">
        <f t="shared" si="63"/>
        <v>3009.87</v>
      </c>
      <c r="I650" s="1">
        <v>45761</v>
      </c>
      <c r="J650" s="2">
        <f t="shared" si="64"/>
        <v>-2.024374523935081E-2</v>
      </c>
      <c r="K650" s="3" t="str">
        <f t="shared" si="65"/>
        <v/>
      </c>
      <c r="L650" t="str">
        <f t="shared" si="66"/>
        <v/>
      </c>
      <c r="M650" t="str">
        <f t="shared" si="67"/>
        <v/>
      </c>
      <c r="N650">
        <v>3072.06</v>
      </c>
      <c r="O650" t="s">
        <v>531</v>
      </c>
      <c r="Q650" t="s">
        <v>19</v>
      </c>
    </row>
    <row r="651" spans="1:17" x14ac:dyDescent="0.3">
      <c r="A651">
        <v>130912</v>
      </c>
      <c r="B651" t="s">
        <v>604</v>
      </c>
      <c r="C651" t="s">
        <v>590</v>
      </c>
      <c r="D651" t="s">
        <v>605</v>
      </c>
      <c r="E651" s="6">
        <v>10835.17</v>
      </c>
      <c r="F651" t="s">
        <v>493</v>
      </c>
      <c r="G651" s="4" t="str">
        <f t="shared" si="62"/>
        <v>10835.17</v>
      </c>
      <c r="H651" t="str">
        <f t="shared" si="63"/>
        <v>10835.17</v>
      </c>
      <c r="I651" s="1">
        <v>45761</v>
      </c>
      <c r="J651" s="2">
        <f t="shared" si="64"/>
        <v>-2.1710728870502096E-2</v>
      </c>
      <c r="K651" s="3" t="str">
        <f t="shared" si="65"/>
        <v/>
      </c>
      <c r="L651" t="str">
        <f t="shared" si="66"/>
        <v/>
      </c>
      <c r="M651" t="str">
        <f t="shared" si="67"/>
        <v/>
      </c>
      <c r="N651">
        <v>11075.63</v>
      </c>
      <c r="O651" t="s">
        <v>687</v>
      </c>
      <c r="Q651" t="s">
        <v>590</v>
      </c>
    </row>
    <row r="652" spans="1:17" x14ac:dyDescent="0.3">
      <c r="A652">
        <v>100202693</v>
      </c>
      <c r="B652" t="s">
        <v>594</v>
      </c>
      <c r="C652" t="s">
        <v>590</v>
      </c>
      <c r="D652" t="s">
        <v>599</v>
      </c>
      <c r="E652" s="6">
        <v>34721.93</v>
      </c>
      <c r="F652" t="s">
        <v>493</v>
      </c>
      <c r="G652" s="4" t="str">
        <f t="shared" si="62"/>
        <v>34721.93</v>
      </c>
      <c r="H652" t="str">
        <f t="shared" si="63"/>
        <v>34721.93</v>
      </c>
      <c r="I652" s="1">
        <v>45761</v>
      </c>
      <c r="J652" s="2">
        <f t="shared" si="64"/>
        <v>-2.2530929884005152E-2</v>
      </c>
      <c r="K652" s="3" t="str">
        <f t="shared" si="65"/>
        <v/>
      </c>
      <c r="L652" t="str">
        <f t="shared" si="66"/>
        <v/>
      </c>
      <c r="M652" t="str">
        <f t="shared" si="67"/>
        <v/>
      </c>
      <c r="N652">
        <v>35522.28</v>
      </c>
      <c r="O652" t="s">
        <v>688</v>
      </c>
      <c r="Q652" t="s">
        <v>590</v>
      </c>
    </row>
    <row r="653" spans="1:17" x14ac:dyDescent="0.3">
      <c r="A653">
        <v>100202693</v>
      </c>
      <c r="B653" t="s">
        <v>594</v>
      </c>
      <c r="C653" t="s">
        <v>19</v>
      </c>
      <c r="D653" t="s">
        <v>597</v>
      </c>
      <c r="E653" s="6">
        <v>27064.46</v>
      </c>
      <c r="F653" t="s">
        <v>493</v>
      </c>
      <c r="G653" s="4" t="str">
        <f t="shared" si="62"/>
        <v>27064.46</v>
      </c>
      <c r="H653" t="str">
        <f t="shared" si="63"/>
        <v>27064.46</v>
      </c>
      <c r="I653" s="1">
        <v>45761</v>
      </c>
      <c r="J653" s="2">
        <f t="shared" si="64"/>
        <v>-2.2627182881965739E-2</v>
      </c>
      <c r="K653" s="3" t="str">
        <f t="shared" si="65"/>
        <v/>
      </c>
      <c r="L653" t="str">
        <f t="shared" si="66"/>
        <v/>
      </c>
      <c r="M653" t="str">
        <f t="shared" si="67"/>
        <v/>
      </c>
      <c r="N653">
        <v>27691.03</v>
      </c>
      <c r="O653" t="s">
        <v>689</v>
      </c>
      <c r="Q653" t="s">
        <v>19</v>
      </c>
    </row>
    <row r="654" spans="1:17" x14ac:dyDescent="0.3">
      <c r="A654">
        <v>100202693</v>
      </c>
      <c r="B654" t="s">
        <v>594</v>
      </c>
      <c r="C654" t="s">
        <v>19</v>
      </c>
      <c r="D654" t="s">
        <v>598</v>
      </c>
      <c r="E654" s="6">
        <v>105565.71</v>
      </c>
      <c r="F654" t="s">
        <v>493</v>
      </c>
      <c r="G654" s="4" t="str">
        <f t="shared" si="62"/>
        <v>105565.71</v>
      </c>
      <c r="H654" t="str">
        <f t="shared" si="63"/>
        <v>105565.71</v>
      </c>
      <c r="I654" s="1">
        <v>45761</v>
      </c>
      <c r="J654" s="2">
        <f t="shared" si="64"/>
        <v>-2.220745382921786E-2</v>
      </c>
      <c r="K654" s="3" t="str">
        <f t="shared" si="65"/>
        <v/>
      </c>
      <c r="L654" t="str">
        <f t="shared" si="66"/>
        <v/>
      </c>
      <c r="M654" t="str">
        <f t="shared" si="67"/>
        <v/>
      </c>
      <c r="N654">
        <v>107963.3</v>
      </c>
      <c r="O654" t="s">
        <v>690</v>
      </c>
      <c r="Q654" t="s">
        <v>19</v>
      </c>
    </row>
    <row r="655" spans="1:17" x14ac:dyDescent="0.3">
      <c r="A655">
        <v>100220898</v>
      </c>
      <c r="B655" t="s">
        <v>166</v>
      </c>
      <c r="C655" t="s">
        <v>19</v>
      </c>
      <c r="D655" t="s">
        <v>167</v>
      </c>
      <c r="E655" s="6">
        <v>31837.200000000001</v>
      </c>
      <c r="F655" t="s">
        <v>493</v>
      </c>
      <c r="G655" s="4" t="str">
        <f t="shared" si="62"/>
        <v>31837.2</v>
      </c>
      <c r="H655" t="str">
        <f t="shared" si="63"/>
        <v>31837.2</v>
      </c>
      <c r="I655" s="1">
        <v>45761</v>
      </c>
      <c r="J655" s="2">
        <f t="shared" si="64"/>
        <v>-2.2552351315264712E-2</v>
      </c>
      <c r="K655" s="3" t="str">
        <f t="shared" si="65"/>
        <v/>
      </c>
      <c r="L655" t="str">
        <f t="shared" si="66"/>
        <v/>
      </c>
      <c r="M655" t="str">
        <f t="shared" si="67"/>
        <v/>
      </c>
      <c r="N655">
        <v>32571.77</v>
      </c>
      <c r="O655" t="s">
        <v>532</v>
      </c>
      <c r="Q655" t="s">
        <v>19</v>
      </c>
    </row>
    <row r="656" spans="1:17" x14ac:dyDescent="0.3">
      <c r="A656">
        <v>100220898</v>
      </c>
      <c r="B656" t="s">
        <v>166</v>
      </c>
      <c r="C656" t="s">
        <v>19</v>
      </c>
      <c r="D656" t="s">
        <v>169</v>
      </c>
      <c r="E656" s="6">
        <v>23504.53</v>
      </c>
      <c r="F656" t="s">
        <v>493</v>
      </c>
      <c r="G656" s="4" t="str">
        <f t="shared" si="62"/>
        <v>23504.53</v>
      </c>
      <c r="H656" t="str">
        <f t="shared" si="63"/>
        <v>23504.53</v>
      </c>
      <c r="I656" s="1">
        <v>45761</v>
      </c>
      <c r="J656" s="2">
        <f t="shared" si="64"/>
        <v>-2.2508740622571105E-2</v>
      </c>
      <c r="K656" s="3" t="str">
        <f t="shared" si="65"/>
        <v/>
      </c>
      <c r="L656" t="str">
        <f t="shared" si="66"/>
        <v/>
      </c>
      <c r="M656" t="str">
        <f t="shared" si="67"/>
        <v/>
      </c>
      <c r="N656">
        <v>24045.77</v>
      </c>
      <c r="O656" t="s">
        <v>533</v>
      </c>
      <c r="Q656" t="s">
        <v>19</v>
      </c>
    </row>
    <row r="657" spans="1:17" x14ac:dyDescent="0.3">
      <c r="A657">
        <v>100247003</v>
      </c>
      <c r="B657" t="s">
        <v>105</v>
      </c>
      <c r="C657" t="s">
        <v>19</v>
      </c>
      <c r="D657" t="s">
        <v>171</v>
      </c>
      <c r="E657" s="6">
        <v>11778.87</v>
      </c>
      <c r="F657" t="s">
        <v>493</v>
      </c>
      <c r="G657" s="4" t="str">
        <f t="shared" si="62"/>
        <v>11778.87</v>
      </c>
      <c r="H657" t="str">
        <f t="shared" si="63"/>
        <v>11778.87</v>
      </c>
      <c r="I657" s="1">
        <v>45761</v>
      </c>
      <c r="J657" s="2">
        <f t="shared" si="64"/>
        <v>-2.1791721305144691E-2</v>
      </c>
      <c r="K657" s="3" t="str">
        <f t="shared" si="65"/>
        <v/>
      </c>
      <c r="L657" t="str">
        <f t="shared" si="66"/>
        <v/>
      </c>
      <c r="M657" t="str">
        <f t="shared" si="67"/>
        <v/>
      </c>
      <c r="N657">
        <v>12041.27</v>
      </c>
      <c r="O657" t="s">
        <v>534</v>
      </c>
      <c r="Q657" t="s">
        <v>19</v>
      </c>
    </row>
    <row r="658" spans="1:17" x14ac:dyDescent="0.3">
      <c r="A658">
        <v>100249944</v>
      </c>
      <c r="B658" t="s">
        <v>173</v>
      </c>
      <c r="C658" t="s">
        <v>19</v>
      </c>
      <c r="D658" t="s">
        <v>174</v>
      </c>
      <c r="E658" s="6">
        <v>25756.54</v>
      </c>
      <c r="F658" t="s">
        <v>493</v>
      </c>
      <c r="G658" s="4" t="str">
        <f t="shared" si="62"/>
        <v>25756.54</v>
      </c>
      <c r="H658" t="str">
        <f t="shared" si="63"/>
        <v>25756.54</v>
      </c>
      <c r="I658" s="1">
        <v>45761</v>
      </c>
      <c r="J658" s="2">
        <f t="shared" si="64"/>
        <v>-2.2639039355826555E-2</v>
      </c>
      <c r="K658" s="3" t="str">
        <f t="shared" si="65"/>
        <v/>
      </c>
      <c r="L658" t="str">
        <f t="shared" si="66"/>
        <v/>
      </c>
      <c r="M658" t="str">
        <f t="shared" si="67"/>
        <v/>
      </c>
      <c r="N658">
        <v>26353.15</v>
      </c>
      <c r="O658" t="s">
        <v>535</v>
      </c>
      <c r="Q658" t="s">
        <v>19</v>
      </c>
    </row>
    <row r="659" spans="1:17" x14ac:dyDescent="0.3">
      <c r="A659">
        <v>100250182</v>
      </c>
      <c r="B659" t="s">
        <v>176</v>
      </c>
      <c r="C659" t="s">
        <v>19</v>
      </c>
      <c r="D659" t="s">
        <v>177</v>
      </c>
      <c r="E659" s="6">
        <v>50017.69</v>
      </c>
      <c r="F659" t="s">
        <v>493</v>
      </c>
      <c r="G659" s="4" t="str">
        <f t="shared" si="62"/>
        <v>50017.69</v>
      </c>
      <c r="H659" t="str">
        <f t="shared" si="63"/>
        <v>50017.69</v>
      </c>
      <c r="I659" s="1">
        <v>45761</v>
      </c>
      <c r="J659" s="2">
        <f t="shared" si="64"/>
        <v>-2.2380735984676305E-2</v>
      </c>
      <c r="K659" s="3" t="str">
        <f t="shared" si="65"/>
        <v/>
      </c>
      <c r="L659" t="str">
        <f t="shared" si="66"/>
        <v/>
      </c>
      <c r="M659" t="str">
        <f t="shared" si="67"/>
        <v/>
      </c>
      <c r="N659">
        <v>51162.75</v>
      </c>
      <c r="O659" t="s">
        <v>536</v>
      </c>
      <c r="Q659" t="s">
        <v>19</v>
      </c>
    </row>
    <row r="660" spans="1:17" x14ac:dyDescent="0.3">
      <c r="A660">
        <v>100273792</v>
      </c>
      <c r="B660" t="s">
        <v>182</v>
      </c>
      <c r="C660" t="s">
        <v>19</v>
      </c>
      <c r="D660" t="s">
        <v>183</v>
      </c>
      <c r="E660" s="6">
        <v>27248.5</v>
      </c>
      <c r="F660" t="s">
        <v>493</v>
      </c>
      <c r="G660" s="4" t="str">
        <f t="shared" si="62"/>
        <v>27248.5</v>
      </c>
      <c r="H660" t="str">
        <f t="shared" si="63"/>
        <v>27248.5</v>
      </c>
      <c r="I660" s="1">
        <v>45761</v>
      </c>
      <c r="J660" s="2">
        <f t="shared" si="64"/>
        <v>-2.2987763906428232E-2</v>
      </c>
      <c r="K660" s="3" t="str">
        <f t="shared" si="65"/>
        <v/>
      </c>
      <c r="L660" t="str">
        <f t="shared" si="66"/>
        <v/>
      </c>
      <c r="M660" t="str">
        <f t="shared" si="67"/>
        <v/>
      </c>
      <c r="N660">
        <v>27889.62</v>
      </c>
      <c r="O660" t="s">
        <v>537</v>
      </c>
      <c r="Q660" t="s">
        <v>19</v>
      </c>
    </row>
    <row r="661" spans="1:17" x14ac:dyDescent="0.3">
      <c r="A661">
        <v>100273792</v>
      </c>
      <c r="B661" t="s">
        <v>182</v>
      </c>
      <c r="C661" t="s">
        <v>19</v>
      </c>
      <c r="D661" t="s">
        <v>185</v>
      </c>
      <c r="E661" s="6">
        <v>37469.620000000003</v>
      </c>
      <c r="F661" t="s">
        <v>493</v>
      </c>
      <c r="G661" s="4" t="str">
        <f t="shared" si="62"/>
        <v>37469.62</v>
      </c>
      <c r="H661" t="str">
        <f t="shared" si="63"/>
        <v>37469.62</v>
      </c>
      <c r="I661" s="1">
        <v>45761</v>
      </c>
      <c r="J661" s="2">
        <f t="shared" si="64"/>
        <v>-2.2689126699845651E-2</v>
      </c>
      <c r="K661" s="3" t="str">
        <f t="shared" si="65"/>
        <v/>
      </c>
      <c r="L661" t="str">
        <f t="shared" si="66"/>
        <v/>
      </c>
      <c r="M661" t="str">
        <f t="shared" si="67"/>
        <v/>
      </c>
      <c r="N661">
        <v>38339.51</v>
      </c>
      <c r="O661" t="s">
        <v>538</v>
      </c>
      <c r="Q661" t="s">
        <v>19</v>
      </c>
    </row>
    <row r="662" spans="1:17" x14ac:dyDescent="0.3">
      <c r="A662">
        <v>100278188</v>
      </c>
      <c r="B662" t="s">
        <v>187</v>
      </c>
      <c r="C662" t="s">
        <v>19</v>
      </c>
      <c r="D662" t="s">
        <v>192</v>
      </c>
      <c r="E662" s="6">
        <v>10424.83</v>
      </c>
      <c r="F662" t="s">
        <v>493</v>
      </c>
      <c r="G662" s="4" t="str">
        <f t="shared" si="62"/>
        <v>10424.83</v>
      </c>
      <c r="H662" t="str">
        <f t="shared" si="63"/>
        <v>10424.83</v>
      </c>
      <c r="I662" s="1">
        <v>45761</v>
      </c>
      <c r="J662" s="2">
        <f t="shared" si="64"/>
        <v>-1.9795286666365843E-2</v>
      </c>
      <c r="K662" s="3" t="str">
        <f t="shared" si="65"/>
        <v/>
      </c>
      <c r="L662" t="str">
        <f t="shared" si="66"/>
        <v/>
      </c>
      <c r="M662" t="str">
        <f t="shared" si="67"/>
        <v/>
      </c>
      <c r="N662">
        <v>10635.36</v>
      </c>
      <c r="O662" t="s">
        <v>540</v>
      </c>
      <c r="Q662" t="s">
        <v>19</v>
      </c>
    </row>
    <row r="663" spans="1:17" x14ac:dyDescent="0.3">
      <c r="A663">
        <v>100278188</v>
      </c>
      <c r="B663" t="s">
        <v>187</v>
      </c>
      <c r="C663" t="s">
        <v>19</v>
      </c>
      <c r="D663" t="s">
        <v>194</v>
      </c>
      <c r="E663" s="6">
        <v>19061.66</v>
      </c>
      <c r="F663" t="s">
        <v>493</v>
      </c>
      <c r="G663" s="4" t="str">
        <f t="shared" si="62"/>
        <v>19061.66</v>
      </c>
      <c r="H663" t="str">
        <f t="shared" si="63"/>
        <v>19061.66</v>
      </c>
      <c r="I663" s="1">
        <v>45761</v>
      </c>
      <c r="J663" s="2">
        <f t="shared" si="64"/>
        <v>-2.0058267011381543E-2</v>
      </c>
      <c r="K663" s="3" t="str">
        <f t="shared" si="65"/>
        <v/>
      </c>
      <c r="L663" t="str">
        <f t="shared" si="66"/>
        <v/>
      </c>
      <c r="M663" t="str">
        <f t="shared" si="67"/>
        <v/>
      </c>
      <c r="N663">
        <v>19451.830000000002</v>
      </c>
      <c r="O663" t="s">
        <v>541</v>
      </c>
      <c r="Q663" t="s">
        <v>19</v>
      </c>
    </row>
    <row r="664" spans="1:17" x14ac:dyDescent="0.3">
      <c r="A664">
        <v>100278188</v>
      </c>
      <c r="B664" t="s">
        <v>187</v>
      </c>
      <c r="C664" t="s">
        <v>19</v>
      </c>
      <c r="D664" t="s">
        <v>190</v>
      </c>
      <c r="E664" s="6">
        <v>5834.53</v>
      </c>
      <c r="F664" t="s">
        <v>493</v>
      </c>
      <c r="G664" s="4" t="str">
        <f t="shared" si="62"/>
        <v>5834.53</v>
      </c>
      <c r="H664" t="str">
        <f t="shared" si="63"/>
        <v>5834.53</v>
      </c>
      <c r="I664" s="1">
        <v>45761</v>
      </c>
      <c r="J664" s="2">
        <f t="shared" si="64"/>
        <v>-1.7939408629027223E-2</v>
      </c>
      <c r="K664" s="3" t="str">
        <f t="shared" si="65"/>
        <v/>
      </c>
      <c r="L664" t="str">
        <f t="shared" si="66"/>
        <v/>
      </c>
      <c r="M664" t="str">
        <f t="shared" si="67"/>
        <v/>
      </c>
      <c r="N664">
        <v>5941.11</v>
      </c>
      <c r="O664" t="s">
        <v>539</v>
      </c>
      <c r="Q664" t="s">
        <v>19</v>
      </c>
    </row>
    <row r="665" spans="1:17" x14ac:dyDescent="0.3">
      <c r="A665">
        <v>100325823</v>
      </c>
      <c r="B665" t="s">
        <v>202</v>
      </c>
      <c r="C665" t="s">
        <v>19</v>
      </c>
      <c r="D665" t="s">
        <v>203</v>
      </c>
      <c r="E665" s="6">
        <v>66600.710000000006</v>
      </c>
      <c r="F665" t="s">
        <v>493</v>
      </c>
      <c r="G665" s="4" t="str">
        <f t="shared" si="62"/>
        <v>66600.71</v>
      </c>
      <c r="H665" t="str">
        <f t="shared" si="63"/>
        <v>66600.71</v>
      </c>
      <c r="I665" s="1">
        <v>45761</v>
      </c>
      <c r="J665" s="2">
        <f t="shared" si="64"/>
        <v>1.5575631828496099</v>
      </c>
      <c r="K665" s="3" t="str">
        <f t="shared" si="65"/>
        <v>Check!</v>
      </c>
      <c r="L665" t="str">
        <f t="shared" si="66"/>
        <v/>
      </c>
      <c r="M665" t="str">
        <f t="shared" si="67"/>
        <v/>
      </c>
      <c r="N665">
        <v>26040.69</v>
      </c>
      <c r="O665" t="s">
        <v>542</v>
      </c>
      <c r="Q665" t="s">
        <v>19</v>
      </c>
    </row>
    <row r="666" spans="1:17" x14ac:dyDescent="0.3">
      <c r="A666">
        <v>100376880</v>
      </c>
      <c r="B666" t="s">
        <v>205</v>
      </c>
      <c r="C666" t="s">
        <v>19</v>
      </c>
      <c r="D666" t="s">
        <v>208</v>
      </c>
      <c r="E666" s="6">
        <v>1916.49</v>
      </c>
      <c r="F666" t="s">
        <v>493</v>
      </c>
      <c r="G666" s="4" t="str">
        <f t="shared" si="62"/>
        <v>1916.49</v>
      </c>
      <c r="H666" t="str">
        <f t="shared" si="63"/>
        <v>1916.49</v>
      </c>
      <c r="I666" s="1">
        <v>45761</v>
      </c>
      <c r="J666" s="2">
        <f t="shared" si="64"/>
        <v>-1.8975613751305277E-2</v>
      </c>
      <c r="K666" s="3" t="str">
        <f t="shared" si="65"/>
        <v/>
      </c>
      <c r="L666" t="str">
        <f t="shared" si="66"/>
        <v/>
      </c>
      <c r="M666" t="str">
        <f t="shared" si="67"/>
        <v/>
      </c>
      <c r="N666">
        <v>1953.56</v>
      </c>
      <c r="O666" t="s">
        <v>543</v>
      </c>
      <c r="Q666" t="s">
        <v>19</v>
      </c>
    </row>
    <row r="667" spans="1:17" x14ac:dyDescent="0.3">
      <c r="A667">
        <v>100388471</v>
      </c>
      <c r="B667" t="s">
        <v>210</v>
      </c>
      <c r="C667" t="s">
        <v>19</v>
      </c>
      <c r="D667" t="s">
        <v>211</v>
      </c>
      <c r="E667" s="6">
        <v>32719.119999999999</v>
      </c>
      <c r="F667" t="s">
        <v>493</v>
      </c>
      <c r="G667" s="4" t="str">
        <f t="shared" si="62"/>
        <v>32719.12</v>
      </c>
      <c r="H667" t="str">
        <f t="shared" si="63"/>
        <v>32719.12</v>
      </c>
      <c r="I667" s="1">
        <v>45761</v>
      </c>
      <c r="J667" s="2">
        <f t="shared" si="64"/>
        <v>-3.9566125830788779E-2</v>
      </c>
      <c r="K667" s="3" t="str">
        <f t="shared" si="65"/>
        <v/>
      </c>
      <c r="L667" t="str">
        <f t="shared" si="66"/>
        <v/>
      </c>
      <c r="M667" t="str">
        <f t="shared" si="67"/>
        <v/>
      </c>
      <c r="N667">
        <v>34067.019999999997</v>
      </c>
      <c r="O667" t="s">
        <v>544</v>
      </c>
      <c r="Q667" t="s">
        <v>19</v>
      </c>
    </row>
    <row r="668" spans="1:17" x14ac:dyDescent="0.3">
      <c r="A668">
        <v>100388471</v>
      </c>
      <c r="B668" t="s">
        <v>210</v>
      </c>
      <c r="C668" t="s">
        <v>19</v>
      </c>
      <c r="D668" t="s">
        <v>213</v>
      </c>
      <c r="E668" s="6">
        <v>3493.24</v>
      </c>
      <c r="F668" t="s">
        <v>493</v>
      </c>
      <c r="G668" s="4" t="str">
        <f t="shared" si="62"/>
        <v>3493.24</v>
      </c>
      <c r="H668" t="str">
        <f t="shared" si="63"/>
        <v>3493.24</v>
      </c>
      <c r="I668" s="1">
        <v>45761</v>
      </c>
      <c r="J668" s="2">
        <f t="shared" si="64"/>
        <v>-2.233665915674295E-2</v>
      </c>
      <c r="K668" s="3" t="str">
        <f t="shared" si="65"/>
        <v/>
      </c>
      <c r="L668" t="str">
        <f t="shared" si="66"/>
        <v/>
      </c>
      <c r="M668" t="str">
        <f t="shared" si="67"/>
        <v/>
      </c>
      <c r="N668">
        <v>3573.05</v>
      </c>
      <c r="O668" t="s">
        <v>545</v>
      </c>
      <c r="Q668" t="s">
        <v>19</v>
      </c>
    </row>
    <row r="669" spans="1:17" x14ac:dyDescent="0.3">
      <c r="A669">
        <v>100408912</v>
      </c>
      <c r="B669" t="s">
        <v>215</v>
      </c>
      <c r="C669" t="s">
        <v>19</v>
      </c>
      <c r="D669" t="s">
        <v>216</v>
      </c>
      <c r="E669" s="6">
        <v>91671.69</v>
      </c>
      <c r="F669" t="s">
        <v>493</v>
      </c>
      <c r="G669" s="4" t="str">
        <f t="shared" si="62"/>
        <v>91671.69</v>
      </c>
      <c r="H669" t="str">
        <f t="shared" si="63"/>
        <v>91671.69</v>
      </c>
      <c r="I669" s="1">
        <v>45761</v>
      </c>
      <c r="J669" s="2">
        <f t="shared" si="64"/>
        <v>-2.2542107111714803E-2</v>
      </c>
      <c r="K669" s="3" t="str">
        <f t="shared" si="65"/>
        <v/>
      </c>
      <c r="L669" t="str">
        <f t="shared" si="66"/>
        <v/>
      </c>
      <c r="M669" t="str">
        <f t="shared" si="67"/>
        <v/>
      </c>
      <c r="N669">
        <v>93785.82</v>
      </c>
      <c r="O669" t="s">
        <v>546</v>
      </c>
      <c r="Q669" t="s">
        <v>19</v>
      </c>
    </row>
    <row r="670" spans="1:17" x14ac:dyDescent="0.3">
      <c r="A670">
        <v>100421069</v>
      </c>
      <c r="B670" t="s">
        <v>218</v>
      </c>
      <c r="C670" t="s">
        <v>19</v>
      </c>
      <c r="D670" t="s">
        <v>220</v>
      </c>
      <c r="E670" s="6">
        <v>16035.91</v>
      </c>
      <c r="F670" t="s">
        <v>493</v>
      </c>
      <c r="G670" s="4" t="str">
        <f t="shared" si="62"/>
        <v>16035.91</v>
      </c>
      <c r="H670" t="str">
        <f t="shared" si="63"/>
        <v>16035.91</v>
      </c>
      <c r="I670" s="1">
        <v>45761</v>
      </c>
      <c r="J670" s="2">
        <f t="shared" si="64"/>
        <v>-2.2687478250164303E-2</v>
      </c>
      <c r="K670" s="3" t="str">
        <f t="shared" si="65"/>
        <v/>
      </c>
      <c r="L670" t="str">
        <f t="shared" si="66"/>
        <v/>
      </c>
      <c r="M670" t="str">
        <f t="shared" si="67"/>
        <v/>
      </c>
      <c r="N670">
        <v>16408.169999999998</v>
      </c>
      <c r="O670" t="s">
        <v>547</v>
      </c>
      <c r="Q670" t="s">
        <v>19</v>
      </c>
    </row>
    <row r="671" spans="1:17" x14ac:dyDescent="0.3">
      <c r="A671">
        <v>100421069</v>
      </c>
      <c r="B671" t="s">
        <v>218</v>
      </c>
      <c r="C671" t="s">
        <v>19</v>
      </c>
      <c r="D671" t="s">
        <v>222</v>
      </c>
      <c r="E671" s="6">
        <v>6971.56</v>
      </c>
      <c r="F671" t="s">
        <v>493</v>
      </c>
      <c r="G671" s="4" t="str">
        <f t="shared" si="62"/>
        <v>6971.56</v>
      </c>
      <c r="H671" t="str">
        <f t="shared" si="63"/>
        <v>6971.56</v>
      </c>
      <c r="I671" s="1">
        <v>45761</v>
      </c>
      <c r="J671" s="2">
        <f t="shared" si="64"/>
        <v>-2.1875894425519141E-2</v>
      </c>
      <c r="K671" s="3" t="str">
        <f t="shared" si="65"/>
        <v/>
      </c>
      <c r="L671" t="str">
        <f t="shared" si="66"/>
        <v/>
      </c>
      <c r="M671" t="str">
        <f t="shared" si="67"/>
        <v/>
      </c>
      <c r="N671">
        <v>7127.48</v>
      </c>
      <c r="O671" t="s">
        <v>548</v>
      </c>
      <c r="Q671" t="s">
        <v>19</v>
      </c>
    </row>
    <row r="672" spans="1:17" x14ac:dyDescent="0.3">
      <c r="A672">
        <v>100421069</v>
      </c>
      <c r="B672" t="s">
        <v>218</v>
      </c>
      <c r="C672" t="s">
        <v>19</v>
      </c>
      <c r="D672" t="s">
        <v>224</v>
      </c>
      <c r="E672" s="6">
        <v>8751.0499999999993</v>
      </c>
      <c r="F672" t="s">
        <v>493</v>
      </c>
      <c r="G672" s="4" t="str">
        <f t="shared" si="62"/>
        <v>8751.05</v>
      </c>
      <c r="H672" t="str">
        <f t="shared" si="63"/>
        <v>8751.05</v>
      </c>
      <c r="I672" s="1">
        <v>45761</v>
      </c>
      <c r="J672" s="2">
        <f t="shared" si="64"/>
        <v>-2.2154755892067828E-2</v>
      </c>
      <c r="K672" s="3" t="str">
        <f t="shared" si="65"/>
        <v/>
      </c>
      <c r="L672" t="str">
        <f t="shared" si="66"/>
        <v/>
      </c>
      <c r="M672" t="str">
        <f t="shared" si="67"/>
        <v/>
      </c>
      <c r="N672">
        <v>8949.32</v>
      </c>
      <c r="O672" t="s">
        <v>549</v>
      </c>
      <c r="Q672" t="s">
        <v>19</v>
      </c>
    </row>
    <row r="673" spans="1:17" x14ac:dyDescent="0.3">
      <c r="A673">
        <v>100489695</v>
      </c>
      <c r="B673" t="s">
        <v>229</v>
      </c>
      <c r="C673" t="s">
        <v>590</v>
      </c>
      <c r="D673" t="s">
        <v>230</v>
      </c>
      <c r="E673" s="6">
        <v>298689.33</v>
      </c>
      <c r="F673" t="s">
        <v>493</v>
      </c>
      <c r="G673" s="4" t="str">
        <f t="shared" si="62"/>
        <v>298689.33</v>
      </c>
      <c r="H673" t="str">
        <f t="shared" si="63"/>
        <v>298689.33</v>
      </c>
      <c r="I673" s="1">
        <v>45761</v>
      </c>
      <c r="J673" s="2">
        <f t="shared" si="64"/>
        <v>-0.10507228215169634</v>
      </c>
      <c r="K673" s="3" t="str">
        <f t="shared" si="65"/>
        <v>Check!</v>
      </c>
      <c r="L673" t="str">
        <f t="shared" si="66"/>
        <v/>
      </c>
      <c r="M673" t="str">
        <f t="shared" si="67"/>
        <v>Check</v>
      </c>
      <c r="N673">
        <v>333758.05</v>
      </c>
      <c r="O673" t="s">
        <v>550</v>
      </c>
      <c r="Q673" t="s">
        <v>16</v>
      </c>
    </row>
    <row r="674" spans="1:17" x14ac:dyDescent="0.3">
      <c r="A674">
        <v>100492707</v>
      </c>
      <c r="B674" t="s">
        <v>232</v>
      </c>
      <c r="C674" t="s">
        <v>19</v>
      </c>
      <c r="D674" t="s">
        <v>233</v>
      </c>
      <c r="E674" s="6">
        <v>8040.76</v>
      </c>
      <c r="F674" t="s">
        <v>493</v>
      </c>
      <c r="G674" s="4" t="str">
        <f t="shared" si="62"/>
        <v>8040.76</v>
      </c>
      <c r="H674" t="str">
        <f t="shared" si="63"/>
        <v>8040.76</v>
      </c>
      <c r="I674" s="1">
        <v>45761</v>
      </c>
      <c r="J674" s="2">
        <f t="shared" si="64"/>
        <v>-2.2389302740090728E-2</v>
      </c>
      <c r="K674" s="3" t="str">
        <f t="shared" si="65"/>
        <v/>
      </c>
      <c r="L674" t="str">
        <f t="shared" si="66"/>
        <v/>
      </c>
      <c r="M674" t="str">
        <f t="shared" si="67"/>
        <v/>
      </c>
      <c r="N674">
        <v>8224.91</v>
      </c>
      <c r="O674" t="s">
        <v>551</v>
      </c>
      <c r="Q674" t="s">
        <v>19</v>
      </c>
    </row>
    <row r="675" spans="1:17" x14ac:dyDescent="0.3">
      <c r="A675">
        <v>100492707</v>
      </c>
      <c r="B675" t="s">
        <v>232</v>
      </c>
      <c r="C675" t="s">
        <v>19</v>
      </c>
      <c r="D675" t="s">
        <v>624</v>
      </c>
      <c r="E675" s="6">
        <v>114578.63</v>
      </c>
      <c r="F675" t="s">
        <v>493</v>
      </c>
      <c r="G675" s="4" t="str">
        <f t="shared" si="62"/>
        <v>114578.63</v>
      </c>
      <c r="H675" t="str">
        <f t="shared" si="63"/>
        <v>114578.63</v>
      </c>
      <c r="I675" s="1">
        <v>45761</v>
      </c>
      <c r="J675" s="2">
        <f t="shared" si="64"/>
        <v>-2.2621573877871635E-2</v>
      </c>
      <c r="K675" s="3" t="str">
        <f t="shared" si="65"/>
        <v/>
      </c>
      <c r="L675" t="str">
        <f t="shared" si="66"/>
        <v/>
      </c>
      <c r="M675" t="str">
        <f t="shared" si="67"/>
        <v/>
      </c>
      <c r="N675">
        <v>117230.57</v>
      </c>
      <c r="O675" t="s">
        <v>691</v>
      </c>
      <c r="Q675" t="s">
        <v>19</v>
      </c>
    </row>
    <row r="676" spans="1:17" x14ac:dyDescent="0.3">
      <c r="A676">
        <v>100564770</v>
      </c>
      <c r="B676" t="s">
        <v>241</v>
      </c>
      <c r="C676" t="s">
        <v>19</v>
      </c>
      <c r="D676" t="s">
        <v>242</v>
      </c>
      <c r="E676" s="6">
        <v>21024.1</v>
      </c>
      <c r="F676" t="s">
        <v>493</v>
      </c>
      <c r="G676" s="4" t="str">
        <f t="shared" si="62"/>
        <v>21024.1</v>
      </c>
      <c r="H676" t="str">
        <f t="shared" si="63"/>
        <v>21024.1</v>
      </c>
      <c r="I676" s="1">
        <v>45761</v>
      </c>
      <c r="J676" s="2">
        <f t="shared" si="64"/>
        <v>-2.2556321065289611E-2</v>
      </c>
      <c r="K676" s="3" t="str">
        <f t="shared" si="65"/>
        <v/>
      </c>
      <c r="L676" t="str">
        <f t="shared" si="66"/>
        <v/>
      </c>
      <c r="M676" t="str">
        <f t="shared" si="67"/>
        <v/>
      </c>
      <c r="N676">
        <v>21509.27</v>
      </c>
      <c r="O676" t="s">
        <v>552</v>
      </c>
      <c r="Q676" t="s">
        <v>19</v>
      </c>
    </row>
    <row r="677" spans="1:17" x14ac:dyDescent="0.3">
      <c r="A677">
        <v>100596689</v>
      </c>
      <c r="B677" t="s">
        <v>250</v>
      </c>
      <c r="C677" t="s">
        <v>590</v>
      </c>
      <c r="D677" t="s">
        <v>251</v>
      </c>
      <c r="E677" s="6">
        <v>581.32000000000005</v>
      </c>
      <c r="F677" t="s">
        <v>493</v>
      </c>
      <c r="G677" s="4" t="str">
        <f t="shared" si="62"/>
        <v>581.32</v>
      </c>
      <c r="H677" t="str">
        <f t="shared" si="63"/>
        <v>581.32</v>
      </c>
      <c r="I677" s="1">
        <v>45761</v>
      </c>
      <c r="J677" s="2">
        <f t="shared" si="64"/>
        <v>-1.7841454348854407E-2</v>
      </c>
      <c r="K677" s="3" t="str">
        <f t="shared" si="65"/>
        <v/>
      </c>
      <c r="L677" t="str">
        <f t="shared" si="66"/>
        <v/>
      </c>
      <c r="M677" t="str">
        <f t="shared" si="67"/>
        <v>Check</v>
      </c>
      <c r="N677">
        <v>591.88</v>
      </c>
      <c r="O677" t="s">
        <v>553</v>
      </c>
      <c r="Q677" t="s">
        <v>16</v>
      </c>
    </row>
    <row r="678" spans="1:17" x14ac:dyDescent="0.3">
      <c r="A678">
        <v>100628990</v>
      </c>
      <c r="B678" t="s">
        <v>256</v>
      </c>
      <c r="C678" t="s">
        <v>19</v>
      </c>
      <c r="D678" t="s">
        <v>257</v>
      </c>
      <c r="E678" s="6">
        <v>5909.26</v>
      </c>
      <c r="F678" t="s">
        <v>493</v>
      </c>
      <c r="G678" s="4" t="str">
        <f t="shared" si="62"/>
        <v>5909.26</v>
      </c>
      <c r="H678" t="str">
        <f t="shared" si="63"/>
        <v>5909.26</v>
      </c>
      <c r="I678" s="1">
        <v>45761</v>
      </c>
      <c r="J678" s="2">
        <f t="shared" si="64"/>
        <v>-1.8491543187627777E-2</v>
      </c>
      <c r="K678" s="3" t="str">
        <f t="shared" si="65"/>
        <v/>
      </c>
      <c r="L678" t="str">
        <f t="shared" si="66"/>
        <v/>
      </c>
      <c r="M678" t="str">
        <f t="shared" si="67"/>
        <v/>
      </c>
      <c r="N678">
        <v>6020.59</v>
      </c>
      <c r="O678" t="s">
        <v>554</v>
      </c>
      <c r="Q678" t="s">
        <v>19</v>
      </c>
    </row>
    <row r="679" spans="1:17" x14ac:dyDescent="0.3">
      <c r="A679">
        <v>100630706</v>
      </c>
      <c r="B679" t="s">
        <v>262</v>
      </c>
      <c r="C679" t="s">
        <v>590</v>
      </c>
      <c r="D679" t="s">
        <v>263</v>
      </c>
      <c r="E679" s="6">
        <v>1525.55</v>
      </c>
      <c r="F679" t="s">
        <v>493</v>
      </c>
      <c r="G679" s="4" t="str">
        <f t="shared" si="62"/>
        <v>1525.55</v>
      </c>
      <c r="H679" t="str">
        <f t="shared" si="63"/>
        <v>1525.55</v>
      </c>
      <c r="I679" s="1">
        <v>45761</v>
      </c>
      <c r="J679" s="2">
        <f t="shared" si="64"/>
        <v>-1.0975831129090856E-2</v>
      </c>
      <c r="K679" s="3" t="str">
        <f t="shared" si="65"/>
        <v/>
      </c>
      <c r="L679" t="str">
        <f t="shared" si="66"/>
        <v/>
      </c>
      <c r="M679" t="str">
        <f t="shared" si="67"/>
        <v>Check</v>
      </c>
      <c r="N679">
        <v>1542.48</v>
      </c>
      <c r="O679" t="s">
        <v>555</v>
      </c>
      <c r="Q679" t="s">
        <v>16</v>
      </c>
    </row>
    <row r="680" spans="1:17" x14ac:dyDescent="0.3">
      <c r="A680">
        <v>100641153</v>
      </c>
      <c r="B680" t="s">
        <v>273</v>
      </c>
      <c r="C680" t="s">
        <v>19</v>
      </c>
      <c r="D680" t="s">
        <v>274</v>
      </c>
      <c r="E680" s="6">
        <v>88171.64</v>
      </c>
      <c r="F680" t="s">
        <v>493</v>
      </c>
      <c r="G680" s="4" t="str">
        <f t="shared" si="62"/>
        <v>88171.64</v>
      </c>
      <c r="H680" t="str">
        <f t="shared" si="63"/>
        <v>88171.64</v>
      </c>
      <c r="I680" s="1">
        <v>45761</v>
      </c>
      <c r="J680" s="2">
        <f t="shared" si="64"/>
        <v>-2.2713589138124182E-2</v>
      </c>
      <c r="K680" s="3" t="str">
        <f t="shared" si="65"/>
        <v/>
      </c>
      <c r="L680" t="str">
        <f t="shared" si="66"/>
        <v/>
      </c>
      <c r="M680" t="str">
        <f t="shared" si="67"/>
        <v/>
      </c>
      <c r="N680">
        <v>90220.88</v>
      </c>
      <c r="O680" t="s">
        <v>591</v>
      </c>
      <c r="Q680" t="s">
        <v>19</v>
      </c>
    </row>
    <row r="681" spans="1:17" x14ac:dyDescent="0.3">
      <c r="A681">
        <v>100651921</v>
      </c>
      <c r="B681" t="s">
        <v>279</v>
      </c>
      <c r="C681" t="s">
        <v>590</v>
      </c>
      <c r="D681" t="s">
        <v>280</v>
      </c>
      <c r="E681" s="6">
        <v>8122.37</v>
      </c>
      <c r="F681" t="s">
        <v>493</v>
      </c>
      <c r="G681" s="4" t="str">
        <f t="shared" si="62"/>
        <v>8122.37</v>
      </c>
      <c r="H681" t="str">
        <f t="shared" si="63"/>
        <v>8122.37</v>
      </c>
      <c r="I681" s="1">
        <v>45761</v>
      </c>
      <c r="J681" s="2">
        <f t="shared" si="64"/>
        <v>-1.2446594056468641E-2</v>
      </c>
      <c r="K681" s="3" t="str">
        <f t="shared" si="65"/>
        <v/>
      </c>
      <c r="L681" t="str">
        <f t="shared" si="66"/>
        <v/>
      </c>
      <c r="M681" t="str">
        <f t="shared" si="67"/>
        <v>Check</v>
      </c>
      <c r="N681">
        <v>8224.74</v>
      </c>
      <c r="O681" t="s">
        <v>556</v>
      </c>
      <c r="Q681" t="s">
        <v>16</v>
      </c>
    </row>
    <row r="682" spans="1:17" x14ac:dyDescent="0.3">
      <c r="A682">
        <v>100651921</v>
      </c>
      <c r="B682" t="s">
        <v>279</v>
      </c>
      <c r="C682" t="s">
        <v>590</v>
      </c>
      <c r="D682" t="s">
        <v>282</v>
      </c>
      <c r="E682" s="6">
        <v>9222.6</v>
      </c>
      <c r="F682" t="s">
        <v>493</v>
      </c>
      <c r="G682" s="4" t="str">
        <f t="shared" si="62"/>
        <v>9222.6</v>
      </c>
      <c r="H682" t="str">
        <f t="shared" si="63"/>
        <v>9222.6</v>
      </c>
      <c r="I682" s="1">
        <v>45761</v>
      </c>
      <c r="J682" s="2">
        <f t="shared" si="64"/>
        <v>-8.2735275078122689E-3</v>
      </c>
      <c r="K682" s="3" t="str">
        <f t="shared" si="65"/>
        <v/>
      </c>
      <c r="L682" t="str">
        <f t="shared" si="66"/>
        <v/>
      </c>
      <c r="M682" t="str">
        <f t="shared" si="67"/>
        <v>Check</v>
      </c>
      <c r="N682">
        <v>9299.5400000000009</v>
      </c>
      <c r="O682" t="s">
        <v>557</v>
      </c>
      <c r="Q682" t="s">
        <v>16</v>
      </c>
    </row>
    <row r="683" spans="1:17" x14ac:dyDescent="0.3">
      <c r="A683">
        <v>100655835</v>
      </c>
      <c r="B683" t="s">
        <v>284</v>
      </c>
      <c r="C683" t="s">
        <v>19</v>
      </c>
      <c r="D683" t="s">
        <v>285</v>
      </c>
      <c r="E683" s="6">
        <v>475468.4</v>
      </c>
      <c r="F683" t="s">
        <v>493</v>
      </c>
      <c r="G683" s="4" t="str">
        <f t="shared" si="62"/>
        <v>475468.4</v>
      </c>
      <c r="H683" t="str">
        <f t="shared" si="63"/>
        <v>475468.4</v>
      </c>
      <c r="I683" s="1">
        <v>45761</v>
      </c>
      <c r="J683" s="2">
        <f t="shared" si="64"/>
        <v>-2.2292794548986805E-2</v>
      </c>
      <c r="K683" s="3" t="str">
        <f t="shared" si="65"/>
        <v/>
      </c>
      <c r="L683" t="str">
        <f t="shared" si="66"/>
        <v/>
      </c>
      <c r="M683" t="str">
        <f t="shared" si="67"/>
        <v/>
      </c>
      <c r="N683">
        <v>486309.6</v>
      </c>
      <c r="O683" t="s">
        <v>558</v>
      </c>
      <c r="Q683" t="s">
        <v>19</v>
      </c>
    </row>
    <row r="684" spans="1:17" x14ac:dyDescent="0.3">
      <c r="A684">
        <v>100663638</v>
      </c>
      <c r="B684" t="s">
        <v>287</v>
      </c>
      <c r="C684" t="s">
        <v>19</v>
      </c>
      <c r="D684" t="s">
        <v>288</v>
      </c>
      <c r="E684" s="6">
        <v>104075.6</v>
      </c>
      <c r="F684" t="s">
        <v>493</v>
      </c>
      <c r="G684" s="4" t="str">
        <f t="shared" si="62"/>
        <v>104075.6</v>
      </c>
      <c r="H684" t="str">
        <f t="shared" si="63"/>
        <v>104075.6</v>
      </c>
      <c r="I684" s="1">
        <v>45761</v>
      </c>
      <c r="J684" s="2">
        <f t="shared" si="64"/>
        <v>-2.2368125899660283E-2</v>
      </c>
      <c r="K684" s="3" t="str">
        <f t="shared" si="65"/>
        <v/>
      </c>
      <c r="L684" t="str">
        <f t="shared" si="66"/>
        <v/>
      </c>
      <c r="M684" t="str">
        <f t="shared" si="67"/>
        <v/>
      </c>
      <c r="N684">
        <v>106456.84</v>
      </c>
      <c r="O684" t="s">
        <v>559</v>
      </c>
      <c r="Q684" t="s">
        <v>19</v>
      </c>
    </row>
    <row r="685" spans="1:17" x14ac:dyDescent="0.3">
      <c r="A685">
        <v>100663638</v>
      </c>
      <c r="B685" t="s">
        <v>287</v>
      </c>
      <c r="C685" t="s">
        <v>19</v>
      </c>
      <c r="D685" t="s">
        <v>290</v>
      </c>
      <c r="E685" s="6">
        <v>3628.94</v>
      </c>
      <c r="F685" t="s">
        <v>493</v>
      </c>
      <c r="G685" s="4" t="str">
        <f t="shared" si="62"/>
        <v>3628.94</v>
      </c>
      <c r="H685" t="str">
        <f t="shared" si="63"/>
        <v>3628.94</v>
      </c>
      <c r="I685" s="1">
        <v>45761</v>
      </c>
      <c r="J685" s="2">
        <f t="shared" si="64"/>
        <v>-2.2189050168539757E-2</v>
      </c>
      <c r="K685" s="3" t="str">
        <f t="shared" si="65"/>
        <v/>
      </c>
      <c r="L685" t="str">
        <f t="shared" si="66"/>
        <v/>
      </c>
      <c r="M685" t="str">
        <f t="shared" si="67"/>
        <v/>
      </c>
      <c r="N685">
        <v>3711.29</v>
      </c>
      <c r="O685" t="s">
        <v>560</v>
      </c>
      <c r="Q685" t="s">
        <v>19</v>
      </c>
    </row>
    <row r="686" spans="1:17" x14ac:dyDescent="0.3">
      <c r="A686">
        <v>100664029</v>
      </c>
      <c r="B686" t="s">
        <v>292</v>
      </c>
      <c r="C686" t="s">
        <v>19</v>
      </c>
      <c r="D686" t="s">
        <v>293</v>
      </c>
      <c r="E686" s="6">
        <v>11776.3</v>
      </c>
      <c r="F686" t="s">
        <v>493</v>
      </c>
      <c r="G686" s="4" t="str">
        <f t="shared" si="62"/>
        <v>11776.3</v>
      </c>
      <c r="H686" t="str">
        <f t="shared" si="63"/>
        <v>11776.3</v>
      </c>
      <c r="I686" s="1">
        <v>45761</v>
      </c>
      <c r="J686" s="2">
        <f t="shared" si="64"/>
        <v>-2.2405405854128393E-2</v>
      </c>
      <c r="K686" s="3" t="str">
        <f t="shared" si="65"/>
        <v/>
      </c>
      <c r="L686" t="str">
        <f t="shared" si="66"/>
        <v/>
      </c>
      <c r="M686" t="str">
        <f t="shared" si="67"/>
        <v/>
      </c>
      <c r="N686">
        <v>12046.2</v>
      </c>
      <c r="O686" t="s">
        <v>561</v>
      </c>
      <c r="Q686" t="s">
        <v>19</v>
      </c>
    </row>
    <row r="687" spans="1:17" x14ac:dyDescent="0.3">
      <c r="A687">
        <v>100664029</v>
      </c>
      <c r="B687" t="s">
        <v>292</v>
      </c>
      <c r="C687" t="s">
        <v>19</v>
      </c>
      <c r="D687" t="s">
        <v>295</v>
      </c>
      <c r="E687" s="6">
        <v>7577.41</v>
      </c>
      <c r="F687" t="s">
        <v>493</v>
      </c>
      <c r="G687" s="4" t="str">
        <f t="shared" si="62"/>
        <v>7577.41</v>
      </c>
      <c r="H687" t="str">
        <f t="shared" si="63"/>
        <v>7577.41</v>
      </c>
      <c r="I687" s="1">
        <v>45761</v>
      </c>
      <c r="J687" s="2">
        <f t="shared" si="64"/>
        <v>-2.2037490191219592E-2</v>
      </c>
      <c r="K687" s="3" t="str">
        <f t="shared" si="65"/>
        <v/>
      </c>
      <c r="L687" t="str">
        <f t="shared" si="66"/>
        <v/>
      </c>
      <c r="M687" t="str">
        <f t="shared" si="67"/>
        <v/>
      </c>
      <c r="N687">
        <v>7748.16</v>
      </c>
      <c r="O687" t="s">
        <v>562</v>
      </c>
      <c r="Q687" t="s">
        <v>19</v>
      </c>
    </row>
    <row r="688" spans="1:17" x14ac:dyDescent="0.3">
      <c r="A688">
        <v>100664292</v>
      </c>
      <c r="B688" t="s">
        <v>297</v>
      </c>
      <c r="C688" t="s">
        <v>590</v>
      </c>
      <c r="D688" t="s">
        <v>298</v>
      </c>
      <c r="E688" s="6">
        <v>202.57</v>
      </c>
      <c r="F688" t="s">
        <v>493</v>
      </c>
      <c r="G688" s="4" t="str">
        <f t="shared" si="62"/>
        <v>202.57</v>
      </c>
      <c r="H688" t="str">
        <f t="shared" si="63"/>
        <v>202.57</v>
      </c>
      <c r="I688" s="1">
        <v>45761</v>
      </c>
      <c r="J688" s="2">
        <f t="shared" si="64"/>
        <v>-2.1684535883318888E-2</v>
      </c>
      <c r="K688" s="3" t="str">
        <f t="shared" si="65"/>
        <v/>
      </c>
      <c r="L688" t="str">
        <f t="shared" si="66"/>
        <v/>
      </c>
      <c r="M688" t="str">
        <f t="shared" si="67"/>
        <v>Check</v>
      </c>
      <c r="N688">
        <v>207.06</v>
      </c>
      <c r="O688" t="s">
        <v>563</v>
      </c>
      <c r="Q688" t="s">
        <v>16</v>
      </c>
    </row>
    <row r="689" spans="1:17" x14ac:dyDescent="0.3">
      <c r="A689">
        <v>100664292</v>
      </c>
      <c r="B689" t="s">
        <v>297</v>
      </c>
      <c r="C689" t="s">
        <v>19</v>
      </c>
      <c r="D689" t="s">
        <v>300</v>
      </c>
      <c r="E689" s="6">
        <v>36652.959999999999</v>
      </c>
      <c r="F689" t="s">
        <v>493</v>
      </c>
      <c r="G689" s="4" t="str">
        <f t="shared" si="62"/>
        <v>36652.96</v>
      </c>
      <c r="H689" t="str">
        <f t="shared" si="63"/>
        <v>36652.96</v>
      </c>
      <c r="I689" s="1">
        <v>45761</v>
      </c>
      <c r="J689" s="2">
        <f t="shared" si="64"/>
        <v>-2.255827975616341E-2</v>
      </c>
      <c r="K689" s="3" t="str">
        <f t="shared" si="65"/>
        <v/>
      </c>
      <c r="L689" t="str">
        <f t="shared" si="66"/>
        <v/>
      </c>
      <c r="M689" t="str">
        <f t="shared" si="67"/>
        <v/>
      </c>
      <c r="N689">
        <v>37498.870000000003</v>
      </c>
      <c r="O689" t="s">
        <v>564</v>
      </c>
      <c r="Q689" t="s">
        <v>19</v>
      </c>
    </row>
    <row r="690" spans="1:17" x14ac:dyDescent="0.3">
      <c r="A690">
        <v>100664348</v>
      </c>
      <c r="B690" t="s">
        <v>302</v>
      </c>
      <c r="C690" t="s">
        <v>19</v>
      </c>
      <c r="D690" t="s">
        <v>303</v>
      </c>
      <c r="E690" s="6">
        <v>19871.07</v>
      </c>
      <c r="F690" t="s">
        <v>493</v>
      </c>
      <c r="G690" s="4" t="str">
        <f t="shared" si="62"/>
        <v>19871.07</v>
      </c>
      <c r="H690" t="str">
        <f t="shared" si="63"/>
        <v>19871.07</v>
      </c>
      <c r="I690" s="1">
        <v>45761</v>
      </c>
      <c r="J690" s="2">
        <f t="shared" si="64"/>
        <v>-2.2569220704479694E-2</v>
      </c>
      <c r="K690" s="3" t="str">
        <f t="shared" si="65"/>
        <v/>
      </c>
      <c r="L690" t="str">
        <f t="shared" si="66"/>
        <v/>
      </c>
      <c r="M690" t="str">
        <f t="shared" si="67"/>
        <v/>
      </c>
      <c r="N690">
        <v>20329.900000000001</v>
      </c>
      <c r="O690" t="s">
        <v>565</v>
      </c>
      <c r="Q690" t="s">
        <v>19</v>
      </c>
    </row>
    <row r="691" spans="1:17" x14ac:dyDescent="0.3">
      <c r="A691">
        <v>100664351</v>
      </c>
      <c r="B691" t="s">
        <v>305</v>
      </c>
      <c r="C691" t="s">
        <v>19</v>
      </c>
      <c r="D691" t="s">
        <v>306</v>
      </c>
      <c r="E691" s="6">
        <v>8450.0400000000009</v>
      </c>
      <c r="F691" t="s">
        <v>493</v>
      </c>
      <c r="G691" s="4" t="str">
        <f t="shared" si="62"/>
        <v>8450.04</v>
      </c>
      <c r="H691" t="str">
        <f t="shared" si="63"/>
        <v>8450.04</v>
      </c>
      <c r="I691" s="1">
        <v>45761</v>
      </c>
      <c r="J691" s="2">
        <f t="shared" si="64"/>
        <v>-3.6410949968868726E-2</v>
      </c>
      <c r="K691" s="3" t="str">
        <f t="shared" si="65"/>
        <v/>
      </c>
      <c r="L691" t="str">
        <f t="shared" si="66"/>
        <v/>
      </c>
      <c r="M691" t="str">
        <f t="shared" si="67"/>
        <v/>
      </c>
      <c r="N691">
        <v>8769.34</v>
      </c>
      <c r="O691" t="s">
        <v>566</v>
      </c>
      <c r="Q691" t="s">
        <v>19</v>
      </c>
    </row>
    <row r="692" spans="1:17" x14ac:dyDescent="0.3">
      <c r="A692">
        <v>100664737</v>
      </c>
      <c r="B692" t="s">
        <v>313</v>
      </c>
      <c r="C692" t="s">
        <v>19</v>
      </c>
      <c r="D692" t="s">
        <v>314</v>
      </c>
      <c r="E692" s="6">
        <v>13726.39</v>
      </c>
      <c r="F692" t="s">
        <v>493</v>
      </c>
      <c r="G692" s="4" t="str">
        <f t="shared" si="62"/>
        <v>13726.39</v>
      </c>
      <c r="H692" t="str">
        <f t="shared" si="63"/>
        <v>13726.39</v>
      </c>
      <c r="I692" s="1">
        <v>45761</v>
      </c>
      <c r="J692" s="2">
        <f t="shared" si="64"/>
        <v>-2.0129394069402892E-2</v>
      </c>
      <c r="K692" s="3" t="str">
        <f t="shared" si="65"/>
        <v/>
      </c>
      <c r="L692" t="str">
        <f t="shared" si="66"/>
        <v/>
      </c>
      <c r="M692" t="str">
        <f t="shared" si="67"/>
        <v/>
      </c>
      <c r="N692">
        <v>14008.37</v>
      </c>
      <c r="O692" t="s">
        <v>567</v>
      </c>
      <c r="Q692" t="s">
        <v>19</v>
      </c>
    </row>
    <row r="693" spans="1:17" x14ac:dyDescent="0.3">
      <c r="A693">
        <v>100664737</v>
      </c>
      <c r="B693" t="s">
        <v>313</v>
      </c>
      <c r="C693" t="s">
        <v>19</v>
      </c>
      <c r="D693" t="s">
        <v>316</v>
      </c>
      <c r="E693" s="6">
        <v>6410.7</v>
      </c>
      <c r="F693" t="s">
        <v>493</v>
      </c>
      <c r="G693" s="4" t="str">
        <f t="shared" si="62"/>
        <v>6410.7</v>
      </c>
      <c r="H693" t="str">
        <f t="shared" si="63"/>
        <v>6410.7</v>
      </c>
      <c r="I693" s="1">
        <v>45761</v>
      </c>
      <c r="J693" s="2">
        <f t="shared" si="64"/>
        <v>-2.1314989191367734E-2</v>
      </c>
      <c r="K693" s="3" t="str">
        <f t="shared" si="65"/>
        <v/>
      </c>
      <c r="L693" t="str">
        <f t="shared" si="66"/>
        <v/>
      </c>
      <c r="M693" t="str">
        <f t="shared" si="67"/>
        <v/>
      </c>
      <c r="N693">
        <v>6550.32</v>
      </c>
      <c r="O693" t="s">
        <v>568</v>
      </c>
      <c r="Q693" t="s">
        <v>19</v>
      </c>
    </row>
    <row r="694" spans="1:17" x14ac:dyDescent="0.3">
      <c r="A694">
        <v>100665510</v>
      </c>
      <c r="B694" t="s">
        <v>318</v>
      </c>
      <c r="C694" t="s">
        <v>19</v>
      </c>
      <c r="D694" t="s">
        <v>319</v>
      </c>
      <c r="E694" s="6">
        <v>21997.52</v>
      </c>
      <c r="F694" t="s">
        <v>493</v>
      </c>
      <c r="G694" s="4" t="str">
        <f t="shared" si="62"/>
        <v>21997.52</v>
      </c>
      <c r="H694" t="str">
        <f t="shared" si="63"/>
        <v>21997.52</v>
      </c>
      <c r="I694" s="1">
        <v>45761</v>
      </c>
      <c r="J694" s="2">
        <f t="shared" si="64"/>
        <v>-1.9592095416923132E-2</v>
      </c>
      <c r="K694" s="3" t="str">
        <f t="shared" si="65"/>
        <v/>
      </c>
      <c r="L694" t="str">
        <f t="shared" si="66"/>
        <v/>
      </c>
      <c r="M694" t="str">
        <f t="shared" si="67"/>
        <v/>
      </c>
      <c r="N694">
        <v>22437.11</v>
      </c>
      <c r="O694" t="s">
        <v>569</v>
      </c>
      <c r="Q694" t="s">
        <v>19</v>
      </c>
    </row>
    <row r="695" spans="1:17" x14ac:dyDescent="0.3">
      <c r="A695">
        <v>100665581</v>
      </c>
      <c r="B695" t="s">
        <v>321</v>
      </c>
      <c r="C695" t="s">
        <v>590</v>
      </c>
      <c r="D695" t="s">
        <v>639</v>
      </c>
      <c r="E695" s="6">
        <v>63861.47</v>
      </c>
      <c r="F695" t="s">
        <v>493</v>
      </c>
      <c r="G695" s="4" t="str">
        <f t="shared" si="62"/>
        <v>63861.47</v>
      </c>
      <c r="H695" t="str">
        <f t="shared" si="63"/>
        <v>63861.47</v>
      </c>
      <c r="I695" s="1">
        <v>45761</v>
      </c>
      <c r="J695" s="2">
        <f t="shared" si="64"/>
        <v>0.54767697482404853</v>
      </c>
      <c r="K695" s="3" t="str">
        <f t="shared" si="65"/>
        <v>Check!</v>
      </c>
      <c r="L695" t="str">
        <f t="shared" si="66"/>
        <v/>
      </c>
      <c r="M695" t="str">
        <f t="shared" si="67"/>
        <v/>
      </c>
      <c r="N695">
        <v>41262.79</v>
      </c>
      <c r="O695" t="s">
        <v>692</v>
      </c>
      <c r="Q695" t="s">
        <v>590</v>
      </c>
    </row>
    <row r="696" spans="1:17" x14ac:dyDescent="0.3">
      <c r="A696">
        <v>100665581</v>
      </c>
      <c r="B696" t="s">
        <v>321</v>
      </c>
      <c r="C696" t="s">
        <v>19</v>
      </c>
      <c r="D696" t="s">
        <v>695</v>
      </c>
      <c r="E696" s="6">
        <v>170563.85</v>
      </c>
      <c r="F696" t="s">
        <v>493</v>
      </c>
      <c r="G696" s="4" t="str">
        <f t="shared" si="62"/>
        <v>170563.85</v>
      </c>
      <c r="H696" t="str">
        <f t="shared" si="63"/>
        <v>170563.85</v>
      </c>
      <c r="I696" s="1">
        <v>45761</v>
      </c>
      <c r="J696" s="2">
        <f t="shared" si="64"/>
        <v>0.46617867927240114</v>
      </c>
      <c r="K696" s="3" t="str">
        <f t="shared" si="65"/>
        <v>Check!</v>
      </c>
      <c r="L696" t="str">
        <f t="shared" si="66"/>
        <v/>
      </c>
      <c r="M696" t="str">
        <f t="shared" si="67"/>
        <v/>
      </c>
      <c r="N696">
        <v>116332.24</v>
      </c>
      <c r="O696" t="s">
        <v>699</v>
      </c>
      <c r="Q696" t="s">
        <v>19</v>
      </c>
    </row>
    <row r="697" spans="1:17" x14ac:dyDescent="0.3">
      <c r="A697">
        <v>100666150</v>
      </c>
      <c r="B697" t="s">
        <v>324</v>
      </c>
      <c r="C697" t="s">
        <v>19</v>
      </c>
      <c r="D697" t="s">
        <v>325</v>
      </c>
      <c r="E697" s="6">
        <v>57498.5</v>
      </c>
      <c r="F697" t="s">
        <v>493</v>
      </c>
      <c r="G697" s="4" t="str">
        <f t="shared" si="62"/>
        <v>57498.5</v>
      </c>
      <c r="H697" t="str">
        <f t="shared" si="63"/>
        <v>57498.5</v>
      </c>
      <c r="I697" s="1">
        <v>45761</v>
      </c>
      <c r="J697" s="2">
        <f t="shared" si="64"/>
        <v>-2.2445575150224301E-2</v>
      </c>
      <c r="K697" s="3" t="str">
        <f t="shared" si="65"/>
        <v/>
      </c>
      <c r="L697" t="str">
        <f t="shared" si="66"/>
        <v/>
      </c>
      <c r="M697" t="str">
        <f t="shared" si="67"/>
        <v/>
      </c>
      <c r="N697">
        <v>58818.720000000001</v>
      </c>
      <c r="O697" t="s">
        <v>570</v>
      </c>
      <c r="Q697" t="s">
        <v>19</v>
      </c>
    </row>
    <row r="698" spans="1:17" x14ac:dyDescent="0.3">
      <c r="A698">
        <v>100668409</v>
      </c>
      <c r="B698" t="s">
        <v>327</v>
      </c>
      <c r="C698" t="s">
        <v>590</v>
      </c>
      <c r="D698" t="s">
        <v>328</v>
      </c>
      <c r="E698" s="6">
        <v>4754.59</v>
      </c>
      <c r="F698" t="s">
        <v>493</v>
      </c>
      <c r="G698" s="4" t="str">
        <f t="shared" si="62"/>
        <v>4754.59</v>
      </c>
      <c r="H698" t="str">
        <f t="shared" si="63"/>
        <v>4754.59</v>
      </c>
      <c r="I698" s="1">
        <v>45761</v>
      </c>
      <c r="J698" s="2">
        <f t="shared" si="64"/>
        <v>-2.0982232023539559E-2</v>
      </c>
      <c r="K698" s="3" t="str">
        <f t="shared" si="65"/>
        <v/>
      </c>
      <c r="L698" t="str">
        <f t="shared" si="66"/>
        <v/>
      </c>
      <c r="M698" t="str">
        <f t="shared" si="67"/>
        <v>Check</v>
      </c>
      <c r="N698">
        <v>4856.49</v>
      </c>
      <c r="O698" t="s">
        <v>571</v>
      </c>
      <c r="Q698" t="s">
        <v>16</v>
      </c>
    </row>
    <row r="699" spans="1:17" x14ac:dyDescent="0.3">
      <c r="A699">
        <v>100668534</v>
      </c>
      <c r="B699" t="s">
        <v>330</v>
      </c>
      <c r="C699" t="s">
        <v>590</v>
      </c>
      <c r="D699" t="s">
        <v>331</v>
      </c>
      <c r="E699" s="6">
        <v>9003.65</v>
      </c>
      <c r="F699" t="s">
        <v>493</v>
      </c>
      <c r="G699" s="4" t="str">
        <f t="shared" si="62"/>
        <v>9003.65</v>
      </c>
      <c r="H699" t="str">
        <f t="shared" si="63"/>
        <v>9003.65</v>
      </c>
      <c r="I699" s="1">
        <v>45761</v>
      </c>
      <c r="J699" s="2">
        <f t="shared" si="64"/>
        <v>-2.1424293836276833E-2</v>
      </c>
      <c r="K699" s="3" t="str">
        <f t="shared" si="65"/>
        <v/>
      </c>
      <c r="L699" t="str">
        <f t="shared" si="66"/>
        <v/>
      </c>
      <c r="M699" t="str">
        <f t="shared" si="67"/>
        <v>Check</v>
      </c>
      <c r="N699">
        <v>9200.77</v>
      </c>
      <c r="O699" t="s">
        <v>572</v>
      </c>
      <c r="Q699" t="s">
        <v>16</v>
      </c>
    </row>
    <row r="700" spans="1:17" x14ac:dyDescent="0.3">
      <c r="A700">
        <v>100669580</v>
      </c>
      <c r="B700" t="s">
        <v>333</v>
      </c>
      <c r="C700" t="s">
        <v>19</v>
      </c>
      <c r="D700" t="s">
        <v>334</v>
      </c>
      <c r="E700" s="6">
        <v>29928.6</v>
      </c>
      <c r="F700" t="s">
        <v>493</v>
      </c>
      <c r="G700" s="4" t="str">
        <f t="shared" si="62"/>
        <v>29928.6</v>
      </c>
      <c r="H700" t="str">
        <f t="shared" si="63"/>
        <v>29928.6</v>
      </c>
      <c r="I700" s="1">
        <v>45761</v>
      </c>
      <c r="J700" s="2">
        <f t="shared" si="64"/>
        <v>-2.2666830379535281E-2</v>
      </c>
      <c r="K700" s="3" t="str">
        <f t="shared" si="65"/>
        <v/>
      </c>
      <c r="L700" t="str">
        <f t="shared" si="66"/>
        <v/>
      </c>
      <c r="M700" t="str">
        <f t="shared" si="67"/>
        <v/>
      </c>
      <c r="N700">
        <v>30622.720000000001</v>
      </c>
      <c r="O700" t="s">
        <v>573</v>
      </c>
      <c r="Q700" t="s">
        <v>19</v>
      </c>
    </row>
    <row r="701" spans="1:17" x14ac:dyDescent="0.3">
      <c r="A701">
        <v>100670671</v>
      </c>
      <c r="B701" t="s">
        <v>336</v>
      </c>
      <c r="C701" t="s">
        <v>590</v>
      </c>
      <c r="D701" t="s">
        <v>337</v>
      </c>
      <c r="E701" s="6">
        <v>97400.36</v>
      </c>
      <c r="F701" t="s">
        <v>493</v>
      </c>
      <c r="G701" s="4" t="str">
        <f t="shared" si="62"/>
        <v>97400.36</v>
      </c>
      <c r="H701" t="str">
        <f t="shared" si="63"/>
        <v>97400.36</v>
      </c>
      <c r="I701" s="1">
        <v>45761</v>
      </c>
      <c r="J701" s="2">
        <f t="shared" si="64"/>
        <v>-1.7038078229754682E-2</v>
      </c>
      <c r="K701" s="3" t="str">
        <f t="shared" si="65"/>
        <v/>
      </c>
      <c r="L701" t="str">
        <f t="shared" si="66"/>
        <v/>
      </c>
      <c r="M701" t="str">
        <f t="shared" si="67"/>
        <v>Check</v>
      </c>
      <c r="N701">
        <v>99088.639999999999</v>
      </c>
      <c r="O701" t="s">
        <v>574</v>
      </c>
      <c r="Q701" t="s">
        <v>16</v>
      </c>
    </row>
    <row r="702" spans="1:17" x14ac:dyDescent="0.3">
      <c r="A702">
        <v>100675336</v>
      </c>
      <c r="B702" t="s">
        <v>347</v>
      </c>
      <c r="C702" t="s">
        <v>19</v>
      </c>
      <c r="D702" t="s">
        <v>348</v>
      </c>
      <c r="E702" s="6">
        <v>41502.25</v>
      </c>
      <c r="F702" t="s">
        <v>493</v>
      </c>
      <c r="G702" s="4" t="str">
        <f t="shared" si="62"/>
        <v>41502.25</v>
      </c>
      <c r="H702" t="str">
        <f t="shared" si="63"/>
        <v>41502.25</v>
      </c>
      <c r="I702" s="1">
        <v>45761</v>
      </c>
      <c r="J702" s="2">
        <f t="shared" si="64"/>
        <v>-2.2629492805176777E-2</v>
      </c>
      <c r="K702" s="3" t="str">
        <f t="shared" si="65"/>
        <v/>
      </c>
      <c r="L702" t="str">
        <f t="shared" si="66"/>
        <v/>
      </c>
      <c r="M702" t="str">
        <f t="shared" si="67"/>
        <v/>
      </c>
      <c r="N702">
        <v>42463.17</v>
      </c>
      <c r="O702" t="s">
        <v>575</v>
      </c>
      <c r="Q702" t="s">
        <v>19</v>
      </c>
    </row>
    <row r="703" spans="1:17" x14ac:dyDescent="0.3">
      <c r="A703">
        <v>100677278</v>
      </c>
      <c r="B703" t="s">
        <v>350</v>
      </c>
      <c r="C703" t="s">
        <v>19</v>
      </c>
      <c r="D703" t="s">
        <v>351</v>
      </c>
      <c r="E703" s="6">
        <v>42360.29</v>
      </c>
      <c r="F703" t="s">
        <v>493</v>
      </c>
      <c r="G703" s="4" t="str">
        <f t="shared" si="62"/>
        <v>42360.29</v>
      </c>
      <c r="H703" t="str">
        <f t="shared" si="63"/>
        <v>42360.29</v>
      </c>
      <c r="I703" s="1">
        <v>45761</v>
      </c>
      <c r="J703" s="2">
        <f t="shared" si="64"/>
        <v>-2.2217846802713506E-2</v>
      </c>
      <c r="K703" s="3" t="str">
        <f t="shared" si="65"/>
        <v/>
      </c>
      <c r="L703" t="str">
        <f t="shared" si="66"/>
        <v/>
      </c>
      <c r="M703" t="str">
        <f t="shared" si="67"/>
        <v/>
      </c>
      <c r="N703">
        <v>43322.83</v>
      </c>
      <c r="O703" t="s">
        <v>576</v>
      </c>
      <c r="Q703" t="s">
        <v>19</v>
      </c>
    </row>
    <row r="704" spans="1:17" x14ac:dyDescent="0.3">
      <c r="A704">
        <v>100677585</v>
      </c>
      <c r="B704" t="s">
        <v>353</v>
      </c>
      <c r="C704" t="s">
        <v>19</v>
      </c>
      <c r="D704" t="s">
        <v>354</v>
      </c>
      <c r="E704" s="6">
        <v>5627.18</v>
      </c>
      <c r="F704" t="s">
        <v>493</v>
      </c>
      <c r="G704" s="4" t="str">
        <f t="shared" si="62"/>
        <v>5627.18</v>
      </c>
      <c r="H704" t="str">
        <f t="shared" si="63"/>
        <v>5627.18</v>
      </c>
      <c r="I704" s="1">
        <v>45761</v>
      </c>
      <c r="J704" s="2">
        <f t="shared" si="64"/>
        <v>-2.2799458884043843E-2</v>
      </c>
      <c r="K704" s="3" t="str">
        <f t="shared" si="65"/>
        <v/>
      </c>
      <c r="L704" t="str">
        <f t="shared" si="66"/>
        <v/>
      </c>
      <c r="M704" t="str">
        <f t="shared" si="67"/>
        <v/>
      </c>
      <c r="N704">
        <v>5758.47</v>
      </c>
      <c r="O704" t="s">
        <v>577</v>
      </c>
      <c r="Q704" t="s">
        <v>19</v>
      </c>
    </row>
    <row r="705" spans="1:17" x14ac:dyDescent="0.3">
      <c r="A705">
        <v>100706842</v>
      </c>
      <c r="B705" t="s">
        <v>356</v>
      </c>
      <c r="C705" t="s">
        <v>19</v>
      </c>
      <c r="D705" t="s">
        <v>357</v>
      </c>
      <c r="E705" s="6">
        <v>17011.95</v>
      </c>
      <c r="F705" t="s">
        <v>493</v>
      </c>
      <c r="G705" s="4" t="str">
        <f t="shared" si="62"/>
        <v>17011.95</v>
      </c>
      <c r="H705" t="str">
        <f t="shared" si="63"/>
        <v>17011.95</v>
      </c>
      <c r="I705" s="1">
        <v>45761</v>
      </c>
      <c r="J705" s="2">
        <f t="shared" si="64"/>
        <v>-2.2575290708864718E-2</v>
      </c>
      <c r="K705" s="3" t="str">
        <f t="shared" si="65"/>
        <v/>
      </c>
      <c r="L705" t="str">
        <f t="shared" si="66"/>
        <v/>
      </c>
      <c r="M705" t="str">
        <f t="shared" si="67"/>
        <v/>
      </c>
      <c r="N705">
        <v>17404.87</v>
      </c>
      <c r="O705" t="s">
        <v>578</v>
      </c>
      <c r="Q705" t="s">
        <v>19</v>
      </c>
    </row>
    <row r="706" spans="1:17" x14ac:dyDescent="0.3">
      <c r="A706">
        <v>100711105</v>
      </c>
      <c r="B706" t="s">
        <v>359</v>
      </c>
      <c r="C706" t="s">
        <v>590</v>
      </c>
      <c r="D706" t="s">
        <v>360</v>
      </c>
      <c r="E706" s="6">
        <v>2481.44</v>
      </c>
      <c r="F706" t="s">
        <v>493</v>
      </c>
      <c r="G706" s="4" t="str">
        <f t="shared" si="62"/>
        <v>2481.44</v>
      </c>
      <c r="H706" t="str">
        <f t="shared" si="63"/>
        <v>2481.44</v>
      </c>
      <c r="I706" s="1">
        <v>45761</v>
      </c>
      <c r="J706" s="2">
        <f t="shared" si="64"/>
        <v>-0.13659011830201809</v>
      </c>
      <c r="K706" s="3" t="str">
        <f t="shared" si="65"/>
        <v>Check!</v>
      </c>
      <c r="L706" t="str">
        <f t="shared" si="66"/>
        <v/>
      </c>
      <c r="M706" t="str">
        <f t="shared" si="67"/>
        <v>Check</v>
      </c>
      <c r="N706">
        <v>2874</v>
      </c>
      <c r="O706" t="s">
        <v>579</v>
      </c>
      <c r="Q706" t="s">
        <v>16</v>
      </c>
    </row>
    <row r="707" spans="1:17" x14ac:dyDescent="0.3">
      <c r="A707">
        <v>100786852</v>
      </c>
      <c r="B707" t="s">
        <v>636</v>
      </c>
      <c r="C707" t="s">
        <v>19</v>
      </c>
      <c r="D707" t="s">
        <v>637</v>
      </c>
      <c r="E707" s="6">
        <v>56982.8</v>
      </c>
      <c r="F707" t="s">
        <v>493</v>
      </c>
      <c r="G707" s="4" t="str">
        <f t="shared" ref="G707:G770" si="68">SUBSTITUTE(E707,"R","")</f>
        <v>56982.8</v>
      </c>
      <c r="H707" t="str">
        <f t="shared" ref="H707:H770" si="69">SUBSTITUTE(G707,",","")</f>
        <v>56982.8</v>
      </c>
      <c r="I707" s="1">
        <v>45761</v>
      </c>
      <c r="J707" s="2">
        <f t="shared" ref="J707:J770" si="70">(H707-N707)/N707</f>
        <v>-2.246202576813075E-2</v>
      </c>
      <c r="K707" s="3" t="str">
        <f t="shared" ref="K707:K770" si="71">IF(ABS(J707)&gt;0.1,"Check!","")</f>
        <v/>
      </c>
      <c r="L707" t="str">
        <f t="shared" ref="L707:L770" si="72">IF(LEFT(O707,10)&lt;&gt;LEFT(D707,10),"Check","")</f>
        <v/>
      </c>
      <c r="M707" t="str">
        <f t="shared" ref="M707:M770" si="73">IF(Q707&lt;&gt;C707,"Check","")</f>
        <v/>
      </c>
      <c r="N707">
        <v>58292.160000000003</v>
      </c>
      <c r="O707" t="s">
        <v>693</v>
      </c>
      <c r="Q707" t="s">
        <v>19</v>
      </c>
    </row>
    <row r="708" spans="1:17" x14ac:dyDescent="0.3">
      <c r="A708">
        <v>100799345</v>
      </c>
      <c r="B708" t="s">
        <v>640</v>
      </c>
      <c r="C708" t="s">
        <v>590</v>
      </c>
      <c r="D708" t="s">
        <v>641</v>
      </c>
      <c r="E708" s="6">
        <v>233730.43</v>
      </c>
      <c r="F708" t="s">
        <v>493</v>
      </c>
      <c r="G708" s="4" t="str">
        <f t="shared" si="68"/>
        <v>233730.43</v>
      </c>
      <c r="H708" t="str">
        <f t="shared" si="69"/>
        <v>233730.43</v>
      </c>
      <c r="I708" s="1">
        <v>45761</v>
      </c>
      <c r="J708" s="2">
        <f t="shared" si="70"/>
        <v>1.5406091820249164</v>
      </c>
      <c r="K708" s="3" t="str">
        <f t="shared" si="71"/>
        <v>Check!</v>
      </c>
      <c r="L708" t="str">
        <f t="shared" si="72"/>
        <v/>
      </c>
      <c r="M708" t="str">
        <f t="shared" si="73"/>
        <v/>
      </c>
      <c r="N708">
        <v>91997.79</v>
      </c>
      <c r="O708" t="s">
        <v>694</v>
      </c>
      <c r="Q708" t="s">
        <v>590</v>
      </c>
    </row>
    <row r="709" spans="1:17" s="7" customFormat="1" x14ac:dyDescent="0.3">
      <c r="A709" s="7">
        <v>32490</v>
      </c>
      <c r="B709" s="7" t="s">
        <v>15</v>
      </c>
      <c r="C709" s="7" t="s">
        <v>19</v>
      </c>
      <c r="D709" s="7" t="s">
        <v>20</v>
      </c>
      <c r="E709" s="8">
        <v>6694.58</v>
      </c>
      <c r="F709" s="7" t="s">
        <v>580</v>
      </c>
      <c r="G709" s="4" t="str">
        <f t="shared" si="68"/>
        <v>6694.58</v>
      </c>
      <c r="H709" t="str">
        <f t="shared" si="69"/>
        <v>6694.58</v>
      </c>
      <c r="I709" s="1">
        <v>45761</v>
      </c>
      <c r="J709" s="2">
        <f t="shared" si="70"/>
        <v>-5.0144721906923963E-2</v>
      </c>
      <c r="K709" s="3" t="str">
        <f t="shared" si="71"/>
        <v/>
      </c>
      <c r="L709" t="str">
        <f t="shared" si="72"/>
        <v/>
      </c>
      <c r="M709" t="str">
        <f t="shared" si="73"/>
        <v/>
      </c>
      <c r="N709" s="7">
        <v>7048</v>
      </c>
      <c r="O709" s="7" t="s">
        <v>494</v>
      </c>
      <c r="Q709" s="7" t="s">
        <v>19</v>
      </c>
    </row>
    <row r="710" spans="1:17" x14ac:dyDescent="0.3">
      <c r="A710">
        <v>32490</v>
      </c>
      <c r="B710" t="s">
        <v>15</v>
      </c>
      <c r="C710" t="s">
        <v>19</v>
      </c>
      <c r="D710" t="s">
        <v>22</v>
      </c>
      <c r="E710" s="6">
        <v>24658.83</v>
      </c>
      <c r="F710" t="s">
        <v>580</v>
      </c>
      <c r="G710" s="4" t="str">
        <f t="shared" si="68"/>
        <v>24658.83</v>
      </c>
      <c r="H710" t="str">
        <f t="shared" si="69"/>
        <v>24658.83</v>
      </c>
      <c r="I710" s="1">
        <v>45761</v>
      </c>
      <c r="J710" s="2">
        <f t="shared" si="70"/>
        <v>-5.4752947616415366E-2</v>
      </c>
      <c r="K710" s="3" t="str">
        <f t="shared" si="71"/>
        <v/>
      </c>
      <c r="L710" t="str">
        <f t="shared" si="72"/>
        <v/>
      </c>
      <c r="M710" t="str">
        <f t="shared" si="73"/>
        <v/>
      </c>
      <c r="N710">
        <v>26087.18</v>
      </c>
      <c r="O710" t="s">
        <v>495</v>
      </c>
      <c r="Q710" t="s">
        <v>19</v>
      </c>
    </row>
    <row r="711" spans="1:17" x14ac:dyDescent="0.3">
      <c r="A711">
        <v>33672</v>
      </c>
      <c r="B711" t="s">
        <v>24</v>
      </c>
      <c r="C711" t="s">
        <v>19</v>
      </c>
      <c r="D711" t="s">
        <v>25</v>
      </c>
      <c r="E711" s="6">
        <v>62514.71</v>
      </c>
      <c r="F711" t="s">
        <v>580</v>
      </c>
      <c r="G711" s="4" t="str">
        <f t="shared" si="68"/>
        <v>62514.71</v>
      </c>
      <c r="H711" t="str">
        <f t="shared" si="69"/>
        <v>62514.71</v>
      </c>
      <c r="I711" s="1">
        <v>45761</v>
      </c>
      <c r="J711" s="2">
        <f t="shared" si="70"/>
        <v>-5.4672869779392994E-2</v>
      </c>
      <c r="K711" s="3" t="str">
        <f t="shared" si="71"/>
        <v/>
      </c>
      <c r="L711" t="str">
        <f t="shared" si="72"/>
        <v/>
      </c>
      <c r="M711" t="str">
        <f t="shared" si="73"/>
        <v/>
      </c>
      <c r="N711">
        <v>66130.240000000005</v>
      </c>
      <c r="O711" t="s">
        <v>496</v>
      </c>
      <c r="Q711" t="s">
        <v>19</v>
      </c>
    </row>
    <row r="712" spans="1:17" x14ac:dyDescent="0.3">
      <c r="A712">
        <v>34171</v>
      </c>
      <c r="B712" t="s">
        <v>27</v>
      </c>
      <c r="C712" t="s">
        <v>19</v>
      </c>
      <c r="D712" t="s">
        <v>28</v>
      </c>
      <c r="E712" s="6">
        <v>3943.77</v>
      </c>
      <c r="F712" t="s">
        <v>580</v>
      </c>
      <c r="G712" s="4" t="str">
        <f t="shared" si="68"/>
        <v>3943.77</v>
      </c>
      <c r="H712" t="str">
        <f t="shared" si="69"/>
        <v>3943.77</v>
      </c>
      <c r="I712" s="1">
        <v>45761</v>
      </c>
      <c r="J712" s="2">
        <f t="shared" si="70"/>
        <v>-5.3825225761254453E-2</v>
      </c>
      <c r="K712" s="3" t="str">
        <f t="shared" si="71"/>
        <v/>
      </c>
      <c r="L712" t="str">
        <f t="shared" si="72"/>
        <v/>
      </c>
      <c r="M712" t="str">
        <f t="shared" si="73"/>
        <v/>
      </c>
      <c r="N712">
        <v>4168.12</v>
      </c>
      <c r="O712" t="s">
        <v>497</v>
      </c>
      <c r="Q712" t="s">
        <v>19</v>
      </c>
    </row>
    <row r="713" spans="1:17" x14ac:dyDescent="0.3">
      <c r="A713">
        <v>34173</v>
      </c>
      <c r="B713" t="s">
        <v>30</v>
      </c>
      <c r="C713" t="s">
        <v>19</v>
      </c>
      <c r="D713" t="s">
        <v>31</v>
      </c>
      <c r="E713" s="6">
        <v>22813.13</v>
      </c>
      <c r="F713" t="s">
        <v>580</v>
      </c>
      <c r="G713" s="4" t="str">
        <f t="shared" si="68"/>
        <v>22813.13</v>
      </c>
      <c r="H713" t="str">
        <f t="shared" si="69"/>
        <v>22813.13</v>
      </c>
      <c r="I713" s="1">
        <v>45761</v>
      </c>
      <c r="J713" s="2">
        <f t="shared" si="70"/>
        <v>-5.4852074192839967E-2</v>
      </c>
      <c r="K713" s="3" t="str">
        <f t="shared" si="71"/>
        <v/>
      </c>
      <c r="L713" t="str">
        <f t="shared" si="72"/>
        <v/>
      </c>
      <c r="M713" t="str">
        <f t="shared" si="73"/>
        <v/>
      </c>
      <c r="N713">
        <v>24137.1</v>
      </c>
      <c r="O713" t="s">
        <v>498</v>
      </c>
      <c r="Q713" t="s">
        <v>19</v>
      </c>
    </row>
    <row r="714" spans="1:17" x14ac:dyDescent="0.3">
      <c r="A714">
        <v>34199</v>
      </c>
      <c r="B714" t="s">
        <v>36</v>
      </c>
      <c r="C714" t="s">
        <v>19</v>
      </c>
      <c r="D714" t="s">
        <v>39</v>
      </c>
      <c r="E714" s="6">
        <v>3585.04</v>
      </c>
      <c r="F714" t="s">
        <v>580</v>
      </c>
      <c r="G714" s="4" t="str">
        <f t="shared" si="68"/>
        <v>3585.04</v>
      </c>
      <c r="H714" t="str">
        <f t="shared" si="69"/>
        <v>3585.04</v>
      </c>
      <c r="I714" s="1">
        <v>45761</v>
      </c>
      <c r="J714" s="2">
        <f t="shared" si="70"/>
        <v>-5.3494769857906965E-2</v>
      </c>
      <c r="K714" s="3" t="str">
        <f t="shared" si="71"/>
        <v/>
      </c>
      <c r="L714" t="str">
        <f t="shared" si="72"/>
        <v/>
      </c>
      <c r="M714" t="str">
        <f t="shared" si="73"/>
        <v/>
      </c>
      <c r="N714">
        <v>3787.66</v>
      </c>
      <c r="O714" t="s">
        <v>499</v>
      </c>
      <c r="Q714" t="s">
        <v>19</v>
      </c>
    </row>
    <row r="715" spans="1:17" x14ac:dyDescent="0.3">
      <c r="A715">
        <v>34202</v>
      </c>
      <c r="B715" t="s">
        <v>46</v>
      </c>
      <c r="C715" t="s">
        <v>19</v>
      </c>
      <c r="D715" t="s">
        <v>49</v>
      </c>
      <c r="E715" s="6">
        <v>137732.01</v>
      </c>
      <c r="F715" t="s">
        <v>580</v>
      </c>
      <c r="G715" s="4" t="str">
        <f t="shared" si="68"/>
        <v>137732.01</v>
      </c>
      <c r="H715" t="str">
        <f t="shared" si="69"/>
        <v>137732.01</v>
      </c>
      <c r="I715" s="1">
        <v>45761</v>
      </c>
      <c r="J715" s="2">
        <f t="shared" si="70"/>
        <v>-5.5073852793864828E-2</v>
      </c>
      <c r="K715" s="3" t="str">
        <f t="shared" si="71"/>
        <v/>
      </c>
      <c r="L715" t="str">
        <f t="shared" si="72"/>
        <v/>
      </c>
      <c r="M715" t="str">
        <f t="shared" si="73"/>
        <v/>
      </c>
      <c r="N715">
        <v>145759.54999999999</v>
      </c>
      <c r="O715" t="s">
        <v>501</v>
      </c>
      <c r="Q715" t="s">
        <v>19</v>
      </c>
    </row>
    <row r="716" spans="1:17" x14ac:dyDescent="0.3">
      <c r="A716">
        <v>34202</v>
      </c>
      <c r="B716" t="s">
        <v>46</v>
      </c>
      <c r="C716" t="s">
        <v>19</v>
      </c>
      <c r="D716" t="s">
        <v>47</v>
      </c>
      <c r="E716" s="6">
        <v>26378.25</v>
      </c>
      <c r="F716" t="s">
        <v>580</v>
      </c>
      <c r="G716" s="4" t="str">
        <f t="shared" si="68"/>
        <v>26378.25</v>
      </c>
      <c r="H716" t="str">
        <f t="shared" si="69"/>
        <v>26378.25</v>
      </c>
      <c r="I716" s="1">
        <v>45761</v>
      </c>
      <c r="J716" s="2">
        <f t="shared" si="70"/>
        <v>-5.472664450131904E-2</v>
      </c>
      <c r="K716" s="3" t="str">
        <f t="shared" si="71"/>
        <v/>
      </c>
      <c r="L716" t="str">
        <f t="shared" si="72"/>
        <v/>
      </c>
      <c r="M716" t="str">
        <f t="shared" si="73"/>
        <v/>
      </c>
      <c r="N716">
        <v>27905.42</v>
      </c>
      <c r="O716" t="s">
        <v>500</v>
      </c>
      <c r="Q716" t="s">
        <v>19</v>
      </c>
    </row>
    <row r="717" spans="1:17" x14ac:dyDescent="0.3">
      <c r="A717">
        <v>34209</v>
      </c>
      <c r="B717" t="s">
        <v>51</v>
      </c>
      <c r="C717" t="s">
        <v>19</v>
      </c>
      <c r="D717" t="s">
        <v>52</v>
      </c>
      <c r="E717" s="6">
        <v>46768.480000000003</v>
      </c>
      <c r="F717" t="s">
        <v>580</v>
      </c>
      <c r="G717" s="4" t="str">
        <f t="shared" si="68"/>
        <v>46768.48</v>
      </c>
      <c r="H717" t="str">
        <f t="shared" si="69"/>
        <v>46768.48</v>
      </c>
      <c r="I717" s="1">
        <v>45761</v>
      </c>
      <c r="J717" s="2">
        <f t="shared" si="70"/>
        <v>-5.4751418020010718E-2</v>
      </c>
      <c r="K717" s="3" t="str">
        <f t="shared" si="71"/>
        <v/>
      </c>
      <c r="L717" t="str">
        <f t="shared" si="72"/>
        <v/>
      </c>
      <c r="M717" t="str">
        <f t="shared" si="73"/>
        <v/>
      </c>
      <c r="N717">
        <v>49477.440000000002</v>
      </c>
      <c r="O717" t="s">
        <v>502</v>
      </c>
      <c r="Q717" t="s">
        <v>19</v>
      </c>
    </row>
    <row r="718" spans="1:17" x14ac:dyDescent="0.3">
      <c r="A718">
        <v>34209</v>
      </c>
      <c r="B718" t="s">
        <v>51</v>
      </c>
      <c r="C718" t="s">
        <v>19</v>
      </c>
      <c r="D718" t="s">
        <v>54</v>
      </c>
      <c r="E718" s="6">
        <v>60020.27</v>
      </c>
      <c r="F718" t="s">
        <v>580</v>
      </c>
      <c r="G718" s="4" t="str">
        <f t="shared" si="68"/>
        <v>60020.27</v>
      </c>
      <c r="H718" t="str">
        <f t="shared" si="69"/>
        <v>60020.27</v>
      </c>
      <c r="I718" s="1">
        <v>45761</v>
      </c>
      <c r="J718" s="2">
        <f t="shared" si="70"/>
        <v>-5.4516741610291672E-2</v>
      </c>
      <c r="K718" s="3" t="str">
        <f t="shared" si="71"/>
        <v/>
      </c>
      <c r="L718" t="str">
        <f t="shared" si="72"/>
        <v/>
      </c>
      <c r="M718" t="str">
        <f t="shared" si="73"/>
        <v/>
      </c>
      <c r="N718">
        <v>63481.05</v>
      </c>
      <c r="O718" t="s">
        <v>503</v>
      </c>
      <c r="Q718" t="s">
        <v>19</v>
      </c>
    </row>
    <row r="719" spans="1:17" x14ac:dyDescent="0.3">
      <c r="A719">
        <v>34216</v>
      </c>
      <c r="B719" t="s">
        <v>59</v>
      </c>
      <c r="C719" t="s">
        <v>19</v>
      </c>
      <c r="D719" t="s">
        <v>60</v>
      </c>
      <c r="E719" s="6">
        <v>31254.04</v>
      </c>
      <c r="F719" t="s">
        <v>580</v>
      </c>
      <c r="G719" s="4" t="str">
        <f t="shared" si="68"/>
        <v>31254.04</v>
      </c>
      <c r="H719" t="str">
        <f t="shared" si="69"/>
        <v>31254.04</v>
      </c>
      <c r="I719" s="1">
        <v>45761</v>
      </c>
      <c r="J719" s="2">
        <f t="shared" si="70"/>
        <v>-5.4781988318313095E-2</v>
      </c>
      <c r="K719" s="3" t="str">
        <f t="shared" si="71"/>
        <v/>
      </c>
      <c r="L719" t="str">
        <f t="shared" si="72"/>
        <v/>
      </c>
      <c r="M719" t="str">
        <f t="shared" si="73"/>
        <v/>
      </c>
      <c r="N719">
        <v>33065.43</v>
      </c>
      <c r="O719" t="s">
        <v>504</v>
      </c>
      <c r="Q719" t="s">
        <v>19</v>
      </c>
    </row>
    <row r="720" spans="1:17" x14ac:dyDescent="0.3">
      <c r="A720">
        <v>34395</v>
      </c>
      <c r="B720" t="s">
        <v>69</v>
      </c>
      <c r="C720" t="s">
        <v>19</v>
      </c>
      <c r="D720" t="s">
        <v>74</v>
      </c>
      <c r="E720" s="6">
        <v>10253.33</v>
      </c>
      <c r="F720" t="s">
        <v>580</v>
      </c>
      <c r="G720" s="4" t="str">
        <f t="shared" si="68"/>
        <v>10253.33</v>
      </c>
      <c r="H720" t="str">
        <f t="shared" si="69"/>
        <v>10253.33</v>
      </c>
      <c r="I720" s="1">
        <v>45761</v>
      </c>
      <c r="J720" s="2">
        <f t="shared" si="70"/>
        <v>-5.4030964196782487E-2</v>
      </c>
      <c r="K720" s="3" t="str">
        <f t="shared" si="71"/>
        <v/>
      </c>
      <c r="L720" t="str">
        <f t="shared" si="72"/>
        <v/>
      </c>
      <c r="M720" t="str">
        <f t="shared" si="73"/>
        <v/>
      </c>
      <c r="N720">
        <v>10838.97</v>
      </c>
      <c r="O720" t="s">
        <v>506</v>
      </c>
      <c r="Q720" t="s">
        <v>19</v>
      </c>
    </row>
    <row r="721" spans="1:17" x14ac:dyDescent="0.3">
      <c r="A721">
        <v>34395</v>
      </c>
      <c r="B721" t="s">
        <v>69</v>
      </c>
      <c r="C721" t="s">
        <v>19</v>
      </c>
      <c r="D721" t="s">
        <v>72</v>
      </c>
      <c r="E721" s="6">
        <v>6182.1</v>
      </c>
      <c r="F721" t="s">
        <v>580</v>
      </c>
      <c r="G721" s="4" t="str">
        <f t="shared" si="68"/>
        <v>6182.1</v>
      </c>
      <c r="H721" t="str">
        <f t="shared" si="69"/>
        <v>6182.1</v>
      </c>
      <c r="I721" s="1">
        <v>45761</v>
      </c>
      <c r="J721" s="2">
        <f t="shared" si="70"/>
        <v>-5.33757587265032E-2</v>
      </c>
      <c r="K721" s="3" t="str">
        <f t="shared" si="71"/>
        <v/>
      </c>
      <c r="L721" t="str">
        <f t="shared" si="72"/>
        <v/>
      </c>
      <c r="M721" t="str">
        <f t="shared" si="73"/>
        <v/>
      </c>
      <c r="N721">
        <v>6530.68</v>
      </c>
      <c r="O721" t="s">
        <v>507</v>
      </c>
      <c r="Q721" t="s">
        <v>19</v>
      </c>
    </row>
    <row r="722" spans="1:17" x14ac:dyDescent="0.3">
      <c r="A722">
        <v>34395</v>
      </c>
      <c r="B722" t="s">
        <v>69</v>
      </c>
      <c r="C722" t="s">
        <v>19</v>
      </c>
      <c r="D722" t="s">
        <v>70</v>
      </c>
      <c r="E722" s="6">
        <v>95981.67</v>
      </c>
      <c r="F722" t="s">
        <v>580</v>
      </c>
      <c r="G722" s="4" t="str">
        <f t="shared" si="68"/>
        <v>95981.67</v>
      </c>
      <c r="H722" t="str">
        <f t="shared" si="69"/>
        <v>95981.67</v>
      </c>
      <c r="I722" s="1">
        <v>45761</v>
      </c>
      <c r="J722" s="2">
        <f t="shared" si="70"/>
        <v>-5.4415481701809695E-2</v>
      </c>
      <c r="K722" s="3" t="str">
        <f t="shared" si="71"/>
        <v/>
      </c>
      <c r="L722" t="str">
        <f t="shared" si="72"/>
        <v/>
      </c>
      <c r="M722" t="str">
        <f t="shared" si="73"/>
        <v/>
      </c>
      <c r="N722">
        <v>101505.12</v>
      </c>
      <c r="O722" t="s">
        <v>505</v>
      </c>
      <c r="Q722" t="s">
        <v>19</v>
      </c>
    </row>
    <row r="723" spans="1:17" x14ac:dyDescent="0.3">
      <c r="A723">
        <v>36048</v>
      </c>
      <c r="B723" t="s">
        <v>76</v>
      </c>
      <c r="C723" t="s">
        <v>19</v>
      </c>
      <c r="D723" t="s">
        <v>77</v>
      </c>
      <c r="E723" s="6">
        <v>6072.47</v>
      </c>
      <c r="F723" t="s">
        <v>580</v>
      </c>
      <c r="G723" s="4" t="str">
        <f t="shared" si="68"/>
        <v>6072.47</v>
      </c>
      <c r="H723" t="str">
        <f t="shared" si="69"/>
        <v>6072.47</v>
      </c>
      <c r="I723" s="1">
        <v>45761</v>
      </c>
      <c r="J723" s="2">
        <f t="shared" si="70"/>
        <v>-4.9269158749741609E-2</v>
      </c>
      <c r="K723" s="3" t="str">
        <f t="shared" si="71"/>
        <v/>
      </c>
      <c r="L723" t="str">
        <f t="shared" si="72"/>
        <v/>
      </c>
      <c r="M723" t="str">
        <f t="shared" si="73"/>
        <v/>
      </c>
      <c r="N723">
        <v>6387.16</v>
      </c>
      <c r="O723" t="s">
        <v>508</v>
      </c>
      <c r="Q723" t="s">
        <v>19</v>
      </c>
    </row>
    <row r="724" spans="1:17" x14ac:dyDescent="0.3">
      <c r="A724">
        <v>36048</v>
      </c>
      <c r="B724" t="s">
        <v>76</v>
      </c>
      <c r="C724" t="s">
        <v>19</v>
      </c>
      <c r="D724" t="s">
        <v>79</v>
      </c>
      <c r="E724" s="6">
        <v>18135.14</v>
      </c>
      <c r="F724" t="s">
        <v>580</v>
      </c>
      <c r="G724" s="4" t="str">
        <f t="shared" si="68"/>
        <v>18135.14</v>
      </c>
      <c r="H724" t="str">
        <f t="shared" si="69"/>
        <v>18135.14</v>
      </c>
      <c r="I724" s="1">
        <v>45761</v>
      </c>
      <c r="J724" s="2">
        <f t="shared" si="70"/>
        <v>-5.3072439007579637E-2</v>
      </c>
      <c r="K724" s="3" t="str">
        <f t="shared" si="71"/>
        <v/>
      </c>
      <c r="L724" t="str">
        <f t="shared" si="72"/>
        <v/>
      </c>
      <c r="M724" t="str">
        <f t="shared" si="73"/>
        <v/>
      </c>
      <c r="N724">
        <v>19151.560000000001</v>
      </c>
      <c r="O724" t="s">
        <v>509</v>
      </c>
      <c r="Q724" t="s">
        <v>19</v>
      </c>
    </row>
    <row r="725" spans="1:17" x14ac:dyDescent="0.3">
      <c r="A725">
        <v>36059</v>
      </c>
      <c r="B725" t="s">
        <v>81</v>
      </c>
      <c r="C725" t="s">
        <v>19</v>
      </c>
      <c r="D725" t="s">
        <v>82</v>
      </c>
      <c r="E725" s="6">
        <v>37289.620000000003</v>
      </c>
      <c r="F725" t="s">
        <v>580</v>
      </c>
      <c r="G725" s="4" t="str">
        <f t="shared" si="68"/>
        <v>37289.62</v>
      </c>
      <c r="H725" t="str">
        <f t="shared" si="69"/>
        <v>37289.62</v>
      </c>
      <c r="I725" s="1">
        <v>45761</v>
      </c>
      <c r="J725" s="2">
        <f t="shared" si="70"/>
        <v>-5.4786683534844845E-2</v>
      </c>
      <c r="K725" s="3" t="str">
        <f t="shared" si="71"/>
        <v/>
      </c>
      <c r="L725" t="str">
        <f t="shared" si="72"/>
        <v/>
      </c>
      <c r="M725" t="str">
        <f t="shared" si="73"/>
        <v/>
      </c>
      <c r="N725">
        <v>39451.01</v>
      </c>
      <c r="O725" t="s">
        <v>510</v>
      </c>
      <c r="Q725" t="s">
        <v>19</v>
      </c>
    </row>
    <row r="726" spans="1:17" x14ac:dyDescent="0.3">
      <c r="A726">
        <v>36059</v>
      </c>
      <c r="B726" t="s">
        <v>81</v>
      </c>
      <c r="C726" t="s">
        <v>19</v>
      </c>
      <c r="D726" t="s">
        <v>84</v>
      </c>
      <c r="E726" s="6">
        <v>24093.79</v>
      </c>
      <c r="F726" t="s">
        <v>580</v>
      </c>
      <c r="G726" s="4" t="str">
        <f t="shared" si="68"/>
        <v>24093.79</v>
      </c>
      <c r="H726" t="str">
        <f t="shared" si="69"/>
        <v>24093.79</v>
      </c>
      <c r="I726" s="1">
        <v>45761</v>
      </c>
      <c r="J726" s="2">
        <f t="shared" si="70"/>
        <v>-5.4290271908635723E-2</v>
      </c>
      <c r="K726" s="3" t="str">
        <f t="shared" si="71"/>
        <v/>
      </c>
      <c r="L726" t="str">
        <f t="shared" si="72"/>
        <v/>
      </c>
      <c r="M726" t="str">
        <f t="shared" si="73"/>
        <v/>
      </c>
      <c r="N726">
        <v>25476.94</v>
      </c>
      <c r="O726" t="s">
        <v>511</v>
      </c>
      <c r="Q726" t="s">
        <v>19</v>
      </c>
    </row>
    <row r="727" spans="1:17" x14ac:dyDescent="0.3">
      <c r="A727">
        <v>36060</v>
      </c>
      <c r="B727" t="s">
        <v>86</v>
      </c>
      <c r="C727" t="s">
        <v>19</v>
      </c>
      <c r="D727" t="s">
        <v>87</v>
      </c>
      <c r="E727" s="6">
        <v>51662.13</v>
      </c>
      <c r="F727" t="s">
        <v>580</v>
      </c>
      <c r="G727" s="4" t="str">
        <f t="shared" si="68"/>
        <v>51662.13</v>
      </c>
      <c r="H727" t="str">
        <f t="shared" si="69"/>
        <v>51662.13</v>
      </c>
      <c r="I727" s="1">
        <v>45761</v>
      </c>
      <c r="J727" s="2">
        <f t="shared" si="70"/>
        <v>-5.3569668579845221E-2</v>
      </c>
      <c r="K727" s="3" t="str">
        <f t="shared" si="71"/>
        <v/>
      </c>
      <c r="L727" t="str">
        <f t="shared" si="72"/>
        <v/>
      </c>
      <c r="M727" t="str">
        <f t="shared" si="73"/>
        <v/>
      </c>
      <c r="N727">
        <v>54586.3</v>
      </c>
      <c r="O727" t="s">
        <v>512</v>
      </c>
      <c r="Q727" t="s">
        <v>19</v>
      </c>
    </row>
    <row r="728" spans="1:17" x14ac:dyDescent="0.3">
      <c r="A728">
        <v>36060</v>
      </c>
      <c r="B728" t="s">
        <v>86</v>
      </c>
      <c r="C728" t="s">
        <v>19</v>
      </c>
      <c r="D728" t="s">
        <v>89</v>
      </c>
      <c r="E728" s="6">
        <v>8980.2199999999993</v>
      </c>
      <c r="F728" t="s">
        <v>580</v>
      </c>
      <c r="G728" s="4" t="str">
        <f t="shared" si="68"/>
        <v>8980.22</v>
      </c>
      <c r="H728" t="str">
        <f t="shared" si="69"/>
        <v>8980.22</v>
      </c>
      <c r="I728" s="1">
        <v>45761</v>
      </c>
      <c r="J728" s="2">
        <f t="shared" si="70"/>
        <v>-4.8527107307196393E-2</v>
      </c>
      <c r="K728" s="3" t="str">
        <f t="shared" si="71"/>
        <v/>
      </c>
      <c r="L728" t="str">
        <f t="shared" si="72"/>
        <v/>
      </c>
      <c r="M728" t="str">
        <f t="shared" si="73"/>
        <v/>
      </c>
      <c r="N728">
        <v>9438.23</v>
      </c>
      <c r="O728" t="s">
        <v>513</v>
      </c>
      <c r="Q728" t="s">
        <v>19</v>
      </c>
    </row>
    <row r="729" spans="1:17" x14ac:dyDescent="0.3">
      <c r="A729">
        <v>36355</v>
      </c>
      <c r="B729" t="s">
        <v>94</v>
      </c>
      <c r="C729" t="s">
        <v>19</v>
      </c>
      <c r="D729" t="s">
        <v>95</v>
      </c>
      <c r="E729" s="6">
        <v>557.19000000000005</v>
      </c>
      <c r="F729" t="s">
        <v>580</v>
      </c>
      <c r="G729" s="4" t="str">
        <f t="shared" si="68"/>
        <v>557.19</v>
      </c>
      <c r="H729" t="str">
        <f t="shared" si="69"/>
        <v>557.19</v>
      </c>
      <c r="I729" s="1">
        <v>45761</v>
      </c>
      <c r="J729" s="2">
        <f t="shared" si="70"/>
        <v>-6.3373060565818776E-2</v>
      </c>
      <c r="K729" s="3" t="str">
        <f t="shared" si="71"/>
        <v/>
      </c>
      <c r="L729" t="str">
        <f t="shared" si="72"/>
        <v/>
      </c>
      <c r="M729" t="str">
        <f t="shared" si="73"/>
        <v/>
      </c>
      <c r="N729">
        <v>594.89</v>
      </c>
      <c r="O729" t="s">
        <v>514</v>
      </c>
      <c r="Q729" t="s">
        <v>19</v>
      </c>
    </row>
    <row r="730" spans="1:17" x14ac:dyDescent="0.3">
      <c r="A730">
        <v>37040</v>
      </c>
      <c r="B730" t="s">
        <v>596</v>
      </c>
      <c r="C730" t="s">
        <v>19</v>
      </c>
      <c r="D730" t="s">
        <v>97</v>
      </c>
      <c r="E730" s="6">
        <v>27140.43</v>
      </c>
      <c r="F730" t="s">
        <v>580</v>
      </c>
      <c r="G730" s="4" t="str">
        <f t="shared" si="68"/>
        <v>27140.43</v>
      </c>
      <c r="H730" t="str">
        <f t="shared" si="69"/>
        <v>27140.43</v>
      </c>
      <c r="I730" s="1">
        <v>45761</v>
      </c>
      <c r="J730" s="2">
        <f t="shared" si="70"/>
        <v>-5.2479051181379965E-2</v>
      </c>
      <c r="K730" s="3" t="str">
        <f t="shared" si="71"/>
        <v/>
      </c>
      <c r="L730" t="str">
        <f t="shared" si="72"/>
        <v/>
      </c>
      <c r="M730" t="str">
        <f t="shared" si="73"/>
        <v/>
      </c>
      <c r="N730">
        <v>28643.62</v>
      </c>
      <c r="O730" t="s">
        <v>515</v>
      </c>
      <c r="Q730" t="s">
        <v>19</v>
      </c>
    </row>
    <row r="731" spans="1:17" x14ac:dyDescent="0.3">
      <c r="A731">
        <v>37041</v>
      </c>
      <c r="B731" t="s">
        <v>99</v>
      </c>
      <c r="C731" t="s">
        <v>19</v>
      </c>
      <c r="D731" t="s">
        <v>100</v>
      </c>
      <c r="E731" s="6">
        <v>4964.5</v>
      </c>
      <c r="F731" t="s">
        <v>580</v>
      </c>
      <c r="G731" s="4" t="str">
        <f t="shared" si="68"/>
        <v>4964.5</v>
      </c>
      <c r="H731" t="str">
        <f t="shared" si="69"/>
        <v>4964.5</v>
      </c>
      <c r="I731" s="1">
        <v>45761</v>
      </c>
      <c r="J731" s="2">
        <f t="shared" si="70"/>
        <v>-5.4447591312612231E-2</v>
      </c>
      <c r="K731" s="3" t="str">
        <f t="shared" si="71"/>
        <v/>
      </c>
      <c r="L731" t="str">
        <f t="shared" si="72"/>
        <v/>
      </c>
      <c r="M731" t="str">
        <f t="shared" si="73"/>
        <v/>
      </c>
      <c r="N731">
        <v>5250.37</v>
      </c>
      <c r="O731" t="s">
        <v>516</v>
      </c>
      <c r="Q731" t="s">
        <v>19</v>
      </c>
    </row>
    <row r="732" spans="1:17" x14ac:dyDescent="0.3">
      <c r="A732">
        <v>38586</v>
      </c>
      <c r="B732" t="s">
        <v>102</v>
      </c>
      <c r="C732" t="s">
        <v>19</v>
      </c>
      <c r="D732" t="s">
        <v>103</v>
      </c>
      <c r="E732" s="6">
        <v>3508.13</v>
      </c>
      <c r="F732" t="s">
        <v>580</v>
      </c>
      <c r="G732" s="4" t="str">
        <f t="shared" si="68"/>
        <v>3508.13</v>
      </c>
      <c r="H732" t="str">
        <f t="shared" si="69"/>
        <v>3508.13</v>
      </c>
      <c r="I732" s="1">
        <v>45761</v>
      </c>
      <c r="J732" s="2">
        <f t="shared" si="70"/>
        <v>-5.0494087460652974E-2</v>
      </c>
      <c r="K732" s="3" t="str">
        <f t="shared" si="71"/>
        <v/>
      </c>
      <c r="L732" t="str">
        <f t="shared" si="72"/>
        <v/>
      </c>
      <c r="M732" t="str">
        <f t="shared" si="73"/>
        <v/>
      </c>
      <c r="N732">
        <v>3694.69</v>
      </c>
      <c r="O732" t="s">
        <v>517</v>
      </c>
      <c r="Q732" t="s">
        <v>19</v>
      </c>
    </row>
    <row r="733" spans="1:17" x14ac:dyDescent="0.3">
      <c r="A733">
        <v>38842</v>
      </c>
      <c r="B733" t="s">
        <v>105</v>
      </c>
      <c r="C733" t="s">
        <v>19</v>
      </c>
      <c r="D733" t="s">
        <v>106</v>
      </c>
      <c r="E733" s="6">
        <v>2586.7800000000002</v>
      </c>
      <c r="F733" t="s">
        <v>580</v>
      </c>
      <c r="G733" s="4" t="str">
        <f t="shared" si="68"/>
        <v>2586.78</v>
      </c>
      <c r="H733" t="str">
        <f t="shared" si="69"/>
        <v>2586.78</v>
      </c>
      <c r="I733" s="1">
        <v>45761</v>
      </c>
      <c r="J733" s="2">
        <f t="shared" si="70"/>
        <v>-4.937985778071767E-2</v>
      </c>
      <c r="K733" s="3" t="str">
        <f t="shared" si="71"/>
        <v/>
      </c>
      <c r="L733" t="str">
        <f t="shared" si="72"/>
        <v/>
      </c>
      <c r="M733" t="str">
        <f t="shared" si="73"/>
        <v/>
      </c>
      <c r="N733">
        <v>2721.15</v>
      </c>
      <c r="O733" t="s">
        <v>518</v>
      </c>
      <c r="Q733" t="s">
        <v>19</v>
      </c>
    </row>
    <row r="734" spans="1:17" x14ac:dyDescent="0.3">
      <c r="A734">
        <v>38851</v>
      </c>
      <c r="B734" t="s">
        <v>108</v>
      </c>
      <c r="C734" t="s">
        <v>19</v>
      </c>
      <c r="D734" t="s">
        <v>109</v>
      </c>
      <c r="E734" s="6">
        <v>209.36</v>
      </c>
      <c r="F734" t="s">
        <v>580</v>
      </c>
      <c r="G734" s="4" t="str">
        <f t="shared" si="68"/>
        <v>209.36</v>
      </c>
      <c r="H734" t="str">
        <f t="shared" si="69"/>
        <v>209.36</v>
      </c>
      <c r="I734" s="1">
        <v>45761</v>
      </c>
      <c r="J734" s="2">
        <f t="shared" si="70"/>
        <v>-6.9759175331022785E-2</v>
      </c>
      <c r="K734" s="3" t="str">
        <f t="shared" si="71"/>
        <v/>
      </c>
      <c r="L734" t="str">
        <f t="shared" si="72"/>
        <v/>
      </c>
      <c r="M734" t="str">
        <f t="shared" si="73"/>
        <v/>
      </c>
      <c r="N734">
        <v>225.06</v>
      </c>
      <c r="O734" t="s">
        <v>519</v>
      </c>
      <c r="Q734" t="s">
        <v>19</v>
      </c>
    </row>
    <row r="735" spans="1:17" x14ac:dyDescent="0.3">
      <c r="A735">
        <v>38887</v>
      </c>
      <c r="B735" t="s">
        <v>111</v>
      </c>
      <c r="C735" t="s">
        <v>19</v>
      </c>
      <c r="D735" t="s">
        <v>112</v>
      </c>
      <c r="E735" s="6">
        <v>1297.83</v>
      </c>
      <c r="F735" t="s">
        <v>580</v>
      </c>
      <c r="G735" s="4" t="str">
        <f t="shared" si="68"/>
        <v>1297.83</v>
      </c>
      <c r="H735" t="str">
        <f t="shared" si="69"/>
        <v>1297.83</v>
      </c>
      <c r="I735" s="1">
        <v>45761</v>
      </c>
      <c r="J735" s="2">
        <f t="shared" si="70"/>
        <v>-5.4907043976609955E-2</v>
      </c>
      <c r="K735" s="3" t="str">
        <f t="shared" si="71"/>
        <v/>
      </c>
      <c r="L735" t="str">
        <f t="shared" si="72"/>
        <v/>
      </c>
      <c r="M735" t="str">
        <f t="shared" si="73"/>
        <v/>
      </c>
      <c r="N735">
        <v>1373.23</v>
      </c>
      <c r="O735" t="s">
        <v>520</v>
      </c>
      <c r="Q735" t="s">
        <v>19</v>
      </c>
    </row>
    <row r="736" spans="1:17" x14ac:dyDescent="0.3">
      <c r="A736">
        <v>46589</v>
      </c>
      <c r="B736" t="s">
        <v>638</v>
      </c>
      <c r="C736" t="s">
        <v>19</v>
      </c>
      <c r="D736" t="s">
        <v>118</v>
      </c>
      <c r="E736" s="6">
        <v>63837.13</v>
      </c>
      <c r="F736" t="s">
        <v>580</v>
      </c>
      <c r="G736" s="4" t="str">
        <f t="shared" si="68"/>
        <v>63837.13</v>
      </c>
      <c r="H736" t="str">
        <f t="shared" si="69"/>
        <v>63837.13</v>
      </c>
      <c r="I736" s="1">
        <v>45761</v>
      </c>
      <c r="J736" s="2">
        <f t="shared" si="70"/>
        <v>-5.3394845663355582E-2</v>
      </c>
      <c r="K736" s="3" t="str">
        <f t="shared" si="71"/>
        <v/>
      </c>
      <c r="L736" t="str">
        <f t="shared" si="72"/>
        <v/>
      </c>
      <c r="M736" t="str">
        <f t="shared" si="73"/>
        <v/>
      </c>
      <c r="N736">
        <v>67437.97</v>
      </c>
      <c r="O736" t="s">
        <v>521</v>
      </c>
      <c r="Q736" t="s">
        <v>19</v>
      </c>
    </row>
    <row r="737" spans="1:17" x14ac:dyDescent="0.3">
      <c r="A737">
        <v>46589</v>
      </c>
      <c r="B737" t="s">
        <v>638</v>
      </c>
      <c r="C737" t="s">
        <v>19</v>
      </c>
      <c r="D737" t="s">
        <v>120</v>
      </c>
      <c r="E737" s="6">
        <v>3026.06</v>
      </c>
      <c r="F737" t="s">
        <v>580</v>
      </c>
      <c r="G737" s="4" t="str">
        <f t="shared" si="68"/>
        <v>3026.06</v>
      </c>
      <c r="H737" t="str">
        <f t="shared" si="69"/>
        <v>3026.06</v>
      </c>
      <c r="I737" s="1">
        <v>45761</v>
      </c>
      <c r="J737" s="2">
        <f t="shared" si="70"/>
        <v>-5.02575175993899E-2</v>
      </c>
      <c r="K737" s="3" t="str">
        <f t="shared" si="71"/>
        <v/>
      </c>
      <c r="L737" t="str">
        <f t="shared" si="72"/>
        <v/>
      </c>
      <c r="M737" t="str">
        <f t="shared" si="73"/>
        <v/>
      </c>
      <c r="N737">
        <v>3186.19</v>
      </c>
      <c r="O737" t="s">
        <v>522</v>
      </c>
      <c r="Q737" t="s">
        <v>19</v>
      </c>
    </row>
    <row r="738" spans="1:17" x14ac:dyDescent="0.3">
      <c r="A738">
        <v>54985</v>
      </c>
      <c r="B738" t="s">
        <v>122</v>
      </c>
      <c r="C738" t="s">
        <v>19</v>
      </c>
      <c r="D738" t="s">
        <v>123</v>
      </c>
      <c r="E738" s="6">
        <v>1309.0899999999999</v>
      </c>
      <c r="F738" t="s">
        <v>580</v>
      </c>
      <c r="G738" s="4" t="str">
        <f t="shared" si="68"/>
        <v>1309.09</v>
      </c>
      <c r="H738" t="str">
        <f t="shared" si="69"/>
        <v>1309.09</v>
      </c>
      <c r="I738" s="1">
        <v>45761</v>
      </c>
      <c r="J738" s="2">
        <f t="shared" si="70"/>
        <v>-5.4986067597418586E-2</v>
      </c>
      <c r="K738" s="3" t="str">
        <f t="shared" si="71"/>
        <v/>
      </c>
      <c r="L738" t="str">
        <f t="shared" si="72"/>
        <v/>
      </c>
      <c r="M738" t="str">
        <f t="shared" si="73"/>
        <v/>
      </c>
      <c r="N738">
        <v>1385.26</v>
      </c>
      <c r="O738" t="s">
        <v>523</v>
      </c>
      <c r="Q738" t="s">
        <v>19</v>
      </c>
    </row>
    <row r="739" spans="1:17" x14ac:dyDescent="0.3">
      <c r="A739">
        <v>69046</v>
      </c>
      <c r="B739" t="s">
        <v>131</v>
      </c>
      <c r="C739" t="s">
        <v>19</v>
      </c>
      <c r="D739" t="s">
        <v>132</v>
      </c>
      <c r="E739" s="6">
        <v>48431.49</v>
      </c>
      <c r="F739" t="s">
        <v>580</v>
      </c>
      <c r="G739" s="4" t="str">
        <f t="shared" si="68"/>
        <v>48431.49</v>
      </c>
      <c r="H739" t="str">
        <f t="shared" si="69"/>
        <v>48431.49</v>
      </c>
      <c r="I739" s="1">
        <v>45761</v>
      </c>
      <c r="J739" s="2">
        <f t="shared" si="70"/>
        <v>-5.2573417432543172E-2</v>
      </c>
      <c r="K739" s="3" t="str">
        <f t="shared" si="71"/>
        <v/>
      </c>
      <c r="L739" t="str">
        <f t="shared" si="72"/>
        <v/>
      </c>
      <c r="M739" t="str">
        <f t="shared" si="73"/>
        <v/>
      </c>
      <c r="N739">
        <v>51118.99</v>
      </c>
      <c r="O739" t="s">
        <v>524</v>
      </c>
      <c r="Q739" t="s">
        <v>19</v>
      </c>
    </row>
    <row r="740" spans="1:17" x14ac:dyDescent="0.3">
      <c r="A740">
        <v>72002</v>
      </c>
      <c r="B740" t="s">
        <v>134</v>
      </c>
      <c r="C740" t="s">
        <v>19</v>
      </c>
      <c r="D740" t="s">
        <v>137</v>
      </c>
      <c r="E740" s="6">
        <v>51991.74</v>
      </c>
      <c r="F740" t="s">
        <v>580</v>
      </c>
      <c r="G740" s="4" t="str">
        <f t="shared" si="68"/>
        <v>51991.74</v>
      </c>
      <c r="H740" t="str">
        <f t="shared" si="69"/>
        <v>51991.74</v>
      </c>
      <c r="I740" s="1">
        <v>45761</v>
      </c>
      <c r="J740" s="2">
        <f t="shared" si="70"/>
        <v>-5.4299645833519074E-2</v>
      </c>
      <c r="K740" s="3" t="str">
        <f t="shared" si="71"/>
        <v/>
      </c>
      <c r="L740" t="str">
        <f t="shared" si="72"/>
        <v/>
      </c>
      <c r="M740" t="str">
        <f t="shared" si="73"/>
        <v/>
      </c>
      <c r="N740">
        <v>54976.97</v>
      </c>
      <c r="O740" t="s">
        <v>525</v>
      </c>
      <c r="Q740" t="s">
        <v>19</v>
      </c>
    </row>
    <row r="741" spans="1:17" x14ac:dyDescent="0.3">
      <c r="A741">
        <v>72002</v>
      </c>
      <c r="B741" t="s">
        <v>134</v>
      </c>
      <c r="C741" t="s">
        <v>19</v>
      </c>
      <c r="D741" t="s">
        <v>139</v>
      </c>
      <c r="E741" s="6">
        <v>7620.13</v>
      </c>
      <c r="F741" t="s">
        <v>580</v>
      </c>
      <c r="G741" s="4" t="str">
        <f t="shared" si="68"/>
        <v>7620.13</v>
      </c>
      <c r="H741" t="str">
        <f t="shared" si="69"/>
        <v>7620.13</v>
      </c>
      <c r="I741" s="1">
        <v>45761</v>
      </c>
      <c r="J741" s="2">
        <f t="shared" si="70"/>
        <v>-5.2521964454015753E-2</v>
      </c>
      <c r="K741" s="3" t="str">
        <f t="shared" si="71"/>
        <v/>
      </c>
      <c r="L741" t="str">
        <f t="shared" si="72"/>
        <v/>
      </c>
      <c r="M741" t="str">
        <f t="shared" si="73"/>
        <v/>
      </c>
      <c r="N741">
        <v>8042.54</v>
      </c>
      <c r="O741" t="s">
        <v>526</v>
      </c>
      <c r="Q741" t="s">
        <v>19</v>
      </c>
    </row>
    <row r="742" spans="1:17" x14ac:dyDescent="0.3">
      <c r="A742">
        <v>80212</v>
      </c>
      <c r="B742" t="s">
        <v>141</v>
      </c>
      <c r="C742" t="s">
        <v>590</v>
      </c>
      <c r="D742" t="s">
        <v>142</v>
      </c>
      <c r="E742" s="6">
        <v>379.45</v>
      </c>
      <c r="F742" t="s">
        <v>580</v>
      </c>
      <c r="G742" s="4" t="str">
        <f t="shared" si="68"/>
        <v>379.45</v>
      </c>
      <c r="H742" t="str">
        <f t="shared" si="69"/>
        <v>379.45</v>
      </c>
      <c r="I742" s="1">
        <v>45761</v>
      </c>
      <c r="J742" s="2">
        <f t="shared" si="70"/>
        <v>-4.1478263066158122E-2</v>
      </c>
      <c r="K742" s="3" t="str">
        <f t="shared" si="71"/>
        <v/>
      </c>
      <c r="L742" t="str">
        <f t="shared" si="72"/>
        <v/>
      </c>
      <c r="M742" t="str">
        <f t="shared" si="73"/>
        <v>Check</v>
      </c>
      <c r="N742">
        <v>395.87</v>
      </c>
      <c r="O742" t="s">
        <v>527</v>
      </c>
      <c r="Q742" t="s">
        <v>16</v>
      </c>
    </row>
    <row r="743" spans="1:17" x14ac:dyDescent="0.3">
      <c r="A743">
        <v>81381</v>
      </c>
      <c r="B743" t="s">
        <v>593</v>
      </c>
      <c r="C743" t="s">
        <v>19</v>
      </c>
      <c r="D743" t="s">
        <v>146</v>
      </c>
      <c r="E743" s="6">
        <v>3568.48</v>
      </c>
      <c r="F743" t="s">
        <v>580</v>
      </c>
      <c r="G743" s="4" t="str">
        <f t="shared" si="68"/>
        <v>3568.48</v>
      </c>
      <c r="H743" t="str">
        <f t="shared" si="69"/>
        <v>3568.48</v>
      </c>
      <c r="I743" s="1">
        <v>45761</v>
      </c>
      <c r="J743" s="2">
        <f t="shared" si="70"/>
        <v>-5.443927152861866E-2</v>
      </c>
      <c r="K743" s="3" t="str">
        <f t="shared" si="71"/>
        <v/>
      </c>
      <c r="L743" t="str">
        <f t="shared" si="72"/>
        <v/>
      </c>
      <c r="M743" t="str">
        <f t="shared" si="73"/>
        <v/>
      </c>
      <c r="N743">
        <v>3773.93</v>
      </c>
      <c r="O743" t="s">
        <v>528</v>
      </c>
      <c r="Q743" t="s">
        <v>19</v>
      </c>
    </row>
    <row r="744" spans="1:17" x14ac:dyDescent="0.3">
      <c r="A744">
        <v>81381</v>
      </c>
      <c r="B744" t="s">
        <v>593</v>
      </c>
      <c r="C744" t="s">
        <v>19</v>
      </c>
      <c r="D744" t="s">
        <v>148</v>
      </c>
      <c r="E744" s="6">
        <v>120226.47</v>
      </c>
      <c r="F744" t="s">
        <v>580</v>
      </c>
      <c r="G744" s="4" t="str">
        <f t="shared" si="68"/>
        <v>120226.47</v>
      </c>
      <c r="H744" t="str">
        <f t="shared" si="69"/>
        <v>120226.47</v>
      </c>
      <c r="I744" s="1">
        <v>45761</v>
      </c>
      <c r="J744" s="2">
        <f t="shared" si="70"/>
        <v>-5.4186486419511286E-2</v>
      </c>
      <c r="K744" s="3" t="str">
        <f t="shared" si="71"/>
        <v/>
      </c>
      <c r="L744" t="str">
        <f t="shared" si="72"/>
        <v/>
      </c>
      <c r="M744" t="str">
        <f t="shared" si="73"/>
        <v/>
      </c>
      <c r="N744">
        <v>127114.35</v>
      </c>
      <c r="O744" t="s">
        <v>529</v>
      </c>
      <c r="Q744" t="s">
        <v>19</v>
      </c>
    </row>
    <row r="745" spans="1:17" x14ac:dyDescent="0.3">
      <c r="A745">
        <v>113590</v>
      </c>
      <c r="B745" t="s">
        <v>150</v>
      </c>
      <c r="C745" t="s">
        <v>19</v>
      </c>
      <c r="D745" t="s">
        <v>151</v>
      </c>
      <c r="E745" s="6">
        <v>14127.43</v>
      </c>
      <c r="F745" t="s">
        <v>580</v>
      </c>
      <c r="G745" s="4" t="str">
        <f t="shared" si="68"/>
        <v>14127.43</v>
      </c>
      <c r="H745" t="str">
        <f t="shared" si="69"/>
        <v>14127.43</v>
      </c>
      <c r="I745" s="1">
        <v>45761</v>
      </c>
      <c r="J745" s="2">
        <f t="shared" si="70"/>
        <v>-5.4733082465287082E-2</v>
      </c>
      <c r="K745" s="3" t="str">
        <f t="shared" si="71"/>
        <v/>
      </c>
      <c r="L745" t="str">
        <f t="shared" si="72"/>
        <v/>
      </c>
      <c r="M745" t="str">
        <f t="shared" si="73"/>
        <v/>
      </c>
      <c r="N745">
        <v>14945.44</v>
      </c>
      <c r="O745" t="s">
        <v>530</v>
      </c>
      <c r="Q745" t="s">
        <v>19</v>
      </c>
    </row>
    <row r="746" spans="1:17" x14ac:dyDescent="0.3">
      <c r="A746">
        <v>113590</v>
      </c>
      <c r="B746" t="s">
        <v>150</v>
      </c>
      <c r="C746" t="s">
        <v>19</v>
      </c>
      <c r="D746" t="s">
        <v>153</v>
      </c>
      <c r="E746" s="6">
        <v>3690.36</v>
      </c>
      <c r="F746" t="s">
        <v>580</v>
      </c>
      <c r="G746" s="4" t="str">
        <f t="shared" si="68"/>
        <v>3690.36</v>
      </c>
      <c r="H746" t="str">
        <f t="shared" si="69"/>
        <v>3690.36</v>
      </c>
      <c r="I746" s="1">
        <v>45761</v>
      </c>
      <c r="J746" s="2">
        <f t="shared" si="70"/>
        <v>-5.2356679720100115E-2</v>
      </c>
      <c r="K746" s="3" t="str">
        <f t="shared" si="71"/>
        <v/>
      </c>
      <c r="L746" t="str">
        <f t="shared" si="72"/>
        <v/>
      </c>
      <c r="M746" t="str">
        <f t="shared" si="73"/>
        <v/>
      </c>
      <c r="N746">
        <v>3894.25</v>
      </c>
      <c r="O746" t="s">
        <v>531</v>
      </c>
      <c r="Q746" t="s">
        <v>19</v>
      </c>
    </row>
    <row r="747" spans="1:17" x14ac:dyDescent="0.3">
      <c r="A747">
        <v>130912</v>
      </c>
      <c r="B747" t="s">
        <v>604</v>
      </c>
      <c r="C747" t="s">
        <v>590</v>
      </c>
      <c r="D747" t="s">
        <v>605</v>
      </c>
      <c r="E747" s="6">
        <v>13094.75</v>
      </c>
      <c r="F747" t="s">
        <v>580</v>
      </c>
      <c r="G747" s="4" t="str">
        <f t="shared" si="68"/>
        <v>13094.75</v>
      </c>
      <c r="H747" t="str">
        <f t="shared" si="69"/>
        <v>13094.75</v>
      </c>
      <c r="I747" s="1">
        <v>45761</v>
      </c>
      <c r="J747" s="2">
        <f t="shared" si="70"/>
        <v>-5.3810625559089671E-2</v>
      </c>
      <c r="K747" s="3" t="str">
        <f t="shared" si="71"/>
        <v/>
      </c>
      <c r="L747" t="str">
        <f t="shared" si="72"/>
        <v/>
      </c>
      <c r="M747" t="str">
        <f t="shared" si="73"/>
        <v/>
      </c>
      <c r="N747">
        <v>13839.46</v>
      </c>
      <c r="O747" t="s">
        <v>687</v>
      </c>
      <c r="Q747" t="s">
        <v>590</v>
      </c>
    </row>
    <row r="748" spans="1:17" x14ac:dyDescent="0.3">
      <c r="A748">
        <v>100202693</v>
      </c>
      <c r="B748" t="s">
        <v>594</v>
      </c>
      <c r="C748" t="s">
        <v>590</v>
      </c>
      <c r="D748" t="s">
        <v>599</v>
      </c>
      <c r="E748" s="6">
        <v>41849.1</v>
      </c>
      <c r="F748" t="s">
        <v>580</v>
      </c>
      <c r="G748" s="4" t="str">
        <f t="shared" si="68"/>
        <v>41849.1</v>
      </c>
      <c r="H748" t="str">
        <f t="shared" si="69"/>
        <v>41849.1</v>
      </c>
      <c r="I748" s="1">
        <v>45761</v>
      </c>
      <c r="J748" s="2">
        <f t="shared" si="70"/>
        <v>-5.4592205334790103E-2</v>
      </c>
      <c r="K748" s="3" t="str">
        <f t="shared" si="71"/>
        <v/>
      </c>
      <c r="L748" t="str">
        <f t="shared" si="72"/>
        <v/>
      </c>
      <c r="M748" t="str">
        <f t="shared" si="73"/>
        <v/>
      </c>
      <c r="N748">
        <v>44265.66</v>
      </c>
      <c r="O748" t="s">
        <v>688</v>
      </c>
      <c r="Q748" t="s">
        <v>590</v>
      </c>
    </row>
    <row r="749" spans="1:17" x14ac:dyDescent="0.3">
      <c r="A749">
        <v>100202693</v>
      </c>
      <c r="B749" t="s">
        <v>594</v>
      </c>
      <c r="C749" t="s">
        <v>19</v>
      </c>
      <c r="D749" t="s">
        <v>597</v>
      </c>
      <c r="E749" s="6">
        <v>33246.239999999998</v>
      </c>
      <c r="F749" t="s">
        <v>580</v>
      </c>
      <c r="G749" s="4" t="str">
        <f t="shared" si="68"/>
        <v>33246.24</v>
      </c>
      <c r="H749" t="str">
        <f t="shared" si="69"/>
        <v>33246.24</v>
      </c>
      <c r="I749" s="1">
        <v>45761</v>
      </c>
      <c r="J749" s="2">
        <f t="shared" si="70"/>
        <v>-5.468518309477903E-2</v>
      </c>
      <c r="K749" s="3" t="str">
        <f t="shared" si="71"/>
        <v/>
      </c>
      <c r="L749" t="str">
        <f t="shared" si="72"/>
        <v/>
      </c>
      <c r="M749" t="str">
        <f t="shared" si="73"/>
        <v/>
      </c>
      <c r="N749">
        <v>35169.49</v>
      </c>
      <c r="O749" t="s">
        <v>689</v>
      </c>
      <c r="Q749" t="s">
        <v>19</v>
      </c>
    </row>
    <row r="750" spans="1:17" x14ac:dyDescent="0.3">
      <c r="A750">
        <v>100202693</v>
      </c>
      <c r="B750" t="s">
        <v>594</v>
      </c>
      <c r="C750" t="s">
        <v>19</v>
      </c>
      <c r="D750" t="s">
        <v>598</v>
      </c>
      <c r="E750" s="6">
        <v>129678.84</v>
      </c>
      <c r="F750" t="s">
        <v>580</v>
      </c>
      <c r="G750" s="4" t="str">
        <f t="shared" si="68"/>
        <v>129678.84</v>
      </c>
      <c r="H750" t="str">
        <f t="shared" si="69"/>
        <v>129678.84</v>
      </c>
      <c r="I750" s="1">
        <v>45761</v>
      </c>
      <c r="J750" s="2">
        <f t="shared" si="70"/>
        <v>-5.4274882773303987E-2</v>
      </c>
      <c r="K750" s="3" t="str">
        <f t="shared" si="71"/>
        <v/>
      </c>
      <c r="L750" t="str">
        <f t="shared" si="72"/>
        <v/>
      </c>
      <c r="M750" t="str">
        <f t="shared" si="73"/>
        <v/>
      </c>
      <c r="N750">
        <v>137121.07</v>
      </c>
      <c r="O750" t="s">
        <v>690</v>
      </c>
      <c r="Q750" t="s">
        <v>19</v>
      </c>
    </row>
    <row r="751" spans="1:17" x14ac:dyDescent="0.3">
      <c r="A751">
        <v>100220898</v>
      </c>
      <c r="B751" t="s">
        <v>166</v>
      </c>
      <c r="C751" t="s">
        <v>19</v>
      </c>
      <c r="D751" t="s">
        <v>167</v>
      </c>
      <c r="E751" s="6">
        <v>39059.949999999997</v>
      </c>
      <c r="F751" t="s">
        <v>580</v>
      </c>
      <c r="G751" s="4" t="str">
        <f t="shared" si="68"/>
        <v>39059.95</v>
      </c>
      <c r="H751" t="str">
        <f t="shared" si="69"/>
        <v>39059.95</v>
      </c>
      <c r="I751" s="1">
        <v>45761</v>
      </c>
      <c r="J751" s="2">
        <f t="shared" si="70"/>
        <v>-5.4612533443184938E-2</v>
      </c>
      <c r="K751" s="3" t="str">
        <f t="shared" si="71"/>
        <v/>
      </c>
      <c r="L751" t="str">
        <f t="shared" si="72"/>
        <v/>
      </c>
      <c r="M751" t="str">
        <f t="shared" si="73"/>
        <v/>
      </c>
      <c r="N751">
        <v>41316.339999999997</v>
      </c>
      <c r="O751" t="s">
        <v>532</v>
      </c>
      <c r="Q751" t="s">
        <v>19</v>
      </c>
    </row>
    <row r="752" spans="1:17" x14ac:dyDescent="0.3">
      <c r="A752">
        <v>100220898</v>
      </c>
      <c r="B752" t="s">
        <v>166</v>
      </c>
      <c r="C752" t="s">
        <v>19</v>
      </c>
      <c r="D752" t="s">
        <v>169</v>
      </c>
      <c r="E752" s="6">
        <v>28722.66</v>
      </c>
      <c r="F752" t="s">
        <v>580</v>
      </c>
      <c r="G752" s="4" t="str">
        <f t="shared" si="68"/>
        <v>28722.66</v>
      </c>
      <c r="H752" t="str">
        <f t="shared" si="69"/>
        <v>28722.66</v>
      </c>
      <c r="I752" s="1">
        <v>45761</v>
      </c>
      <c r="J752" s="2">
        <f t="shared" si="70"/>
        <v>-5.4570147393741948E-2</v>
      </c>
      <c r="K752" s="3" t="str">
        <f t="shared" si="71"/>
        <v/>
      </c>
      <c r="L752" t="str">
        <f t="shared" si="72"/>
        <v/>
      </c>
      <c r="M752" t="str">
        <f t="shared" si="73"/>
        <v/>
      </c>
      <c r="N752">
        <v>30380.53</v>
      </c>
      <c r="O752" t="s">
        <v>533</v>
      </c>
      <c r="Q752" t="s">
        <v>19</v>
      </c>
    </row>
    <row r="753" spans="1:17" x14ac:dyDescent="0.3">
      <c r="A753">
        <v>100247003</v>
      </c>
      <c r="B753" t="s">
        <v>105</v>
      </c>
      <c r="C753" t="s">
        <v>19</v>
      </c>
      <c r="D753" t="s">
        <v>171</v>
      </c>
      <c r="E753" s="6">
        <v>14398.88</v>
      </c>
      <c r="F753" t="s">
        <v>580</v>
      </c>
      <c r="G753" s="4" t="str">
        <f t="shared" si="68"/>
        <v>14398.88</v>
      </c>
      <c r="H753" t="str">
        <f t="shared" si="69"/>
        <v>14398.88</v>
      </c>
      <c r="I753" s="1">
        <v>45761</v>
      </c>
      <c r="J753" s="2">
        <f t="shared" si="70"/>
        <v>-5.3884794943146637E-2</v>
      </c>
      <c r="K753" s="3" t="str">
        <f t="shared" si="71"/>
        <v/>
      </c>
      <c r="L753" t="str">
        <f t="shared" si="72"/>
        <v/>
      </c>
      <c r="M753" t="str">
        <f t="shared" si="73"/>
        <v/>
      </c>
      <c r="N753">
        <v>15218.95</v>
      </c>
      <c r="O753" t="s">
        <v>534</v>
      </c>
      <c r="Q753" t="s">
        <v>19</v>
      </c>
    </row>
    <row r="754" spans="1:17" x14ac:dyDescent="0.3">
      <c r="A754">
        <v>100249944</v>
      </c>
      <c r="B754" t="s">
        <v>173</v>
      </c>
      <c r="C754" t="s">
        <v>19</v>
      </c>
      <c r="D754" t="s">
        <v>174</v>
      </c>
      <c r="E754" s="6">
        <v>31598.37</v>
      </c>
      <c r="F754" t="s">
        <v>580</v>
      </c>
      <c r="G754" s="4" t="str">
        <f t="shared" si="68"/>
        <v>31598.37</v>
      </c>
      <c r="H754" t="str">
        <f t="shared" si="69"/>
        <v>31598.37</v>
      </c>
      <c r="I754" s="1">
        <v>45761</v>
      </c>
      <c r="J754" s="2">
        <f t="shared" si="70"/>
        <v>-5.4698391348727872E-2</v>
      </c>
      <c r="K754" s="3" t="str">
        <f t="shared" si="71"/>
        <v/>
      </c>
      <c r="L754" t="str">
        <f t="shared" si="72"/>
        <v/>
      </c>
      <c r="M754" t="str">
        <f t="shared" si="73"/>
        <v/>
      </c>
      <c r="N754">
        <v>33426.76</v>
      </c>
      <c r="O754" t="s">
        <v>535</v>
      </c>
      <c r="Q754" t="s">
        <v>19</v>
      </c>
    </row>
    <row r="755" spans="1:17" x14ac:dyDescent="0.3">
      <c r="A755">
        <v>100250182</v>
      </c>
      <c r="B755" t="s">
        <v>176</v>
      </c>
      <c r="C755" t="s">
        <v>19</v>
      </c>
      <c r="D755" t="s">
        <v>177</v>
      </c>
      <c r="E755" s="6">
        <v>61367.89</v>
      </c>
      <c r="F755" t="s">
        <v>580</v>
      </c>
      <c r="G755" s="4" t="str">
        <f t="shared" si="68"/>
        <v>61367.89</v>
      </c>
      <c r="H755" t="str">
        <f t="shared" si="69"/>
        <v>61367.89</v>
      </c>
      <c r="I755" s="1">
        <v>45761</v>
      </c>
      <c r="J755" s="2">
        <f t="shared" si="70"/>
        <v>-5.444253179598306E-2</v>
      </c>
      <c r="K755" s="3" t="str">
        <f t="shared" si="71"/>
        <v/>
      </c>
      <c r="L755" t="str">
        <f t="shared" si="72"/>
        <v/>
      </c>
      <c r="M755" t="str">
        <f t="shared" si="73"/>
        <v/>
      </c>
      <c r="N755">
        <v>64901.279999999999</v>
      </c>
      <c r="O755" t="s">
        <v>536</v>
      </c>
      <c r="Q755" t="s">
        <v>19</v>
      </c>
    </row>
    <row r="756" spans="1:17" x14ac:dyDescent="0.3">
      <c r="A756">
        <v>100273792</v>
      </c>
      <c r="B756" t="s">
        <v>182</v>
      </c>
      <c r="C756" t="s">
        <v>19</v>
      </c>
      <c r="D756" t="s">
        <v>183</v>
      </c>
      <c r="E756" s="6">
        <v>33135.089999999997</v>
      </c>
      <c r="F756" t="s">
        <v>580</v>
      </c>
      <c r="G756" s="4" t="str">
        <f t="shared" si="68"/>
        <v>33135.09</v>
      </c>
      <c r="H756" t="str">
        <f t="shared" si="69"/>
        <v>33135.09</v>
      </c>
      <c r="I756" s="1">
        <v>45761</v>
      </c>
      <c r="J756" s="2">
        <f t="shared" si="70"/>
        <v>-5.5017590570906473E-2</v>
      </c>
      <c r="K756" s="3" t="str">
        <f t="shared" si="71"/>
        <v/>
      </c>
      <c r="L756" t="str">
        <f t="shared" si="72"/>
        <v/>
      </c>
      <c r="M756" t="str">
        <f t="shared" si="73"/>
        <v/>
      </c>
      <c r="N756">
        <v>35064.239999999998</v>
      </c>
      <c r="O756" t="s">
        <v>537</v>
      </c>
      <c r="Q756" t="s">
        <v>19</v>
      </c>
    </row>
    <row r="757" spans="1:17" x14ac:dyDescent="0.3">
      <c r="A757">
        <v>100273792</v>
      </c>
      <c r="B757" t="s">
        <v>182</v>
      </c>
      <c r="C757" t="s">
        <v>19</v>
      </c>
      <c r="D757" t="s">
        <v>185</v>
      </c>
      <c r="E757" s="6">
        <v>45766.76</v>
      </c>
      <c r="F757" t="s">
        <v>580</v>
      </c>
      <c r="G757" s="4" t="str">
        <f t="shared" si="68"/>
        <v>45766.76</v>
      </c>
      <c r="H757" t="str">
        <f t="shared" si="69"/>
        <v>45766.76</v>
      </c>
      <c r="I757" s="1">
        <v>45761</v>
      </c>
      <c r="J757" s="2">
        <f t="shared" si="70"/>
        <v>-5.473818917397219E-2</v>
      </c>
      <c r="K757" s="3" t="str">
        <f t="shared" si="71"/>
        <v/>
      </c>
      <c r="L757" t="str">
        <f t="shared" si="72"/>
        <v/>
      </c>
      <c r="M757" t="str">
        <f t="shared" si="73"/>
        <v/>
      </c>
      <c r="N757">
        <v>48417.02</v>
      </c>
      <c r="O757" t="s">
        <v>538</v>
      </c>
      <c r="Q757" t="s">
        <v>19</v>
      </c>
    </row>
    <row r="758" spans="1:17" x14ac:dyDescent="0.3">
      <c r="A758">
        <v>100278188</v>
      </c>
      <c r="B758" t="s">
        <v>187</v>
      </c>
      <c r="C758" t="s">
        <v>19</v>
      </c>
      <c r="D758" t="s">
        <v>192</v>
      </c>
      <c r="E758" s="6">
        <v>12791.44</v>
      </c>
      <c r="F758" t="s">
        <v>580</v>
      </c>
      <c r="G758" s="4" t="str">
        <f t="shared" si="68"/>
        <v>12791.44</v>
      </c>
      <c r="H758" t="str">
        <f t="shared" si="69"/>
        <v>12791.44</v>
      </c>
      <c r="I758" s="1">
        <v>45761</v>
      </c>
      <c r="J758" s="2">
        <f t="shared" si="70"/>
        <v>-5.2941916854847629E-2</v>
      </c>
      <c r="K758" s="3" t="str">
        <f t="shared" si="71"/>
        <v/>
      </c>
      <c r="L758" t="str">
        <f t="shared" si="72"/>
        <v/>
      </c>
      <c r="M758" t="str">
        <f t="shared" si="73"/>
        <v/>
      </c>
      <c r="N758">
        <v>13506.5</v>
      </c>
      <c r="O758" t="s">
        <v>540</v>
      </c>
      <c r="Q758" t="s">
        <v>19</v>
      </c>
    </row>
    <row r="759" spans="1:17" x14ac:dyDescent="0.3">
      <c r="A759">
        <v>100278188</v>
      </c>
      <c r="B759" t="s">
        <v>187</v>
      </c>
      <c r="C759" t="s">
        <v>19</v>
      </c>
      <c r="D759" t="s">
        <v>194</v>
      </c>
      <c r="E759" s="6">
        <v>23381.13</v>
      </c>
      <c r="F759" t="s">
        <v>580</v>
      </c>
      <c r="G759" s="4" t="str">
        <f t="shared" si="68"/>
        <v>23381.13</v>
      </c>
      <c r="H759" t="str">
        <f t="shared" si="69"/>
        <v>23381.13</v>
      </c>
      <c r="I759" s="1">
        <v>45761</v>
      </c>
      <c r="J759" s="2">
        <f t="shared" si="70"/>
        <v>-5.2224064805607907E-2</v>
      </c>
      <c r="K759" s="3" t="str">
        <f t="shared" si="71"/>
        <v/>
      </c>
      <c r="L759" t="str">
        <f t="shared" si="72"/>
        <v/>
      </c>
      <c r="M759" t="str">
        <f t="shared" si="73"/>
        <v/>
      </c>
      <c r="N759">
        <v>24669.47</v>
      </c>
      <c r="O759" t="s">
        <v>541</v>
      </c>
      <c r="Q759" t="s">
        <v>19</v>
      </c>
    </row>
    <row r="760" spans="1:17" x14ac:dyDescent="0.3">
      <c r="A760">
        <v>100278188</v>
      </c>
      <c r="B760" t="s">
        <v>187</v>
      </c>
      <c r="C760" t="s">
        <v>19</v>
      </c>
      <c r="D760" t="s">
        <v>190</v>
      </c>
      <c r="E760" s="6">
        <v>7152.32</v>
      </c>
      <c r="F760" t="s">
        <v>580</v>
      </c>
      <c r="G760" s="4" t="str">
        <f t="shared" si="68"/>
        <v>7152.32</v>
      </c>
      <c r="H760" t="str">
        <f t="shared" si="69"/>
        <v>7152.32</v>
      </c>
      <c r="I760" s="1">
        <v>45761</v>
      </c>
      <c r="J760" s="2">
        <f t="shared" si="70"/>
        <v>-5.0098678006890232E-2</v>
      </c>
      <c r="K760" s="3" t="str">
        <f t="shared" si="71"/>
        <v/>
      </c>
      <c r="L760" t="str">
        <f t="shared" si="72"/>
        <v/>
      </c>
      <c r="M760" t="str">
        <f t="shared" si="73"/>
        <v/>
      </c>
      <c r="N760">
        <v>7529.54</v>
      </c>
      <c r="O760" t="s">
        <v>539</v>
      </c>
      <c r="Q760" t="s">
        <v>19</v>
      </c>
    </row>
    <row r="761" spans="1:17" x14ac:dyDescent="0.3">
      <c r="A761">
        <v>100325823</v>
      </c>
      <c r="B761" t="s">
        <v>202</v>
      </c>
      <c r="C761" t="s">
        <v>19</v>
      </c>
      <c r="D761" t="s">
        <v>203</v>
      </c>
      <c r="E761" s="6">
        <v>84136.24</v>
      </c>
      <c r="F761" t="s">
        <v>580</v>
      </c>
      <c r="G761" s="4" t="str">
        <f t="shared" si="68"/>
        <v>84136.24</v>
      </c>
      <c r="H761" t="str">
        <f t="shared" si="69"/>
        <v>84136.24</v>
      </c>
      <c r="I761" s="1">
        <v>45761</v>
      </c>
      <c r="J761" s="2">
        <f t="shared" si="70"/>
        <v>1.5472565360001505</v>
      </c>
      <c r="K761" s="3" t="str">
        <f t="shared" si="71"/>
        <v>Check!</v>
      </c>
      <c r="L761" t="str">
        <f t="shared" si="72"/>
        <v/>
      </c>
      <c r="M761" t="str">
        <f t="shared" si="73"/>
        <v/>
      </c>
      <c r="N761">
        <v>33030.14</v>
      </c>
      <c r="O761" t="s">
        <v>542</v>
      </c>
      <c r="Q761" t="s">
        <v>19</v>
      </c>
    </row>
    <row r="762" spans="1:17" x14ac:dyDescent="0.3">
      <c r="A762">
        <v>100376880</v>
      </c>
      <c r="B762" t="s">
        <v>205</v>
      </c>
      <c r="C762" t="s">
        <v>19</v>
      </c>
      <c r="D762" t="s">
        <v>208</v>
      </c>
      <c r="E762" s="6">
        <v>2292.13</v>
      </c>
      <c r="F762" t="s">
        <v>580</v>
      </c>
      <c r="G762" s="4" t="str">
        <f t="shared" si="68"/>
        <v>2292.13</v>
      </c>
      <c r="H762" t="str">
        <f t="shared" si="69"/>
        <v>2292.13</v>
      </c>
      <c r="I762" s="1">
        <v>45761</v>
      </c>
      <c r="J762" s="2">
        <f t="shared" si="70"/>
        <v>-5.1270695364238367E-2</v>
      </c>
      <c r="K762" s="3" t="str">
        <f t="shared" si="71"/>
        <v/>
      </c>
      <c r="L762" t="str">
        <f t="shared" si="72"/>
        <v/>
      </c>
      <c r="M762" t="str">
        <f t="shared" si="73"/>
        <v/>
      </c>
      <c r="N762">
        <v>2416</v>
      </c>
      <c r="O762" t="s">
        <v>543</v>
      </c>
      <c r="Q762" t="s">
        <v>19</v>
      </c>
    </row>
    <row r="763" spans="1:17" x14ac:dyDescent="0.3">
      <c r="A763">
        <v>100388471</v>
      </c>
      <c r="B763" t="s">
        <v>210</v>
      </c>
      <c r="C763" t="s">
        <v>19</v>
      </c>
      <c r="D763" t="s">
        <v>211</v>
      </c>
      <c r="E763" s="6">
        <v>39899.01</v>
      </c>
      <c r="F763" t="s">
        <v>580</v>
      </c>
      <c r="G763" s="4" t="str">
        <f t="shared" si="68"/>
        <v>39899.01</v>
      </c>
      <c r="H763" t="str">
        <f t="shared" si="69"/>
        <v>39899.01</v>
      </c>
      <c r="I763" s="1">
        <v>45761</v>
      </c>
      <c r="J763" s="2">
        <f t="shared" si="70"/>
        <v>-7.1039099979860354E-2</v>
      </c>
      <c r="K763" s="3" t="str">
        <f t="shared" si="71"/>
        <v/>
      </c>
      <c r="L763" t="str">
        <f t="shared" si="72"/>
        <v/>
      </c>
      <c r="M763" t="str">
        <f t="shared" si="73"/>
        <v/>
      </c>
      <c r="N763">
        <v>42950.15</v>
      </c>
      <c r="O763" t="s">
        <v>544</v>
      </c>
      <c r="Q763" t="s">
        <v>19</v>
      </c>
    </row>
    <row r="764" spans="1:17" x14ac:dyDescent="0.3">
      <c r="A764">
        <v>100388471</v>
      </c>
      <c r="B764" t="s">
        <v>210</v>
      </c>
      <c r="C764" t="s">
        <v>19</v>
      </c>
      <c r="D764" t="s">
        <v>213</v>
      </c>
      <c r="E764" s="6">
        <v>4263.75</v>
      </c>
      <c r="F764" t="s">
        <v>580</v>
      </c>
      <c r="G764" s="4" t="str">
        <f t="shared" si="68"/>
        <v>4263.75</v>
      </c>
      <c r="H764" t="str">
        <f t="shared" si="69"/>
        <v>4263.75</v>
      </c>
      <c r="I764" s="1">
        <v>45761</v>
      </c>
      <c r="J764" s="2">
        <f t="shared" si="70"/>
        <v>-5.4418479839791735E-2</v>
      </c>
      <c r="K764" s="3" t="str">
        <f t="shared" si="71"/>
        <v/>
      </c>
      <c r="L764" t="str">
        <f t="shared" si="72"/>
        <v/>
      </c>
      <c r="M764" t="str">
        <f t="shared" si="73"/>
        <v/>
      </c>
      <c r="N764">
        <v>4509.13</v>
      </c>
      <c r="O764" t="s">
        <v>545</v>
      </c>
      <c r="Q764" t="s">
        <v>19</v>
      </c>
    </row>
    <row r="765" spans="1:17" x14ac:dyDescent="0.3">
      <c r="A765">
        <v>100408912</v>
      </c>
      <c r="B765" t="s">
        <v>215</v>
      </c>
      <c r="C765" t="s">
        <v>19</v>
      </c>
      <c r="D765" t="s">
        <v>216</v>
      </c>
      <c r="E765" s="6">
        <v>112464.58</v>
      </c>
      <c r="F765" t="s">
        <v>580</v>
      </c>
      <c r="G765" s="4" t="str">
        <f t="shared" si="68"/>
        <v>112464.58</v>
      </c>
      <c r="H765" t="str">
        <f t="shared" si="69"/>
        <v>112464.58</v>
      </c>
      <c r="I765" s="1">
        <v>45761</v>
      </c>
      <c r="J765" s="2">
        <f t="shared" si="70"/>
        <v>-5.4601635390184575E-2</v>
      </c>
      <c r="K765" s="3" t="str">
        <f t="shared" si="71"/>
        <v/>
      </c>
      <c r="L765" t="str">
        <f t="shared" si="72"/>
        <v/>
      </c>
      <c r="M765" t="str">
        <f t="shared" si="73"/>
        <v/>
      </c>
      <c r="N765">
        <v>118959.99</v>
      </c>
      <c r="O765" t="s">
        <v>546</v>
      </c>
      <c r="Q765" t="s">
        <v>19</v>
      </c>
    </row>
    <row r="766" spans="1:17" x14ac:dyDescent="0.3">
      <c r="A766">
        <v>100421069</v>
      </c>
      <c r="B766" t="s">
        <v>218</v>
      </c>
      <c r="C766" t="s">
        <v>19</v>
      </c>
      <c r="D766" t="s">
        <v>220</v>
      </c>
      <c r="E766" s="6">
        <v>19673.38</v>
      </c>
      <c r="F766" t="s">
        <v>580</v>
      </c>
      <c r="G766" s="4" t="str">
        <f t="shared" si="68"/>
        <v>19673.38</v>
      </c>
      <c r="H766" t="str">
        <f t="shared" si="69"/>
        <v>19673.38</v>
      </c>
      <c r="I766" s="1">
        <v>45761</v>
      </c>
      <c r="J766" s="2">
        <f t="shared" si="70"/>
        <v>-5.4745209433818928E-2</v>
      </c>
      <c r="K766" s="3" t="str">
        <f t="shared" si="71"/>
        <v/>
      </c>
      <c r="L766" t="str">
        <f t="shared" si="72"/>
        <v/>
      </c>
      <c r="M766" t="str">
        <f t="shared" si="73"/>
        <v/>
      </c>
      <c r="N766">
        <v>20812.78</v>
      </c>
      <c r="O766" t="s">
        <v>547</v>
      </c>
      <c r="Q766" t="s">
        <v>19</v>
      </c>
    </row>
    <row r="767" spans="1:17" x14ac:dyDescent="0.3">
      <c r="A767">
        <v>100421069</v>
      </c>
      <c r="B767" t="s">
        <v>218</v>
      </c>
      <c r="C767" t="s">
        <v>19</v>
      </c>
      <c r="D767" t="s">
        <v>222</v>
      </c>
      <c r="E767" s="6">
        <v>8520.3799999999992</v>
      </c>
      <c r="F767" t="s">
        <v>580</v>
      </c>
      <c r="G767" s="4" t="str">
        <f t="shared" si="68"/>
        <v>8520.38</v>
      </c>
      <c r="H767" t="str">
        <f t="shared" si="69"/>
        <v>8520.38</v>
      </c>
      <c r="I767" s="1">
        <v>45761</v>
      </c>
      <c r="J767" s="2">
        <f t="shared" si="70"/>
        <v>-5.397225109032612E-2</v>
      </c>
      <c r="K767" s="3" t="str">
        <f t="shared" si="71"/>
        <v/>
      </c>
      <c r="L767" t="str">
        <f t="shared" si="72"/>
        <v/>
      </c>
      <c r="M767" t="str">
        <f t="shared" si="73"/>
        <v/>
      </c>
      <c r="N767">
        <v>9006.48</v>
      </c>
      <c r="O767" t="s">
        <v>548</v>
      </c>
      <c r="Q767" t="s">
        <v>19</v>
      </c>
    </row>
    <row r="768" spans="1:17" x14ac:dyDescent="0.3">
      <c r="A768">
        <v>100421069</v>
      </c>
      <c r="B768" t="s">
        <v>218</v>
      </c>
      <c r="C768" t="s">
        <v>19</v>
      </c>
      <c r="D768" t="s">
        <v>224</v>
      </c>
      <c r="E768" s="6">
        <v>10733.6</v>
      </c>
      <c r="F768" t="s">
        <v>580</v>
      </c>
      <c r="G768" s="4" t="str">
        <f t="shared" si="68"/>
        <v>10733.6</v>
      </c>
      <c r="H768" t="str">
        <f t="shared" si="69"/>
        <v>10733.6</v>
      </c>
      <c r="I768" s="1">
        <v>45761</v>
      </c>
      <c r="J768" s="2">
        <f t="shared" si="70"/>
        <v>-5.4233375333726901E-2</v>
      </c>
      <c r="K768" s="3" t="str">
        <f t="shared" si="71"/>
        <v/>
      </c>
      <c r="L768" t="str">
        <f t="shared" si="72"/>
        <v/>
      </c>
      <c r="M768" t="str">
        <f t="shared" si="73"/>
        <v/>
      </c>
      <c r="N768">
        <v>11349.1</v>
      </c>
      <c r="O768" t="s">
        <v>549</v>
      </c>
      <c r="Q768" t="s">
        <v>19</v>
      </c>
    </row>
    <row r="769" spans="1:17" x14ac:dyDescent="0.3">
      <c r="A769">
        <v>100489695</v>
      </c>
      <c r="B769" t="s">
        <v>229</v>
      </c>
      <c r="C769" t="s">
        <v>590</v>
      </c>
      <c r="D769" t="s">
        <v>230</v>
      </c>
      <c r="E769" s="6">
        <v>365213.65</v>
      </c>
      <c r="F769" t="s">
        <v>580</v>
      </c>
      <c r="G769" s="4" t="str">
        <f t="shared" si="68"/>
        <v>365213.65</v>
      </c>
      <c r="H769" t="str">
        <f t="shared" si="69"/>
        <v>365213.65</v>
      </c>
      <c r="I769" s="1">
        <v>45761</v>
      </c>
      <c r="J769" s="2">
        <f t="shared" si="70"/>
        <v>-0.13481335681695034</v>
      </c>
      <c r="K769" s="3" t="str">
        <f t="shared" si="71"/>
        <v>Check!</v>
      </c>
      <c r="L769" t="str">
        <f t="shared" si="72"/>
        <v/>
      </c>
      <c r="M769" t="str">
        <f t="shared" si="73"/>
        <v>Check</v>
      </c>
      <c r="N769">
        <v>422121.23</v>
      </c>
      <c r="O769" t="s">
        <v>550</v>
      </c>
      <c r="Q769" t="s">
        <v>16</v>
      </c>
    </row>
    <row r="770" spans="1:17" x14ac:dyDescent="0.3">
      <c r="A770">
        <v>100492707</v>
      </c>
      <c r="B770" t="s">
        <v>232</v>
      </c>
      <c r="C770" t="s">
        <v>19</v>
      </c>
      <c r="D770" t="s">
        <v>233</v>
      </c>
      <c r="E770" s="6">
        <v>9861.18</v>
      </c>
      <c r="F770" t="s">
        <v>580</v>
      </c>
      <c r="G770" s="4" t="str">
        <f t="shared" si="68"/>
        <v>9861.18</v>
      </c>
      <c r="H770" t="str">
        <f t="shared" si="69"/>
        <v>9861.18</v>
      </c>
      <c r="I770" s="1">
        <v>45761</v>
      </c>
      <c r="J770" s="2">
        <f t="shared" si="70"/>
        <v>-5.4458042041857654E-2</v>
      </c>
      <c r="K770" s="3" t="str">
        <f t="shared" si="71"/>
        <v/>
      </c>
      <c r="L770" t="str">
        <f t="shared" si="72"/>
        <v/>
      </c>
      <c r="M770" t="str">
        <f t="shared" si="73"/>
        <v/>
      </c>
      <c r="N770">
        <v>10429.129999999999</v>
      </c>
      <c r="O770" t="s">
        <v>551</v>
      </c>
      <c r="Q770" t="s">
        <v>19</v>
      </c>
    </row>
    <row r="771" spans="1:17" x14ac:dyDescent="0.3">
      <c r="A771">
        <v>100492707</v>
      </c>
      <c r="B771" t="s">
        <v>232</v>
      </c>
      <c r="C771" t="s">
        <v>19</v>
      </c>
      <c r="D771" t="s">
        <v>624</v>
      </c>
      <c r="E771" s="6">
        <v>141437.13</v>
      </c>
      <c r="F771" t="s">
        <v>580</v>
      </c>
      <c r="G771" s="4" t="str">
        <f t="shared" ref="G771:G834" si="74">SUBSTITUTE(E771,"R","")</f>
        <v>141437.13</v>
      </c>
      <c r="H771" t="str">
        <f t="shared" ref="H771:H834" si="75">SUBSTITUTE(G771,",","")</f>
        <v>141437.13</v>
      </c>
      <c r="I771" s="1">
        <v>45761</v>
      </c>
      <c r="J771" s="2">
        <f t="shared" ref="J771:J834" si="76">(H771-N771)/N771</f>
        <v>-5.4670483084280304E-2</v>
      </c>
      <c r="K771" s="3" t="str">
        <f t="shared" ref="K771:K834" si="77">IF(ABS(J771)&gt;0.1,"Check!","")</f>
        <v/>
      </c>
      <c r="L771" t="str">
        <f t="shared" ref="L771:L834" si="78">IF(LEFT(O771,10)&lt;&gt;LEFT(D771,10),"Check","")</f>
        <v/>
      </c>
      <c r="M771" t="str">
        <f t="shared" ref="M771:M834" si="79">IF(Q771&lt;&gt;C771,"Check","")</f>
        <v/>
      </c>
      <c r="N771">
        <v>149616.75</v>
      </c>
      <c r="O771" t="s">
        <v>691</v>
      </c>
      <c r="Q771" t="s">
        <v>19</v>
      </c>
    </row>
    <row r="772" spans="1:17" x14ac:dyDescent="0.3">
      <c r="A772">
        <v>100564770</v>
      </c>
      <c r="B772" t="s">
        <v>241</v>
      </c>
      <c r="C772" t="s">
        <v>19</v>
      </c>
      <c r="D772" t="s">
        <v>242</v>
      </c>
      <c r="E772" s="6">
        <v>25678.09</v>
      </c>
      <c r="F772" t="s">
        <v>580</v>
      </c>
      <c r="G772" s="4" t="str">
        <f t="shared" si="74"/>
        <v>25678.09</v>
      </c>
      <c r="H772" t="str">
        <f t="shared" si="75"/>
        <v>25678.09</v>
      </c>
      <c r="I772" s="1">
        <v>45761</v>
      </c>
      <c r="J772" s="2">
        <f t="shared" si="76"/>
        <v>-5.4617916470310973E-2</v>
      </c>
      <c r="K772" s="3" t="str">
        <f t="shared" si="77"/>
        <v/>
      </c>
      <c r="L772" t="str">
        <f t="shared" si="78"/>
        <v/>
      </c>
      <c r="M772" t="str">
        <f t="shared" si="79"/>
        <v/>
      </c>
      <c r="N772">
        <v>27161.599999999999</v>
      </c>
      <c r="O772" t="s">
        <v>552</v>
      </c>
      <c r="Q772" t="s">
        <v>19</v>
      </c>
    </row>
    <row r="773" spans="1:17" x14ac:dyDescent="0.3">
      <c r="A773">
        <v>100596689</v>
      </c>
      <c r="B773" t="s">
        <v>250</v>
      </c>
      <c r="C773" t="s">
        <v>590</v>
      </c>
      <c r="D773" t="s">
        <v>251</v>
      </c>
      <c r="E773" s="6">
        <v>712.06</v>
      </c>
      <c r="F773" t="s">
        <v>580</v>
      </c>
      <c r="G773" s="4" t="str">
        <f t="shared" si="74"/>
        <v>712.06</v>
      </c>
      <c r="H773" t="str">
        <f t="shared" si="75"/>
        <v>712.06</v>
      </c>
      <c r="I773" s="1">
        <v>45761</v>
      </c>
      <c r="J773" s="2">
        <f t="shared" si="76"/>
        <v>-5.0067370162355532E-2</v>
      </c>
      <c r="K773" s="3" t="str">
        <f t="shared" si="77"/>
        <v/>
      </c>
      <c r="L773" t="str">
        <f t="shared" si="78"/>
        <v/>
      </c>
      <c r="M773" t="str">
        <f t="shared" si="79"/>
        <v>Check</v>
      </c>
      <c r="N773">
        <v>749.59</v>
      </c>
      <c r="O773" t="s">
        <v>553</v>
      </c>
      <c r="Q773" t="s">
        <v>16</v>
      </c>
    </row>
    <row r="774" spans="1:17" x14ac:dyDescent="0.3">
      <c r="A774">
        <v>100628990</v>
      </c>
      <c r="B774" t="s">
        <v>256</v>
      </c>
      <c r="C774" t="s">
        <v>19</v>
      </c>
      <c r="D774" t="s">
        <v>257</v>
      </c>
      <c r="E774" s="6">
        <v>7242.41</v>
      </c>
      <c r="F774" t="s">
        <v>580</v>
      </c>
      <c r="G774" s="4" t="str">
        <f t="shared" si="74"/>
        <v>7242.41</v>
      </c>
      <c r="H774" t="str">
        <f t="shared" si="75"/>
        <v>7242.41</v>
      </c>
      <c r="I774" s="1">
        <v>45761</v>
      </c>
      <c r="J774" s="2">
        <f t="shared" si="76"/>
        <v>-5.0721028445299653E-2</v>
      </c>
      <c r="K774" s="3" t="str">
        <f t="shared" si="77"/>
        <v/>
      </c>
      <c r="L774" t="str">
        <f t="shared" si="78"/>
        <v/>
      </c>
      <c r="M774" t="str">
        <f t="shared" si="79"/>
        <v/>
      </c>
      <c r="N774">
        <v>7629.38</v>
      </c>
      <c r="O774" t="s">
        <v>554</v>
      </c>
      <c r="Q774" t="s">
        <v>19</v>
      </c>
    </row>
    <row r="775" spans="1:17" x14ac:dyDescent="0.3">
      <c r="A775">
        <v>100630706</v>
      </c>
      <c r="B775" t="s">
        <v>262</v>
      </c>
      <c r="C775" t="s">
        <v>590</v>
      </c>
      <c r="D775" t="s">
        <v>263</v>
      </c>
      <c r="E775" s="6">
        <v>1865.83</v>
      </c>
      <c r="F775" t="s">
        <v>580</v>
      </c>
      <c r="G775" s="4" t="str">
        <f t="shared" si="74"/>
        <v>1865.83</v>
      </c>
      <c r="H775" t="str">
        <f t="shared" si="75"/>
        <v>1865.83</v>
      </c>
      <c r="I775" s="1">
        <v>45761</v>
      </c>
      <c r="J775" s="2">
        <f t="shared" si="76"/>
        <v>-4.3502555506000504E-2</v>
      </c>
      <c r="K775" s="3" t="str">
        <f t="shared" si="77"/>
        <v/>
      </c>
      <c r="L775" t="str">
        <f t="shared" si="78"/>
        <v/>
      </c>
      <c r="M775" t="str">
        <f t="shared" si="79"/>
        <v>Check</v>
      </c>
      <c r="N775">
        <v>1950.69</v>
      </c>
      <c r="O775" t="s">
        <v>555</v>
      </c>
      <c r="Q775" t="s">
        <v>16</v>
      </c>
    </row>
    <row r="776" spans="1:17" x14ac:dyDescent="0.3">
      <c r="A776">
        <v>100641153</v>
      </c>
      <c r="B776" t="s">
        <v>273</v>
      </c>
      <c r="C776" t="s">
        <v>19</v>
      </c>
      <c r="D776" t="s">
        <v>274</v>
      </c>
      <c r="E776" s="6">
        <v>108197.24</v>
      </c>
      <c r="F776" t="s">
        <v>580</v>
      </c>
      <c r="G776" s="4" t="str">
        <f t="shared" si="74"/>
        <v>108197.24</v>
      </c>
      <c r="H776" t="str">
        <f t="shared" si="75"/>
        <v>108197.24</v>
      </c>
      <c r="I776" s="1">
        <v>45761</v>
      </c>
      <c r="J776" s="2">
        <f t="shared" si="76"/>
        <v>-5.4761046320598458E-2</v>
      </c>
      <c r="K776" s="3" t="str">
        <f t="shared" si="77"/>
        <v/>
      </c>
      <c r="L776" t="str">
        <f t="shared" si="78"/>
        <v/>
      </c>
      <c r="M776" t="str">
        <f t="shared" si="79"/>
        <v/>
      </c>
      <c r="N776">
        <v>114465.49</v>
      </c>
      <c r="O776" t="s">
        <v>591</v>
      </c>
      <c r="Q776" t="s">
        <v>19</v>
      </c>
    </row>
    <row r="777" spans="1:17" x14ac:dyDescent="0.3">
      <c r="A777">
        <v>100651921</v>
      </c>
      <c r="B777" t="s">
        <v>279</v>
      </c>
      <c r="C777" t="s">
        <v>590</v>
      </c>
      <c r="D777" t="s">
        <v>280</v>
      </c>
      <c r="E777" s="6">
        <v>9974.15</v>
      </c>
      <c r="F777" t="s">
        <v>580</v>
      </c>
      <c r="G777" s="4" t="str">
        <f t="shared" si="74"/>
        <v>9974.15</v>
      </c>
      <c r="H777" t="str">
        <f t="shared" si="75"/>
        <v>9974.15</v>
      </c>
      <c r="I777" s="1">
        <v>45761</v>
      </c>
      <c r="J777" s="2">
        <f t="shared" si="76"/>
        <v>-4.42380610609047E-2</v>
      </c>
      <c r="K777" s="3" t="str">
        <f t="shared" si="77"/>
        <v/>
      </c>
      <c r="L777" t="str">
        <f t="shared" si="78"/>
        <v/>
      </c>
      <c r="M777" t="str">
        <f t="shared" si="79"/>
        <v>Check</v>
      </c>
      <c r="N777">
        <v>10435.81</v>
      </c>
      <c r="O777" t="s">
        <v>556</v>
      </c>
      <c r="Q777" t="s">
        <v>16</v>
      </c>
    </row>
    <row r="778" spans="1:17" x14ac:dyDescent="0.3">
      <c r="A778">
        <v>100651921</v>
      </c>
      <c r="B778" t="s">
        <v>279</v>
      </c>
      <c r="C778" t="s">
        <v>590</v>
      </c>
      <c r="D778" t="s">
        <v>282</v>
      </c>
      <c r="E778" s="6">
        <v>11323.04</v>
      </c>
      <c r="F778" t="s">
        <v>580</v>
      </c>
      <c r="G778" s="4" t="str">
        <f t="shared" si="74"/>
        <v>11323.04</v>
      </c>
      <c r="H778" t="str">
        <f t="shared" si="75"/>
        <v>11323.04</v>
      </c>
      <c r="I778" s="1">
        <v>45761</v>
      </c>
      <c r="J778" s="2">
        <f t="shared" si="76"/>
        <v>-4.0011937281792656E-2</v>
      </c>
      <c r="K778" s="3" t="str">
        <f t="shared" si="77"/>
        <v/>
      </c>
      <c r="L778" t="str">
        <f t="shared" si="78"/>
        <v/>
      </c>
      <c r="M778" t="str">
        <f t="shared" si="79"/>
        <v>Check</v>
      </c>
      <c r="N778">
        <v>11794.98</v>
      </c>
      <c r="O778" t="s">
        <v>557</v>
      </c>
      <c r="Q778" t="s">
        <v>16</v>
      </c>
    </row>
    <row r="779" spans="1:17" x14ac:dyDescent="0.3">
      <c r="A779">
        <v>100655835</v>
      </c>
      <c r="B779" t="s">
        <v>284</v>
      </c>
      <c r="C779" t="s">
        <v>19</v>
      </c>
      <c r="D779" t="s">
        <v>285</v>
      </c>
      <c r="E779" s="6">
        <v>583278.52</v>
      </c>
      <c r="F779" t="s">
        <v>580</v>
      </c>
      <c r="G779" s="4" t="str">
        <f t="shared" si="74"/>
        <v>583278.52</v>
      </c>
      <c r="H779" t="str">
        <f t="shared" si="75"/>
        <v>583278.52</v>
      </c>
      <c r="I779" s="1">
        <v>45761</v>
      </c>
      <c r="J779" s="2">
        <f t="shared" si="76"/>
        <v>-5.4313015954844036E-2</v>
      </c>
      <c r="K779" s="3" t="str">
        <f t="shared" si="77"/>
        <v/>
      </c>
      <c r="L779" t="str">
        <f t="shared" si="78"/>
        <v/>
      </c>
      <c r="M779" t="str">
        <f t="shared" si="79"/>
        <v/>
      </c>
      <c r="N779">
        <v>616777.56999999995</v>
      </c>
      <c r="O779" t="s">
        <v>558</v>
      </c>
      <c r="Q779" t="s">
        <v>19</v>
      </c>
    </row>
    <row r="780" spans="1:17" x14ac:dyDescent="0.3">
      <c r="A780">
        <v>100663638</v>
      </c>
      <c r="B780" t="s">
        <v>287</v>
      </c>
      <c r="C780" t="s">
        <v>19</v>
      </c>
      <c r="D780" t="s">
        <v>288</v>
      </c>
      <c r="E780" s="6">
        <v>127699.5</v>
      </c>
      <c r="F780" t="s">
        <v>580</v>
      </c>
      <c r="G780" s="4" t="str">
        <f t="shared" si="74"/>
        <v>127699.5</v>
      </c>
      <c r="H780" t="str">
        <f t="shared" si="75"/>
        <v>127699.5</v>
      </c>
      <c r="I780" s="1">
        <v>45761</v>
      </c>
      <c r="J780" s="2">
        <f t="shared" si="76"/>
        <v>-5.4430370186406021E-2</v>
      </c>
      <c r="K780" s="3" t="str">
        <f t="shared" si="77"/>
        <v/>
      </c>
      <c r="L780" t="str">
        <f t="shared" si="78"/>
        <v/>
      </c>
      <c r="M780" t="str">
        <f t="shared" si="79"/>
        <v/>
      </c>
      <c r="N780">
        <v>135050.34</v>
      </c>
      <c r="O780" t="s">
        <v>559</v>
      </c>
      <c r="Q780" t="s">
        <v>19</v>
      </c>
    </row>
    <row r="781" spans="1:17" x14ac:dyDescent="0.3">
      <c r="A781">
        <v>100663638</v>
      </c>
      <c r="B781" t="s">
        <v>287</v>
      </c>
      <c r="C781" t="s">
        <v>19</v>
      </c>
      <c r="D781" t="s">
        <v>290</v>
      </c>
      <c r="E781" s="6">
        <v>4449.16</v>
      </c>
      <c r="F781" t="s">
        <v>580</v>
      </c>
      <c r="G781" s="4" t="str">
        <f t="shared" si="74"/>
        <v>4449.16</v>
      </c>
      <c r="H781" t="str">
        <f t="shared" si="75"/>
        <v>4449.16</v>
      </c>
      <c r="I781" s="1">
        <v>45761</v>
      </c>
      <c r="J781" s="2">
        <f t="shared" si="76"/>
        <v>-5.4265642104815645E-2</v>
      </c>
      <c r="K781" s="3" t="str">
        <f t="shared" si="77"/>
        <v/>
      </c>
      <c r="L781" t="str">
        <f t="shared" si="78"/>
        <v/>
      </c>
      <c r="M781" t="str">
        <f t="shared" si="79"/>
        <v/>
      </c>
      <c r="N781">
        <v>4704.45</v>
      </c>
      <c r="O781" t="s">
        <v>560</v>
      </c>
      <c r="Q781" t="s">
        <v>19</v>
      </c>
    </row>
    <row r="782" spans="1:17" x14ac:dyDescent="0.3">
      <c r="A782">
        <v>100664029</v>
      </c>
      <c r="B782" t="s">
        <v>292</v>
      </c>
      <c r="C782" t="s">
        <v>19</v>
      </c>
      <c r="D782" t="s">
        <v>293</v>
      </c>
      <c r="E782" s="6">
        <v>14443.23</v>
      </c>
      <c r="F782" t="s">
        <v>580</v>
      </c>
      <c r="G782" s="4" t="str">
        <f t="shared" si="74"/>
        <v>14443.23</v>
      </c>
      <c r="H782" t="str">
        <f t="shared" si="75"/>
        <v>14443.23</v>
      </c>
      <c r="I782" s="1">
        <v>45761</v>
      </c>
      <c r="J782" s="2">
        <f t="shared" si="76"/>
        <v>-5.4477168831695941E-2</v>
      </c>
      <c r="K782" s="3" t="str">
        <f t="shared" si="77"/>
        <v/>
      </c>
      <c r="L782" t="str">
        <f t="shared" si="78"/>
        <v/>
      </c>
      <c r="M782" t="str">
        <f t="shared" si="79"/>
        <v/>
      </c>
      <c r="N782">
        <v>15275.39</v>
      </c>
      <c r="O782" t="s">
        <v>561</v>
      </c>
      <c r="Q782" t="s">
        <v>19</v>
      </c>
    </row>
    <row r="783" spans="1:17" x14ac:dyDescent="0.3">
      <c r="A783">
        <v>100664029</v>
      </c>
      <c r="B783" t="s">
        <v>292</v>
      </c>
      <c r="C783" t="s">
        <v>19</v>
      </c>
      <c r="D783" t="s">
        <v>295</v>
      </c>
      <c r="E783" s="6">
        <v>9288.84</v>
      </c>
      <c r="F783" t="s">
        <v>580</v>
      </c>
      <c r="G783" s="4" t="str">
        <f t="shared" si="74"/>
        <v>9288.84</v>
      </c>
      <c r="H783" t="str">
        <f t="shared" si="75"/>
        <v>9288.84</v>
      </c>
      <c r="I783" s="1">
        <v>45761</v>
      </c>
      <c r="J783" s="2">
        <f t="shared" si="76"/>
        <v>-5.4123325543386967E-2</v>
      </c>
      <c r="K783" s="3" t="str">
        <f t="shared" si="77"/>
        <v/>
      </c>
      <c r="L783" t="str">
        <f t="shared" si="78"/>
        <v/>
      </c>
      <c r="M783" t="str">
        <f t="shared" si="79"/>
        <v/>
      </c>
      <c r="N783">
        <v>9820.35</v>
      </c>
      <c r="O783" t="s">
        <v>562</v>
      </c>
      <c r="Q783" t="s">
        <v>19</v>
      </c>
    </row>
    <row r="784" spans="1:17" x14ac:dyDescent="0.3">
      <c r="A784">
        <v>100664292</v>
      </c>
      <c r="B784" t="s">
        <v>297</v>
      </c>
      <c r="C784" t="s">
        <v>590</v>
      </c>
      <c r="D784" t="s">
        <v>298</v>
      </c>
      <c r="E784" s="6">
        <v>248.84</v>
      </c>
      <c r="F784" t="s">
        <v>580</v>
      </c>
      <c r="G784" s="4" t="str">
        <f t="shared" si="74"/>
        <v>248.84</v>
      </c>
      <c r="H784" t="str">
        <f t="shared" si="75"/>
        <v>248.84</v>
      </c>
      <c r="I784" s="1">
        <v>45761</v>
      </c>
      <c r="J784" s="2">
        <f t="shared" si="76"/>
        <v>-5.3768347402844377E-2</v>
      </c>
      <c r="K784" s="3" t="str">
        <f t="shared" si="77"/>
        <v/>
      </c>
      <c r="L784" t="str">
        <f t="shared" si="78"/>
        <v/>
      </c>
      <c r="M784" t="str">
        <f t="shared" si="79"/>
        <v>Check</v>
      </c>
      <c r="N784">
        <v>262.98</v>
      </c>
      <c r="O784" t="s">
        <v>563</v>
      </c>
      <c r="Q784" t="s">
        <v>16</v>
      </c>
    </row>
    <row r="785" spans="1:17" x14ac:dyDescent="0.3">
      <c r="A785">
        <v>100664292</v>
      </c>
      <c r="B785" t="s">
        <v>297</v>
      </c>
      <c r="C785" t="s">
        <v>19</v>
      </c>
      <c r="D785" t="s">
        <v>300</v>
      </c>
      <c r="E785" s="6">
        <v>44973.82</v>
      </c>
      <c r="F785" t="s">
        <v>580</v>
      </c>
      <c r="G785" s="4" t="str">
        <f t="shared" si="74"/>
        <v>44973.82</v>
      </c>
      <c r="H785" t="str">
        <f t="shared" si="75"/>
        <v>44973.82</v>
      </c>
      <c r="I785" s="1">
        <v>45761</v>
      </c>
      <c r="J785" s="2">
        <f t="shared" si="76"/>
        <v>-5.4599046985610682E-2</v>
      </c>
      <c r="K785" s="3" t="str">
        <f t="shared" si="77"/>
        <v/>
      </c>
      <c r="L785" t="str">
        <f t="shared" si="78"/>
        <v/>
      </c>
      <c r="M785" t="str">
        <f t="shared" si="79"/>
        <v/>
      </c>
      <c r="N785">
        <v>47571.16</v>
      </c>
      <c r="O785" t="s">
        <v>564</v>
      </c>
      <c r="Q785" t="s">
        <v>19</v>
      </c>
    </row>
    <row r="786" spans="1:17" x14ac:dyDescent="0.3">
      <c r="A786">
        <v>100664348</v>
      </c>
      <c r="B786" t="s">
        <v>302</v>
      </c>
      <c r="C786" t="s">
        <v>19</v>
      </c>
      <c r="D786" t="s">
        <v>303</v>
      </c>
      <c r="E786" s="6">
        <v>24378.18</v>
      </c>
      <c r="F786" t="s">
        <v>580</v>
      </c>
      <c r="G786" s="4" t="str">
        <f t="shared" si="74"/>
        <v>24378.18</v>
      </c>
      <c r="H786" t="str">
        <f t="shared" si="75"/>
        <v>24378.18</v>
      </c>
      <c r="I786" s="1">
        <v>45761</v>
      </c>
      <c r="J786" s="2">
        <f t="shared" si="76"/>
        <v>-5.4632221376834329E-2</v>
      </c>
      <c r="K786" s="3" t="str">
        <f t="shared" si="77"/>
        <v/>
      </c>
      <c r="L786" t="str">
        <f t="shared" si="78"/>
        <v/>
      </c>
      <c r="M786" t="str">
        <f t="shared" si="79"/>
        <v/>
      </c>
      <c r="N786">
        <v>25786.98</v>
      </c>
      <c r="O786" t="s">
        <v>565</v>
      </c>
      <c r="Q786" t="s">
        <v>19</v>
      </c>
    </row>
    <row r="787" spans="1:17" x14ac:dyDescent="0.3">
      <c r="A787">
        <v>100664351</v>
      </c>
      <c r="B787" t="s">
        <v>305</v>
      </c>
      <c r="C787" t="s">
        <v>19</v>
      </c>
      <c r="D787" t="s">
        <v>306</v>
      </c>
      <c r="E787" s="6">
        <v>10358.469999999999</v>
      </c>
      <c r="F787" t="s">
        <v>580</v>
      </c>
      <c r="G787" s="4" t="str">
        <f t="shared" si="74"/>
        <v>10358.47</v>
      </c>
      <c r="H787" t="str">
        <f t="shared" si="75"/>
        <v>10358.47</v>
      </c>
      <c r="I787" s="1">
        <v>45761</v>
      </c>
      <c r="J787" s="2">
        <f t="shared" si="76"/>
        <v>-6.7977509386834778E-2</v>
      </c>
      <c r="K787" s="3" t="str">
        <f t="shared" si="77"/>
        <v/>
      </c>
      <c r="L787" t="str">
        <f t="shared" si="78"/>
        <v/>
      </c>
      <c r="M787" t="str">
        <f t="shared" si="79"/>
        <v/>
      </c>
      <c r="N787">
        <v>11113.97</v>
      </c>
      <c r="O787" t="s">
        <v>566</v>
      </c>
      <c r="Q787" t="s">
        <v>19</v>
      </c>
    </row>
    <row r="788" spans="1:17" x14ac:dyDescent="0.3">
      <c r="A788">
        <v>100664737</v>
      </c>
      <c r="B788" t="s">
        <v>313</v>
      </c>
      <c r="C788" t="s">
        <v>19</v>
      </c>
      <c r="D788" t="s">
        <v>314</v>
      </c>
      <c r="E788" s="6">
        <v>16838.669999999998</v>
      </c>
      <c r="F788" t="s">
        <v>580</v>
      </c>
      <c r="G788" s="4" t="str">
        <f t="shared" si="74"/>
        <v>16838.67</v>
      </c>
      <c r="H788" t="str">
        <f t="shared" si="75"/>
        <v>16838.67</v>
      </c>
      <c r="I788" s="1">
        <v>45761</v>
      </c>
      <c r="J788" s="2">
        <f t="shared" si="76"/>
        <v>-5.2248638906915633E-2</v>
      </c>
      <c r="K788" s="3" t="str">
        <f t="shared" si="77"/>
        <v/>
      </c>
      <c r="L788" t="str">
        <f t="shared" si="78"/>
        <v/>
      </c>
      <c r="M788" t="str">
        <f t="shared" si="79"/>
        <v/>
      </c>
      <c r="N788">
        <v>17766.97</v>
      </c>
      <c r="O788" t="s">
        <v>567</v>
      </c>
      <c r="Q788" t="s">
        <v>19</v>
      </c>
    </row>
    <row r="789" spans="1:17" x14ac:dyDescent="0.3">
      <c r="A789">
        <v>100664737</v>
      </c>
      <c r="B789" t="s">
        <v>313</v>
      </c>
      <c r="C789" t="s">
        <v>19</v>
      </c>
      <c r="D789" t="s">
        <v>316</v>
      </c>
      <c r="E789" s="6">
        <v>7857.89</v>
      </c>
      <c r="F789" t="s">
        <v>580</v>
      </c>
      <c r="G789" s="4" t="str">
        <f t="shared" si="74"/>
        <v>7857.89</v>
      </c>
      <c r="H789" t="str">
        <f t="shared" si="75"/>
        <v>7857.89</v>
      </c>
      <c r="I789" s="1">
        <v>45761</v>
      </c>
      <c r="J789" s="2">
        <f t="shared" si="76"/>
        <v>-5.3430489168144343E-2</v>
      </c>
      <c r="K789" s="3" t="str">
        <f t="shared" si="77"/>
        <v/>
      </c>
      <c r="L789" t="str">
        <f t="shared" si="78"/>
        <v/>
      </c>
      <c r="M789" t="str">
        <f t="shared" si="79"/>
        <v/>
      </c>
      <c r="N789">
        <v>8301.44</v>
      </c>
      <c r="O789" t="s">
        <v>568</v>
      </c>
      <c r="Q789" t="s">
        <v>19</v>
      </c>
    </row>
    <row r="790" spans="1:17" x14ac:dyDescent="0.3">
      <c r="A790">
        <v>100665510</v>
      </c>
      <c r="B790" t="s">
        <v>318</v>
      </c>
      <c r="C790" t="s">
        <v>19</v>
      </c>
      <c r="D790" t="s">
        <v>319</v>
      </c>
      <c r="E790" s="6">
        <v>26961.07</v>
      </c>
      <c r="F790" t="s">
        <v>580</v>
      </c>
      <c r="G790" s="4" t="str">
        <f t="shared" si="74"/>
        <v>26961.07</v>
      </c>
      <c r="H790" t="str">
        <f t="shared" si="75"/>
        <v>26961.07</v>
      </c>
      <c r="I790" s="1">
        <v>45761</v>
      </c>
      <c r="J790" s="2">
        <f t="shared" si="76"/>
        <v>-5.255842998013472E-2</v>
      </c>
      <c r="K790" s="3" t="str">
        <f t="shared" si="77"/>
        <v/>
      </c>
      <c r="L790" t="str">
        <f t="shared" si="78"/>
        <v/>
      </c>
      <c r="M790" t="str">
        <f t="shared" si="79"/>
        <v/>
      </c>
      <c r="N790">
        <v>28456.71</v>
      </c>
      <c r="O790" t="s">
        <v>569</v>
      </c>
      <c r="Q790" t="s">
        <v>19</v>
      </c>
    </row>
    <row r="791" spans="1:17" x14ac:dyDescent="0.3">
      <c r="A791">
        <v>100665581</v>
      </c>
      <c r="B791" t="s">
        <v>321</v>
      </c>
      <c r="C791" t="s">
        <v>590</v>
      </c>
      <c r="D791" t="s">
        <v>639</v>
      </c>
      <c r="E791" s="6">
        <v>81975.429999999993</v>
      </c>
      <c r="F791" t="s">
        <v>580</v>
      </c>
      <c r="G791" s="4" t="str">
        <f t="shared" si="74"/>
        <v>81975.43</v>
      </c>
      <c r="H791" t="str">
        <f t="shared" si="75"/>
        <v>81975.43</v>
      </c>
      <c r="I791" s="1">
        <v>45761</v>
      </c>
      <c r="J791" s="2">
        <f t="shared" si="76"/>
        <v>0.51395061933598907</v>
      </c>
      <c r="K791" s="3" t="str">
        <f t="shared" si="77"/>
        <v>Check!</v>
      </c>
      <c r="L791" t="str">
        <f t="shared" si="78"/>
        <v/>
      </c>
      <c r="M791" t="str">
        <f t="shared" si="79"/>
        <v/>
      </c>
      <c r="N791">
        <v>54146.7</v>
      </c>
      <c r="O791" t="s">
        <v>692</v>
      </c>
      <c r="Q791" t="s">
        <v>590</v>
      </c>
    </row>
    <row r="792" spans="1:17" x14ac:dyDescent="0.3">
      <c r="A792">
        <v>100665581</v>
      </c>
      <c r="B792" t="s">
        <v>321</v>
      </c>
      <c r="C792" t="s">
        <v>19</v>
      </c>
      <c r="D792" t="s">
        <v>695</v>
      </c>
      <c r="E792" s="6">
        <v>219116.93</v>
      </c>
      <c r="F792" t="s">
        <v>580</v>
      </c>
      <c r="G792" s="4" t="str">
        <f t="shared" si="74"/>
        <v>219116.93</v>
      </c>
      <c r="H792" t="str">
        <f t="shared" si="75"/>
        <v>219116.93</v>
      </c>
      <c r="I792" s="1">
        <v>45761</v>
      </c>
      <c r="J792" s="2">
        <f t="shared" si="76"/>
        <v>0.88354432098960689</v>
      </c>
      <c r="K792" s="3" t="str">
        <f t="shared" si="77"/>
        <v>Check!</v>
      </c>
      <c r="L792" t="str">
        <f t="shared" si="78"/>
        <v/>
      </c>
      <c r="M792" t="str">
        <f t="shared" si="79"/>
        <v/>
      </c>
      <c r="N792">
        <v>116332.24</v>
      </c>
      <c r="O792" t="s">
        <v>699</v>
      </c>
      <c r="Q792" t="s">
        <v>19</v>
      </c>
    </row>
    <row r="793" spans="1:17" x14ac:dyDescent="0.3">
      <c r="A793">
        <v>100666150</v>
      </c>
      <c r="B793" t="s">
        <v>324</v>
      </c>
      <c r="C793" t="s">
        <v>19</v>
      </c>
      <c r="D793" t="s">
        <v>325</v>
      </c>
      <c r="E793" s="6">
        <v>70529.23</v>
      </c>
      <c r="F793" t="s">
        <v>580</v>
      </c>
      <c r="G793" s="4" t="str">
        <f t="shared" si="74"/>
        <v>70529.23</v>
      </c>
      <c r="H793" t="str">
        <f t="shared" si="75"/>
        <v>70529.23</v>
      </c>
      <c r="I793" s="1">
        <v>45761</v>
      </c>
      <c r="J793" s="2">
        <f t="shared" si="76"/>
        <v>-5.4507253213711845E-2</v>
      </c>
      <c r="K793" s="3" t="str">
        <f t="shared" si="77"/>
        <v/>
      </c>
      <c r="L793" t="str">
        <f t="shared" si="78"/>
        <v/>
      </c>
      <c r="M793" t="str">
        <f t="shared" si="79"/>
        <v/>
      </c>
      <c r="N793">
        <v>74595.210000000006</v>
      </c>
      <c r="O793" t="s">
        <v>570</v>
      </c>
      <c r="Q793" t="s">
        <v>19</v>
      </c>
    </row>
    <row r="794" spans="1:17" x14ac:dyDescent="0.3">
      <c r="A794">
        <v>100668409</v>
      </c>
      <c r="B794" t="s">
        <v>327</v>
      </c>
      <c r="C794" t="s">
        <v>590</v>
      </c>
      <c r="D794" t="s">
        <v>328</v>
      </c>
      <c r="E794" s="6">
        <v>5832.09</v>
      </c>
      <c r="F794" t="s">
        <v>580</v>
      </c>
      <c r="G794" s="4" t="str">
        <f t="shared" si="74"/>
        <v>5832.09</v>
      </c>
      <c r="H794" t="str">
        <f t="shared" si="75"/>
        <v>5832.09</v>
      </c>
      <c r="I794" s="1">
        <v>45761</v>
      </c>
      <c r="J794" s="2">
        <f t="shared" si="76"/>
        <v>-5.3115319422526099E-2</v>
      </c>
      <c r="K794" s="3" t="str">
        <f t="shared" si="77"/>
        <v/>
      </c>
      <c r="L794" t="str">
        <f t="shared" si="78"/>
        <v/>
      </c>
      <c r="M794" t="str">
        <f t="shared" si="79"/>
        <v>Check</v>
      </c>
      <c r="N794">
        <v>6159.24</v>
      </c>
      <c r="O794" t="s">
        <v>571</v>
      </c>
      <c r="Q794" t="s">
        <v>16</v>
      </c>
    </row>
    <row r="795" spans="1:17" x14ac:dyDescent="0.3">
      <c r="A795">
        <v>100668534</v>
      </c>
      <c r="B795" t="s">
        <v>330</v>
      </c>
      <c r="C795" t="s">
        <v>590</v>
      </c>
      <c r="D795" t="s">
        <v>331</v>
      </c>
      <c r="E795" s="6">
        <v>11046.58</v>
      </c>
      <c r="F795" t="s">
        <v>580</v>
      </c>
      <c r="G795" s="4" t="str">
        <f t="shared" si="74"/>
        <v>11046.58</v>
      </c>
      <c r="H795" t="str">
        <f t="shared" si="75"/>
        <v>11046.58</v>
      </c>
      <c r="I795" s="1">
        <v>45761</v>
      </c>
      <c r="J795" s="2">
        <f t="shared" si="76"/>
        <v>-5.351968346068358E-2</v>
      </c>
      <c r="K795" s="3" t="str">
        <f t="shared" si="77"/>
        <v/>
      </c>
      <c r="L795" t="str">
        <f t="shared" si="78"/>
        <v/>
      </c>
      <c r="M795" t="str">
        <f t="shared" si="79"/>
        <v>Check</v>
      </c>
      <c r="N795">
        <v>11671.22</v>
      </c>
      <c r="O795" t="s">
        <v>572</v>
      </c>
      <c r="Q795" t="s">
        <v>16</v>
      </c>
    </row>
    <row r="796" spans="1:17" x14ac:dyDescent="0.3">
      <c r="A796">
        <v>100669580</v>
      </c>
      <c r="B796" t="s">
        <v>333</v>
      </c>
      <c r="C796" t="s">
        <v>19</v>
      </c>
      <c r="D796" t="s">
        <v>334</v>
      </c>
      <c r="E796" s="6">
        <v>36716.82</v>
      </c>
      <c r="F796" t="s">
        <v>580</v>
      </c>
      <c r="G796" s="4" t="str">
        <f t="shared" si="74"/>
        <v>36716.82</v>
      </c>
      <c r="H796" t="str">
        <f t="shared" si="75"/>
        <v>36716.82</v>
      </c>
      <c r="I796" s="1">
        <v>45761</v>
      </c>
      <c r="J796" s="2">
        <f t="shared" si="76"/>
        <v>-5.4724405901275475E-2</v>
      </c>
      <c r="K796" s="3" t="str">
        <f t="shared" si="77"/>
        <v/>
      </c>
      <c r="L796" t="str">
        <f t="shared" si="78"/>
        <v/>
      </c>
      <c r="M796" t="str">
        <f t="shared" si="79"/>
        <v/>
      </c>
      <c r="N796">
        <v>38842.449999999997</v>
      </c>
      <c r="O796" t="s">
        <v>573</v>
      </c>
      <c r="Q796" t="s">
        <v>19</v>
      </c>
    </row>
    <row r="797" spans="1:17" x14ac:dyDescent="0.3">
      <c r="A797">
        <v>100670671</v>
      </c>
      <c r="B797" t="s">
        <v>336</v>
      </c>
      <c r="C797" t="s">
        <v>590</v>
      </c>
      <c r="D797" t="s">
        <v>337</v>
      </c>
      <c r="E797" s="6">
        <v>120768.01</v>
      </c>
      <c r="F797" t="s">
        <v>580</v>
      </c>
      <c r="G797" s="4" t="str">
        <f t="shared" si="74"/>
        <v>120768.01</v>
      </c>
      <c r="H797" t="str">
        <f t="shared" si="75"/>
        <v>120768.01</v>
      </c>
      <c r="I797" s="1">
        <v>45761</v>
      </c>
      <c r="J797" s="2">
        <f t="shared" si="76"/>
        <v>-4.8996354517826066E-2</v>
      </c>
      <c r="K797" s="3" t="str">
        <f t="shared" si="77"/>
        <v/>
      </c>
      <c r="L797" t="str">
        <f t="shared" si="78"/>
        <v/>
      </c>
      <c r="M797" t="str">
        <f t="shared" si="79"/>
        <v>Check</v>
      </c>
      <c r="N797">
        <v>126990.06</v>
      </c>
      <c r="O797" t="s">
        <v>574</v>
      </c>
      <c r="Q797" t="s">
        <v>16</v>
      </c>
    </row>
    <row r="798" spans="1:17" x14ac:dyDescent="0.3">
      <c r="A798">
        <v>100675336</v>
      </c>
      <c r="B798" t="s">
        <v>347</v>
      </c>
      <c r="C798" t="s">
        <v>19</v>
      </c>
      <c r="D798" t="s">
        <v>348</v>
      </c>
      <c r="E798" s="6">
        <v>50942.27</v>
      </c>
      <c r="F798" t="s">
        <v>580</v>
      </c>
      <c r="G798" s="4" t="str">
        <f t="shared" si="74"/>
        <v>50942.27</v>
      </c>
      <c r="H798" t="str">
        <f t="shared" si="75"/>
        <v>50942.27</v>
      </c>
      <c r="I798" s="1">
        <v>45761</v>
      </c>
      <c r="J798" s="2">
        <f t="shared" si="76"/>
        <v>-5.4688491614306424E-2</v>
      </c>
      <c r="K798" s="3" t="str">
        <f t="shared" si="77"/>
        <v/>
      </c>
      <c r="L798" t="str">
        <f t="shared" si="78"/>
        <v/>
      </c>
      <c r="M798" t="str">
        <f t="shared" si="79"/>
        <v/>
      </c>
      <c r="N798">
        <v>53889.4</v>
      </c>
      <c r="O798" t="s">
        <v>575</v>
      </c>
      <c r="Q798" t="s">
        <v>19</v>
      </c>
    </row>
    <row r="799" spans="1:17" x14ac:dyDescent="0.3">
      <c r="A799">
        <v>100677278</v>
      </c>
      <c r="B799" t="s">
        <v>350</v>
      </c>
      <c r="C799" t="s">
        <v>19</v>
      </c>
      <c r="D799" t="s">
        <v>351</v>
      </c>
      <c r="E799" s="6">
        <v>51968.05</v>
      </c>
      <c r="F799" t="s">
        <v>580</v>
      </c>
      <c r="G799" s="4" t="str">
        <f t="shared" si="74"/>
        <v>51968.05</v>
      </c>
      <c r="H799" t="str">
        <f t="shared" si="75"/>
        <v>51968.05</v>
      </c>
      <c r="I799" s="1">
        <v>45761</v>
      </c>
      <c r="J799" s="2">
        <f t="shared" si="76"/>
        <v>-5.4282783879584212E-2</v>
      </c>
      <c r="K799" s="3" t="str">
        <f t="shared" si="77"/>
        <v/>
      </c>
      <c r="L799" t="str">
        <f t="shared" si="78"/>
        <v/>
      </c>
      <c r="M799" t="str">
        <f t="shared" si="79"/>
        <v/>
      </c>
      <c r="N799">
        <v>54950.94</v>
      </c>
      <c r="O799" t="s">
        <v>576</v>
      </c>
      <c r="Q799" t="s">
        <v>19</v>
      </c>
    </row>
    <row r="800" spans="1:17" x14ac:dyDescent="0.3">
      <c r="A800">
        <v>100677585</v>
      </c>
      <c r="B800" t="s">
        <v>353</v>
      </c>
      <c r="C800" t="s">
        <v>19</v>
      </c>
      <c r="D800" t="s">
        <v>354</v>
      </c>
      <c r="E800" s="6">
        <v>6901.74</v>
      </c>
      <c r="F800" t="s">
        <v>580</v>
      </c>
      <c r="G800" s="4" t="str">
        <f t="shared" si="74"/>
        <v>6901.74</v>
      </c>
      <c r="H800" t="str">
        <f t="shared" si="75"/>
        <v>6901.74</v>
      </c>
      <c r="I800" s="1">
        <v>45761</v>
      </c>
      <c r="J800" s="2">
        <f t="shared" si="76"/>
        <v>-5.4848772845667013E-2</v>
      </c>
      <c r="K800" s="3" t="str">
        <f t="shared" si="77"/>
        <v/>
      </c>
      <c r="L800" t="str">
        <f t="shared" si="78"/>
        <v/>
      </c>
      <c r="M800" t="str">
        <f t="shared" si="79"/>
        <v/>
      </c>
      <c r="N800">
        <v>7302.26</v>
      </c>
      <c r="O800" t="s">
        <v>577</v>
      </c>
      <c r="Q800" t="s">
        <v>19</v>
      </c>
    </row>
    <row r="801" spans="1:17" x14ac:dyDescent="0.3">
      <c r="A801">
        <v>100706842</v>
      </c>
      <c r="B801" t="s">
        <v>356</v>
      </c>
      <c r="C801" t="s">
        <v>19</v>
      </c>
      <c r="D801" t="s">
        <v>357</v>
      </c>
      <c r="E801" s="6">
        <v>20862.560000000001</v>
      </c>
      <c r="F801" t="s">
        <v>580</v>
      </c>
      <c r="G801" s="4" t="str">
        <f t="shared" si="74"/>
        <v>20862.56</v>
      </c>
      <c r="H801" t="str">
        <f t="shared" si="75"/>
        <v>20862.56</v>
      </c>
      <c r="I801" s="1">
        <v>45761</v>
      </c>
      <c r="J801" s="2">
        <f t="shared" si="76"/>
        <v>-5.4638454908706266E-2</v>
      </c>
      <c r="K801" s="3" t="str">
        <f t="shared" si="77"/>
        <v/>
      </c>
      <c r="L801" t="str">
        <f t="shared" si="78"/>
        <v/>
      </c>
      <c r="M801" t="str">
        <f t="shared" si="79"/>
        <v/>
      </c>
      <c r="N801">
        <v>22068.34</v>
      </c>
      <c r="O801" t="s">
        <v>578</v>
      </c>
      <c r="Q801" t="s">
        <v>19</v>
      </c>
    </row>
    <row r="802" spans="1:17" x14ac:dyDescent="0.3">
      <c r="A802">
        <v>100711105</v>
      </c>
      <c r="B802" t="s">
        <v>359</v>
      </c>
      <c r="C802" t="s">
        <v>590</v>
      </c>
      <c r="D802" t="s">
        <v>360</v>
      </c>
      <c r="E802" s="6">
        <v>3035.97</v>
      </c>
      <c r="F802" t="s">
        <v>580</v>
      </c>
      <c r="G802" s="4" t="str">
        <f t="shared" si="74"/>
        <v>3035.97</v>
      </c>
      <c r="H802" t="str">
        <f t="shared" si="75"/>
        <v>3035.97</v>
      </c>
      <c r="I802" s="1">
        <v>45761</v>
      </c>
      <c r="J802" s="2">
        <f t="shared" si="76"/>
        <v>-0.16484099911971833</v>
      </c>
      <c r="K802" s="3" t="str">
        <f t="shared" si="77"/>
        <v>Check!</v>
      </c>
      <c r="L802" t="str">
        <f t="shared" si="78"/>
        <v/>
      </c>
      <c r="M802" t="str">
        <f t="shared" si="79"/>
        <v>Check</v>
      </c>
      <c r="N802">
        <v>3635.2</v>
      </c>
      <c r="O802" t="s">
        <v>579</v>
      </c>
      <c r="Q802" t="s">
        <v>16</v>
      </c>
    </row>
    <row r="803" spans="1:17" x14ac:dyDescent="0.3">
      <c r="A803">
        <v>100786852</v>
      </c>
      <c r="B803" t="s">
        <v>636</v>
      </c>
      <c r="C803" t="s">
        <v>19</v>
      </c>
      <c r="D803" t="s">
        <v>637</v>
      </c>
      <c r="E803" s="6">
        <v>70219.67</v>
      </c>
      <c r="F803" t="s">
        <v>580</v>
      </c>
      <c r="G803" s="4" t="str">
        <f t="shared" si="74"/>
        <v>70219.67</v>
      </c>
      <c r="H803" t="str">
        <f t="shared" si="75"/>
        <v>70219.67</v>
      </c>
      <c r="I803" s="1">
        <v>45761</v>
      </c>
      <c r="J803" s="2">
        <f t="shared" si="76"/>
        <v>-5.4522733705116962E-2</v>
      </c>
      <c r="K803" s="3" t="str">
        <f t="shared" si="77"/>
        <v/>
      </c>
      <c r="L803" t="str">
        <f t="shared" si="78"/>
        <v/>
      </c>
      <c r="M803" t="str">
        <f t="shared" si="79"/>
        <v/>
      </c>
      <c r="N803">
        <v>74269.02</v>
      </c>
      <c r="O803" t="s">
        <v>693</v>
      </c>
      <c r="Q803" t="s">
        <v>19</v>
      </c>
    </row>
    <row r="804" spans="1:17" x14ac:dyDescent="0.3">
      <c r="A804">
        <v>100799345</v>
      </c>
      <c r="B804" t="s">
        <v>640</v>
      </c>
      <c r="C804" t="s">
        <v>590</v>
      </c>
      <c r="D804" t="s">
        <v>641</v>
      </c>
      <c r="E804" s="6">
        <v>301269.09000000003</v>
      </c>
      <c r="F804" t="s">
        <v>580</v>
      </c>
      <c r="G804" s="4" t="str">
        <f t="shared" si="74"/>
        <v>301269.09</v>
      </c>
      <c r="H804" t="str">
        <f t="shared" si="75"/>
        <v>301269.09</v>
      </c>
      <c r="I804" s="1">
        <v>45761</v>
      </c>
      <c r="J804" s="2">
        <f t="shared" si="76"/>
        <v>1.5016652353757978</v>
      </c>
      <c r="K804" s="3" t="str">
        <f t="shared" si="77"/>
        <v>Check!</v>
      </c>
      <c r="L804" t="str">
        <f t="shared" si="78"/>
        <v/>
      </c>
      <c r="M804" t="str">
        <f t="shared" si="79"/>
        <v/>
      </c>
      <c r="N804">
        <v>120427.42</v>
      </c>
      <c r="O804" t="s">
        <v>694</v>
      </c>
      <c r="Q804" t="s">
        <v>590</v>
      </c>
    </row>
    <row r="805" spans="1:17" s="7" customFormat="1" x14ac:dyDescent="0.3">
      <c r="A805" s="7">
        <v>32490</v>
      </c>
      <c r="B805" s="7" t="s">
        <v>15</v>
      </c>
      <c r="C805" s="7" t="s">
        <v>19</v>
      </c>
      <c r="D805" s="7" t="s">
        <v>20</v>
      </c>
      <c r="E805" s="8">
        <v>5357.89</v>
      </c>
      <c r="F805" s="7" t="s">
        <v>601</v>
      </c>
      <c r="G805" s="4" t="str">
        <f t="shared" si="74"/>
        <v>5357.89</v>
      </c>
      <c r="H805" t="str">
        <f t="shared" si="75"/>
        <v>5357.89</v>
      </c>
      <c r="I805" s="1">
        <v>45761</v>
      </c>
      <c r="J805" s="2">
        <f t="shared" si="76"/>
        <v>-7.8502596171871844E-2</v>
      </c>
      <c r="K805" s="3" t="str">
        <f t="shared" si="77"/>
        <v/>
      </c>
      <c r="L805" t="str">
        <f t="shared" si="78"/>
        <v/>
      </c>
      <c r="M805" t="str">
        <f t="shared" si="79"/>
        <v/>
      </c>
      <c r="N805" s="7">
        <v>5814.33</v>
      </c>
      <c r="O805" s="7" t="s">
        <v>494</v>
      </c>
      <c r="Q805" s="7" t="s">
        <v>19</v>
      </c>
    </row>
    <row r="806" spans="1:17" x14ac:dyDescent="0.3">
      <c r="A806">
        <v>32490</v>
      </c>
      <c r="B806" t="s">
        <v>15</v>
      </c>
      <c r="C806" t="s">
        <v>19</v>
      </c>
      <c r="D806" t="s">
        <v>22</v>
      </c>
      <c r="E806" s="6">
        <v>18929.3</v>
      </c>
      <c r="F806" t="s">
        <v>601</v>
      </c>
      <c r="G806" s="4" t="str">
        <f t="shared" si="74"/>
        <v>18929.3</v>
      </c>
      <c r="H806" t="str">
        <f t="shared" si="75"/>
        <v>18929.3</v>
      </c>
      <c r="I806" s="1">
        <v>45761</v>
      </c>
      <c r="J806" s="2">
        <f t="shared" si="76"/>
        <v>-7.4303011927408652E-2</v>
      </c>
      <c r="K806" s="3" t="str">
        <f t="shared" si="77"/>
        <v/>
      </c>
      <c r="L806" t="str">
        <f t="shared" si="78"/>
        <v/>
      </c>
      <c r="M806" t="str">
        <f t="shared" si="79"/>
        <v/>
      </c>
      <c r="N806">
        <v>20448.7</v>
      </c>
      <c r="O806" t="s">
        <v>495</v>
      </c>
      <c r="Q806" t="s">
        <v>19</v>
      </c>
    </row>
    <row r="807" spans="1:17" x14ac:dyDescent="0.3">
      <c r="A807">
        <v>33672</v>
      </c>
      <c r="B807" t="s">
        <v>24</v>
      </c>
      <c r="C807" t="s">
        <v>19</v>
      </c>
      <c r="D807" t="s">
        <v>25</v>
      </c>
      <c r="E807" s="6">
        <v>47438.879999999997</v>
      </c>
      <c r="F807" t="s">
        <v>601</v>
      </c>
      <c r="G807" s="4" t="str">
        <f t="shared" si="74"/>
        <v>47438.88</v>
      </c>
      <c r="H807" t="str">
        <f t="shared" si="75"/>
        <v>47438.88</v>
      </c>
      <c r="I807" s="1">
        <v>45761</v>
      </c>
      <c r="J807" s="2">
        <f t="shared" si="76"/>
        <v>-8.0716863992298341E-2</v>
      </c>
      <c r="K807" s="3" t="str">
        <f t="shared" si="77"/>
        <v/>
      </c>
      <c r="L807" t="str">
        <f t="shared" si="78"/>
        <v/>
      </c>
      <c r="M807" t="str">
        <f t="shared" si="79"/>
        <v/>
      </c>
      <c r="N807">
        <v>51604.21</v>
      </c>
      <c r="O807" t="s">
        <v>496</v>
      </c>
      <c r="Q807" t="s">
        <v>19</v>
      </c>
    </row>
    <row r="808" spans="1:17" x14ac:dyDescent="0.3">
      <c r="A808">
        <v>34171</v>
      </c>
      <c r="B808" t="s">
        <v>27</v>
      </c>
      <c r="C808" t="s">
        <v>19</v>
      </c>
      <c r="D808" t="s">
        <v>28</v>
      </c>
      <c r="E808" s="6">
        <v>2986.06</v>
      </c>
      <c r="F808" t="s">
        <v>601</v>
      </c>
      <c r="G808" s="4" t="str">
        <f t="shared" si="74"/>
        <v>2986.06</v>
      </c>
      <c r="H808" t="str">
        <f t="shared" si="75"/>
        <v>2986.06</v>
      </c>
      <c r="I808" s="1">
        <v>45761</v>
      </c>
      <c r="J808" s="2">
        <f t="shared" si="76"/>
        <v>-8.0269938121213469E-2</v>
      </c>
      <c r="K808" s="3" t="str">
        <f t="shared" si="77"/>
        <v/>
      </c>
      <c r="L808" t="str">
        <f t="shared" si="78"/>
        <v/>
      </c>
      <c r="M808" t="str">
        <f t="shared" si="79"/>
        <v/>
      </c>
      <c r="N808">
        <v>3246.67</v>
      </c>
      <c r="O808" t="s">
        <v>497</v>
      </c>
      <c r="Q808" t="s">
        <v>19</v>
      </c>
    </row>
    <row r="809" spans="1:17" x14ac:dyDescent="0.3">
      <c r="A809">
        <v>34173</v>
      </c>
      <c r="B809" t="s">
        <v>30</v>
      </c>
      <c r="C809" t="s">
        <v>19</v>
      </c>
      <c r="D809" t="s">
        <v>31</v>
      </c>
      <c r="E809" s="6">
        <v>17405.61</v>
      </c>
      <c r="F809" t="s">
        <v>601</v>
      </c>
      <c r="G809" s="4" t="str">
        <f t="shared" si="74"/>
        <v>17405.61</v>
      </c>
      <c r="H809" t="str">
        <f t="shared" si="75"/>
        <v>17405.61</v>
      </c>
      <c r="I809" s="1">
        <v>45761</v>
      </c>
      <c r="J809" s="2">
        <f t="shared" si="76"/>
        <v>-8.0835578575374101E-2</v>
      </c>
      <c r="K809" s="3" t="str">
        <f t="shared" si="77"/>
        <v/>
      </c>
      <c r="L809" t="str">
        <f t="shared" si="78"/>
        <v/>
      </c>
      <c r="M809" t="str">
        <f t="shared" si="79"/>
        <v/>
      </c>
      <c r="N809">
        <v>18936.34</v>
      </c>
      <c r="O809" t="s">
        <v>498</v>
      </c>
      <c r="Q809" t="s">
        <v>19</v>
      </c>
    </row>
    <row r="810" spans="1:17" x14ac:dyDescent="0.3">
      <c r="A810">
        <v>34199</v>
      </c>
      <c r="B810" t="s">
        <v>36</v>
      </c>
      <c r="C810" t="s">
        <v>19</v>
      </c>
      <c r="D810" t="s">
        <v>39</v>
      </c>
      <c r="E810" s="6">
        <v>2714.62</v>
      </c>
      <c r="F810" t="s">
        <v>601</v>
      </c>
      <c r="G810" s="4" t="str">
        <f t="shared" si="74"/>
        <v>2714.62</v>
      </c>
      <c r="H810" t="str">
        <f t="shared" si="75"/>
        <v>2714.62</v>
      </c>
      <c r="I810" s="1">
        <v>45761</v>
      </c>
      <c r="J810" s="2">
        <f t="shared" si="76"/>
        <v>-8.0082956617213555E-2</v>
      </c>
      <c r="K810" s="3" t="str">
        <f t="shared" si="77"/>
        <v/>
      </c>
      <c r="L810" t="str">
        <f t="shared" si="78"/>
        <v/>
      </c>
      <c r="M810" t="str">
        <f t="shared" si="79"/>
        <v/>
      </c>
      <c r="N810">
        <v>2950.94</v>
      </c>
      <c r="O810" t="s">
        <v>499</v>
      </c>
      <c r="Q810" t="s">
        <v>19</v>
      </c>
    </row>
    <row r="811" spans="1:17" x14ac:dyDescent="0.3">
      <c r="A811">
        <v>34202</v>
      </c>
      <c r="B811" t="s">
        <v>46</v>
      </c>
      <c r="C811" t="s">
        <v>19</v>
      </c>
      <c r="D811" t="s">
        <v>49</v>
      </c>
      <c r="E811" s="6">
        <v>104528.64</v>
      </c>
      <c r="F811" t="s">
        <v>601</v>
      </c>
      <c r="G811" s="4" t="str">
        <f t="shared" si="74"/>
        <v>104528.64</v>
      </c>
      <c r="H811" t="str">
        <f t="shared" si="75"/>
        <v>104528.64</v>
      </c>
      <c r="I811" s="1">
        <v>45761</v>
      </c>
      <c r="J811" s="2">
        <f t="shared" si="76"/>
        <v>-8.1129828559433112E-2</v>
      </c>
      <c r="K811" s="3" t="str">
        <f t="shared" si="77"/>
        <v/>
      </c>
      <c r="L811" t="str">
        <f t="shared" si="78"/>
        <v/>
      </c>
      <c r="M811" t="str">
        <f t="shared" si="79"/>
        <v/>
      </c>
      <c r="N811">
        <v>113757.79</v>
      </c>
      <c r="O811" t="s">
        <v>501</v>
      </c>
      <c r="Q811" t="s">
        <v>19</v>
      </c>
    </row>
    <row r="812" spans="1:17" x14ac:dyDescent="0.3">
      <c r="A812">
        <v>34202</v>
      </c>
      <c r="B812" t="s">
        <v>46</v>
      </c>
      <c r="C812" t="s">
        <v>19</v>
      </c>
      <c r="D812" t="s">
        <v>47</v>
      </c>
      <c r="E812" s="6">
        <v>20012.88</v>
      </c>
      <c r="F812" t="s">
        <v>601</v>
      </c>
      <c r="G812" s="4" t="str">
        <f t="shared" si="74"/>
        <v>20012.88</v>
      </c>
      <c r="H812" t="str">
        <f t="shared" si="75"/>
        <v>20012.88</v>
      </c>
      <c r="I812" s="1">
        <v>45761</v>
      </c>
      <c r="J812" s="2">
        <f t="shared" si="76"/>
        <v>-8.077666638648387E-2</v>
      </c>
      <c r="K812" s="3" t="str">
        <f t="shared" si="77"/>
        <v/>
      </c>
      <c r="L812" t="str">
        <f t="shared" si="78"/>
        <v/>
      </c>
      <c r="M812" t="str">
        <f t="shared" si="79"/>
        <v/>
      </c>
      <c r="N812">
        <v>21771.51</v>
      </c>
      <c r="O812" t="s">
        <v>500</v>
      </c>
      <c r="Q812" t="s">
        <v>19</v>
      </c>
    </row>
    <row r="813" spans="1:17" x14ac:dyDescent="0.3">
      <c r="A813">
        <v>34209</v>
      </c>
      <c r="B813" t="s">
        <v>51</v>
      </c>
      <c r="C813" t="s">
        <v>19</v>
      </c>
      <c r="D813" t="s">
        <v>52</v>
      </c>
      <c r="E813" s="6">
        <v>35706.39</v>
      </c>
      <c r="F813" t="s">
        <v>601</v>
      </c>
      <c r="G813" s="4" t="str">
        <f t="shared" si="74"/>
        <v>35706.39</v>
      </c>
      <c r="H813" t="str">
        <f t="shared" si="75"/>
        <v>35706.39</v>
      </c>
      <c r="I813" s="1">
        <v>45761</v>
      </c>
      <c r="J813" s="2">
        <f t="shared" si="76"/>
        <v>-8.0803980101551667E-2</v>
      </c>
      <c r="K813" s="3" t="str">
        <f t="shared" si="77"/>
        <v/>
      </c>
      <c r="L813" t="str">
        <f t="shared" si="78"/>
        <v/>
      </c>
      <c r="M813" t="str">
        <f t="shared" si="79"/>
        <v/>
      </c>
      <c r="N813">
        <v>38845.24</v>
      </c>
      <c r="O813" t="s">
        <v>502</v>
      </c>
      <c r="Q813" t="s">
        <v>19</v>
      </c>
    </row>
    <row r="814" spans="1:17" x14ac:dyDescent="0.3">
      <c r="A814">
        <v>34209</v>
      </c>
      <c r="B814" t="s">
        <v>51</v>
      </c>
      <c r="C814" t="s">
        <v>19</v>
      </c>
      <c r="D814" t="s">
        <v>54</v>
      </c>
      <c r="E814" s="6">
        <v>46016.82</v>
      </c>
      <c r="F814" t="s">
        <v>601</v>
      </c>
      <c r="G814" s="4" t="str">
        <f t="shared" si="74"/>
        <v>46016.82</v>
      </c>
      <c r="H814" t="str">
        <f t="shared" si="75"/>
        <v>46016.82</v>
      </c>
      <c r="I814" s="1">
        <v>45761</v>
      </c>
      <c r="J814" s="2">
        <f t="shared" si="76"/>
        <v>-8.0567034831574458E-2</v>
      </c>
      <c r="K814" s="3" t="str">
        <f t="shared" si="77"/>
        <v/>
      </c>
      <c r="L814" t="str">
        <f t="shared" si="78"/>
        <v/>
      </c>
      <c r="M814" t="str">
        <f t="shared" si="79"/>
        <v/>
      </c>
      <c r="N814">
        <v>50049.13</v>
      </c>
      <c r="O814" t="s">
        <v>503</v>
      </c>
      <c r="Q814" t="s">
        <v>19</v>
      </c>
    </row>
    <row r="815" spans="1:17" x14ac:dyDescent="0.3">
      <c r="A815">
        <v>34216</v>
      </c>
      <c r="B815" t="s">
        <v>59</v>
      </c>
      <c r="C815" t="s">
        <v>19</v>
      </c>
      <c r="D815" t="s">
        <v>60</v>
      </c>
      <c r="E815" s="6">
        <v>23768.48</v>
      </c>
      <c r="F815" t="s">
        <v>601</v>
      </c>
      <c r="G815" s="4" t="str">
        <f t="shared" si="74"/>
        <v>23768.48</v>
      </c>
      <c r="H815" t="str">
        <f t="shared" si="75"/>
        <v>23768.48</v>
      </c>
      <c r="I815" s="1">
        <v>45761</v>
      </c>
      <c r="J815" s="2">
        <f t="shared" si="76"/>
        <v>-8.0830947930016495E-2</v>
      </c>
      <c r="K815" s="3" t="str">
        <f t="shared" si="77"/>
        <v/>
      </c>
      <c r="L815" t="str">
        <f t="shared" si="78"/>
        <v/>
      </c>
      <c r="M815" t="str">
        <f t="shared" si="79"/>
        <v/>
      </c>
      <c r="N815">
        <v>25858.66</v>
      </c>
      <c r="O815" t="s">
        <v>504</v>
      </c>
      <c r="Q815" t="s">
        <v>19</v>
      </c>
    </row>
    <row r="816" spans="1:17" x14ac:dyDescent="0.3">
      <c r="A816">
        <v>34395</v>
      </c>
      <c r="B816" t="s">
        <v>69</v>
      </c>
      <c r="C816" t="s">
        <v>19</v>
      </c>
      <c r="D816" t="s">
        <v>74</v>
      </c>
      <c r="E816" s="6">
        <v>7775.77</v>
      </c>
      <c r="F816" t="s">
        <v>601</v>
      </c>
      <c r="G816" s="4" t="str">
        <f t="shared" si="74"/>
        <v>7775.77</v>
      </c>
      <c r="H816" t="str">
        <f t="shared" si="75"/>
        <v>7775.77</v>
      </c>
      <c r="I816" s="1">
        <v>45761</v>
      </c>
      <c r="J816" s="2">
        <f t="shared" si="76"/>
        <v>-8.0411934657172349E-2</v>
      </c>
      <c r="K816" s="3" t="str">
        <f t="shared" si="77"/>
        <v/>
      </c>
      <c r="L816" t="str">
        <f t="shared" si="78"/>
        <v/>
      </c>
      <c r="M816" t="str">
        <f t="shared" si="79"/>
        <v/>
      </c>
      <c r="N816">
        <v>8455.7099999999991</v>
      </c>
      <c r="O816" t="s">
        <v>506</v>
      </c>
      <c r="Q816" t="s">
        <v>19</v>
      </c>
    </row>
    <row r="817" spans="1:17" x14ac:dyDescent="0.3">
      <c r="A817">
        <v>34395</v>
      </c>
      <c r="B817" t="s">
        <v>69</v>
      </c>
      <c r="C817" t="s">
        <v>19</v>
      </c>
      <c r="D817" t="s">
        <v>72</v>
      </c>
      <c r="E817" s="6">
        <v>4683.3900000000003</v>
      </c>
      <c r="F817" t="s">
        <v>601</v>
      </c>
      <c r="G817" s="4" t="str">
        <f t="shared" si="74"/>
        <v>4683.39</v>
      </c>
      <c r="H817" t="str">
        <f t="shared" si="75"/>
        <v>4683.39</v>
      </c>
      <c r="I817" s="1">
        <v>45761</v>
      </c>
      <c r="J817" s="2">
        <f t="shared" si="76"/>
        <v>-8.0019643471001267E-2</v>
      </c>
      <c r="K817" s="3" t="str">
        <f t="shared" si="77"/>
        <v/>
      </c>
      <c r="L817" t="str">
        <f t="shared" si="78"/>
        <v/>
      </c>
      <c r="M817" t="str">
        <f t="shared" si="79"/>
        <v/>
      </c>
      <c r="N817">
        <v>5090.75</v>
      </c>
      <c r="O817" t="s">
        <v>507</v>
      </c>
      <c r="Q817" t="s">
        <v>19</v>
      </c>
    </row>
    <row r="818" spans="1:17" x14ac:dyDescent="0.3">
      <c r="A818">
        <v>34395</v>
      </c>
      <c r="B818" t="s">
        <v>69</v>
      </c>
      <c r="C818" t="s">
        <v>19</v>
      </c>
      <c r="D818" t="s">
        <v>70</v>
      </c>
      <c r="E818" s="6">
        <v>73252.850000000006</v>
      </c>
      <c r="F818" t="s">
        <v>601</v>
      </c>
      <c r="G818" s="4" t="str">
        <f t="shared" si="74"/>
        <v>73252.85</v>
      </c>
      <c r="H818" t="str">
        <f t="shared" si="75"/>
        <v>73252.85</v>
      </c>
      <c r="I818" s="1">
        <v>45761</v>
      </c>
      <c r="J818" s="2">
        <f t="shared" si="76"/>
        <v>-8.0462720772938492E-2</v>
      </c>
      <c r="K818" s="3" t="str">
        <f t="shared" si="77"/>
        <v/>
      </c>
      <c r="L818" t="str">
        <f t="shared" si="78"/>
        <v/>
      </c>
      <c r="M818" t="str">
        <f t="shared" si="79"/>
        <v/>
      </c>
      <c r="N818">
        <v>79662.73</v>
      </c>
      <c r="O818" t="s">
        <v>505</v>
      </c>
      <c r="Q818" t="s">
        <v>19</v>
      </c>
    </row>
    <row r="819" spans="1:17" x14ac:dyDescent="0.3">
      <c r="A819">
        <v>36048</v>
      </c>
      <c r="B819" t="s">
        <v>76</v>
      </c>
      <c r="C819" t="s">
        <v>19</v>
      </c>
      <c r="D819" t="s">
        <v>77</v>
      </c>
      <c r="E819" s="6">
        <v>4962.37</v>
      </c>
      <c r="F819" t="s">
        <v>601</v>
      </c>
      <c r="G819" s="4" t="str">
        <f t="shared" si="74"/>
        <v>4962.37</v>
      </c>
      <c r="H819" t="str">
        <f t="shared" si="75"/>
        <v>4962.37</v>
      </c>
      <c r="I819" s="1">
        <v>45761</v>
      </c>
      <c r="J819" s="2">
        <f t="shared" si="76"/>
        <v>-7.7732677646813936E-2</v>
      </c>
      <c r="K819" s="3" t="str">
        <f t="shared" si="77"/>
        <v/>
      </c>
      <c r="L819" t="str">
        <f t="shared" si="78"/>
        <v/>
      </c>
      <c r="M819" t="str">
        <f t="shared" si="79"/>
        <v/>
      </c>
      <c r="N819">
        <v>5380.62</v>
      </c>
      <c r="O819" t="s">
        <v>508</v>
      </c>
      <c r="Q819" t="s">
        <v>19</v>
      </c>
    </row>
    <row r="820" spans="1:17" x14ac:dyDescent="0.3">
      <c r="A820">
        <v>36048</v>
      </c>
      <c r="B820" t="s">
        <v>76</v>
      </c>
      <c r="C820" t="s">
        <v>19</v>
      </c>
      <c r="D820" t="s">
        <v>79</v>
      </c>
      <c r="E820" s="6">
        <v>13810.56</v>
      </c>
      <c r="F820" t="s">
        <v>601</v>
      </c>
      <c r="G820" s="4" t="str">
        <f t="shared" si="74"/>
        <v>13810.56</v>
      </c>
      <c r="H820" t="str">
        <f t="shared" si="75"/>
        <v>13810.56</v>
      </c>
      <c r="I820" s="1">
        <v>45761</v>
      </c>
      <c r="J820" s="2">
        <f t="shared" si="76"/>
        <v>-7.9843799657937031E-2</v>
      </c>
      <c r="K820" s="3" t="str">
        <f t="shared" si="77"/>
        <v/>
      </c>
      <c r="L820" t="str">
        <f t="shared" si="78"/>
        <v/>
      </c>
      <c r="M820" t="str">
        <f t="shared" si="79"/>
        <v/>
      </c>
      <c r="N820">
        <v>15008.93</v>
      </c>
      <c r="O820" t="s">
        <v>509</v>
      </c>
      <c r="Q820" t="s">
        <v>19</v>
      </c>
    </row>
    <row r="821" spans="1:17" x14ac:dyDescent="0.3">
      <c r="A821">
        <v>36059</v>
      </c>
      <c r="B821" t="s">
        <v>81</v>
      </c>
      <c r="C821" t="s">
        <v>19</v>
      </c>
      <c r="D821" t="s">
        <v>82</v>
      </c>
      <c r="E821" s="6">
        <v>28395.97</v>
      </c>
      <c r="F821" t="s">
        <v>601</v>
      </c>
      <c r="G821" s="4" t="str">
        <f t="shared" si="74"/>
        <v>28395.97</v>
      </c>
      <c r="H821" t="str">
        <f t="shared" si="75"/>
        <v>28395.97</v>
      </c>
      <c r="I821" s="1">
        <v>45761</v>
      </c>
      <c r="J821" s="2">
        <f t="shared" si="76"/>
        <v>-7.7494027225585335E-2</v>
      </c>
      <c r="K821" s="3" t="str">
        <f t="shared" si="77"/>
        <v/>
      </c>
      <c r="L821" t="str">
        <f t="shared" si="78"/>
        <v/>
      </c>
      <c r="M821" t="str">
        <f t="shared" si="79"/>
        <v/>
      </c>
      <c r="N821">
        <v>30781.34</v>
      </c>
      <c r="O821" t="s">
        <v>510</v>
      </c>
      <c r="Q821" t="s">
        <v>19</v>
      </c>
    </row>
    <row r="822" spans="1:17" x14ac:dyDescent="0.3">
      <c r="A822">
        <v>36059</v>
      </c>
      <c r="B822" t="s">
        <v>81</v>
      </c>
      <c r="C822" t="s">
        <v>19</v>
      </c>
      <c r="D822" t="s">
        <v>84</v>
      </c>
      <c r="E822" s="6">
        <v>18282.099999999999</v>
      </c>
      <c r="F822" t="s">
        <v>601</v>
      </c>
      <c r="G822" s="4" t="str">
        <f t="shared" si="74"/>
        <v>18282.1</v>
      </c>
      <c r="H822" t="str">
        <f t="shared" si="75"/>
        <v>18282.1</v>
      </c>
      <c r="I822" s="1">
        <v>45761</v>
      </c>
      <c r="J822" s="2">
        <f t="shared" si="76"/>
        <v>-8.0493358232939405E-2</v>
      </c>
      <c r="K822" s="3" t="str">
        <f t="shared" si="77"/>
        <v/>
      </c>
      <c r="L822" t="str">
        <f t="shared" si="78"/>
        <v/>
      </c>
      <c r="M822" t="str">
        <f t="shared" si="79"/>
        <v/>
      </c>
      <c r="N822">
        <v>19882.509999999998</v>
      </c>
      <c r="O822" t="s">
        <v>511</v>
      </c>
      <c r="Q822" t="s">
        <v>19</v>
      </c>
    </row>
    <row r="823" spans="1:17" x14ac:dyDescent="0.3">
      <c r="A823">
        <v>36060</v>
      </c>
      <c r="B823" t="s">
        <v>86</v>
      </c>
      <c r="C823" t="s">
        <v>19</v>
      </c>
      <c r="D823" t="s">
        <v>87</v>
      </c>
      <c r="E823" s="6">
        <v>39167.980000000003</v>
      </c>
      <c r="F823" t="s">
        <v>601</v>
      </c>
      <c r="G823" s="4" t="str">
        <f t="shared" si="74"/>
        <v>39167.98</v>
      </c>
      <c r="H823" t="str">
        <f t="shared" si="75"/>
        <v>39167.98</v>
      </c>
      <c r="I823" s="1">
        <v>45761</v>
      </c>
      <c r="J823" s="2">
        <f t="shared" si="76"/>
        <v>-8.0107142395813777E-2</v>
      </c>
      <c r="K823" s="3" t="str">
        <f t="shared" si="77"/>
        <v/>
      </c>
      <c r="L823" t="str">
        <f t="shared" si="78"/>
        <v/>
      </c>
      <c r="M823" t="str">
        <f t="shared" si="79"/>
        <v/>
      </c>
      <c r="N823">
        <v>42578.85</v>
      </c>
      <c r="O823" t="s">
        <v>512</v>
      </c>
      <c r="Q823" t="s">
        <v>19</v>
      </c>
    </row>
    <row r="824" spans="1:17" x14ac:dyDescent="0.3">
      <c r="A824">
        <v>36060</v>
      </c>
      <c r="B824" t="s">
        <v>86</v>
      </c>
      <c r="C824" t="s">
        <v>19</v>
      </c>
      <c r="D824" t="s">
        <v>89</v>
      </c>
      <c r="E824" s="6">
        <v>6777.54</v>
      </c>
      <c r="F824" t="s">
        <v>601</v>
      </c>
      <c r="G824" s="4" t="str">
        <f t="shared" si="74"/>
        <v>6777.54</v>
      </c>
      <c r="H824" t="str">
        <f t="shared" si="75"/>
        <v>6777.54</v>
      </c>
      <c r="I824" s="1">
        <v>45761</v>
      </c>
      <c r="J824" s="2">
        <f t="shared" si="76"/>
        <v>-7.7113503135276512E-2</v>
      </c>
      <c r="K824" s="3" t="str">
        <f t="shared" si="77"/>
        <v/>
      </c>
      <c r="L824" t="str">
        <f t="shared" si="78"/>
        <v/>
      </c>
      <c r="M824" t="str">
        <f t="shared" si="79"/>
        <v/>
      </c>
      <c r="N824">
        <v>7343.85</v>
      </c>
      <c r="O824" t="s">
        <v>513</v>
      </c>
      <c r="Q824" t="s">
        <v>19</v>
      </c>
    </row>
    <row r="825" spans="1:17" x14ac:dyDescent="0.3">
      <c r="A825">
        <v>36355</v>
      </c>
      <c r="B825" t="s">
        <v>94</v>
      </c>
      <c r="C825" t="s">
        <v>19</v>
      </c>
      <c r="D825" t="s">
        <v>95</v>
      </c>
      <c r="E825" s="6">
        <v>420.56</v>
      </c>
      <c r="F825" t="s">
        <v>601</v>
      </c>
      <c r="G825" s="4" t="str">
        <f t="shared" si="74"/>
        <v>420.56</v>
      </c>
      <c r="H825" t="str">
        <f t="shared" si="75"/>
        <v>420.56</v>
      </c>
      <c r="I825" s="1">
        <v>45761</v>
      </c>
      <c r="J825" s="2">
        <f t="shared" si="76"/>
        <v>-8.9184389483258991E-2</v>
      </c>
      <c r="K825" s="3" t="str">
        <f t="shared" si="77"/>
        <v/>
      </c>
      <c r="L825" t="str">
        <f t="shared" si="78"/>
        <v/>
      </c>
      <c r="M825" t="str">
        <f t="shared" si="79"/>
        <v/>
      </c>
      <c r="N825">
        <v>461.74</v>
      </c>
      <c r="O825" t="s">
        <v>514</v>
      </c>
      <c r="Q825" t="s">
        <v>19</v>
      </c>
    </row>
    <row r="826" spans="1:17" x14ac:dyDescent="0.3">
      <c r="A826">
        <v>37040</v>
      </c>
      <c r="B826" t="s">
        <v>596</v>
      </c>
      <c r="C826" t="s">
        <v>19</v>
      </c>
      <c r="D826" t="s">
        <v>97</v>
      </c>
      <c r="E826" s="6">
        <v>20566.759999999998</v>
      </c>
      <c r="F826" t="s">
        <v>601</v>
      </c>
      <c r="G826" s="4" t="str">
        <f t="shared" si="74"/>
        <v>20566.76</v>
      </c>
      <c r="H826" t="str">
        <f t="shared" si="75"/>
        <v>20566.76</v>
      </c>
      <c r="I826" s="1">
        <v>45761</v>
      </c>
      <c r="J826" s="2">
        <f t="shared" si="76"/>
        <v>-7.9490484630395514E-2</v>
      </c>
      <c r="K826" s="3" t="str">
        <f t="shared" si="77"/>
        <v/>
      </c>
      <c r="L826" t="str">
        <f t="shared" si="78"/>
        <v/>
      </c>
      <c r="M826" t="str">
        <f t="shared" si="79"/>
        <v/>
      </c>
      <c r="N826">
        <v>22342.799999999999</v>
      </c>
      <c r="O826" t="s">
        <v>515</v>
      </c>
      <c r="Q826" t="s">
        <v>19</v>
      </c>
    </row>
    <row r="827" spans="1:17" x14ac:dyDescent="0.3">
      <c r="A827">
        <v>37041</v>
      </c>
      <c r="B827" t="s">
        <v>99</v>
      </c>
      <c r="C827" t="s">
        <v>19</v>
      </c>
      <c r="D827" t="s">
        <v>100</v>
      </c>
      <c r="E827" s="6">
        <v>3847.77</v>
      </c>
      <c r="F827" t="s">
        <v>601</v>
      </c>
      <c r="G827" s="4" t="str">
        <f t="shared" si="74"/>
        <v>3847.77</v>
      </c>
      <c r="H827" t="str">
        <f t="shared" si="75"/>
        <v>3847.77</v>
      </c>
      <c r="I827" s="1">
        <v>45761</v>
      </c>
      <c r="J827" s="2">
        <f t="shared" si="76"/>
        <v>-5.7612049963262309E-2</v>
      </c>
      <c r="K827" s="3" t="str">
        <f t="shared" si="77"/>
        <v/>
      </c>
      <c r="L827" t="str">
        <f t="shared" si="78"/>
        <v/>
      </c>
      <c r="M827" t="str">
        <f t="shared" si="79"/>
        <v/>
      </c>
      <c r="N827">
        <v>4083</v>
      </c>
      <c r="O827" t="s">
        <v>516</v>
      </c>
      <c r="Q827" t="s">
        <v>19</v>
      </c>
    </row>
    <row r="828" spans="1:17" x14ac:dyDescent="0.3">
      <c r="A828">
        <v>38586</v>
      </c>
      <c r="B828" t="s">
        <v>102</v>
      </c>
      <c r="C828" t="s">
        <v>19</v>
      </c>
      <c r="D828" t="s">
        <v>103</v>
      </c>
      <c r="E828" s="6">
        <v>2644.73</v>
      </c>
      <c r="F828" t="s">
        <v>601</v>
      </c>
      <c r="G828" s="4" t="str">
        <f t="shared" si="74"/>
        <v>2644.73</v>
      </c>
      <c r="H828" t="str">
        <f t="shared" si="75"/>
        <v>2644.73</v>
      </c>
      <c r="I828" s="1">
        <v>45761</v>
      </c>
      <c r="J828" s="2">
        <f t="shared" si="76"/>
        <v>-7.8311447529831615E-2</v>
      </c>
      <c r="K828" s="3" t="str">
        <f t="shared" si="77"/>
        <v/>
      </c>
      <c r="L828" t="str">
        <f t="shared" si="78"/>
        <v/>
      </c>
      <c r="M828" t="str">
        <f t="shared" si="79"/>
        <v/>
      </c>
      <c r="N828">
        <v>2869.44</v>
      </c>
      <c r="O828" t="s">
        <v>517</v>
      </c>
      <c r="Q828" t="s">
        <v>19</v>
      </c>
    </row>
    <row r="829" spans="1:17" x14ac:dyDescent="0.3">
      <c r="A829">
        <v>38842</v>
      </c>
      <c r="B829" t="s">
        <v>105</v>
      </c>
      <c r="C829" t="s">
        <v>19</v>
      </c>
      <c r="D829" t="s">
        <v>106</v>
      </c>
      <c r="E829" s="6">
        <v>1946</v>
      </c>
      <c r="F829" t="s">
        <v>601</v>
      </c>
      <c r="G829" s="4" t="str">
        <f t="shared" si="74"/>
        <v>1946</v>
      </c>
      <c r="H829" t="str">
        <f t="shared" si="75"/>
        <v>1946</v>
      </c>
      <c r="I829" s="1">
        <v>45761</v>
      </c>
      <c r="J829" s="2">
        <f t="shared" si="76"/>
        <v>-7.760708716281231E-2</v>
      </c>
      <c r="K829" s="3" t="str">
        <f t="shared" si="77"/>
        <v/>
      </c>
      <c r="L829" t="str">
        <f t="shared" si="78"/>
        <v/>
      </c>
      <c r="M829" t="str">
        <f t="shared" si="79"/>
        <v/>
      </c>
      <c r="N829">
        <v>2109.73</v>
      </c>
      <c r="O829" t="s">
        <v>518</v>
      </c>
      <c r="Q829" t="s">
        <v>19</v>
      </c>
    </row>
    <row r="830" spans="1:17" x14ac:dyDescent="0.3">
      <c r="A830">
        <v>38851</v>
      </c>
      <c r="B830" t="s">
        <v>108</v>
      </c>
      <c r="C830" t="s">
        <v>19</v>
      </c>
      <c r="D830" t="s">
        <v>109</v>
      </c>
      <c r="E830" s="6">
        <v>158.63999999999999</v>
      </c>
      <c r="F830" t="s">
        <v>601</v>
      </c>
      <c r="G830" s="4" t="str">
        <f t="shared" si="74"/>
        <v>158.64</v>
      </c>
      <c r="H830" t="str">
        <f t="shared" si="75"/>
        <v>158.64</v>
      </c>
      <c r="I830" s="1">
        <v>45761</v>
      </c>
      <c r="J830" s="2">
        <f t="shared" si="76"/>
        <v>-9.550145390273107E-2</v>
      </c>
      <c r="K830" s="3" t="str">
        <f t="shared" si="77"/>
        <v/>
      </c>
      <c r="L830" t="str">
        <f t="shared" si="78"/>
        <v/>
      </c>
      <c r="M830" t="str">
        <f t="shared" si="79"/>
        <v/>
      </c>
      <c r="N830">
        <v>175.39</v>
      </c>
      <c r="O830" t="s">
        <v>519</v>
      </c>
      <c r="Q830" t="s">
        <v>19</v>
      </c>
    </row>
    <row r="831" spans="1:17" x14ac:dyDescent="0.3">
      <c r="A831">
        <v>38887</v>
      </c>
      <c r="B831" t="s">
        <v>111</v>
      </c>
      <c r="C831" t="s">
        <v>19</v>
      </c>
      <c r="D831" t="s">
        <v>112</v>
      </c>
      <c r="E831" s="6">
        <v>964.33</v>
      </c>
      <c r="F831" t="s">
        <v>601</v>
      </c>
      <c r="G831" s="4" t="str">
        <f t="shared" si="74"/>
        <v>964.33</v>
      </c>
      <c r="H831" t="str">
        <f t="shared" si="75"/>
        <v>964.33</v>
      </c>
      <c r="I831" s="1">
        <v>45761</v>
      </c>
      <c r="J831" s="2">
        <f t="shared" si="76"/>
        <v>-8.0942759659188332E-2</v>
      </c>
      <c r="K831" s="3" t="str">
        <f t="shared" si="77"/>
        <v/>
      </c>
      <c r="L831" t="str">
        <f t="shared" si="78"/>
        <v/>
      </c>
      <c r="M831" t="str">
        <f t="shared" si="79"/>
        <v/>
      </c>
      <c r="N831">
        <v>1049.26</v>
      </c>
      <c r="O831" t="s">
        <v>520</v>
      </c>
      <c r="Q831" t="s">
        <v>19</v>
      </c>
    </row>
    <row r="832" spans="1:17" x14ac:dyDescent="0.3">
      <c r="A832">
        <v>46589</v>
      </c>
      <c r="B832" t="s">
        <v>638</v>
      </c>
      <c r="C832" t="s">
        <v>19</v>
      </c>
      <c r="D832" t="s">
        <v>118</v>
      </c>
      <c r="E832" s="6">
        <v>48691.17</v>
      </c>
      <c r="F832" t="s">
        <v>601</v>
      </c>
      <c r="G832" s="4" t="str">
        <f t="shared" si="74"/>
        <v>48691.17</v>
      </c>
      <c r="H832" t="str">
        <f t="shared" si="75"/>
        <v>48691.17</v>
      </c>
      <c r="I832" s="1">
        <v>45761</v>
      </c>
      <c r="J832" s="2">
        <f t="shared" si="76"/>
        <v>-7.9521634975295741E-2</v>
      </c>
      <c r="K832" s="3" t="str">
        <f t="shared" si="77"/>
        <v/>
      </c>
      <c r="L832" t="str">
        <f t="shared" si="78"/>
        <v/>
      </c>
      <c r="M832" t="str">
        <f t="shared" si="79"/>
        <v/>
      </c>
      <c r="N832">
        <v>52897.68</v>
      </c>
      <c r="O832" t="s">
        <v>521</v>
      </c>
      <c r="Q832" t="s">
        <v>19</v>
      </c>
    </row>
    <row r="833" spans="1:17" x14ac:dyDescent="0.3">
      <c r="A833">
        <v>46589</v>
      </c>
      <c r="B833" t="s">
        <v>638</v>
      </c>
      <c r="C833" t="s">
        <v>19</v>
      </c>
      <c r="D833" t="s">
        <v>120</v>
      </c>
      <c r="E833" s="6">
        <v>2280.64</v>
      </c>
      <c r="F833" t="s">
        <v>601</v>
      </c>
      <c r="G833" s="4" t="str">
        <f t="shared" si="74"/>
        <v>2280.64</v>
      </c>
      <c r="H833" t="str">
        <f t="shared" si="75"/>
        <v>2280.64</v>
      </c>
      <c r="I833" s="1">
        <v>45761</v>
      </c>
      <c r="J833" s="2">
        <f t="shared" si="76"/>
        <v>-7.8134473754416109E-2</v>
      </c>
      <c r="K833" s="3" t="str">
        <f t="shared" si="77"/>
        <v/>
      </c>
      <c r="L833" t="str">
        <f t="shared" si="78"/>
        <v/>
      </c>
      <c r="M833" t="str">
        <f t="shared" si="79"/>
        <v/>
      </c>
      <c r="N833">
        <v>2473.94</v>
      </c>
      <c r="O833" t="s">
        <v>522</v>
      </c>
      <c r="Q833" t="s">
        <v>19</v>
      </c>
    </row>
    <row r="834" spans="1:17" x14ac:dyDescent="0.3">
      <c r="A834">
        <v>54985</v>
      </c>
      <c r="B834" t="s">
        <v>122</v>
      </c>
      <c r="C834" t="s">
        <v>19</v>
      </c>
      <c r="D834" t="s">
        <v>123</v>
      </c>
      <c r="E834" s="6">
        <v>977.58</v>
      </c>
      <c r="F834" t="s">
        <v>601</v>
      </c>
      <c r="G834" s="4" t="str">
        <f t="shared" si="74"/>
        <v>977.58</v>
      </c>
      <c r="H834" t="str">
        <f t="shared" si="75"/>
        <v>977.58</v>
      </c>
      <c r="I834" s="1">
        <v>45761</v>
      </c>
      <c r="J834" s="2">
        <f t="shared" si="76"/>
        <v>-8.1023153501226713E-2</v>
      </c>
      <c r="K834" s="3" t="str">
        <f t="shared" si="77"/>
        <v/>
      </c>
      <c r="L834" t="str">
        <f t="shared" si="78"/>
        <v/>
      </c>
      <c r="M834" t="str">
        <f t="shared" si="79"/>
        <v/>
      </c>
      <c r="N834">
        <v>1063.77</v>
      </c>
      <c r="O834" t="s">
        <v>523</v>
      </c>
      <c r="Q834" t="s">
        <v>19</v>
      </c>
    </row>
    <row r="835" spans="1:17" x14ac:dyDescent="0.3">
      <c r="A835">
        <v>69046</v>
      </c>
      <c r="B835" t="s">
        <v>131</v>
      </c>
      <c r="C835" t="s">
        <v>19</v>
      </c>
      <c r="D835" t="s">
        <v>132</v>
      </c>
      <c r="E835" s="6">
        <v>36682.120000000003</v>
      </c>
      <c r="F835" t="s">
        <v>601</v>
      </c>
      <c r="G835" s="4" t="str">
        <f t="shared" ref="G835:G898" si="80">SUBSTITUTE(E835,"R","")</f>
        <v>36682.12</v>
      </c>
      <c r="H835" t="str">
        <f t="shared" ref="H835:H898" si="81">SUBSTITUTE(G835,",","")</f>
        <v>36682.12</v>
      </c>
      <c r="I835" s="1">
        <v>45761</v>
      </c>
      <c r="J835" s="2">
        <f t="shared" ref="J835:J898" si="82">(H835-N835)/N835</f>
        <v>-7.8810398092634848E-2</v>
      </c>
      <c r="K835" s="3" t="str">
        <f t="shared" ref="K835:K898" si="83">IF(ABS(J835)&gt;0.1,"Check!","")</f>
        <v/>
      </c>
      <c r="L835" t="str">
        <f t="shared" ref="L835:L898" si="84">IF(LEFT(O835,10)&lt;&gt;LEFT(D835,10),"Check","")</f>
        <v/>
      </c>
      <c r="M835" t="str">
        <f t="shared" ref="M835:M898" si="85">IF(Q835&lt;&gt;C835,"Check","")</f>
        <v/>
      </c>
      <c r="N835">
        <v>39820.379999999997</v>
      </c>
      <c r="O835" t="s">
        <v>524</v>
      </c>
      <c r="Q835" t="s">
        <v>19</v>
      </c>
    </row>
    <row r="836" spans="1:17" x14ac:dyDescent="0.3">
      <c r="A836">
        <v>72002</v>
      </c>
      <c r="B836" t="s">
        <v>134</v>
      </c>
      <c r="C836" t="s">
        <v>19</v>
      </c>
      <c r="D836" t="s">
        <v>137</v>
      </c>
      <c r="E836" s="6">
        <v>39444.92</v>
      </c>
      <c r="F836" t="s">
        <v>601</v>
      </c>
      <c r="G836" s="4" t="str">
        <f t="shared" si="80"/>
        <v>39444.92</v>
      </c>
      <c r="H836" t="str">
        <f t="shared" si="81"/>
        <v>39444.92</v>
      </c>
      <c r="I836" s="1">
        <v>45761</v>
      </c>
      <c r="J836" s="2">
        <f t="shared" si="82"/>
        <v>-8.0536066392680197E-2</v>
      </c>
      <c r="K836" s="3" t="str">
        <f t="shared" si="83"/>
        <v/>
      </c>
      <c r="L836" t="str">
        <f t="shared" si="84"/>
        <v/>
      </c>
      <c r="M836" t="str">
        <f t="shared" si="85"/>
        <v/>
      </c>
      <c r="N836">
        <v>42899.91</v>
      </c>
      <c r="O836" t="s">
        <v>525</v>
      </c>
      <c r="Q836" t="s">
        <v>19</v>
      </c>
    </row>
    <row r="837" spans="1:17" x14ac:dyDescent="0.3">
      <c r="A837">
        <v>72002</v>
      </c>
      <c r="B837" t="s">
        <v>134</v>
      </c>
      <c r="C837" t="s">
        <v>19</v>
      </c>
      <c r="D837" t="s">
        <v>139</v>
      </c>
      <c r="E837" s="6">
        <v>5934.12</v>
      </c>
      <c r="F837" t="s">
        <v>601</v>
      </c>
      <c r="G837" s="4" t="str">
        <f t="shared" si="80"/>
        <v>5934.12</v>
      </c>
      <c r="H837" t="str">
        <f t="shared" si="81"/>
        <v>5934.12</v>
      </c>
      <c r="I837" s="1">
        <v>45761</v>
      </c>
      <c r="J837" s="2">
        <f t="shared" si="82"/>
        <v>-5.1631802774088645E-2</v>
      </c>
      <c r="K837" s="3" t="str">
        <f t="shared" si="83"/>
        <v/>
      </c>
      <c r="L837" t="str">
        <f t="shared" si="84"/>
        <v/>
      </c>
      <c r="M837" t="str">
        <f t="shared" si="85"/>
        <v/>
      </c>
      <c r="N837">
        <v>6257.19</v>
      </c>
      <c r="O837" t="s">
        <v>526</v>
      </c>
      <c r="Q837" t="s">
        <v>19</v>
      </c>
    </row>
    <row r="838" spans="1:17" x14ac:dyDescent="0.3">
      <c r="A838">
        <v>80212</v>
      </c>
      <c r="B838" t="s">
        <v>141</v>
      </c>
      <c r="C838" t="s">
        <v>590</v>
      </c>
      <c r="D838" t="s">
        <v>142</v>
      </c>
      <c r="E838" s="6">
        <v>285.94</v>
      </c>
      <c r="F838" t="s">
        <v>601</v>
      </c>
      <c r="G838" s="4" t="str">
        <f t="shared" si="80"/>
        <v>285.94</v>
      </c>
      <c r="H838" t="str">
        <f t="shared" si="81"/>
        <v>285.94</v>
      </c>
      <c r="I838" s="1">
        <v>45761</v>
      </c>
      <c r="J838" s="2">
        <f t="shared" si="82"/>
        <v>-6.768829475057056E-2</v>
      </c>
      <c r="K838" s="3" t="str">
        <f t="shared" si="83"/>
        <v/>
      </c>
      <c r="L838" t="str">
        <f t="shared" si="84"/>
        <v/>
      </c>
      <c r="M838" t="str">
        <f t="shared" si="85"/>
        <v>Check</v>
      </c>
      <c r="N838">
        <v>306.7</v>
      </c>
      <c r="O838" t="s">
        <v>527</v>
      </c>
      <c r="Q838" t="s">
        <v>16</v>
      </c>
    </row>
    <row r="839" spans="1:17" x14ac:dyDescent="0.3">
      <c r="A839">
        <v>81381</v>
      </c>
      <c r="B839" t="s">
        <v>593</v>
      </c>
      <c r="C839" t="s">
        <v>19</v>
      </c>
      <c r="D839" t="s">
        <v>146</v>
      </c>
      <c r="E839" s="6">
        <v>2771.68</v>
      </c>
      <c r="F839" t="s">
        <v>601</v>
      </c>
      <c r="G839" s="4" t="str">
        <f t="shared" si="80"/>
        <v>2771.68</v>
      </c>
      <c r="H839" t="str">
        <f t="shared" si="81"/>
        <v>2771.68</v>
      </c>
      <c r="I839" s="1">
        <v>45761</v>
      </c>
      <c r="J839" s="2">
        <f t="shared" si="82"/>
        <v>-5.7161906576136491E-2</v>
      </c>
      <c r="K839" s="3" t="str">
        <f t="shared" si="83"/>
        <v/>
      </c>
      <c r="L839" t="str">
        <f t="shared" si="84"/>
        <v/>
      </c>
      <c r="M839" t="str">
        <f t="shared" si="85"/>
        <v/>
      </c>
      <c r="N839">
        <v>2939.72</v>
      </c>
      <c r="O839" t="s">
        <v>528</v>
      </c>
      <c r="Q839" t="s">
        <v>19</v>
      </c>
    </row>
    <row r="840" spans="1:17" x14ac:dyDescent="0.3">
      <c r="A840">
        <v>81381</v>
      </c>
      <c r="B840" t="s">
        <v>593</v>
      </c>
      <c r="C840" t="s">
        <v>19</v>
      </c>
      <c r="D840" t="s">
        <v>148</v>
      </c>
      <c r="E840" s="6">
        <v>91228.22</v>
      </c>
      <c r="F840" t="s">
        <v>601</v>
      </c>
      <c r="G840" s="4" t="str">
        <f t="shared" si="80"/>
        <v>91228.22</v>
      </c>
      <c r="H840" t="str">
        <f t="shared" si="81"/>
        <v>91228.22</v>
      </c>
      <c r="I840" s="1">
        <v>45761</v>
      </c>
      <c r="J840" s="2">
        <f t="shared" si="82"/>
        <v>-8.0220493284863609E-2</v>
      </c>
      <c r="K840" s="3" t="str">
        <f t="shared" si="83"/>
        <v/>
      </c>
      <c r="L840" t="str">
        <f t="shared" si="84"/>
        <v/>
      </c>
      <c r="M840" t="str">
        <f t="shared" si="85"/>
        <v/>
      </c>
      <c r="N840">
        <v>99184.88</v>
      </c>
      <c r="O840" t="s">
        <v>529</v>
      </c>
      <c r="Q840" t="s">
        <v>19</v>
      </c>
    </row>
    <row r="841" spans="1:17" x14ac:dyDescent="0.3">
      <c r="A841">
        <v>113590</v>
      </c>
      <c r="B841" t="s">
        <v>150</v>
      </c>
      <c r="C841" t="s">
        <v>19</v>
      </c>
      <c r="D841" t="s">
        <v>151</v>
      </c>
      <c r="E841" s="6">
        <v>10719.06</v>
      </c>
      <c r="F841" t="s">
        <v>601</v>
      </c>
      <c r="G841" s="4" t="str">
        <f t="shared" si="80"/>
        <v>10719.06</v>
      </c>
      <c r="H841" t="str">
        <f t="shared" si="81"/>
        <v>10719.06</v>
      </c>
      <c r="I841" s="1">
        <v>45761</v>
      </c>
      <c r="J841" s="2">
        <f t="shared" si="82"/>
        <v>-8.0763547706295388E-2</v>
      </c>
      <c r="K841" s="3" t="str">
        <f t="shared" si="83"/>
        <v/>
      </c>
      <c r="L841" t="str">
        <f t="shared" si="84"/>
        <v/>
      </c>
      <c r="M841" t="str">
        <f t="shared" si="85"/>
        <v/>
      </c>
      <c r="N841">
        <v>11660.83</v>
      </c>
      <c r="O841" t="s">
        <v>530</v>
      </c>
      <c r="Q841" t="s">
        <v>19</v>
      </c>
    </row>
    <row r="842" spans="1:17" x14ac:dyDescent="0.3">
      <c r="A842">
        <v>113590</v>
      </c>
      <c r="B842" t="s">
        <v>150</v>
      </c>
      <c r="C842" t="s">
        <v>19</v>
      </c>
      <c r="D842" t="s">
        <v>153</v>
      </c>
      <c r="E842" s="6">
        <v>2872.98</v>
      </c>
      <c r="F842" t="s">
        <v>601</v>
      </c>
      <c r="G842" s="4" t="str">
        <f t="shared" si="80"/>
        <v>2872.98</v>
      </c>
      <c r="H842" t="str">
        <f t="shared" si="81"/>
        <v>2872.98</v>
      </c>
      <c r="I842" s="1">
        <v>45761</v>
      </c>
      <c r="J842" s="2">
        <f t="shared" si="82"/>
        <v>-7.8428730898033025E-2</v>
      </c>
      <c r="K842" s="3" t="str">
        <f t="shared" si="83"/>
        <v/>
      </c>
      <c r="L842" t="str">
        <f t="shared" si="84"/>
        <v/>
      </c>
      <c r="M842" t="str">
        <f t="shared" si="85"/>
        <v/>
      </c>
      <c r="N842">
        <v>3117.48</v>
      </c>
      <c r="O842" t="s">
        <v>531</v>
      </c>
      <c r="Q842" t="s">
        <v>19</v>
      </c>
    </row>
    <row r="843" spans="1:17" x14ac:dyDescent="0.3">
      <c r="A843">
        <v>130912</v>
      </c>
      <c r="B843" t="s">
        <v>604</v>
      </c>
      <c r="C843" t="s">
        <v>590</v>
      </c>
      <c r="D843" t="s">
        <v>605</v>
      </c>
      <c r="E843" s="6">
        <v>9903.77</v>
      </c>
      <c r="F843" t="s">
        <v>601</v>
      </c>
      <c r="G843" s="4" t="str">
        <f t="shared" si="80"/>
        <v>9903.77</v>
      </c>
      <c r="H843" t="str">
        <f t="shared" si="81"/>
        <v>9903.77</v>
      </c>
      <c r="I843" s="1">
        <v>45761</v>
      </c>
      <c r="J843" s="2">
        <f t="shared" si="82"/>
        <v>-8.0271913002697703E-2</v>
      </c>
      <c r="K843" s="3" t="str">
        <f t="shared" si="83"/>
        <v/>
      </c>
      <c r="L843" t="str">
        <f t="shared" si="84"/>
        <v/>
      </c>
      <c r="M843" t="str">
        <f t="shared" si="85"/>
        <v/>
      </c>
      <c r="N843">
        <v>10768.15</v>
      </c>
      <c r="O843" t="s">
        <v>687</v>
      </c>
      <c r="Q843" t="s">
        <v>590</v>
      </c>
    </row>
    <row r="844" spans="1:17" x14ac:dyDescent="0.3">
      <c r="A844">
        <v>100202693</v>
      </c>
      <c r="B844" t="s">
        <v>594</v>
      </c>
      <c r="C844" t="s">
        <v>590</v>
      </c>
      <c r="D844" t="s">
        <v>599</v>
      </c>
      <c r="E844" s="6">
        <v>32077.26</v>
      </c>
      <c r="F844" t="s">
        <v>601</v>
      </c>
      <c r="G844" s="4" t="str">
        <f t="shared" si="80"/>
        <v>32077.26</v>
      </c>
      <c r="H844" t="str">
        <f t="shared" si="81"/>
        <v>32077.26</v>
      </c>
      <c r="I844" s="1">
        <v>45761</v>
      </c>
      <c r="J844" s="2">
        <f t="shared" si="82"/>
        <v>-8.064635394126296E-2</v>
      </c>
      <c r="K844" s="3" t="str">
        <f t="shared" si="83"/>
        <v/>
      </c>
      <c r="L844" t="str">
        <f t="shared" si="84"/>
        <v/>
      </c>
      <c r="M844" t="str">
        <f t="shared" si="85"/>
        <v/>
      </c>
      <c r="N844">
        <v>34891.1</v>
      </c>
      <c r="O844" t="s">
        <v>688</v>
      </c>
      <c r="Q844" t="s">
        <v>590</v>
      </c>
    </row>
    <row r="845" spans="1:17" x14ac:dyDescent="0.3">
      <c r="A845">
        <v>100202693</v>
      </c>
      <c r="B845" t="s">
        <v>594</v>
      </c>
      <c r="C845" t="s">
        <v>19</v>
      </c>
      <c r="D845" t="s">
        <v>597</v>
      </c>
      <c r="E845" s="6">
        <v>25189.4</v>
      </c>
      <c r="F845" t="s">
        <v>601</v>
      </c>
      <c r="G845" s="4" t="str">
        <f t="shared" si="80"/>
        <v>25189.4</v>
      </c>
      <c r="H845" t="str">
        <f t="shared" si="81"/>
        <v>25189.4</v>
      </c>
      <c r="I845" s="1">
        <v>45761</v>
      </c>
      <c r="J845" s="2">
        <f t="shared" si="82"/>
        <v>-8.0737544134954833E-2</v>
      </c>
      <c r="K845" s="3" t="str">
        <f t="shared" si="83"/>
        <v/>
      </c>
      <c r="L845" t="str">
        <f t="shared" si="84"/>
        <v/>
      </c>
      <c r="M845" t="str">
        <f t="shared" si="85"/>
        <v/>
      </c>
      <c r="N845">
        <v>27401.75</v>
      </c>
      <c r="O845" t="s">
        <v>689</v>
      </c>
      <c r="Q845" t="s">
        <v>19</v>
      </c>
    </row>
    <row r="846" spans="1:17" x14ac:dyDescent="0.3">
      <c r="A846">
        <v>100202693</v>
      </c>
      <c r="B846" t="s">
        <v>594</v>
      </c>
      <c r="C846" t="s">
        <v>19</v>
      </c>
      <c r="D846" t="s">
        <v>598</v>
      </c>
      <c r="E846" s="6">
        <v>98225.21</v>
      </c>
      <c r="F846" t="s">
        <v>601</v>
      </c>
      <c r="G846" s="4" t="str">
        <f t="shared" si="80"/>
        <v>98225.21</v>
      </c>
      <c r="H846" t="str">
        <f t="shared" si="81"/>
        <v>98225.21</v>
      </c>
      <c r="I846" s="1">
        <v>45761</v>
      </c>
      <c r="J846" s="2">
        <f t="shared" si="82"/>
        <v>-8.0430019867724495E-2</v>
      </c>
      <c r="K846" s="3" t="str">
        <f t="shared" si="83"/>
        <v/>
      </c>
      <c r="L846" t="str">
        <f t="shared" si="84"/>
        <v/>
      </c>
      <c r="M846" t="str">
        <f t="shared" si="85"/>
        <v/>
      </c>
      <c r="N846">
        <v>106816.46</v>
      </c>
      <c r="O846" t="s">
        <v>690</v>
      </c>
      <c r="Q846" t="s">
        <v>19</v>
      </c>
    </row>
    <row r="847" spans="1:17" x14ac:dyDescent="0.3">
      <c r="A847">
        <v>100220898</v>
      </c>
      <c r="B847" t="s">
        <v>166</v>
      </c>
      <c r="C847" t="s">
        <v>19</v>
      </c>
      <c r="D847" t="s">
        <v>167</v>
      </c>
      <c r="E847" s="6">
        <v>29634.720000000001</v>
      </c>
      <c r="F847" t="s">
        <v>601</v>
      </c>
      <c r="G847" s="4" t="str">
        <f t="shared" si="80"/>
        <v>29634.72</v>
      </c>
      <c r="H847" t="str">
        <f t="shared" si="81"/>
        <v>29634.72</v>
      </c>
      <c r="I847" s="1">
        <v>45761</v>
      </c>
      <c r="J847" s="2">
        <f t="shared" si="82"/>
        <v>-8.0666641642115122E-2</v>
      </c>
      <c r="K847" s="3" t="str">
        <f t="shared" si="83"/>
        <v/>
      </c>
      <c r="L847" t="str">
        <f t="shared" si="84"/>
        <v/>
      </c>
      <c r="M847" t="str">
        <f t="shared" si="85"/>
        <v/>
      </c>
      <c r="N847">
        <v>32235.01</v>
      </c>
      <c r="O847" t="s">
        <v>532</v>
      </c>
      <c r="Q847" t="s">
        <v>19</v>
      </c>
    </row>
    <row r="848" spans="1:17" x14ac:dyDescent="0.3">
      <c r="A848">
        <v>100220898</v>
      </c>
      <c r="B848" t="s">
        <v>166</v>
      </c>
      <c r="C848" t="s">
        <v>19</v>
      </c>
      <c r="D848" t="s">
        <v>169</v>
      </c>
      <c r="E848" s="6">
        <v>21894.560000000001</v>
      </c>
      <c r="F848" t="s">
        <v>601</v>
      </c>
      <c r="G848" s="4" t="str">
        <f t="shared" si="80"/>
        <v>21894.56</v>
      </c>
      <c r="H848" t="str">
        <f t="shared" si="81"/>
        <v>21894.56</v>
      </c>
      <c r="I848" s="1">
        <v>45761</v>
      </c>
      <c r="J848" s="2">
        <f t="shared" si="82"/>
        <v>-8.0676991395685835E-2</v>
      </c>
      <c r="K848" s="3" t="str">
        <f t="shared" si="83"/>
        <v/>
      </c>
      <c r="L848" t="str">
        <f t="shared" si="84"/>
        <v/>
      </c>
      <c r="M848" t="str">
        <f t="shared" si="85"/>
        <v/>
      </c>
      <c r="N848">
        <v>23815.96</v>
      </c>
      <c r="O848" t="s">
        <v>533</v>
      </c>
      <c r="Q848" t="s">
        <v>19</v>
      </c>
    </row>
    <row r="849" spans="1:17" x14ac:dyDescent="0.3">
      <c r="A849">
        <v>100247003</v>
      </c>
      <c r="B849" t="s">
        <v>105</v>
      </c>
      <c r="C849" t="s">
        <v>19</v>
      </c>
      <c r="D849" t="s">
        <v>171</v>
      </c>
      <c r="E849" s="6">
        <v>11598.52</v>
      </c>
      <c r="F849" t="s">
        <v>601</v>
      </c>
      <c r="G849" s="4" t="str">
        <f t="shared" si="80"/>
        <v>11598.52</v>
      </c>
      <c r="H849" t="str">
        <f t="shared" si="81"/>
        <v>11598.52</v>
      </c>
      <c r="I849" s="1">
        <v>45761</v>
      </c>
      <c r="J849" s="2">
        <f t="shared" si="82"/>
        <v>-8.0320469921055987E-2</v>
      </c>
      <c r="K849" s="3" t="str">
        <f t="shared" si="83"/>
        <v/>
      </c>
      <c r="L849" t="str">
        <f t="shared" si="84"/>
        <v/>
      </c>
      <c r="M849" t="str">
        <f t="shared" si="85"/>
        <v/>
      </c>
      <c r="N849">
        <v>12611.48</v>
      </c>
      <c r="O849" t="s">
        <v>534</v>
      </c>
      <c r="Q849" t="s">
        <v>19</v>
      </c>
    </row>
    <row r="850" spans="1:17" x14ac:dyDescent="0.3">
      <c r="A850">
        <v>100249944</v>
      </c>
      <c r="B850" t="s">
        <v>173</v>
      </c>
      <c r="C850" t="s">
        <v>19</v>
      </c>
      <c r="D850" t="s">
        <v>174</v>
      </c>
      <c r="E850" s="6">
        <v>23958.99</v>
      </c>
      <c r="F850" t="s">
        <v>601</v>
      </c>
      <c r="G850" s="4" t="str">
        <f t="shared" si="80"/>
        <v>23958.99</v>
      </c>
      <c r="H850" t="str">
        <f t="shared" si="81"/>
        <v>23958.99</v>
      </c>
      <c r="I850" s="1">
        <v>45761</v>
      </c>
      <c r="J850" s="2">
        <f t="shared" si="82"/>
        <v>-8.0748661255030427E-2</v>
      </c>
      <c r="K850" s="3" t="str">
        <f t="shared" si="83"/>
        <v/>
      </c>
      <c r="L850" t="str">
        <f t="shared" si="84"/>
        <v/>
      </c>
      <c r="M850" t="str">
        <f t="shared" si="85"/>
        <v/>
      </c>
      <c r="N850">
        <v>26063.59</v>
      </c>
      <c r="O850" t="s">
        <v>535</v>
      </c>
      <c r="Q850" t="s">
        <v>19</v>
      </c>
    </row>
    <row r="851" spans="1:17" x14ac:dyDescent="0.3">
      <c r="A851">
        <v>100250182</v>
      </c>
      <c r="B851" t="s">
        <v>176</v>
      </c>
      <c r="C851" t="s">
        <v>19</v>
      </c>
      <c r="D851" t="s">
        <v>177</v>
      </c>
      <c r="E851" s="6">
        <v>46569.36</v>
      </c>
      <c r="F851" t="s">
        <v>601</v>
      </c>
      <c r="G851" s="4" t="str">
        <f t="shared" si="80"/>
        <v>46569.36</v>
      </c>
      <c r="H851" t="str">
        <f t="shared" si="81"/>
        <v>46569.36</v>
      </c>
      <c r="I851" s="1">
        <v>45761</v>
      </c>
      <c r="J851" s="2">
        <f t="shared" si="82"/>
        <v>-8.0479034159972346E-2</v>
      </c>
      <c r="K851" s="3" t="str">
        <f t="shared" si="83"/>
        <v/>
      </c>
      <c r="L851" t="str">
        <f t="shared" si="84"/>
        <v/>
      </c>
      <c r="M851" t="str">
        <f t="shared" si="85"/>
        <v/>
      </c>
      <c r="N851">
        <v>50645.24</v>
      </c>
      <c r="O851" t="s">
        <v>536</v>
      </c>
      <c r="Q851" t="s">
        <v>19</v>
      </c>
    </row>
    <row r="852" spans="1:17" x14ac:dyDescent="0.3">
      <c r="A852">
        <v>100273792</v>
      </c>
      <c r="B852" t="s">
        <v>182</v>
      </c>
      <c r="C852" t="s">
        <v>19</v>
      </c>
      <c r="D852" t="s">
        <v>183</v>
      </c>
      <c r="E852" s="6">
        <v>25344.82</v>
      </c>
      <c r="F852" t="s">
        <v>601</v>
      </c>
      <c r="G852" s="4" t="str">
        <f t="shared" si="80"/>
        <v>25344.82</v>
      </c>
      <c r="H852" t="str">
        <f t="shared" si="81"/>
        <v>25344.82</v>
      </c>
      <c r="I852" s="1">
        <v>45761</v>
      </c>
      <c r="J852" s="2">
        <f t="shared" si="82"/>
        <v>-8.0936874474195689E-2</v>
      </c>
      <c r="K852" s="3" t="str">
        <f t="shared" si="83"/>
        <v/>
      </c>
      <c r="L852" t="str">
        <f t="shared" si="84"/>
        <v/>
      </c>
      <c r="M852" t="str">
        <f t="shared" si="85"/>
        <v/>
      </c>
      <c r="N852">
        <v>27576.799999999999</v>
      </c>
      <c r="O852" t="s">
        <v>537</v>
      </c>
      <c r="Q852" t="s">
        <v>19</v>
      </c>
    </row>
    <row r="853" spans="1:17" x14ac:dyDescent="0.3">
      <c r="A853">
        <v>100273792</v>
      </c>
      <c r="B853" t="s">
        <v>182</v>
      </c>
      <c r="C853" t="s">
        <v>19</v>
      </c>
      <c r="D853" t="s">
        <v>185</v>
      </c>
      <c r="E853" s="6">
        <v>34806.71</v>
      </c>
      <c r="F853" t="s">
        <v>601</v>
      </c>
      <c r="G853" s="4" t="str">
        <f t="shared" si="80"/>
        <v>34806.71</v>
      </c>
      <c r="H853" t="str">
        <f t="shared" si="81"/>
        <v>34806.71</v>
      </c>
      <c r="I853" s="1">
        <v>45761</v>
      </c>
      <c r="J853" s="2">
        <f t="shared" si="82"/>
        <v>-8.0740579539434212E-2</v>
      </c>
      <c r="K853" s="3" t="str">
        <f t="shared" si="83"/>
        <v/>
      </c>
      <c r="L853" t="str">
        <f t="shared" si="84"/>
        <v/>
      </c>
      <c r="M853" t="str">
        <f t="shared" si="85"/>
        <v/>
      </c>
      <c r="N853">
        <v>37863.86</v>
      </c>
      <c r="O853" t="s">
        <v>538</v>
      </c>
      <c r="Q853" t="s">
        <v>19</v>
      </c>
    </row>
    <row r="854" spans="1:17" x14ac:dyDescent="0.3">
      <c r="A854">
        <v>100278188</v>
      </c>
      <c r="B854" t="s">
        <v>187</v>
      </c>
      <c r="C854" t="s">
        <v>19</v>
      </c>
      <c r="D854" t="s">
        <v>192</v>
      </c>
      <c r="E854" s="6">
        <v>9690.7099999999991</v>
      </c>
      <c r="F854" t="s">
        <v>601</v>
      </c>
      <c r="G854" s="4" t="str">
        <f t="shared" si="80"/>
        <v>9690.71</v>
      </c>
      <c r="H854" t="str">
        <f t="shared" si="81"/>
        <v>9690.71</v>
      </c>
      <c r="I854" s="1">
        <v>45761</v>
      </c>
      <c r="J854" s="2">
        <f t="shared" si="82"/>
        <v>-7.8489099106038393E-2</v>
      </c>
      <c r="K854" s="3" t="str">
        <f t="shared" si="83"/>
        <v/>
      </c>
      <c r="L854" t="str">
        <f t="shared" si="84"/>
        <v/>
      </c>
      <c r="M854" t="str">
        <f t="shared" si="85"/>
        <v/>
      </c>
      <c r="N854">
        <v>10516.11</v>
      </c>
      <c r="O854" t="s">
        <v>540</v>
      </c>
      <c r="Q854" t="s">
        <v>19</v>
      </c>
    </row>
    <row r="855" spans="1:17" x14ac:dyDescent="0.3">
      <c r="A855">
        <v>100278188</v>
      </c>
      <c r="B855" t="s">
        <v>187</v>
      </c>
      <c r="C855" t="s">
        <v>19</v>
      </c>
      <c r="D855" t="s">
        <v>194</v>
      </c>
      <c r="E855" s="6">
        <v>17725.23</v>
      </c>
      <c r="F855" t="s">
        <v>601</v>
      </c>
      <c r="G855" s="4" t="str">
        <f t="shared" si="80"/>
        <v>17725.23</v>
      </c>
      <c r="H855" t="str">
        <f t="shared" si="81"/>
        <v>17725.23</v>
      </c>
      <c r="I855" s="1">
        <v>45761</v>
      </c>
      <c r="J855" s="2">
        <f t="shared" si="82"/>
        <v>-7.8880577701975874E-2</v>
      </c>
      <c r="K855" s="3" t="str">
        <f t="shared" si="83"/>
        <v/>
      </c>
      <c r="L855" t="str">
        <f t="shared" si="84"/>
        <v/>
      </c>
      <c r="M855" t="str">
        <f t="shared" si="85"/>
        <v/>
      </c>
      <c r="N855">
        <v>19243.14</v>
      </c>
      <c r="O855" t="s">
        <v>541</v>
      </c>
      <c r="Q855" t="s">
        <v>19</v>
      </c>
    </row>
    <row r="856" spans="1:17" x14ac:dyDescent="0.3">
      <c r="A856">
        <v>100278188</v>
      </c>
      <c r="B856" t="s">
        <v>187</v>
      </c>
      <c r="C856" t="s">
        <v>19</v>
      </c>
      <c r="D856" t="s">
        <v>190</v>
      </c>
      <c r="E856" s="6">
        <v>5415.56</v>
      </c>
      <c r="F856" t="s">
        <v>601</v>
      </c>
      <c r="G856" s="4" t="str">
        <f t="shared" si="80"/>
        <v>5415.56</v>
      </c>
      <c r="H856" t="str">
        <f t="shared" si="81"/>
        <v>5415.56</v>
      </c>
      <c r="I856" s="1">
        <v>45761</v>
      </c>
      <c r="J856" s="2">
        <f t="shared" si="82"/>
        <v>-7.6200857347068621E-2</v>
      </c>
      <c r="K856" s="3" t="str">
        <f t="shared" si="83"/>
        <v/>
      </c>
      <c r="L856" t="str">
        <f t="shared" si="84"/>
        <v/>
      </c>
      <c r="M856" t="str">
        <f t="shared" si="85"/>
        <v/>
      </c>
      <c r="N856">
        <v>5862.27</v>
      </c>
      <c r="O856" t="s">
        <v>539</v>
      </c>
      <c r="Q856" t="s">
        <v>19</v>
      </c>
    </row>
    <row r="857" spans="1:17" x14ac:dyDescent="0.3">
      <c r="A857">
        <v>100325823</v>
      </c>
      <c r="B857" t="s">
        <v>202</v>
      </c>
      <c r="C857" t="s">
        <v>19</v>
      </c>
      <c r="D857" t="s">
        <v>203</v>
      </c>
      <c r="E857" s="6">
        <v>62997.36</v>
      </c>
      <c r="F857" t="s">
        <v>601</v>
      </c>
      <c r="G857" s="4" t="str">
        <f t="shared" si="80"/>
        <v>62997.36</v>
      </c>
      <c r="H857" t="str">
        <f t="shared" si="81"/>
        <v>62997.36</v>
      </c>
      <c r="I857" s="1">
        <v>45761</v>
      </c>
      <c r="J857" s="2">
        <f t="shared" si="82"/>
        <v>1.4441293239138591</v>
      </c>
      <c r="K857" s="3" t="str">
        <f t="shared" si="83"/>
        <v>Check!</v>
      </c>
      <c r="L857" t="str">
        <f t="shared" si="84"/>
        <v/>
      </c>
      <c r="M857" t="str">
        <f t="shared" si="85"/>
        <v/>
      </c>
      <c r="N857">
        <v>25774.97</v>
      </c>
      <c r="O857" t="s">
        <v>542</v>
      </c>
      <c r="Q857" t="s">
        <v>19</v>
      </c>
    </row>
    <row r="858" spans="1:17" x14ac:dyDescent="0.3">
      <c r="A858">
        <v>100376880</v>
      </c>
      <c r="B858" t="s">
        <v>205</v>
      </c>
      <c r="C858" t="s">
        <v>19</v>
      </c>
      <c r="D858" t="s">
        <v>208</v>
      </c>
      <c r="E858" s="6">
        <v>1700.18</v>
      </c>
      <c r="F858" t="s">
        <v>601</v>
      </c>
      <c r="G858" s="4" t="str">
        <f t="shared" si="80"/>
        <v>1700.18</v>
      </c>
      <c r="H858" t="str">
        <f t="shared" si="81"/>
        <v>1700.18</v>
      </c>
      <c r="I858" s="1">
        <v>45761</v>
      </c>
      <c r="J858" s="2">
        <f t="shared" si="82"/>
        <v>-8.4255713370066862E-2</v>
      </c>
      <c r="K858" s="3" t="str">
        <f t="shared" si="83"/>
        <v/>
      </c>
      <c r="L858" t="str">
        <f t="shared" si="84"/>
        <v/>
      </c>
      <c r="M858" t="str">
        <f t="shared" si="85"/>
        <v/>
      </c>
      <c r="N858">
        <v>1856.61</v>
      </c>
      <c r="O858" t="s">
        <v>543</v>
      </c>
      <c r="Q858" t="s">
        <v>19</v>
      </c>
    </row>
    <row r="859" spans="1:17" x14ac:dyDescent="0.3">
      <c r="A859">
        <v>100388471</v>
      </c>
      <c r="B859" t="s">
        <v>210</v>
      </c>
      <c r="C859" t="s">
        <v>19</v>
      </c>
      <c r="D859" t="s">
        <v>211</v>
      </c>
      <c r="E859" s="6">
        <v>30495.68</v>
      </c>
      <c r="F859" t="s">
        <v>601</v>
      </c>
      <c r="G859" s="4" t="str">
        <f t="shared" si="80"/>
        <v>30495.68</v>
      </c>
      <c r="H859" t="str">
        <f t="shared" si="81"/>
        <v>30495.68</v>
      </c>
      <c r="I859" s="1">
        <v>45761</v>
      </c>
      <c r="J859" s="2">
        <f t="shared" si="82"/>
        <v>-9.6728063303155781E-2</v>
      </c>
      <c r="K859" s="3" t="str">
        <f t="shared" si="83"/>
        <v/>
      </c>
      <c r="L859" t="str">
        <f t="shared" si="84"/>
        <v/>
      </c>
      <c r="M859" t="str">
        <f t="shared" si="85"/>
        <v/>
      </c>
      <c r="N859">
        <v>33761.35</v>
      </c>
      <c r="O859" t="s">
        <v>544</v>
      </c>
      <c r="Q859" t="s">
        <v>19</v>
      </c>
    </row>
    <row r="860" spans="1:17" x14ac:dyDescent="0.3">
      <c r="A860">
        <v>100388471</v>
      </c>
      <c r="B860" t="s">
        <v>210</v>
      </c>
      <c r="C860" t="s">
        <v>19</v>
      </c>
      <c r="D860" t="s">
        <v>213</v>
      </c>
      <c r="E860" s="6">
        <v>3384.22</v>
      </c>
      <c r="F860" t="s">
        <v>601</v>
      </c>
      <c r="G860" s="4" t="str">
        <f t="shared" si="80"/>
        <v>3384.22</v>
      </c>
      <c r="H860" t="str">
        <f t="shared" si="81"/>
        <v>3384.22</v>
      </c>
      <c r="I860" s="1">
        <v>45761</v>
      </c>
      <c r="J860" s="2">
        <f t="shared" si="82"/>
        <v>-4.1989497671653726E-2</v>
      </c>
      <c r="K860" s="3" t="str">
        <f t="shared" si="83"/>
        <v/>
      </c>
      <c r="L860" t="str">
        <f t="shared" si="84"/>
        <v/>
      </c>
      <c r="M860" t="str">
        <f t="shared" si="85"/>
        <v/>
      </c>
      <c r="N860">
        <v>3532.55</v>
      </c>
      <c r="O860" t="s">
        <v>545</v>
      </c>
      <c r="Q860" t="s">
        <v>19</v>
      </c>
    </row>
    <row r="861" spans="1:17" x14ac:dyDescent="0.3">
      <c r="A861">
        <v>100408912</v>
      </c>
      <c r="B861" t="s">
        <v>215</v>
      </c>
      <c r="C861" t="s">
        <v>19</v>
      </c>
      <c r="D861" t="s">
        <v>216</v>
      </c>
      <c r="E861" s="6">
        <v>85321.46</v>
      </c>
      <c r="F861" t="s">
        <v>601</v>
      </c>
      <c r="G861" s="4" t="str">
        <f t="shared" si="80"/>
        <v>85321.46</v>
      </c>
      <c r="H861" t="str">
        <f t="shared" si="81"/>
        <v>85321.46</v>
      </c>
      <c r="I861" s="1">
        <v>45761</v>
      </c>
      <c r="J861" s="2">
        <f t="shared" si="82"/>
        <v>-8.0657359684928959E-2</v>
      </c>
      <c r="K861" s="3" t="str">
        <f t="shared" si="83"/>
        <v/>
      </c>
      <c r="L861" t="str">
        <f t="shared" si="84"/>
        <v/>
      </c>
      <c r="M861" t="str">
        <f t="shared" si="85"/>
        <v/>
      </c>
      <c r="N861">
        <v>92807.03</v>
      </c>
      <c r="O861" t="s">
        <v>546</v>
      </c>
      <c r="Q861" t="s">
        <v>19</v>
      </c>
    </row>
    <row r="862" spans="1:17" x14ac:dyDescent="0.3">
      <c r="A862">
        <v>100421069</v>
      </c>
      <c r="B862" t="s">
        <v>218</v>
      </c>
      <c r="C862" t="s">
        <v>19</v>
      </c>
      <c r="D862" t="s">
        <v>220</v>
      </c>
      <c r="E862" s="6">
        <v>14924.45</v>
      </c>
      <c r="F862" t="s">
        <v>601</v>
      </c>
      <c r="G862" s="4" t="str">
        <f t="shared" si="80"/>
        <v>14924.45</v>
      </c>
      <c r="H862" t="str">
        <f t="shared" si="81"/>
        <v>14924.45</v>
      </c>
      <c r="I862" s="1">
        <v>45761</v>
      </c>
      <c r="J862" s="2">
        <f t="shared" si="82"/>
        <v>-8.0794518438678839E-2</v>
      </c>
      <c r="K862" s="3" t="str">
        <f t="shared" si="83"/>
        <v/>
      </c>
      <c r="L862" t="str">
        <f t="shared" si="84"/>
        <v/>
      </c>
      <c r="M862" t="str">
        <f t="shared" si="85"/>
        <v/>
      </c>
      <c r="N862">
        <v>16236.25</v>
      </c>
      <c r="O862" t="s">
        <v>547</v>
      </c>
      <c r="Q862" t="s">
        <v>19</v>
      </c>
    </row>
    <row r="863" spans="1:17" x14ac:dyDescent="0.3">
      <c r="A863">
        <v>100421069</v>
      </c>
      <c r="B863" t="s">
        <v>218</v>
      </c>
      <c r="C863" t="s">
        <v>19</v>
      </c>
      <c r="D863" t="s">
        <v>222</v>
      </c>
      <c r="E863" s="6">
        <v>6493.94</v>
      </c>
      <c r="F863" t="s">
        <v>601</v>
      </c>
      <c r="G863" s="4" t="str">
        <f t="shared" si="80"/>
        <v>6493.94</v>
      </c>
      <c r="H863" t="str">
        <f t="shared" si="81"/>
        <v>6493.94</v>
      </c>
      <c r="I863" s="1">
        <v>45761</v>
      </c>
      <c r="J863" s="2">
        <f t="shared" si="82"/>
        <v>-8.0377765158542155E-2</v>
      </c>
      <c r="K863" s="3" t="str">
        <f t="shared" si="83"/>
        <v/>
      </c>
      <c r="L863" t="str">
        <f t="shared" si="84"/>
        <v/>
      </c>
      <c r="M863" t="str">
        <f t="shared" si="85"/>
        <v/>
      </c>
      <c r="N863">
        <v>7061.53</v>
      </c>
      <c r="O863" t="s">
        <v>548</v>
      </c>
      <c r="Q863" t="s">
        <v>19</v>
      </c>
    </row>
    <row r="864" spans="1:17" x14ac:dyDescent="0.3">
      <c r="A864">
        <v>100421069</v>
      </c>
      <c r="B864" t="s">
        <v>218</v>
      </c>
      <c r="C864" t="s">
        <v>19</v>
      </c>
      <c r="D864" t="s">
        <v>224</v>
      </c>
      <c r="E864" s="6">
        <v>8138.95</v>
      </c>
      <c r="F864" t="s">
        <v>601</v>
      </c>
      <c r="G864" s="4" t="str">
        <f t="shared" si="80"/>
        <v>8138.95</v>
      </c>
      <c r="H864" t="str">
        <f t="shared" si="81"/>
        <v>8138.95</v>
      </c>
      <c r="I864" s="1">
        <v>45761</v>
      </c>
      <c r="J864" s="2">
        <f t="shared" si="82"/>
        <v>-8.0532682016446325E-2</v>
      </c>
      <c r="K864" s="3" t="str">
        <f t="shared" si="83"/>
        <v/>
      </c>
      <c r="L864" t="str">
        <f t="shared" si="84"/>
        <v/>
      </c>
      <c r="M864" t="str">
        <f t="shared" si="85"/>
        <v/>
      </c>
      <c r="N864">
        <v>8851.81</v>
      </c>
      <c r="O864" t="s">
        <v>549</v>
      </c>
      <c r="Q864" t="s">
        <v>19</v>
      </c>
    </row>
    <row r="865" spans="1:17" x14ac:dyDescent="0.3">
      <c r="A865">
        <v>100489695</v>
      </c>
      <c r="B865" t="s">
        <v>229</v>
      </c>
      <c r="C865" t="s">
        <v>590</v>
      </c>
      <c r="D865" t="s">
        <v>230</v>
      </c>
      <c r="E865" s="6">
        <v>279409.74</v>
      </c>
      <c r="F865" t="s">
        <v>601</v>
      </c>
      <c r="G865" s="4" t="str">
        <f t="shared" si="80"/>
        <v>279409.74</v>
      </c>
      <c r="H865" t="str">
        <f t="shared" si="81"/>
        <v>279409.74</v>
      </c>
      <c r="I865" s="1">
        <v>45761</v>
      </c>
      <c r="J865" s="2">
        <f t="shared" si="82"/>
        <v>-0.15831163440573159</v>
      </c>
      <c r="K865" s="3" t="str">
        <f t="shared" si="83"/>
        <v>Check!</v>
      </c>
      <c r="L865" t="str">
        <f t="shared" si="84"/>
        <v/>
      </c>
      <c r="M865" t="str">
        <f t="shared" si="85"/>
        <v>Check</v>
      </c>
      <c r="N865">
        <v>331963.40999999997</v>
      </c>
      <c r="O865" t="s">
        <v>550</v>
      </c>
      <c r="Q865" t="s">
        <v>16</v>
      </c>
    </row>
    <row r="866" spans="1:17" x14ac:dyDescent="0.3">
      <c r="A866">
        <v>100492707</v>
      </c>
      <c r="B866" t="s">
        <v>232</v>
      </c>
      <c r="C866" t="s">
        <v>19</v>
      </c>
      <c r="D866" t="s">
        <v>233</v>
      </c>
      <c r="E866" s="6">
        <v>7478.39</v>
      </c>
      <c r="F866" t="s">
        <v>601</v>
      </c>
      <c r="G866" s="4" t="str">
        <f t="shared" si="80"/>
        <v>7478.39</v>
      </c>
      <c r="H866" t="str">
        <f t="shared" si="81"/>
        <v>7478.39</v>
      </c>
      <c r="I866" s="1">
        <v>45761</v>
      </c>
      <c r="J866" s="2">
        <f t="shared" si="82"/>
        <v>-8.0650911433362255E-2</v>
      </c>
      <c r="K866" s="3" t="str">
        <f t="shared" si="83"/>
        <v/>
      </c>
      <c r="L866" t="str">
        <f t="shared" si="84"/>
        <v/>
      </c>
      <c r="M866" t="str">
        <f t="shared" si="85"/>
        <v/>
      </c>
      <c r="N866">
        <v>8134.44</v>
      </c>
      <c r="O866" t="s">
        <v>551</v>
      </c>
      <c r="Q866" t="s">
        <v>19</v>
      </c>
    </row>
    <row r="867" spans="1:17" x14ac:dyDescent="0.3">
      <c r="A867">
        <v>100492707</v>
      </c>
      <c r="B867" t="s">
        <v>232</v>
      </c>
      <c r="C867" t="s">
        <v>19</v>
      </c>
      <c r="D867" t="s">
        <v>624</v>
      </c>
      <c r="E867" s="6">
        <v>104153.68</v>
      </c>
      <c r="F867" t="s">
        <v>601</v>
      </c>
      <c r="G867" s="4" t="str">
        <f t="shared" si="80"/>
        <v>104153.68</v>
      </c>
      <c r="H867" t="str">
        <f t="shared" si="81"/>
        <v>104153.68</v>
      </c>
      <c r="I867" s="1">
        <v>45761</v>
      </c>
      <c r="J867" s="2">
        <f t="shared" si="82"/>
        <v>-8.0350346324378957E-2</v>
      </c>
      <c r="K867" s="3" t="str">
        <f t="shared" si="83"/>
        <v/>
      </c>
      <c r="L867" t="str">
        <f t="shared" si="84"/>
        <v/>
      </c>
      <c r="M867" t="str">
        <f t="shared" si="85"/>
        <v/>
      </c>
      <c r="N867">
        <v>113253.65</v>
      </c>
      <c r="O867" t="s">
        <v>691</v>
      </c>
      <c r="Q867" t="s">
        <v>19</v>
      </c>
    </row>
    <row r="868" spans="1:17" x14ac:dyDescent="0.3">
      <c r="A868">
        <v>100564770</v>
      </c>
      <c r="B868" t="s">
        <v>241</v>
      </c>
      <c r="C868" t="s">
        <v>19</v>
      </c>
      <c r="D868" t="s">
        <v>242</v>
      </c>
      <c r="E868" s="6">
        <v>20385.3</v>
      </c>
      <c r="F868" t="s">
        <v>601</v>
      </c>
      <c r="G868" s="4" t="str">
        <f t="shared" si="80"/>
        <v>20385.3</v>
      </c>
      <c r="H868" t="str">
        <f t="shared" si="81"/>
        <v>20385.3</v>
      </c>
      <c r="I868" s="1">
        <v>45761</v>
      </c>
      <c r="J868" s="2">
        <f t="shared" si="82"/>
        <v>-8.0717539344575026E-2</v>
      </c>
      <c r="K868" s="3" t="str">
        <f t="shared" si="83"/>
        <v/>
      </c>
      <c r="L868" t="str">
        <f t="shared" si="84"/>
        <v/>
      </c>
      <c r="M868" t="str">
        <f t="shared" si="85"/>
        <v/>
      </c>
      <c r="N868">
        <v>22175.23</v>
      </c>
      <c r="O868" t="s">
        <v>552</v>
      </c>
      <c r="Q868" t="s">
        <v>19</v>
      </c>
    </row>
    <row r="869" spans="1:17" x14ac:dyDescent="0.3">
      <c r="A869">
        <v>100596689</v>
      </c>
      <c r="B869" t="s">
        <v>250</v>
      </c>
      <c r="C869" t="s">
        <v>590</v>
      </c>
      <c r="D869" t="s">
        <v>251</v>
      </c>
      <c r="E869" s="6">
        <v>537.04999999999995</v>
      </c>
      <c r="F869" t="s">
        <v>601</v>
      </c>
      <c r="G869" s="4" t="str">
        <f t="shared" si="80"/>
        <v>537.05</v>
      </c>
      <c r="H869" t="str">
        <f t="shared" si="81"/>
        <v>537.05</v>
      </c>
      <c r="I869" s="1">
        <v>45761</v>
      </c>
      <c r="J869" s="2">
        <f t="shared" si="82"/>
        <v>-7.8041578685344518E-2</v>
      </c>
      <c r="K869" s="3" t="str">
        <f t="shared" si="83"/>
        <v/>
      </c>
      <c r="L869" t="str">
        <f t="shared" si="84"/>
        <v/>
      </c>
      <c r="M869" t="str">
        <f t="shared" si="85"/>
        <v>Check</v>
      </c>
      <c r="N869">
        <v>582.51</v>
      </c>
      <c r="O869" t="s">
        <v>553</v>
      </c>
      <c r="Q869" t="s">
        <v>16</v>
      </c>
    </row>
    <row r="870" spans="1:17" x14ac:dyDescent="0.3">
      <c r="A870">
        <v>100628990</v>
      </c>
      <c r="B870" t="s">
        <v>256</v>
      </c>
      <c r="C870" t="s">
        <v>19</v>
      </c>
      <c r="D870" t="s">
        <v>257</v>
      </c>
      <c r="E870" s="6">
        <v>5464.47</v>
      </c>
      <c r="F870" t="s">
        <v>601</v>
      </c>
      <c r="G870" s="4" t="str">
        <f t="shared" si="80"/>
        <v>5464.47</v>
      </c>
      <c r="H870" t="str">
        <f t="shared" si="81"/>
        <v>5464.47</v>
      </c>
      <c r="I870" s="1">
        <v>45761</v>
      </c>
      <c r="J870" s="2">
        <f t="shared" si="82"/>
        <v>-7.8426511510245336E-2</v>
      </c>
      <c r="K870" s="3" t="str">
        <f t="shared" si="83"/>
        <v/>
      </c>
      <c r="L870" t="str">
        <f t="shared" si="84"/>
        <v/>
      </c>
      <c r="M870" t="str">
        <f t="shared" si="85"/>
        <v/>
      </c>
      <c r="N870">
        <v>5929.5</v>
      </c>
      <c r="O870" t="s">
        <v>554</v>
      </c>
      <c r="Q870" t="s">
        <v>19</v>
      </c>
    </row>
    <row r="871" spans="1:17" x14ac:dyDescent="0.3">
      <c r="A871">
        <v>100630706</v>
      </c>
      <c r="B871" t="s">
        <v>262</v>
      </c>
      <c r="C871" t="s">
        <v>590</v>
      </c>
      <c r="D871" t="s">
        <v>263</v>
      </c>
      <c r="E871" s="6">
        <v>1393.62</v>
      </c>
      <c r="F871" t="s">
        <v>601</v>
      </c>
      <c r="G871" s="4" t="str">
        <f t="shared" si="80"/>
        <v>1393.62</v>
      </c>
      <c r="H871" t="str">
        <f t="shared" si="81"/>
        <v>1393.62</v>
      </c>
      <c r="I871" s="1">
        <v>45761</v>
      </c>
      <c r="J871" s="2">
        <f t="shared" si="82"/>
        <v>-7.4105078529857413E-2</v>
      </c>
      <c r="K871" s="3" t="str">
        <f t="shared" si="83"/>
        <v/>
      </c>
      <c r="L871" t="str">
        <f t="shared" si="84"/>
        <v/>
      </c>
      <c r="M871" t="str">
        <f t="shared" si="85"/>
        <v>Check</v>
      </c>
      <c r="N871">
        <v>1505.16</v>
      </c>
      <c r="O871" t="s">
        <v>555</v>
      </c>
      <c r="Q871" t="s">
        <v>16</v>
      </c>
    </row>
    <row r="872" spans="1:17" x14ac:dyDescent="0.3">
      <c r="A872">
        <v>100641153</v>
      </c>
      <c r="B872" t="s">
        <v>273</v>
      </c>
      <c r="C872" t="s">
        <v>19</v>
      </c>
      <c r="D872" t="s">
        <v>274</v>
      </c>
      <c r="E872" s="6">
        <v>82166.16</v>
      </c>
      <c r="F872" t="s">
        <v>601</v>
      </c>
      <c r="G872" s="4" t="str">
        <f t="shared" si="80"/>
        <v>82166.16</v>
      </c>
      <c r="H872" t="str">
        <f t="shared" si="81"/>
        <v>82166.16</v>
      </c>
      <c r="I872" s="1">
        <v>45761</v>
      </c>
      <c r="J872" s="2">
        <f t="shared" si="82"/>
        <v>-8.0708338545171107E-2</v>
      </c>
      <c r="K872" s="3" t="str">
        <f t="shared" si="83"/>
        <v/>
      </c>
      <c r="L872" t="str">
        <f t="shared" si="84"/>
        <v/>
      </c>
      <c r="M872" t="str">
        <f t="shared" si="85"/>
        <v/>
      </c>
      <c r="N872">
        <v>89379.86</v>
      </c>
      <c r="O872" t="s">
        <v>591</v>
      </c>
      <c r="Q872" t="s">
        <v>19</v>
      </c>
    </row>
    <row r="873" spans="1:17" x14ac:dyDescent="0.3">
      <c r="A873">
        <v>100651921</v>
      </c>
      <c r="B873" t="s">
        <v>279</v>
      </c>
      <c r="C873" t="s">
        <v>590</v>
      </c>
      <c r="D873" t="s">
        <v>280</v>
      </c>
      <c r="E873" s="6">
        <v>7562.16</v>
      </c>
      <c r="F873" t="s">
        <v>601</v>
      </c>
      <c r="G873" s="4" t="str">
        <f t="shared" si="80"/>
        <v>7562.16</v>
      </c>
      <c r="H873" t="str">
        <f t="shared" si="81"/>
        <v>7562.16</v>
      </c>
      <c r="I873" s="1">
        <v>45761</v>
      </c>
      <c r="J873" s="2">
        <f t="shared" si="82"/>
        <v>-7.0892978030929477E-2</v>
      </c>
      <c r="K873" s="3" t="str">
        <f t="shared" si="83"/>
        <v/>
      </c>
      <c r="L873" t="str">
        <f t="shared" si="84"/>
        <v/>
      </c>
      <c r="M873" t="str">
        <f t="shared" si="85"/>
        <v>Check</v>
      </c>
      <c r="N873">
        <v>8139.17</v>
      </c>
      <c r="O873" t="s">
        <v>556</v>
      </c>
      <c r="Q873" t="s">
        <v>16</v>
      </c>
    </row>
    <row r="874" spans="1:17" x14ac:dyDescent="0.3">
      <c r="A874">
        <v>100651921</v>
      </c>
      <c r="B874" t="s">
        <v>279</v>
      </c>
      <c r="C874" t="s">
        <v>590</v>
      </c>
      <c r="D874" t="s">
        <v>282</v>
      </c>
      <c r="E874" s="6">
        <v>8566.92</v>
      </c>
      <c r="F874" t="s">
        <v>601</v>
      </c>
      <c r="G874" s="4" t="str">
        <f t="shared" si="80"/>
        <v>8566.92</v>
      </c>
      <c r="H874" t="str">
        <f t="shared" si="81"/>
        <v>8566.92</v>
      </c>
      <c r="I874" s="1">
        <v>45761</v>
      </c>
      <c r="J874" s="2">
        <f t="shared" si="82"/>
        <v>-6.7208032952351712E-2</v>
      </c>
      <c r="K874" s="3" t="str">
        <f t="shared" si="83"/>
        <v/>
      </c>
      <c r="L874" t="str">
        <f t="shared" si="84"/>
        <v/>
      </c>
      <c r="M874" t="str">
        <f t="shared" si="85"/>
        <v>Check</v>
      </c>
      <c r="N874">
        <v>9184.17</v>
      </c>
      <c r="O874" t="s">
        <v>557</v>
      </c>
      <c r="Q874" t="s">
        <v>16</v>
      </c>
    </row>
    <row r="875" spans="1:17" x14ac:dyDescent="0.3">
      <c r="A875">
        <v>100655835</v>
      </c>
      <c r="B875" t="s">
        <v>284</v>
      </c>
      <c r="C875" t="s">
        <v>19</v>
      </c>
      <c r="D875" t="s">
        <v>285</v>
      </c>
      <c r="E875" s="6">
        <v>442584.06</v>
      </c>
      <c r="F875" t="s">
        <v>601</v>
      </c>
      <c r="G875" s="4" t="str">
        <f t="shared" si="80"/>
        <v>442584.06</v>
      </c>
      <c r="H875" t="str">
        <f t="shared" si="81"/>
        <v>442584.06</v>
      </c>
      <c r="I875" s="1">
        <v>45761</v>
      </c>
      <c r="J875" s="2">
        <f t="shared" si="82"/>
        <v>-8.039669034775497E-2</v>
      </c>
      <c r="K875" s="3" t="str">
        <f t="shared" si="83"/>
        <v/>
      </c>
      <c r="L875" t="str">
        <f t="shared" si="84"/>
        <v/>
      </c>
      <c r="M875" t="str">
        <f t="shared" si="85"/>
        <v/>
      </c>
      <c r="N875">
        <v>481277.15</v>
      </c>
      <c r="O875" t="s">
        <v>558</v>
      </c>
      <c r="Q875" t="s">
        <v>19</v>
      </c>
    </row>
    <row r="876" spans="1:17" x14ac:dyDescent="0.3">
      <c r="A876">
        <v>100663638</v>
      </c>
      <c r="B876" t="s">
        <v>287</v>
      </c>
      <c r="C876" t="s">
        <v>19</v>
      </c>
      <c r="D876" t="s">
        <v>288</v>
      </c>
      <c r="E876" s="6">
        <v>96875.47</v>
      </c>
      <c r="F876" t="s">
        <v>601</v>
      </c>
      <c r="G876" s="4" t="str">
        <f t="shared" si="80"/>
        <v>96875.47</v>
      </c>
      <c r="H876" t="str">
        <f t="shared" si="81"/>
        <v>96875.47</v>
      </c>
      <c r="I876" s="1">
        <v>45761</v>
      </c>
      <c r="J876" s="2">
        <f t="shared" si="82"/>
        <v>-8.0470648670587744E-2</v>
      </c>
      <c r="K876" s="3" t="str">
        <f t="shared" si="83"/>
        <v/>
      </c>
      <c r="L876" t="str">
        <f t="shared" si="84"/>
        <v/>
      </c>
      <c r="M876" t="str">
        <f t="shared" si="85"/>
        <v/>
      </c>
      <c r="N876">
        <v>105353.32</v>
      </c>
      <c r="O876" t="s">
        <v>559</v>
      </c>
      <c r="Q876" t="s">
        <v>19</v>
      </c>
    </row>
    <row r="877" spans="1:17" x14ac:dyDescent="0.3">
      <c r="A877">
        <v>100663638</v>
      </c>
      <c r="B877" t="s">
        <v>287</v>
      </c>
      <c r="C877" t="s">
        <v>19</v>
      </c>
      <c r="D877" t="s">
        <v>290</v>
      </c>
      <c r="E877" s="6">
        <v>3510.09</v>
      </c>
      <c r="F877" t="s">
        <v>601</v>
      </c>
      <c r="G877" s="4" t="str">
        <f t="shared" si="80"/>
        <v>3510.09</v>
      </c>
      <c r="H877" t="str">
        <f t="shared" si="81"/>
        <v>3510.09</v>
      </c>
      <c r="I877" s="1">
        <v>45761</v>
      </c>
      <c r="J877" s="2">
        <f t="shared" si="82"/>
        <v>-4.1506352929611232E-2</v>
      </c>
      <c r="K877" s="3" t="str">
        <f t="shared" si="83"/>
        <v/>
      </c>
      <c r="L877" t="str">
        <f t="shared" si="84"/>
        <v/>
      </c>
      <c r="M877" t="str">
        <f t="shared" si="85"/>
        <v/>
      </c>
      <c r="N877">
        <v>3662.09</v>
      </c>
      <c r="O877" t="s">
        <v>560</v>
      </c>
      <c r="Q877" t="s">
        <v>19</v>
      </c>
    </row>
    <row r="878" spans="1:17" x14ac:dyDescent="0.3">
      <c r="A878">
        <v>100664029</v>
      </c>
      <c r="B878" t="s">
        <v>292</v>
      </c>
      <c r="C878" t="s">
        <v>19</v>
      </c>
      <c r="D878" t="s">
        <v>293</v>
      </c>
      <c r="E878" s="6">
        <v>10954.93</v>
      </c>
      <c r="F878" t="s">
        <v>601</v>
      </c>
      <c r="G878" s="4" t="str">
        <f t="shared" si="80"/>
        <v>10954.93</v>
      </c>
      <c r="H878" t="str">
        <f t="shared" si="81"/>
        <v>10954.93</v>
      </c>
      <c r="I878" s="1">
        <v>45761</v>
      </c>
      <c r="J878" s="2">
        <f t="shared" si="82"/>
        <v>-8.0626738784707455E-2</v>
      </c>
      <c r="K878" s="3" t="str">
        <f t="shared" si="83"/>
        <v/>
      </c>
      <c r="L878" t="str">
        <f t="shared" si="84"/>
        <v/>
      </c>
      <c r="M878" t="str">
        <f t="shared" si="85"/>
        <v/>
      </c>
      <c r="N878">
        <v>11915.65</v>
      </c>
      <c r="O878" t="s">
        <v>561</v>
      </c>
      <c r="Q878" t="s">
        <v>19</v>
      </c>
    </row>
    <row r="879" spans="1:17" x14ac:dyDescent="0.3">
      <c r="A879">
        <v>100664029</v>
      </c>
      <c r="B879" t="s">
        <v>292</v>
      </c>
      <c r="C879" t="s">
        <v>19</v>
      </c>
      <c r="D879" t="s">
        <v>295</v>
      </c>
      <c r="E879" s="6">
        <v>7042.74</v>
      </c>
      <c r="F879" t="s">
        <v>601</v>
      </c>
      <c r="G879" s="4" t="str">
        <f t="shared" si="80"/>
        <v>7042.74</v>
      </c>
      <c r="H879" t="str">
        <f t="shared" si="81"/>
        <v>7042.74</v>
      </c>
      <c r="I879" s="1">
        <v>45761</v>
      </c>
      <c r="J879" s="2">
        <f t="shared" si="82"/>
        <v>-8.0499418354917168E-2</v>
      </c>
      <c r="K879" s="3" t="str">
        <f t="shared" si="83"/>
        <v/>
      </c>
      <c r="L879" t="str">
        <f t="shared" si="84"/>
        <v/>
      </c>
      <c r="M879" t="str">
        <f t="shared" si="85"/>
        <v/>
      </c>
      <c r="N879">
        <v>7659.31</v>
      </c>
      <c r="O879" t="s">
        <v>562</v>
      </c>
      <c r="Q879" t="s">
        <v>19</v>
      </c>
    </row>
    <row r="880" spans="1:17" x14ac:dyDescent="0.3">
      <c r="A880">
        <v>100664292</v>
      </c>
      <c r="B880" t="s">
        <v>297</v>
      </c>
      <c r="C880" t="s">
        <v>590</v>
      </c>
      <c r="D880" t="s">
        <v>298</v>
      </c>
      <c r="E880" s="6">
        <v>188.59</v>
      </c>
      <c r="F880" t="s">
        <v>601</v>
      </c>
      <c r="G880" s="4" t="str">
        <f t="shared" si="80"/>
        <v>188.59</v>
      </c>
      <c r="H880" t="str">
        <f t="shared" si="81"/>
        <v>188.59</v>
      </c>
      <c r="I880" s="1">
        <v>45761</v>
      </c>
      <c r="J880" s="2">
        <f t="shared" si="82"/>
        <v>-7.9869242779078864E-2</v>
      </c>
      <c r="K880" s="3" t="str">
        <f t="shared" si="83"/>
        <v/>
      </c>
      <c r="L880" t="str">
        <f t="shared" si="84"/>
        <v/>
      </c>
      <c r="M880" t="str">
        <f t="shared" si="85"/>
        <v>Check</v>
      </c>
      <c r="N880">
        <v>204.96</v>
      </c>
      <c r="O880" t="s">
        <v>563</v>
      </c>
      <c r="Q880" t="s">
        <v>16</v>
      </c>
    </row>
    <row r="881" spans="1:17" x14ac:dyDescent="0.3">
      <c r="A881">
        <v>100664292</v>
      </c>
      <c r="B881" t="s">
        <v>297</v>
      </c>
      <c r="C881" t="s">
        <v>19</v>
      </c>
      <c r="D881" t="s">
        <v>300</v>
      </c>
      <c r="E881" s="6">
        <v>34099.26</v>
      </c>
      <c r="F881" t="s">
        <v>601</v>
      </c>
      <c r="G881" s="4" t="str">
        <f t="shared" si="80"/>
        <v>34099.26</v>
      </c>
      <c r="H881" t="str">
        <f t="shared" si="81"/>
        <v>34099.26</v>
      </c>
      <c r="I881" s="1">
        <v>45761</v>
      </c>
      <c r="J881" s="2">
        <f t="shared" si="82"/>
        <v>-8.0750910709861706E-2</v>
      </c>
      <c r="K881" s="3" t="str">
        <f t="shared" si="83"/>
        <v/>
      </c>
      <c r="L881" t="str">
        <f t="shared" si="84"/>
        <v/>
      </c>
      <c r="M881" t="str">
        <f t="shared" si="85"/>
        <v/>
      </c>
      <c r="N881">
        <v>37094.69</v>
      </c>
      <c r="O881" t="s">
        <v>564</v>
      </c>
      <c r="Q881" t="s">
        <v>19</v>
      </c>
    </row>
    <row r="882" spans="1:17" x14ac:dyDescent="0.3">
      <c r="A882">
        <v>100664348</v>
      </c>
      <c r="B882" t="s">
        <v>302</v>
      </c>
      <c r="C882" t="s">
        <v>19</v>
      </c>
      <c r="D882" t="s">
        <v>303</v>
      </c>
      <c r="E882" s="6">
        <v>18493.14</v>
      </c>
      <c r="F882" t="s">
        <v>601</v>
      </c>
      <c r="G882" s="4" t="str">
        <f t="shared" si="80"/>
        <v>18493.14</v>
      </c>
      <c r="H882" t="str">
        <f t="shared" si="81"/>
        <v>18493.14</v>
      </c>
      <c r="I882" s="1">
        <v>45761</v>
      </c>
      <c r="J882" s="2">
        <f t="shared" si="82"/>
        <v>-8.0750028333343271E-2</v>
      </c>
      <c r="K882" s="3" t="str">
        <f t="shared" si="83"/>
        <v/>
      </c>
      <c r="L882" t="str">
        <f t="shared" si="84"/>
        <v/>
      </c>
      <c r="M882" t="str">
        <f t="shared" si="85"/>
        <v/>
      </c>
      <c r="N882">
        <v>20117.64</v>
      </c>
      <c r="O882" t="s">
        <v>565</v>
      </c>
      <c r="Q882" t="s">
        <v>19</v>
      </c>
    </row>
    <row r="883" spans="1:17" x14ac:dyDescent="0.3">
      <c r="A883">
        <v>100664351</v>
      </c>
      <c r="B883" t="s">
        <v>305</v>
      </c>
      <c r="C883" t="s">
        <v>19</v>
      </c>
      <c r="D883" t="s">
        <v>306</v>
      </c>
      <c r="E883" s="6">
        <v>7839.17</v>
      </c>
      <c r="F883" t="s">
        <v>601</v>
      </c>
      <c r="G883" s="4" t="str">
        <f t="shared" si="80"/>
        <v>7839.17</v>
      </c>
      <c r="H883" t="str">
        <f t="shared" si="81"/>
        <v>7839.17</v>
      </c>
      <c r="I883" s="1">
        <v>45761</v>
      </c>
      <c r="J883" s="2">
        <f t="shared" si="82"/>
        <v>-9.3748049155501126E-2</v>
      </c>
      <c r="K883" s="3" t="str">
        <f t="shared" si="83"/>
        <v/>
      </c>
      <c r="L883" t="str">
        <f t="shared" si="84"/>
        <v/>
      </c>
      <c r="M883" t="str">
        <f t="shared" si="85"/>
        <v/>
      </c>
      <c r="N883">
        <v>8650.1</v>
      </c>
      <c r="O883" t="s">
        <v>566</v>
      </c>
      <c r="Q883" t="s">
        <v>19</v>
      </c>
    </row>
    <row r="884" spans="1:17" x14ac:dyDescent="0.3">
      <c r="A884">
        <v>100664737</v>
      </c>
      <c r="B884" t="s">
        <v>313</v>
      </c>
      <c r="C884" t="s">
        <v>19</v>
      </c>
      <c r="D884" t="s">
        <v>314</v>
      </c>
      <c r="E884" s="6">
        <v>12772.2</v>
      </c>
      <c r="F884" t="s">
        <v>601</v>
      </c>
      <c r="G884" s="4" t="str">
        <f t="shared" si="80"/>
        <v>12772.2</v>
      </c>
      <c r="H884" t="str">
        <f t="shared" si="81"/>
        <v>12772.2</v>
      </c>
      <c r="I884" s="1">
        <v>45761</v>
      </c>
      <c r="J884" s="2">
        <f t="shared" si="82"/>
        <v>-7.8339218101561414E-2</v>
      </c>
      <c r="K884" s="3" t="str">
        <f t="shared" si="83"/>
        <v/>
      </c>
      <c r="L884" t="str">
        <f t="shared" si="84"/>
        <v/>
      </c>
      <c r="M884" t="str">
        <f t="shared" si="85"/>
        <v/>
      </c>
      <c r="N884">
        <v>13857.81</v>
      </c>
      <c r="O884" t="s">
        <v>567</v>
      </c>
      <c r="Q884" t="s">
        <v>19</v>
      </c>
    </row>
    <row r="885" spans="1:17" x14ac:dyDescent="0.3">
      <c r="A885">
        <v>100664737</v>
      </c>
      <c r="B885" t="s">
        <v>313</v>
      </c>
      <c r="C885" t="s">
        <v>19</v>
      </c>
      <c r="D885" t="s">
        <v>316</v>
      </c>
      <c r="E885" s="6">
        <v>5957.88</v>
      </c>
      <c r="F885" t="s">
        <v>601</v>
      </c>
      <c r="G885" s="4" t="str">
        <f t="shared" si="80"/>
        <v>5957.88</v>
      </c>
      <c r="H885" t="str">
        <f t="shared" si="81"/>
        <v>5957.88</v>
      </c>
      <c r="I885" s="1">
        <v>45761</v>
      </c>
      <c r="J885" s="2">
        <f t="shared" si="82"/>
        <v>-8.0051634261432358E-2</v>
      </c>
      <c r="K885" s="3" t="str">
        <f t="shared" si="83"/>
        <v/>
      </c>
      <c r="L885" t="str">
        <f t="shared" si="84"/>
        <v/>
      </c>
      <c r="M885" t="str">
        <f t="shared" si="85"/>
        <v/>
      </c>
      <c r="N885">
        <v>6476.32</v>
      </c>
      <c r="O885" t="s">
        <v>568</v>
      </c>
      <c r="Q885" t="s">
        <v>19</v>
      </c>
    </row>
    <row r="886" spans="1:17" x14ac:dyDescent="0.3">
      <c r="A886">
        <v>100665510</v>
      </c>
      <c r="B886" t="s">
        <v>318</v>
      </c>
      <c r="C886" t="s">
        <v>19</v>
      </c>
      <c r="D886" t="s">
        <v>319</v>
      </c>
      <c r="E886" s="6">
        <v>20458.580000000002</v>
      </c>
      <c r="F886" t="s">
        <v>601</v>
      </c>
      <c r="G886" s="4" t="str">
        <f t="shared" si="80"/>
        <v>20458.58</v>
      </c>
      <c r="H886" t="str">
        <f t="shared" si="81"/>
        <v>20458.58</v>
      </c>
      <c r="I886" s="1">
        <v>45761</v>
      </c>
      <c r="J886" s="2">
        <f t="shared" si="82"/>
        <v>-7.8324849519105219E-2</v>
      </c>
      <c r="K886" s="3" t="str">
        <f t="shared" si="83"/>
        <v/>
      </c>
      <c r="L886" t="str">
        <f t="shared" si="84"/>
        <v/>
      </c>
      <c r="M886" t="str">
        <f t="shared" si="85"/>
        <v/>
      </c>
      <c r="N886">
        <v>22197.17</v>
      </c>
      <c r="O886" t="s">
        <v>569</v>
      </c>
      <c r="Q886" t="s">
        <v>19</v>
      </c>
    </row>
    <row r="887" spans="1:17" x14ac:dyDescent="0.3">
      <c r="A887">
        <v>100665581</v>
      </c>
      <c r="B887" t="s">
        <v>321</v>
      </c>
      <c r="C887" t="s">
        <v>590</v>
      </c>
      <c r="D887" t="s">
        <v>639</v>
      </c>
      <c r="E887" s="6">
        <v>60727.83</v>
      </c>
      <c r="F887" t="s">
        <v>601</v>
      </c>
      <c r="G887" s="4" t="str">
        <f t="shared" si="80"/>
        <v>60727.83</v>
      </c>
      <c r="H887" t="str">
        <f t="shared" si="81"/>
        <v>60727.83</v>
      </c>
      <c r="I887" s="1">
        <v>45761</v>
      </c>
      <c r="J887" s="2">
        <f t="shared" si="82"/>
        <v>0.48063211328593575</v>
      </c>
      <c r="K887" s="3" t="str">
        <f t="shared" si="83"/>
        <v>Check!</v>
      </c>
      <c r="L887" t="str">
        <f t="shared" si="84"/>
        <v/>
      </c>
      <c r="M887" t="str">
        <f t="shared" si="85"/>
        <v/>
      </c>
      <c r="N887">
        <v>41014.800000000003</v>
      </c>
      <c r="O887" t="s">
        <v>692</v>
      </c>
      <c r="Q887" t="s">
        <v>590</v>
      </c>
    </row>
    <row r="888" spans="1:17" x14ac:dyDescent="0.3">
      <c r="A888">
        <v>100665581</v>
      </c>
      <c r="B888" t="s">
        <v>321</v>
      </c>
      <c r="C888" t="s">
        <v>19</v>
      </c>
      <c r="D888" t="s">
        <v>695</v>
      </c>
      <c r="E888" s="6">
        <v>164551.97</v>
      </c>
      <c r="F888" t="s">
        <v>601</v>
      </c>
      <c r="G888" s="4" t="str">
        <f t="shared" si="80"/>
        <v>164551.97</v>
      </c>
      <c r="H888" t="str">
        <f t="shared" si="81"/>
        <v>164551.97</v>
      </c>
      <c r="I888" s="1">
        <v>45761</v>
      </c>
      <c r="J888" s="2">
        <f t="shared" si="82"/>
        <v>0.41450014200706525</v>
      </c>
      <c r="K888" s="3" t="str">
        <f t="shared" si="83"/>
        <v>Check!</v>
      </c>
      <c r="L888" t="str">
        <f t="shared" si="84"/>
        <v/>
      </c>
      <c r="M888" t="str">
        <f t="shared" si="85"/>
        <v/>
      </c>
      <c r="N888">
        <v>116332.24</v>
      </c>
      <c r="O888" t="s">
        <v>699</v>
      </c>
      <c r="Q888" t="s">
        <v>19</v>
      </c>
    </row>
    <row r="889" spans="1:17" x14ac:dyDescent="0.3">
      <c r="A889">
        <v>100666150</v>
      </c>
      <c r="B889" t="s">
        <v>324</v>
      </c>
      <c r="C889" t="s">
        <v>19</v>
      </c>
      <c r="D889" t="s">
        <v>325</v>
      </c>
      <c r="E889" s="6">
        <v>53516.65</v>
      </c>
      <c r="F889" t="s">
        <v>601</v>
      </c>
      <c r="G889" s="4" t="str">
        <f t="shared" si="80"/>
        <v>53516.65</v>
      </c>
      <c r="H889" t="str">
        <f t="shared" si="81"/>
        <v>53516.65</v>
      </c>
      <c r="I889" s="1">
        <v>45761</v>
      </c>
      <c r="J889" s="2">
        <f t="shared" si="82"/>
        <v>-8.0557610056085735E-2</v>
      </c>
      <c r="K889" s="3" t="str">
        <f t="shared" si="83"/>
        <v/>
      </c>
      <c r="L889" t="str">
        <f t="shared" si="84"/>
        <v/>
      </c>
      <c r="M889" t="str">
        <f t="shared" si="85"/>
        <v/>
      </c>
      <c r="N889">
        <v>58205.55</v>
      </c>
      <c r="O889" t="s">
        <v>570</v>
      </c>
      <c r="Q889" t="s">
        <v>19</v>
      </c>
    </row>
    <row r="890" spans="1:17" x14ac:dyDescent="0.3">
      <c r="A890">
        <v>100668409</v>
      </c>
      <c r="B890" t="s">
        <v>327</v>
      </c>
      <c r="C890" t="s">
        <v>590</v>
      </c>
      <c r="D890" t="s">
        <v>328</v>
      </c>
      <c r="E890" s="6">
        <v>4499.33</v>
      </c>
      <c r="F890" t="s">
        <v>601</v>
      </c>
      <c r="G890" s="4" t="str">
        <f t="shared" si="80"/>
        <v>4499.33</v>
      </c>
      <c r="H890" t="str">
        <f t="shared" si="81"/>
        <v>4499.33</v>
      </c>
      <c r="I890" s="1">
        <v>45761</v>
      </c>
      <c r="J890" s="2">
        <f t="shared" si="82"/>
        <v>-7.9857745274877157E-2</v>
      </c>
      <c r="K890" s="3" t="str">
        <f t="shared" si="83"/>
        <v/>
      </c>
      <c r="L890" t="str">
        <f t="shared" si="84"/>
        <v/>
      </c>
      <c r="M890" t="str">
        <f t="shared" si="85"/>
        <v>Check</v>
      </c>
      <c r="N890">
        <v>4889.82</v>
      </c>
      <c r="O890" t="s">
        <v>571</v>
      </c>
      <c r="Q890" t="s">
        <v>16</v>
      </c>
    </row>
    <row r="891" spans="1:17" x14ac:dyDescent="0.3">
      <c r="A891">
        <v>100668534</v>
      </c>
      <c r="B891" t="s">
        <v>330</v>
      </c>
      <c r="C891" t="s">
        <v>590</v>
      </c>
      <c r="D891" t="s">
        <v>331</v>
      </c>
      <c r="E891" s="6">
        <v>8376.07</v>
      </c>
      <c r="F891" t="s">
        <v>601</v>
      </c>
      <c r="G891" s="4" t="str">
        <f t="shared" si="80"/>
        <v>8376.07</v>
      </c>
      <c r="H891" t="str">
        <f t="shared" si="81"/>
        <v>8376.07</v>
      </c>
      <c r="I891" s="1">
        <v>45761</v>
      </c>
      <c r="J891" s="2">
        <f t="shared" si="82"/>
        <v>-8.0178428080240005E-2</v>
      </c>
      <c r="K891" s="3" t="str">
        <f t="shared" si="83"/>
        <v/>
      </c>
      <c r="L891" t="str">
        <f t="shared" si="84"/>
        <v/>
      </c>
      <c r="M891" t="str">
        <f t="shared" si="85"/>
        <v>Check</v>
      </c>
      <c r="N891">
        <v>9106.19</v>
      </c>
      <c r="O891" t="s">
        <v>572</v>
      </c>
      <c r="Q891" t="s">
        <v>16</v>
      </c>
    </row>
    <row r="892" spans="1:17" x14ac:dyDescent="0.3">
      <c r="A892">
        <v>100669580</v>
      </c>
      <c r="B892" t="s">
        <v>333</v>
      </c>
      <c r="C892" t="s">
        <v>19</v>
      </c>
      <c r="D892" t="s">
        <v>334</v>
      </c>
      <c r="E892" s="6">
        <v>27858.1</v>
      </c>
      <c r="F892" t="s">
        <v>601</v>
      </c>
      <c r="G892" s="4" t="str">
        <f t="shared" si="80"/>
        <v>27858.1</v>
      </c>
      <c r="H892" t="str">
        <f t="shared" si="81"/>
        <v>27858.1</v>
      </c>
      <c r="I892" s="1">
        <v>45761</v>
      </c>
      <c r="J892" s="2">
        <f t="shared" si="82"/>
        <v>-8.077490746903182E-2</v>
      </c>
      <c r="K892" s="3" t="str">
        <f t="shared" si="83"/>
        <v/>
      </c>
      <c r="L892" t="str">
        <f t="shared" si="84"/>
        <v/>
      </c>
      <c r="M892" t="str">
        <f t="shared" si="85"/>
        <v/>
      </c>
      <c r="N892">
        <v>30306.07</v>
      </c>
      <c r="O892" t="s">
        <v>573</v>
      </c>
      <c r="Q892" t="s">
        <v>19</v>
      </c>
    </row>
    <row r="893" spans="1:17" x14ac:dyDescent="0.3">
      <c r="A893">
        <v>100670671</v>
      </c>
      <c r="B893" t="s">
        <v>336</v>
      </c>
      <c r="C893" t="s">
        <v>590</v>
      </c>
      <c r="D893" t="s">
        <v>337</v>
      </c>
      <c r="E893" s="6">
        <v>89957</v>
      </c>
      <c r="F893" t="s">
        <v>601</v>
      </c>
      <c r="G893" s="4" t="str">
        <f t="shared" si="80"/>
        <v>89957</v>
      </c>
      <c r="H893" t="str">
        <f t="shared" si="81"/>
        <v>89957</v>
      </c>
      <c r="I893" s="1">
        <v>45761</v>
      </c>
      <c r="J893" s="2">
        <f t="shared" si="82"/>
        <v>-7.5120011704296191E-2</v>
      </c>
      <c r="K893" s="3" t="str">
        <f t="shared" si="83"/>
        <v/>
      </c>
      <c r="L893" t="str">
        <f t="shared" si="84"/>
        <v/>
      </c>
      <c r="M893" t="str">
        <f t="shared" si="85"/>
        <v>Check</v>
      </c>
      <c r="N893">
        <v>97263.43</v>
      </c>
      <c r="O893" t="s">
        <v>574</v>
      </c>
      <c r="Q893" t="s">
        <v>16</v>
      </c>
    </row>
    <row r="894" spans="1:17" x14ac:dyDescent="0.3">
      <c r="A894">
        <v>100675336</v>
      </c>
      <c r="B894" t="s">
        <v>347</v>
      </c>
      <c r="C894" t="s">
        <v>19</v>
      </c>
      <c r="D894" t="s">
        <v>348</v>
      </c>
      <c r="E894" s="6">
        <v>38644.69</v>
      </c>
      <c r="F894" t="s">
        <v>601</v>
      </c>
      <c r="G894" s="4" t="str">
        <f t="shared" si="80"/>
        <v>38644.69</v>
      </c>
      <c r="H894" t="str">
        <f t="shared" si="81"/>
        <v>38644.69</v>
      </c>
      <c r="I894" s="1">
        <v>45761</v>
      </c>
      <c r="J894" s="2">
        <f t="shared" si="82"/>
        <v>-8.0740399434524088E-2</v>
      </c>
      <c r="K894" s="3" t="str">
        <f t="shared" si="83"/>
        <v/>
      </c>
      <c r="L894" t="str">
        <f t="shared" si="84"/>
        <v/>
      </c>
      <c r="M894" t="str">
        <f t="shared" si="85"/>
        <v/>
      </c>
      <c r="N894">
        <v>42038.93</v>
      </c>
      <c r="O894" t="s">
        <v>575</v>
      </c>
      <c r="Q894" t="s">
        <v>19</v>
      </c>
    </row>
    <row r="895" spans="1:17" x14ac:dyDescent="0.3">
      <c r="A895">
        <v>100677278</v>
      </c>
      <c r="B895" t="s">
        <v>350</v>
      </c>
      <c r="C895" t="s">
        <v>19</v>
      </c>
      <c r="D895" t="s">
        <v>351</v>
      </c>
      <c r="E895" s="6">
        <v>39426.92</v>
      </c>
      <c r="F895" t="s">
        <v>601</v>
      </c>
      <c r="G895" s="4" t="str">
        <f t="shared" si="80"/>
        <v>39426.92</v>
      </c>
      <c r="H895" t="str">
        <f t="shared" si="81"/>
        <v>39426.92</v>
      </c>
      <c r="I895" s="1">
        <v>45761</v>
      </c>
      <c r="J895" s="2">
        <f t="shared" si="82"/>
        <v>-8.0297919976636031E-2</v>
      </c>
      <c r="K895" s="3" t="str">
        <f t="shared" si="83"/>
        <v/>
      </c>
      <c r="L895" t="str">
        <f t="shared" si="84"/>
        <v/>
      </c>
      <c r="M895" t="str">
        <f t="shared" si="85"/>
        <v/>
      </c>
      <c r="N895">
        <v>42869.23</v>
      </c>
      <c r="O895" t="s">
        <v>576</v>
      </c>
      <c r="Q895" t="s">
        <v>19</v>
      </c>
    </row>
    <row r="896" spans="1:17" x14ac:dyDescent="0.3">
      <c r="A896">
        <v>100677585</v>
      </c>
      <c r="B896" t="s">
        <v>353</v>
      </c>
      <c r="C896" t="s">
        <v>19</v>
      </c>
      <c r="D896" t="s">
        <v>354</v>
      </c>
      <c r="E896" s="6">
        <v>5236.6899999999996</v>
      </c>
      <c r="F896" t="s">
        <v>601</v>
      </c>
      <c r="G896" s="4" t="str">
        <f t="shared" si="80"/>
        <v>5236.69</v>
      </c>
      <c r="H896" t="str">
        <f t="shared" si="81"/>
        <v>5236.69</v>
      </c>
      <c r="I896" s="1">
        <v>45761</v>
      </c>
      <c r="J896" s="2">
        <f t="shared" si="82"/>
        <v>-8.0893851610944367E-2</v>
      </c>
      <c r="K896" s="3" t="str">
        <f t="shared" si="83"/>
        <v/>
      </c>
      <c r="L896" t="str">
        <f t="shared" si="84"/>
        <v/>
      </c>
      <c r="M896" t="str">
        <f t="shared" si="85"/>
        <v/>
      </c>
      <c r="N896">
        <v>5697.59</v>
      </c>
      <c r="O896" t="s">
        <v>577</v>
      </c>
      <c r="Q896" t="s">
        <v>19</v>
      </c>
    </row>
    <row r="897" spans="1:17" x14ac:dyDescent="0.3">
      <c r="A897">
        <v>100706842</v>
      </c>
      <c r="B897" t="s">
        <v>356</v>
      </c>
      <c r="C897" t="s">
        <v>19</v>
      </c>
      <c r="D897" t="s">
        <v>357</v>
      </c>
      <c r="E897" s="6">
        <v>15831.66</v>
      </c>
      <c r="F897" t="s">
        <v>601</v>
      </c>
      <c r="G897" s="4" t="str">
        <f t="shared" si="80"/>
        <v>15831.66</v>
      </c>
      <c r="H897" t="str">
        <f t="shared" si="81"/>
        <v>15831.66</v>
      </c>
      <c r="I897" s="1">
        <v>45761</v>
      </c>
      <c r="J897" s="2">
        <f t="shared" si="82"/>
        <v>-8.0764087714826432E-2</v>
      </c>
      <c r="K897" s="3" t="str">
        <f t="shared" si="83"/>
        <v/>
      </c>
      <c r="L897" t="str">
        <f t="shared" si="84"/>
        <v/>
      </c>
      <c r="M897" t="str">
        <f t="shared" si="85"/>
        <v/>
      </c>
      <c r="N897">
        <v>17222.63</v>
      </c>
      <c r="O897" t="s">
        <v>578</v>
      </c>
      <c r="Q897" t="s">
        <v>19</v>
      </c>
    </row>
    <row r="898" spans="1:17" x14ac:dyDescent="0.3">
      <c r="A898">
        <v>100711105</v>
      </c>
      <c r="B898" t="s">
        <v>359</v>
      </c>
      <c r="C898" t="s">
        <v>590</v>
      </c>
      <c r="D898" t="s">
        <v>360</v>
      </c>
      <c r="E898" s="6">
        <v>2323.7600000000002</v>
      </c>
      <c r="F898" t="s">
        <v>601</v>
      </c>
      <c r="G898" s="4" t="str">
        <f t="shared" si="80"/>
        <v>2323.76</v>
      </c>
      <c r="H898" t="str">
        <f t="shared" si="81"/>
        <v>2323.76</v>
      </c>
      <c r="I898" s="1">
        <v>45761</v>
      </c>
      <c r="J898" s="2">
        <f t="shared" si="82"/>
        <v>-0.19469078685172669</v>
      </c>
      <c r="K898" s="3" t="str">
        <f t="shared" si="83"/>
        <v>Check!</v>
      </c>
      <c r="L898" t="str">
        <f t="shared" si="84"/>
        <v/>
      </c>
      <c r="M898" t="str">
        <f t="shared" si="85"/>
        <v>Check</v>
      </c>
      <c r="N898">
        <v>2885.55</v>
      </c>
      <c r="O898" t="s">
        <v>579</v>
      </c>
      <c r="Q898" t="s">
        <v>16</v>
      </c>
    </row>
    <row r="899" spans="1:17" x14ac:dyDescent="0.3">
      <c r="A899">
        <v>100786852</v>
      </c>
      <c r="B899" t="s">
        <v>636</v>
      </c>
      <c r="C899" t="s">
        <v>19</v>
      </c>
      <c r="D899" t="s">
        <v>637</v>
      </c>
      <c r="E899" s="6">
        <v>51799.05</v>
      </c>
      <c r="F899" t="s">
        <v>601</v>
      </c>
      <c r="G899" s="4" t="str">
        <f t="shared" ref="G899:G962" si="86">SUBSTITUTE(E899,"R","")</f>
        <v>51799.05</v>
      </c>
      <c r="H899" t="str">
        <f t="shared" ref="H899:H962" si="87">SUBSTITUTE(G899,",","")</f>
        <v>51799.05</v>
      </c>
      <c r="I899" s="1">
        <v>45761</v>
      </c>
      <c r="J899" s="2">
        <f t="shared" ref="J899:J962" si="88">(H899-N899)/N899</f>
        <v>-8.0583375222580966E-2</v>
      </c>
      <c r="K899" s="3" t="str">
        <f t="shared" ref="K899:K962" si="89">IF(ABS(J899)&gt;0.1,"Check!","")</f>
        <v/>
      </c>
      <c r="L899" t="str">
        <f t="shared" ref="L899:L962" si="90">IF(LEFT(O899,10)&lt;&gt;LEFT(D899,10),"Check","")</f>
        <v/>
      </c>
      <c r="M899" t="str">
        <f t="shared" ref="M899:M962" si="91">IF(Q899&lt;&gt;C899,"Check","")</f>
        <v/>
      </c>
      <c r="N899">
        <v>56339.040000000001</v>
      </c>
      <c r="O899" t="s">
        <v>693</v>
      </c>
      <c r="Q899" t="s">
        <v>19</v>
      </c>
    </row>
    <row r="900" spans="1:17" x14ac:dyDescent="0.3">
      <c r="A900">
        <v>100799345</v>
      </c>
      <c r="B900" t="s">
        <v>640</v>
      </c>
      <c r="C900" t="s">
        <v>590</v>
      </c>
      <c r="D900" t="s">
        <v>641</v>
      </c>
      <c r="E900" s="6">
        <v>223591.6</v>
      </c>
      <c r="F900" t="s">
        <v>601</v>
      </c>
      <c r="G900" s="4" t="str">
        <f t="shared" si="86"/>
        <v>223591.6</v>
      </c>
      <c r="H900" t="str">
        <f t="shared" si="87"/>
        <v>223591.6</v>
      </c>
      <c r="I900" s="1">
        <v>45761</v>
      </c>
      <c r="J900" s="2">
        <f t="shared" si="88"/>
        <v>1.4396579331414776</v>
      </c>
      <c r="K900" s="3" t="str">
        <f t="shared" si="89"/>
        <v>Check!</v>
      </c>
      <c r="L900" t="str">
        <f t="shared" si="90"/>
        <v/>
      </c>
      <c r="M900" t="str">
        <f t="shared" si="91"/>
        <v/>
      </c>
      <c r="N900">
        <v>91648.75</v>
      </c>
      <c r="O900" t="s">
        <v>694</v>
      </c>
      <c r="Q900" t="s">
        <v>590</v>
      </c>
    </row>
    <row r="901" spans="1:17" s="7" customFormat="1" x14ac:dyDescent="0.3">
      <c r="A901" s="7">
        <v>32490</v>
      </c>
      <c r="B901" s="7" t="s">
        <v>15</v>
      </c>
      <c r="C901" s="7" t="s">
        <v>590</v>
      </c>
      <c r="D901" s="7" t="s">
        <v>17</v>
      </c>
      <c r="E901" s="8">
        <v>7914.24</v>
      </c>
      <c r="F901" s="7" t="s">
        <v>602</v>
      </c>
      <c r="G901" s="4" t="str">
        <f t="shared" si="86"/>
        <v>7914.24</v>
      </c>
      <c r="H901" t="str">
        <f t="shared" si="87"/>
        <v>7914.24</v>
      </c>
      <c r="I901" s="1">
        <v>45761</v>
      </c>
      <c r="J901" s="2">
        <f t="shared" si="88"/>
        <v>-7.550513339586791E-2</v>
      </c>
      <c r="K901" s="3" t="str">
        <f t="shared" si="89"/>
        <v/>
      </c>
      <c r="L901" t="str">
        <f t="shared" si="90"/>
        <v/>
      </c>
      <c r="M901" t="str">
        <f t="shared" si="91"/>
        <v>Check</v>
      </c>
      <c r="N901" s="7">
        <v>8560.61</v>
      </c>
      <c r="O901" s="7" t="s">
        <v>367</v>
      </c>
      <c r="Q901" s="7" t="s">
        <v>16</v>
      </c>
    </row>
    <row r="902" spans="1:17" x14ac:dyDescent="0.3">
      <c r="A902">
        <v>32490</v>
      </c>
      <c r="B902" t="s">
        <v>15</v>
      </c>
      <c r="C902" t="s">
        <v>19</v>
      </c>
      <c r="D902" t="s">
        <v>20</v>
      </c>
      <c r="E902" s="6">
        <v>4878.6400000000003</v>
      </c>
      <c r="F902" t="s">
        <v>602</v>
      </c>
      <c r="G902" s="4" t="str">
        <f t="shared" si="86"/>
        <v>4878.64</v>
      </c>
      <c r="H902" t="str">
        <f t="shared" si="87"/>
        <v>4878.64</v>
      </c>
      <c r="I902" s="1">
        <v>45761</v>
      </c>
      <c r="J902" s="2">
        <f t="shared" si="88"/>
        <v>-0.1095406102442327</v>
      </c>
      <c r="K902" s="3" t="str">
        <f t="shared" si="89"/>
        <v>Check!</v>
      </c>
      <c r="L902" t="str">
        <f t="shared" si="90"/>
        <v/>
      </c>
      <c r="M902" t="str">
        <f t="shared" si="91"/>
        <v/>
      </c>
      <c r="N902">
        <v>5478.79</v>
      </c>
      <c r="O902" t="s">
        <v>368</v>
      </c>
      <c r="Q902" t="s">
        <v>19</v>
      </c>
    </row>
    <row r="903" spans="1:17" x14ac:dyDescent="0.3">
      <c r="A903">
        <v>32490</v>
      </c>
      <c r="B903" t="s">
        <v>15</v>
      </c>
      <c r="C903" t="s">
        <v>19</v>
      </c>
      <c r="D903" t="s">
        <v>22</v>
      </c>
      <c r="E903" s="6">
        <v>22875.4</v>
      </c>
      <c r="F903" t="s">
        <v>602</v>
      </c>
      <c r="G903" s="4" t="str">
        <f t="shared" si="86"/>
        <v>22875.4</v>
      </c>
      <c r="H903" t="str">
        <f t="shared" si="87"/>
        <v>22875.4</v>
      </c>
      <c r="I903" s="1">
        <v>45761</v>
      </c>
      <c r="J903" s="2">
        <f t="shared" si="88"/>
        <v>-5.9094805389246087E-2</v>
      </c>
      <c r="K903" s="3" t="str">
        <f t="shared" si="89"/>
        <v/>
      </c>
      <c r="L903" t="str">
        <f t="shared" si="90"/>
        <v/>
      </c>
      <c r="M903" t="str">
        <f t="shared" si="91"/>
        <v/>
      </c>
      <c r="N903">
        <v>24312.12</v>
      </c>
      <c r="O903" t="s">
        <v>369</v>
      </c>
      <c r="Q903" t="s">
        <v>19</v>
      </c>
    </row>
    <row r="904" spans="1:17" x14ac:dyDescent="0.3">
      <c r="A904">
        <v>33672</v>
      </c>
      <c r="B904" t="s">
        <v>24</v>
      </c>
      <c r="C904" t="s">
        <v>19</v>
      </c>
      <c r="D904" t="s">
        <v>25</v>
      </c>
      <c r="E904" s="6">
        <v>125218.4</v>
      </c>
      <c r="F904" t="s">
        <v>602</v>
      </c>
      <c r="G904" s="4" t="str">
        <f t="shared" si="86"/>
        <v>125218.4</v>
      </c>
      <c r="H904" t="str">
        <f t="shared" si="87"/>
        <v>125218.4</v>
      </c>
      <c r="I904" s="1">
        <v>45761</v>
      </c>
      <c r="J904" s="2">
        <f t="shared" si="88"/>
        <v>-5.3454429016036677E-2</v>
      </c>
      <c r="K904" s="3" t="str">
        <f t="shared" si="89"/>
        <v/>
      </c>
      <c r="L904" t="str">
        <f t="shared" si="90"/>
        <v/>
      </c>
      <c r="M904" t="str">
        <f t="shared" si="91"/>
        <v/>
      </c>
      <c r="N904">
        <v>132289.88</v>
      </c>
      <c r="O904" t="s">
        <v>370</v>
      </c>
      <c r="Q904" t="s">
        <v>19</v>
      </c>
    </row>
    <row r="905" spans="1:17" x14ac:dyDescent="0.3">
      <c r="A905">
        <v>34171</v>
      </c>
      <c r="B905" t="s">
        <v>27</v>
      </c>
      <c r="C905" t="s">
        <v>19</v>
      </c>
      <c r="D905" t="s">
        <v>28</v>
      </c>
      <c r="E905" s="6">
        <v>17888.34</v>
      </c>
      <c r="F905" t="s">
        <v>602</v>
      </c>
      <c r="G905" s="4" t="str">
        <f t="shared" si="86"/>
        <v>17888.34</v>
      </c>
      <c r="H905" t="str">
        <f t="shared" si="87"/>
        <v>17888.34</v>
      </c>
      <c r="I905" s="1">
        <v>45761</v>
      </c>
      <c r="J905" s="2">
        <f t="shared" si="88"/>
        <v>-6.1551463910970813E-2</v>
      </c>
      <c r="K905" s="3" t="str">
        <f t="shared" si="89"/>
        <v/>
      </c>
      <c r="L905" t="str">
        <f t="shared" si="90"/>
        <v/>
      </c>
      <c r="M905" t="str">
        <f t="shared" si="91"/>
        <v/>
      </c>
      <c r="N905">
        <v>19061.61</v>
      </c>
      <c r="O905" t="s">
        <v>371</v>
      </c>
      <c r="Q905" t="s">
        <v>19</v>
      </c>
    </row>
    <row r="906" spans="1:17" x14ac:dyDescent="0.3">
      <c r="A906">
        <v>34173</v>
      </c>
      <c r="B906" t="s">
        <v>30</v>
      </c>
      <c r="C906" t="s">
        <v>19</v>
      </c>
      <c r="D906" t="s">
        <v>31</v>
      </c>
      <c r="E906" s="6">
        <v>74372.14</v>
      </c>
      <c r="F906" t="s">
        <v>602</v>
      </c>
      <c r="G906" s="4" t="str">
        <f t="shared" si="86"/>
        <v>74372.14</v>
      </c>
      <c r="H906" t="str">
        <f t="shared" si="87"/>
        <v>74372.14</v>
      </c>
      <c r="I906" s="1">
        <v>45761</v>
      </c>
      <c r="J906" s="2">
        <f t="shared" si="88"/>
        <v>-5.4311981854298794E-2</v>
      </c>
      <c r="K906" s="3" t="str">
        <f t="shared" si="89"/>
        <v/>
      </c>
      <c r="L906" t="str">
        <f t="shared" si="90"/>
        <v/>
      </c>
      <c r="M906" t="str">
        <f t="shared" si="91"/>
        <v/>
      </c>
      <c r="N906">
        <v>78643.42</v>
      </c>
      <c r="O906" t="s">
        <v>372</v>
      </c>
      <c r="Q906" t="s">
        <v>19</v>
      </c>
    </row>
    <row r="907" spans="1:17" x14ac:dyDescent="0.3">
      <c r="A907">
        <v>34199</v>
      </c>
      <c r="B907" t="s">
        <v>36</v>
      </c>
      <c r="C907" t="s">
        <v>19</v>
      </c>
      <c r="D907" t="s">
        <v>39</v>
      </c>
      <c r="E907" s="6">
        <v>15503.23</v>
      </c>
      <c r="F907" t="s">
        <v>602</v>
      </c>
      <c r="G907" s="4" t="str">
        <f t="shared" si="86"/>
        <v>15503.23</v>
      </c>
      <c r="H907" t="str">
        <f t="shared" si="87"/>
        <v>15503.23</v>
      </c>
      <c r="I907" s="1">
        <v>45761</v>
      </c>
      <c r="J907" s="2">
        <f t="shared" si="88"/>
        <v>-6.3277242379384341E-2</v>
      </c>
      <c r="K907" s="3" t="str">
        <f t="shared" si="89"/>
        <v/>
      </c>
      <c r="L907" t="str">
        <f t="shared" si="90"/>
        <v/>
      </c>
      <c r="M907" t="str">
        <f t="shared" si="91"/>
        <v/>
      </c>
      <c r="N907">
        <v>16550.5</v>
      </c>
      <c r="O907" t="s">
        <v>373</v>
      </c>
      <c r="Q907" t="s">
        <v>19</v>
      </c>
    </row>
    <row r="908" spans="1:17" x14ac:dyDescent="0.3">
      <c r="A908">
        <v>34200</v>
      </c>
      <c r="B908" t="s">
        <v>592</v>
      </c>
      <c r="C908" t="s">
        <v>590</v>
      </c>
      <c r="D908" t="s">
        <v>595</v>
      </c>
      <c r="E908" s="6">
        <v>18105.169999999998</v>
      </c>
      <c r="F908" t="s">
        <v>602</v>
      </c>
      <c r="G908" s="4" t="str">
        <f t="shared" si="86"/>
        <v>18105.17</v>
      </c>
      <c r="H908" t="str">
        <f t="shared" si="87"/>
        <v>18105.17</v>
      </c>
      <c r="I908" s="1">
        <v>45761</v>
      </c>
      <c r="J908" s="2">
        <f t="shared" si="88"/>
        <v>7.1760197905277406E-2</v>
      </c>
      <c r="K908" s="3" t="str">
        <f t="shared" si="89"/>
        <v/>
      </c>
      <c r="L908" t="str">
        <f t="shared" si="90"/>
        <v/>
      </c>
      <c r="M908" t="str">
        <f t="shared" si="91"/>
        <v/>
      </c>
      <c r="N908">
        <v>16892.93</v>
      </c>
      <c r="O908" t="s">
        <v>676</v>
      </c>
      <c r="Q908" t="s">
        <v>590</v>
      </c>
    </row>
    <row r="909" spans="1:17" x14ac:dyDescent="0.3">
      <c r="A909">
        <v>34200</v>
      </c>
      <c r="B909" t="s">
        <v>592</v>
      </c>
      <c r="C909" t="s">
        <v>611</v>
      </c>
      <c r="D909" t="s">
        <v>42</v>
      </c>
      <c r="E909" s="6">
        <v>30030.73</v>
      </c>
      <c r="F909" t="s">
        <v>602</v>
      </c>
      <c r="G909" s="4" t="str">
        <f t="shared" si="86"/>
        <v>30030.73</v>
      </c>
      <c r="H909" t="str">
        <f t="shared" si="87"/>
        <v>30030.73</v>
      </c>
      <c r="I909" s="1">
        <v>45761</v>
      </c>
      <c r="J909" s="2">
        <f t="shared" si="88"/>
        <v>-5.6985220808624185E-2</v>
      </c>
      <c r="K909" s="3" t="str">
        <f t="shared" si="89"/>
        <v/>
      </c>
      <c r="L909" t="str">
        <f t="shared" si="90"/>
        <v/>
      </c>
      <c r="M909" t="str">
        <f t="shared" si="91"/>
        <v>Check</v>
      </c>
      <c r="N909">
        <v>31845.45</v>
      </c>
      <c r="O909" t="s">
        <v>43</v>
      </c>
      <c r="Q909" t="s">
        <v>41</v>
      </c>
    </row>
    <row r="910" spans="1:17" x14ac:dyDescent="0.3">
      <c r="A910">
        <v>34200</v>
      </c>
      <c r="B910" t="s">
        <v>592</v>
      </c>
      <c r="C910" t="s">
        <v>611</v>
      </c>
      <c r="D910" t="s">
        <v>44</v>
      </c>
      <c r="E910" s="6">
        <v>15936.89</v>
      </c>
      <c r="F910" t="s">
        <v>602</v>
      </c>
      <c r="G910" s="4" t="str">
        <f t="shared" si="86"/>
        <v>15936.89</v>
      </c>
      <c r="H910" t="str">
        <f t="shared" si="87"/>
        <v>15936.89</v>
      </c>
      <c r="I910" s="1">
        <v>45761</v>
      </c>
      <c r="J910" s="2">
        <f t="shared" si="88"/>
        <v>-6.2925595061348039E-2</v>
      </c>
      <c r="K910" s="3" t="str">
        <f t="shared" si="89"/>
        <v/>
      </c>
      <c r="L910" t="str">
        <f t="shared" si="90"/>
        <v/>
      </c>
      <c r="M910" t="str">
        <f t="shared" si="91"/>
        <v>Check</v>
      </c>
      <c r="N910">
        <v>17007.07</v>
      </c>
      <c r="O910" t="s">
        <v>45</v>
      </c>
      <c r="Q910" t="s">
        <v>41</v>
      </c>
    </row>
    <row r="911" spans="1:17" x14ac:dyDescent="0.3">
      <c r="A911">
        <v>34200</v>
      </c>
      <c r="B911" t="s">
        <v>592</v>
      </c>
      <c r="C911" t="s">
        <v>609</v>
      </c>
      <c r="D911" t="s">
        <v>610</v>
      </c>
      <c r="E911" s="6">
        <v>433.66</v>
      </c>
      <c r="F911" t="s">
        <v>602</v>
      </c>
      <c r="G911" s="4" t="str">
        <f t="shared" si="86"/>
        <v>433.66</v>
      </c>
      <c r="H911" t="str">
        <f t="shared" si="87"/>
        <v>433.66</v>
      </c>
      <c r="I911" s="1">
        <v>45761</v>
      </c>
      <c r="J911" s="2">
        <f t="shared" si="88"/>
        <v>-5.0178504939001618E-2</v>
      </c>
      <c r="K911" s="3" t="str">
        <f t="shared" si="89"/>
        <v/>
      </c>
      <c r="L911" t="str">
        <f t="shared" si="90"/>
        <v/>
      </c>
      <c r="M911" t="str">
        <f t="shared" si="91"/>
        <v/>
      </c>
      <c r="N911">
        <v>456.57</v>
      </c>
      <c r="O911" t="s">
        <v>644</v>
      </c>
      <c r="Q911" t="s">
        <v>609</v>
      </c>
    </row>
    <row r="912" spans="1:17" x14ac:dyDescent="0.3">
      <c r="A912">
        <v>34200</v>
      </c>
      <c r="B912" t="s">
        <v>592</v>
      </c>
      <c r="C912" t="s">
        <v>606</v>
      </c>
      <c r="D912" t="s">
        <v>607</v>
      </c>
      <c r="E912" s="6">
        <v>975.73</v>
      </c>
      <c r="F912" t="s">
        <v>602</v>
      </c>
      <c r="G912" s="4" t="str">
        <f t="shared" si="86"/>
        <v>975.73</v>
      </c>
      <c r="H912" t="str">
        <f t="shared" si="87"/>
        <v>975.73</v>
      </c>
      <c r="I912" s="1">
        <v>45761</v>
      </c>
      <c r="J912" s="2">
        <f t="shared" si="88"/>
        <v>-0.22287266239765519</v>
      </c>
      <c r="K912" s="3" t="str">
        <f t="shared" si="89"/>
        <v>Check!</v>
      </c>
      <c r="L912" t="str">
        <f t="shared" si="90"/>
        <v/>
      </c>
      <c r="M912" t="str">
        <f t="shared" si="91"/>
        <v/>
      </c>
      <c r="N912">
        <v>1255.56</v>
      </c>
      <c r="O912" t="s">
        <v>645</v>
      </c>
      <c r="Q912" t="s">
        <v>606</v>
      </c>
    </row>
    <row r="913" spans="1:17" x14ac:dyDescent="0.3">
      <c r="A913">
        <v>34200</v>
      </c>
      <c r="B913" t="s">
        <v>592</v>
      </c>
      <c r="C913" t="s">
        <v>606</v>
      </c>
      <c r="D913" t="s">
        <v>608</v>
      </c>
      <c r="E913" s="6">
        <v>650.49</v>
      </c>
      <c r="F913" t="s">
        <v>602</v>
      </c>
      <c r="G913" s="4" t="str">
        <f t="shared" si="86"/>
        <v>650.49</v>
      </c>
      <c r="H913" t="str">
        <f t="shared" si="87"/>
        <v>650.49</v>
      </c>
      <c r="I913" s="1">
        <v>45761</v>
      </c>
      <c r="J913" s="2">
        <f t="shared" si="88"/>
        <v>-0.28762607733838552</v>
      </c>
      <c r="K913" s="3" t="str">
        <f t="shared" si="89"/>
        <v>Check!</v>
      </c>
      <c r="L913" t="str">
        <f t="shared" si="90"/>
        <v/>
      </c>
      <c r="M913" t="str">
        <f t="shared" si="91"/>
        <v/>
      </c>
      <c r="N913">
        <v>913.13</v>
      </c>
      <c r="O913" t="s">
        <v>646</v>
      </c>
      <c r="Q913" t="s">
        <v>606</v>
      </c>
    </row>
    <row r="914" spans="1:17" x14ac:dyDescent="0.3">
      <c r="A914">
        <v>34202</v>
      </c>
      <c r="B914" t="s">
        <v>46</v>
      </c>
      <c r="C914" t="s">
        <v>19</v>
      </c>
      <c r="D914" t="s">
        <v>49</v>
      </c>
      <c r="E914" s="6">
        <v>377281.42</v>
      </c>
      <c r="F914" t="s">
        <v>602</v>
      </c>
      <c r="G914" s="4" t="str">
        <f t="shared" si="86"/>
        <v>377281.42</v>
      </c>
      <c r="H914" t="str">
        <f t="shared" si="87"/>
        <v>377281.42</v>
      </c>
      <c r="I914" s="1">
        <v>45761</v>
      </c>
      <c r="J914" s="2">
        <f t="shared" si="88"/>
        <v>-5.2083075279365385E-2</v>
      </c>
      <c r="K914" s="3" t="str">
        <f t="shared" si="89"/>
        <v/>
      </c>
      <c r="L914" t="str">
        <f t="shared" si="90"/>
        <v/>
      </c>
      <c r="M914" t="str">
        <f t="shared" si="91"/>
        <v/>
      </c>
      <c r="N914">
        <v>398011.06</v>
      </c>
      <c r="O914" t="s">
        <v>375</v>
      </c>
      <c r="Q914" t="s">
        <v>19</v>
      </c>
    </row>
    <row r="915" spans="1:17" x14ac:dyDescent="0.3">
      <c r="A915">
        <v>34202</v>
      </c>
      <c r="B915" t="s">
        <v>46</v>
      </c>
      <c r="C915" t="s">
        <v>19</v>
      </c>
      <c r="D915" t="s">
        <v>47</v>
      </c>
      <c r="E915" s="6">
        <v>71336.539999999994</v>
      </c>
      <c r="F915" t="s">
        <v>602</v>
      </c>
      <c r="G915" s="4" t="str">
        <f t="shared" si="86"/>
        <v>71336.54</v>
      </c>
      <c r="H915" t="str">
        <f t="shared" si="87"/>
        <v>71336.54</v>
      </c>
      <c r="I915" s="1">
        <v>45761</v>
      </c>
      <c r="J915" s="2">
        <f t="shared" si="88"/>
        <v>-5.3054611160108345E-2</v>
      </c>
      <c r="K915" s="3" t="str">
        <f t="shared" si="89"/>
        <v/>
      </c>
      <c r="L915" t="str">
        <f t="shared" si="90"/>
        <v/>
      </c>
      <c r="M915" t="str">
        <f t="shared" si="91"/>
        <v/>
      </c>
      <c r="N915">
        <v>75333.320000000007</v>
      </c>
      <c r="O915" t="s">
        <v>374</v>
      </c>
      <c r="Q915" t="s">
        <v>19</v>
      </c>
    </row>
    <row r="916" spans="1:17" x14ac:dyDescent="0.3">
      <c r="A916">
        <v>34202</v>
      </c>
      <c r="B916" t="s">
        <v>46</v>
      </c>
      <c r="C916" t="s">
        <v>19</v>
      </c>
      <c r="D916" t="s">
        <v>47</v>
      </c>
      <c r="E916" s="6">
        <v>975.73</v>
      </c>
      <c r="F916" t="s">
        <v>602</v>
      </c>
      <c r="G916" s="4" t="str">
        <f t="shared" si="86"/>
        <v>975.73</v>
      </c>
      <c r="H916" t="str">
        <f t="shared" si="87"/>
        <v>975.73</v>
      </c>
      <c r="I916" s="1">
        <v>45761</v>
      </c>
      <c r="J916" s="2">
        <f t="shared" si="88"/>
        <v>-5.0171814615436995E-2</v>
      </c>
      <c r="K916" s="3" t="str">
        <f t="shared" si="89"/>
        <v/>
      </c>
      <c r="L916" t="str">
        <f t="shared" si="90"/>
        <v/>
      </c>
      <c r="M916" t="str">
        <f t="shared" si="91"/>
        <v/>
      </c>
      <c r="N916">
        <v>1027.27</v>
      </c>
      <c r="O916" t="s">
        <v>374</v>
      </c>
      <c r="Q916" t="s">
        <v>19</v>
      </c>
    </row>
    <row r="917" spans="1:17" x14ac:dyDescent="0.3">
      <c r="A917">
        <v>34209</v>
      </c>
      <c r="B917" t="s">
        <v>51</v>
      </c>
      <c r="C917" t="s">
        <v>590</v>
      </c>
      <c r="D917" t="s">
        <v>376</v>
      </c>
      <c r="E917" s="6">
        <v>40438.5</v>
      </c>
      <c r="F917" t="s">
        <v>602</v>
      </c>
      <c r="G917" s="4" t="str">
        <f t="shared" si="86"/>
        <v>40438.5</v>
      </c>
      <c r="H917" t="str">
        <f t="shared" si="87"/>
        <v>40438.5</v>
      </c>
      <c r="I917" s="1">
        <v>45761</v>
      </c>
      <c r="J917" s="2">
        <f t="shared" si="88"/>
        <v>0.14285254027051333</v>
      </c>
      <c r="K917" s="3" t="str">
        <f t="shared" si="89"/>
        <v>Check!</v>
      </c>
      <c r="L917" t="str">
        <f t="shared" si="90"/>
        <v/>
      </c>
      <c r="M917" t="str">
        <f t="shared" si="91"/>
        <v>Check</v>
      </c>
      <c r="N917">
        <v>35383.83</v>
      </c>
      <c r="O917" t="s">
        <v>377</v>
      </c>
      <c r="Q917" t="s">
        <v>16</v>
      </c>
    </row>
    <row r="918" spans="1:17" x14ac:dyDescent="0.3">
      <c r="A918">
        <v>34209</v>
      </c>
      <c r="B918" t="s">
        <v>51</v>
      </c>
      <c r="C918" t="s">
        <v>19</v>
      </c>
      <c r="D918" t="s">
        <v>54</v>
      </c>
      <c r="E918" s="6">
        <v>108956.27</v>
      </c>
      <c r="F918" t="s">
        <v>602</v>
      </c>
      <c r="G918" s="4" t="str">
        <f t="shared" si="86"/>
        <v>108956.27</v>
      </c>
      <c r="H918" t="str">
        <f t="shared" si="87"/>
        <v>108956.27</v>
      </c>
      <c r="I918" s="1">
        <v>45761</v>
      </c>
      <c r="J918" s="2">
        <f t="shared" si="88"/>
        <v>-5.300321508418656E-2</v>
      </c>
      <c r="K918" s="3" t="str">
        <f t="shared" si="89"/>
        <v/>
      </c>
      <c r="L918" t="str">
        <f t="shared" si="90"/>
        <v/>
      </c>
      <c r="M918" t="str">
        <f t="shared" si="91"/>
        <v/>
      </c>
      <c r="N918">
        <v>115054.53</v>
      </c>
      <c r="O918" t="s">
        <v>379</v>
      </c>
      <c r="Q918" t="s">
        <v>19</v>
      </c>
    </row>
    <row r="919" spans="1:17" x14ac:dyDescent="0.3">
      <c r="A919">
        <v>34209</v>
      </c>
      <c r="B919" t="s">
        <v>51</v>
      </c>
      <c r="C919" t="s">
        <v>19</v>
      </c>
      <c r="D919" t="s">
        <v>52</v>
      </c>
      <c r="E919" s="6">
        <v>84346.25</v>
      </c>
      <c r="F919" t="s">
        <v>602</v>
      </c>
      <c r="G919" s="4" t="str">
        <f t="shared" si="86"/>
        <v>84346.25</v>
      </c>
      <c r="H919" t="str">
        <f t="shared" si="87"/>
        <v>84346.25</v>
      </c>
      <c r="I919" s="1">
        <v>45761</v>
      </c>
      <c r="J919" s="2">
        <f t="shared" si="88"/>
        <v>-5.3824787482515658E-2</v>
      </c>
      <c r="K919" s="3" t="str">
        <f t="shared" si="89"/>
        <v/>
      </c>
      <c r="L919" t="str">
        <f t="shared" si="90"/>
        <v/>
      </c>
      <c r="M919" t="str">
        <f t="shared" si="91"/>
        <v/>
      </c>
      <c r="N919">
        <v>89144.43</v>
      </c>
      <c r="O919" t="s">
        <v>378</v>
      </c>
      <c r="Q919" t="s">
        <v>19</v>
      </c>
    </row>
    <row r="920" spans="1:17" x14ac:dyDescent="0.3">
      <c r="A920">
        <v>34209</v>
      </c>
      <c r="B920" t="s">
        <v>51</v>
      </c>
      <c r="C920" t="s">
        <v>612</v>
      </c>
      <c r="D920" t="s">
        <v>57</v>
      </c>
      <c r="E920" s="6">
        <v>4444.9799999999996</v>
      </c>
      <c r="F920" t="s">
        <v>602</v>
      </c>
      <c r="G920" s="4" t="str">
        <f t="shared" si="86"/>
        <v>4444.98</v>
      </c>
      <c r="H920" t="str">
        <f t="shared" si="87"/>
        <v>4444.98</v>
      </c>
      <c r="I920" s="1">
        <v>45761</v>
      </c>
      <c r="J920" s="2">
        <f t="shared" si="88"/>
        <v>-9.435461524669532E-2</v>
      </c>
      <c r="K920" s="3" t="str">
        <f t="shared" si="89"/>
        <v/>
      </c>
      <c r="L920" t="str">
        <f t="shared" si="90"/>
        <v/>
      </c>
      <c r="M920" t="str">
        <f t="shared" si="91"/>
        <v>Check</v>
      </c>
      <c r="N920">
        <v>4908.08</v>
      </c>
      <c r="O920" t="s">
        <v>58</v>
      </c>
      <c r="Q920" t="s">
        <v>56</v>
      </c>
    </row>
    <row r="921" spans="1:17" x14ac:dyDescent="0.3">
      <c r="A921">
        <v>34216</v>
      </c>
      <c r="B921" t="s">
        <v>59</v>
      </c>
      <c r="C921" t="s">
        <v>19</v>
      </c>
      <c r="D921" t="s">
        <v>60</v>
      </c>
      <c r="E921" s="6">
        <v>47268.59</v>
      </c>
      <c r="F921" t="s">
        <v>602</v>
      </c>
      <c r="G921" s="4" t="str">
        <f t="shared" si="86"/>
        <v>47268.59</v>
      </c>
      <c r="H921" t="str">
        <f t="shared" si="87"/>
        <v>47268.59</v>
      </c>
      <c r="I921" s="1">
        <v>45761</v>
      </c>
      <c r="J921" s="2">
        <f t="shared" si="88"/>
        <v>-5.4513417928936651E-2</v>
      </c>
      <c r="K921" s="3" t="str">
        <f t="shared" si="89"/>
        <v/>
      </c>
      <c r="L921" t="str">
        <f t="shared" si="90"/>
        <v/>
      </c>
      <c r="M921" t="str">
        <f t="shared" si="91"/>
        <v/>
      </c>
      <c r="N921">
        <v>49993.93</v>
      </c>
      <c r="O921" t="s">
        <v>380</v>
      </c>
      <c r="Q921" t="s">
        <v>19</v>
      </c>
    </row>
    <row r="922" spans="1:17" x14ac:dyDescent="0.3">
      <c r="A922">
        <v>34337</v>
      </c>
      <c r="B922" t="s">
        <v>64</v>
      </c>
      <c r="C922" t="s">
        <v>590</v>
      </c>
      <c r="D922" t="s">
        <v>65</v>
      </c>
      <c r="E922" s="6">
        <v>650.49</v>
      </c>
      <c r="F922" t="s">
        <v>602</v>
      </c>
      <c r="G922" s="4" t="str">
        <f t="shared" si="86"/>
        <v>650.49</v>
      </c>
      <c r="H922" t="str">
        <f t="shared" si="87"/>
        <v>650.49</v>
      </c>
      <c r="I922" s="1">
        <v>45761</v>
      </c>
      <c r="J922" s="2">
        <f t="shared" si="88"/>
        <v>-0.28762607733838552</v>
      </c>
      <c r="K922" s="3" t="str">
        <f t="shared" si="89"/>
        <v>Check!</v>
      </c>
      <c r="L922" t="str">
        <f t="shared" si="90"/>
        <v/>
      </c>
      <c r="M922" t="str">
        <f t="shared" si="91"/>
        <v>Check</v>
      </c>
      <c r="N922">
        <v>913.13</v>
      </c>
      <c r="O922" t="s">
        <v>381</v>
      </c>
      <c r="Q922" t="s">
        <v>16</v>
      </c>
    </row>
    <row r="923" spans="1:17" x14ac:dyDescent="0.3">
      <c r="A923">
        <v>34337</v>
      </c>
      <c r="B923" t="s">
        <v>64</v>
      </c>
      <c r="C923" t="s">
        <v>19</v>
      </c>
      <c r="D923" t="s">
        <v>67</v>
      </c>
      <c r="E923" s="6">
        <v>26453.06</v>
      </c>
      <c r="F923" t="s">
        <v>602</v>
      </c>
      <c r="G923" s="4" t="str">
        <f t="shared" si="86"/>
        <v>26453.06</v>
      </c>
      <c r="H923" t="str">
        <f t="shared" si="87"/>
        <v>26453.06</v>
      </c>
      <c r="I923" s="1">
        <v>45761</v>
      </c>
      <c r="J923" s="2">
        <f t="shared" si="88"/>
        <v>-6.1712989746010756E-2</v>
      </c>
      <c r="K923" s="3" t="str">
        <f t="shared" si="89"/>
        <v/>
      </c>
      <c r="L923" t="str">
        <f t="shared" si="90"/>
        <v/>
      </c>
      <c r="M923" t="str">
        <f t="shared" si="91"/>
        <v/>
      </c>
      <c r="N923">
        <v>28192.93</v>
      </c>
      <c r="O923" t="s">
        <v>382</v>
      </c>
      <c r="Q923" t="s">
        <v>19</v>
      </c>
    </row>
    <row r="924" spans="1:17" x14ac:dyDescent="0.3">
      <c r="A924">
        <v>34395</v>
      </c>
      <c r="B924" t="s">
        <v>69</v>
      </c>
      <c r="C924" t="s">
        <v>590</v>
      </c>
      <c r="D924" t="s">
        <v>383</v>
      </c>
      <c r="E924" s="6">
        <v>10082.52</v>
      </c>
      <c r="F924" t="s">
        <v>602</v>
      </c>
      <c r="G924" s="4" t="str">
        <f t="shared" si="86"/>
        <v>10082.52</v>
      </c>
      <c r="H924" t="str">
        <f t="shared" si="87"/>
        <v>10082.52</v>
      </c>
      <c r="I924" s="1">
        <v>45761</v>
      </c>
      <c r="J924" s="2">
        <f t="shared" si="88"/>
        <v>-5.0176398826205865E-2</v>
      </c>
      <c r="K924" s="3" t="str">
        <f t="shared" si="89"/>
        <v/>
      </c>
      <c r="L924" t="str">
        <f t="shared" si="90"/>
        <v/>
      </c>
      <c r="M924" t="str">
        <f t="shared" si="91"/>
        <v>Check</v>
      </c>
      <c r="N924">
        <v>10615.15</v>
      </c>
      <c r="O924" t="s">
        <v>384</v>
      </c>
      <c r="Q924" t="s">
        <v>16</v>
      </c>
    </row>
    <row r="925" spans="1:17" x14ac:dyDescent="0.3">
      <c r="A925">
        <v>34395</v>
      </c>
      <c r="B925" t="s">
        <v>69</v>
      </c>
      <c r="C925" t="s">
        <v>19</v>
      </c>
      <c r="D925" t="s">
        <v>74</v>
      </c>
      <c r="E925" s="6">
        <v>9215.2099999999991</v>
      </c>
      <c r="F925" t="s">
        <v>602</v>
      </c>
      <c r="G925" s="4" t="str">
        <f t="shared" si="86"/>
        <v>9215.21</v>
      </c>
      <c r="H925" t="str">
        <f t="shared" si="87"/>
        <v>9215.21</v>
      </c>
      <c r="I925" s="1">
        <v>45761</v>
      </c>
      <c r="J925" s="2">
        <f t="shared" si="88"/>
        <v>-7.2010916085113258E-2</v>
      </c>
      <c r="K925" s="3" t="str">
        <f t="shared" si="89"/>
        <v/>
      </c>
      <c r="L925" t="str">
        <f t="shared" si="90"/>
        <v/>
      </c>
      <c r="M925" t="str">
        <f t="shared" si="91"/>
        <v/>
      </c>
      <c r="N925">
        <v>9930.2999999999993</v>
      </c>
      <c r="O925" t="s">
        <v>386</v>
      </c>
      <c r="Q925" t="s">
        <v>19</v>
      </c>
    </row>
    <row r="926" spans="1:17" x14ac:dyDescent="0.3">
      <c r="A926">
        <v>34395</v>
      </c>
      <c r="B926" t="s">
        <v>69</v>
      </c>
      <c r="C926" t="s">
        <v>19</v>
      </c>
      <c r="D926" t="s">
        <v>72</v>
      </c>
      <c r="E926" s="6">
        <v>4987.05</v>
      </c>
      <c r="F926" t="s">
        <v>602</v>
      </c>
      <c r="G926" s="4" t="str">
        <f t="shared" si="86"/>
        <v>4987.05</v>
      </c>
      <c r="H926" t="str">
        <f t="shared" si="87"/>
        <v>4987.05</v>
      </c>
      <c r="I926" s="1">
        <v>45761</v>
      </c>
      <c r="J926" s="2">
        <f t="shared" si="88"/>
        <v>-8.9753394453884847E-2</v>
      </c>
      <c r="K926" s="3" t="str">
        <f t="shared" si="89"/>
        <v/>
      </c>
      <c r="L926" t="str">
        <f t="shared" si="90"/>
        <v/>
      </c>
      <c r="M926" t="str">
        <f t="shared" si="91"/>
        <v/>
      </c>
      <c r="N926">
        <v>5478.79</v>
      </c>
      <c r="O926" t="s">
        <v>387</v>
      </c>
      <c r="Q926" t="s">
        <v>19</v>
      </c>
    </row>
    <row r="927" spans="1:17" x14ac:dyDescent="0.3">
      <c r="A927">
        <v>34395</v>
      </c>
      <c r="B927" t="s">
        <v>69</v>
      </c>
      <c r="C927" t="s">
        <v>19</v>
      </c>
      <c r="D927" t="s">
        <v>70</v>
      </c>
      <c r="E927" s="6">
        <v>104619.7</v>
      </c>
      <c r="F927" t="s">
        <v>602</v>
      </c>
      <c r="G927" s="4" t="str">
        <f t="shared" si="86"/>
        <v>104619.7</v>
      </c>
      <c r="H927" t="str">
        <f t="shared" si="87"/>
        <v>104619.7</v>
      </c>
      <c r="I927" s="1">
        <v>45761</v>
      </c>
      <c r="J927" s="2">
        <f t="shared" si="88"/>
        <v>-5.3120096791641001E-2</v>
      </c>
      <c r="K927" s="3" t="str">
        <f t="shared" si="89"/>
        <v/>
      </c>
      <c r="L927" t="str">
        <f t="shared" si="90"/>
        <v/>
      </c>
      <c r="M927" t="str">
        <f t="shared" si="91"/>
        <v/>
      </c>
      <c r="N927">
        <v>110488.88</v>
      </c>
      <c r="O927" t="s">
        <v>385</v>
      </c>
      <c r="Q927" t="s">
        <v>19</v>
      </c>
    </row>
    <row r="928" spans="1:17" x14ac:dyDescent="0.3">
      <c r="A928">
        <v>36048</v>
      </c>
      <c r="B928" t="s">
        <v>76</v>
      </c>
      <c r="C928" t="s">
        <v>19</v>
      </c>
      <c r="D928" t="s">
        <v>77</v>
      </c>
      <c r="E928" s="6">
        <v>4228.1499999999996</v>
      </c>
      <c r="F928" t="s">
        <v>602</v>
      </c>
      <c r="G928" s="4" t="str">
        <f t="shared" si="86"/>
        <v>4228.15</v>
      </c>
      <c r="H928" t="str">
        <f t="shared" si="87"/>
        <v>4228.15</v>
      </c>
      <c r="I928" s="1">
        <v>45761</v>
      </c>
      <c r="J928" s="2">
        <f t="shared" si="88"/>
        <v>-0.11802191933983321</v>
      </c>
      <c r="K928" s="3" t="str">
        <f t="shared" si="89"/>
        <v>Check!</v>
      </c>
      <c r="L928" t="str">
        <f t="shared" si="90"/>
        <v/>
      </c>
      <c r="M928" t="str">
        <f t="shared" si="91"/>
        <v/>
      </c>
      <c r="N928">
        <v>4793.9399999999996</v>
      </c>
      <c r="O928" t="s">
        <v>388</v>
      </c>
      <c r="Q928" t="s">
        <v>19</v>
      </c>
    </row>
    <row r="929" spans="1:17" x14ac:dyDescent="0.3">
      <c r="A929">
        <v>36048</v>
      </c>
      <c r="B929" t="s">
        <v>76</v>
      </c>
      <c r="C929" t="s">
        <v>19</v>
      </c>
      <c r="D929" t="s">
        <v>79</v>
      </c>
      <c r="E929" s="6">
        <v>16262.13</v>
      </c>
      <c r="F929" t="s">
        <v>602</v>
      </c>
      <c r="G929" s="4" t="str">
        <f t="shared" si="86"/>
        <v>16262.13</v>
      </c>
      <c r="H929" t="str">
        <f t="shared" si="87"/>
        <v>16262.13</v>
      </c>
      <c r="I929" s="1">
        <v>45761</v>
      </c>
      <c r="J929" s="2">
        <f t="shared" si="88"/>
        <v>-6.2673888396719571E-2</v>
      </c>
      <c r="K929" s="3" t="str">
        <f t="shared" si="89"/>
        <v/>
      </c>
      <c r="L929" t="str">
        <f t="shared" si="90"/>
        <v/>
      </c>
      <c r="M929" t="str">
        <f t="shared" si="91"/>
        <v/>
      </c>
      <c r="N929">
        <v>17349.490000000002</v>
      </c>
      <c r="O929" t="s">
        <v>389</v>
      </c>
      <c r="Q929" t="s">
        <v>19</v>
      </c>
    </row>
    <row r="930" spans="1:17" x14ac:dyDescent="0.3">
      <c r="A930">
        <v>36059</v>
      </c>
      <c r="B930" t="s">
        <v>81</v>
      </c>
      <c r="C930" t="s">
        <v>19</v>
      </c>
      <c r="D930" t="s">
        <v>82</v>
      </c>
      <c r="E930" s="6">
        <v>24610.02</v>
      </c>
      <c r="F930" t="s">
        <v>602</v>
      </c>
      <c r="G930" s="4" t="str">
        <f t="shared" si="86"/>
        <v>24610.02</v>
      </c>
      <c r="H930" t="str">
        <f t="shared" si="87"/>
        <v>24610.02</v>
      </c>
      <c r="I930" s="1">
        <v>45761</v>
      </c>
      <c r="J930" s="2">
        <f t="shared" si="88"/>
        <v>-5.8471871630912109E-2</v>
      </c>
      <c r="K930" s="3" t="str">
        <f t="shared" si="89"/>
        <v/>
      </c>
      <c r="L930" t="str">
        <f t="shared" si="90"/>
        <v/>
      </c>
      <c r="M930" t="str">
        <f t="shared" si="91"/>
        <v/>
      </c>
      <c r="N930">
        <v>26138.38</v>
      </c>
      <c r="O930" t="s">
        <v>390</v>
      </c>
      <c r="Q930" t="s">
        <v>19</v>
      </c>
    </row>
    <row r="931" spans="1:17" x14ac:dyDescent="0.3">
      <c r="A931">
        <v>36059</v>
      </c>
      <c r="B931" t="s">
        <v>81</v>
      </c>
      <c r="C931" t="s">
        <v>19</v>
      </c>
      <c r="D931" t="s">
        <v>84</v>
      </c>
      <c r="E931" s="6">
        <v>15394.82</v>
      </c>
      <c r="F931" t="s">
        <v>602</v>
      </c>
      <c r="G931" s="4" t="str">
        <f t="shared" si="86"/>
        <v>15394.82</v>
      </c>
      <c r="H931" t="str">
        <f t="shared" si="87"/>
        <v>15394.82</v>
      </c>
      <c r="I931" s="1">
        <v>45761</v>
      </c>
      <c r="J931" s="2">
        <f t="shared" si="88"/>
        <v>-6.3368044992930361E-2</v>
      </c>
      <c r="K931" s="3" t="str">
        <f t="shared" si="89"/>
        <v/>
      </c>
      <c r="L931" t="str">
        <f t="shared" si="90"/>
        <v/>
      </c>
      <c r="M931" t="str">
        <f t="shared" si="91"/>
        <v/>
      </c>
      <c r="N931">
        <v>16436.36</v>
      </c>
      <c r="O931" t="s">
        <v>391</v>
      </c>
      <c r="Q931" t="s">
        <v>19</v>
      </c>
    </row>
    <row r="932" spans="1:17" x14ac:dyDescent="0.3">
      <c r="A932">
        <v>36060</v>
      </c>
      <c r="B932" t="s">
        <v>86</v>
      </c>
      <c r="C932" t="s">
        <v>19</v>
      </c>
      <c r="D932" t="s">
        <v>87</v>
      </c>
      <c r="E932" s="6">
        <v>39354.35</v>
      </c>
      <c r="F932" t="s">
        <v>602</v>
      </c>
      <c r="G932" s="4" t="str">
        <f t="shared" si="86"/>
        <v>39354.35</v>
      </c>
      <c r="H932" t="str">
        <f t="shared" si="87"/>
        <v>39354.35</v>
      </c>
      <c r="I932" s="1">
        <v>45761</v>
      </c>
      <c r="J932" s="2">
        <f t="shared" si="88"/>
        <v>-5.7961855861355008E-2</v>
      </c>
      <c r="K932" s="3" t="str">
        <f t="shared" si="89"/>
        <v/>
      </c>
      <c r="L932" t="str">
        <f t="shared" si="90"/>
        <v/>
      </c>
      <c r="M932" t="str">
        <f t="shared" si="91"/>
        <v/>
      </c>
      <c r="N932">
        <v>41775.75</v>
      </c>
      <c r="O932" t="s">
        <v>392</v>
      </c>
      <c r="Q932" t="s">
        <v>19</v>
      </c>
    </row>
    <row r="933" spans="1:17" x14ac:dyDescent="0.3">
      <c r="A933">
        <v>36060</v>
      </c>
      <c r="B933" t="s">
        <v>86</v>
      </c>
      <c r="C933" t="s">
        <v>19</v>
      </c>
      <c r="D933" t="s">
        <v>89</v>
      </c>
      <c r="E933" s="6">
        <v>5420.71</v>
      </c>
      <c r="F933" t="s">
        <v>602</v>
      </c>
      <c r="G933" s="4" t="str">
        <f t="shared" si="86"/>
        <v>5420.71</v>
      </c>
      <c r="H933" t="str">
        <f t="shared" si="87"/>
        <v>5420.71</v>
      </c>
      <c r="I933" s="1">
        <v>45761</v>
      </c>
      <c r="J933" s="2">
        <f t="shared" si="88"/>
        <v>-8.6707607807458745E-2</v>
      </c>
      <c r="K933" s="3" t="str">
        <f t="shared" si="89"/>
        <v/>
      </c>
      <c r="L933" t="str">
        <f t="shared" si="90"/>
        <v/>
      </c>
      <c r="M933" t="str">
        <f t="shared" si="91"/>
        <v/>
      </c>
      <c r="N933">
        <v>5935.35</v>
      </c>
      <c r="O933" t="s">
        <v>393</v>
      </c>
      <c r="Q933" t="s">
        <v>19</v>
      </c>
    </row>
    <row r="934" spans="1:17" x14ac:dyDescent="0.3">
      <c r="A934">
        <v>36062</v>
      </c>
      <c r="B934" t="s">
        <v>91</v>
      </c>
      <c r="C934" t="s">
        <v>611</v>
      </c>
      <c r="D934" t="s">
        <v>92</v>
      </c>
      <c r="E934" s="6">
        <v>7588.99</v>
      </c>
      <c r="F934" t="s">
        <v>602</v>
      </c>
      <c r="G934" s="4" t="str">
        <f t="shared" si="86"/>
        <v>7588.99</v>
      </c>
      <c r="H934" t="str">
        <f t="shared" si="87"/>
        <v>7588.99</v>
      </c>
      <c r="I934" s="1">
        <v>45761</v>
      </c>
      <c r="J934" s="2">
        <f t="shared" si="88"/>
        <v>-7.6560747026714004E-2</v>
      </c>
      <c r="K934" s="3" t="str">
        <f t="shared" si="89"/>
        <v/>
      </c>
      <c r="L934" t="str">
        <f t="shared" si="90"/>
        <v/>
      </c>
      <c r="M934" t="str">
        <f t="shared" si="91"/>
        <v>Check</v>
      </c>
      <c r="N934">
        <v>8218.18</v>
      </c>
      <c r="O934" t="s">
        <v>93</v>
      </c>
      <c r="Q934" t="s">
        <v>41</v>
      </c>
    </row>
    <row r="935" spans="1:17" x14ac:dyDescent="0.3">
      <c r="A935">
        <v>36062</v>
      </c>
      <c r="B935" t="s">
        <v>91</v>
      </c>
      <c r="C935" t="s">
        <v>606</v>
      </c>
      <c r="D935" t="s">
        <v>613</v>
      </c>
      <c r="E935" s="6">
        <v>108.41</v>
      </c>
      <c r="F935" t="s">
        <v>602</v>
      </c>
      <c r="G935" s="4" t="str">
        <f t="shared" si="86"/>
        <v>108.41</v>
      </c>
      <c r="H935" t="str">
        <f t="shared" si="87"/>
        <v>108.41</v>
      </c>
      <c r="I935" s="1">
        <v>45761</v>
      </c>
      <c r="J935" s="2">
        <f t="shared" si="88"/>
        <v>-0.68340050230710825</v>
      </c>
      <c r="K935" s="3" t="str">
        <f t="shared" si="89"/>
        <v>Check!</v>
      </c>
      <c r="L935" t="str">
        <f t="shared" si="90"/>
        <v/>
      </c>
      <c r="M935" t="str">
        <f t="shared" si="91"/>
        <v/>
      </c>
      <c r="N935">
        <v>342.42</v>
      </c>
      <c r="O935" t="s">
        <v>647</v>
      </c>
      <c r="Q935" t="s">
        <v>606</v>
      </c>
    </row>
    <row r="936" spans="1:17" x14ac:dyDescent="0.3">
      <c r="A936">
        <v>36062</v>
      </c>
      <c r="B936" t="s">
        <v>91</v>
      </c>
      <c r="C936" t="s">
        <v>590</v>
      </c>
      <c r="D936" t="s">
        <v>582</v>
      </c>
      <c r="E936" s="6">
        <v>650.49</v>
      </c>
      <c r="F936" t="s">
        <v>602</v>
      </c>
      <c r="G936" s="4" t="str">
        <f t="shared" si="86"/>
        <v>650.49</v>
      </c>
      <c r="H936" t="str">
        <f t="shared" si="87"/>
        <v>650.49</v>
      </c>
      <c r="I936" s="1">
        <v>45761</v>
      </c>
      <c r="J936" s="2">
        <f t="shared" si="88"/>
        <v>-5.0171570416879627E-2</v>
      </c>
      <c r="K936" s="3" t="str">
        <f t="shared" si="89"/>
        <v/>
      </c>
      <c r="L936" t="str">
        <f t="shared" si="90"/>
        <v/>
      </c>
      <c r="M936" t="str">
        <f t="shared" si="91"/>
        <v>Check</v>
      </c>
      <c r="N936">
        <v>684.85</v>
      </c>
      <c r="O936" t="s">
        <v>583</v>
      </c>
      <c r="Q936" t="s">
        <v>16</v>
      </c>
    </row>
    <row r="937" spans="1:17" x14ac:dyDescent="0.3">
      <c r="A937">
        <v>37040</v>
      </c>
      <c r="B937" t="s">
        <v>596</v>
      </c>
      <c r="C937" t="s">
        <v>19</v>
      </c>
      <c r="D937" t="s">
        <v>97</v>
      </c>
      <c r="E937" s="6">
        <v>20056.63</v>
      </c>
      <c r="F937" t="s">
        <v>602</v>
      </c>
      <c r="G937" s="4" t="str">
        <f t="shared" si="86"/>
        <v>20056.63</v>
      </c>
      <c r="H937" t="str">
        <f t="shared" si="87"/>
        <v>20056.63</v>
      </c>
      <c r="I937" s="1">
        <v>45761</v>
      </c>
      <c r="J937" s="2">
        <f t="shared" si="88"/>
        <v>-6.0334682006180425E-2</v>
      </c>
      <c r="K937" s="3" t="str">
        <f t="shared" si="89"/>
        <v/>
      </c>
      <c r="L937" t="str">
        <f t="shared" si="90"/>
        <v/>
      </c>
      <c r="M937" t="str">
        <f t="shared" si="91"/>
        <v/>
      </c>
      <c r="N937">
        <v>21344.44</v>
      </c>
      <c r="O937" t="s">
        <v>395</v>
      </c>
      <c r="Q937" t="s">
        <v>19</v>
      </c>
    </row>
    <row r="938" spans="1:17" x14ac:dyDescent="0.3">
      <c r="A938">
        <v>37041</v>
      </c>
      <c r="B938" t="s">
        <v>99</v>
      </c>
      <c r="C938" t="s">
        <v>19</v>
      </c>
      <c r="D938" t="s">
        <v>100</v>
      </c>
      <c r="E938" s="6">
        <v>3035.6</v>
      </c>
      <c r="F938" t="s">
        <v>602</v>
      </c>
      <c r="G938" s="4" t="str">
        <f t="shared" si="86"/>
        <v>3035.6</v>
      </c>
      <c r="H938" t="str">
        <f t="shared" si="87"/>
        <v>3035.6</v>
      </c>
      <c r="I938" s="1">
        <v>45761</v>
      </c>
      <c r="J938" s="2">
        <f t="shared" si="88"/>
        <v>-0.11349671751979998</v>
      </c>
      <c r="K938" s="3" t="str">
        <f t="shared" si="89"/>
        <v>Check!</v>
      </c>
      <c r="L938" t="str">
        <f t="shared" si="90"/>
        <v/>
      </c>
      <c r="M938" t="str">
        <f t="shared" si="91"/>
        <v/>
      </c>
      <c r="N938">
        <v>3424.24</v>
      </c>
      <c r="O938" t="s">
        <v>396</v>
      </c>
      <c r="Q938" t="s">
        <v>19</v>
      </c>
    </row>
    <row r="939" spans="1:17" x14ac:dyDescent="0.3">
      <c r="A939">
        <v>38586</v>
      </c>
      <c r="B939" t="s">
        <v>102</v>
      </c>
      <c r="C939" t="s">
        <v>19</v>
      </c>
      <c r="D939" t="s">
        <v>103</v>
      </c>
      <c r="E939" s="6">
        <v>1626.21</v>
      </c>
      <c r="F939" t="s">
        <v>602</v>
      </c>
      <c r="G939" s="4" t="str">
        <f t="shared" si="86"/>
        <v>1626.21</v>
      </c>
      <c r="H939" t="str">
        <f t="shared" si="87"/>
        <v>1626.21</v>
      </c>
      <c r="I939" s="1">
        <v>45761</v>
      </c>
      <c r="J939" s="2">
        <f t="shared" si="88"/>
        <v>-0.16192022263450837</v>
      </c>
      <c r="K939" s="3" t="str">
        <f t="shared" si="89"/>
        <v>Check!</v>
      </c>
      <c r="L939" t="str">
        <f t="shared" si="90"/>
        <v/>
      </c>
      <c r="M939" t="str">
        <f t="shared" si="91"/>
        <v/>
      </c>
      <c r="N939">
        <v>1940.4</v>
      </c>
      <c r="O939" t="s">
        <v>397</v>
      </c>
      <c r="Q939" t="s">
        <v>19</v>
      </c>
    </row>
    <row r="940" spans="1:17" x14ac:dyDescent="0.3">
      <c r="A940">
        <v>38842</v>
      </c>
      <c r="B940" t="s">
        <v>105</v>
      </c>
      <c r="C940" t="s">
        <v>19</v>
      </c>
      <c r="D940" t="s">
        <v>106</v>
      </c>
      <c r="E940" s="6">
        <v>4011.33</v>
      </c>
      <c r="F940" t="s">
        <v>602</v>
      </c>
      <c r="G940" s="4" t="str">
        <f t="shared" si="86"/>
        <v>4011.33</v>
      </c>
      <c r="H940" t="str">
        <f t="shared" si="87"/>
        <v>4011.33</v>
      </c>
      <c r="I940" s="1">
        <v>45761</v>
      </c>
      <c r="J940" s="2">
        <f t="shared" si="88"/>
        <v>-9.8883300273390443E-2</v>
      </c>
      <c r="K940" s="3" t="str">
        <f t="shared" si="89"/>
        <v/>
      </c>
      <c r="L940" t="str">
        <f t="shared" si="90"/>
        <v/>
      </c>
      <c r="M940" t="str">
        <f t="shared" si="91"/>
        <v/>
      </c>
      <c r="N940">
        <v>4451.51</v>
      </c>
      <c r="O940" t="s">
        <v>398</v>
      </c>
      <c r="Q940" t="s">
        <v>19</v>
      </c>
    </row>
    <row r="941" spans="1:17" x14ac:dyDescent="0.3">
      <c r="A941">
        <v>41695</v>
      </c>
      <c r="B941" t="s">
        <v>114</v>
      </c>
      <c r="C941" t="s">
        <v>611</v>
      </c>
      <c r="D941" t="s">
        <v>115</v>
      </c>
      <c r="E941" s="6">
        <v>1084.1400000000001</v>
      </c>
      <c r="F941" t="s">
        <v>602</v>
      </c>
      <c r="G941" s="4" t="str">
        <f t="shared" si="86"/>
        <v>1084.14</v>
      </c>
      <c r="H941" t="str">
        <f t="shared" si="87"/>
        <v>1084.14</v>
      </c>
      <c r="I941" s="1">
        <v>45761</v>
      </c>
      <c r="J941" s="2">
        <f t="shared" si="88"/>
        <v>-0.20848360954953635</v>
      </c>
      <c r="K941" s="3" t="str">
        <f t="shared" si="89"/>
        <v>Check!</v>
      </c>
      <c r="L941" t="str">
        <f t="shared" si="90"/>
        <v/>
      </c>
      <c r="M941" t="str">
        <f t="shared" si="91"/>
        <v>Check</v>
      </c>
      <c r="N941">
        <v>1369.7</v>
      </c>
      <c r="O941" t="s">
        <v>116</v>
      </c>
      <c r="Q941" t="s">
        <v>41</v>
      </c>
    </row>
    <row r="942" spans="1:17" x14ac:dyDescent="0.3">
      <c r="A942">
        <v>41695</v>
      </c>
      <c r="B942" t="s">
        <v>114</v>
      </c>
      <c r="C942" t="s">
        <v>590</v>
      </c>
      <c r="D942" t="s">
        <v>117</v>
      </c>
      <c r="E942" s="6">
        <v>57242.7</v>
      </c>
      <c r="F942" t="s">
        <v>602</v>
      </c>
      <c r="G942" s="4" t="str">
        <f t="shared" si="86"/>
        <v>57242.7</v>
      </c>
      <c r="H942" t="str">
        <f t="shared" si="87"/>
        <v>57242.7</v>
      </c>
      <c r="I942" s="1">
        <v>45761</v>
      </c>
      <c r="J942" s="2">
        <f t="shared" si="88"/>
        <v>-5.0176332984107737E-2</v>
      </c>
      <c r="K942" s="3" t="str">
        <f t="shared" si="89"/>
        <v/>
      </c>
      <c r="L942" t="str">
        <f t="shared" si="90"/>
        <v/>
      </c>
      <c r="M942" t="str">
        <f t="shared" si="91"/>
        <v>Check</v>
      </c>
      <c r="N942">
        <v>60266.66</v>
      </c>
      <c r="O942" t="s">
        <v>401</v>
      </c>
      <c r="Q942" t="s">
        <v>16</v>
      </c>
    </row>
    <row r="943" spans="1:17" x14ac:dyDescent="0.3">
      <c r="A943">
        <v>46589</v>
      </c>
      <c r="B943" t="s">
        <v>638</v>
      </c>
      <c r="C943" t="s">
        <v>19</v>
      </c>
      <c r="D943" t="s">
        <v>118</v>
      </c>
      <c r="E943" s="6">
        <v>59085.74</v>
      </c>
      <c r="F943" t="s">
        <v>602</v>
      </c>
      <c r="G943" s="4" t="str">
        <f t="shared" si="86"/>
        <v>59085.74</v>
      </c>
      <c r="H943" t="str">
        <f t="shared" si="87"/>
        <v>59085.74</v>
      </c>
      <c r="I943" s="1">
        <v>45761</v>
      </c>
      <c r="J943" s="2">
        <f t="shared" si="88"/>
        <v>-5.3649254789153909E-2</v>
      </c>
      <c r="K943" s="3" t="str">
        <f t="shared" si="89"/>
        <v/>
      </c>
      <c r="L943" t="str">
        <f t="shared" si="90"/>
        <v/>
      </c>
      <c r="M943" t="str">
        <f t="shared" si="91"/>
        <v/>
      </c>
      <c r="N943">
        <v>62435.35</v>
      </c>
      <c r="O943" t="s">
        <v>402</v>
      </c>
      <c r="Q943" t="s">
        <v>19</v>
      </c>
    </row>
    <row r="944" spans="1:17" x14ac:dyDescent="0.3">
      <c r="A944">
        <v>46589</v>
      </c>
      <c r="B944" t="s">
        <v>638</v>
      </c>
      <c r="C944" t="s">
        <v>19</v>
      </c>
      <c r="D944" t="s">
        <v>120</v>
      </c>
      <c r="E944" s="6">
        <v>1192.56</v>
      </c>
      <c r="F944" t="s">
        <v>602</v>
      </c>
      <c r="G944" s="4" t="str">
        <f t="shared" si="86"/>
        <v>1192.56</v>
      </c>
      <c r="H944" t="str">
        <f t="shared" si="87"/>
        <v>1192.56</v>
      </c>
      <c r="I944" s="1">
        <v>45761</v>
      </c>
      <c r="J944" s="2">
        <f t="shared" si="88"/>
        <v>-0.19630148803105454</v>
      </c>
      <c r="K944" s="3" t="str">
        <f t="shared" si="89"/>
        <v>Check!</v>
      </c>
      <c r="L944" t="str">
        <f t="shared" si="90"/>
        <v/>
      </c>
      <c r="M944" t="str">
        <f t="shared" si="91"/>
        <v/>
      </c>
      <c r="N944">
        <v>1483.84</v>
      </c>
      <c r="O944" t="s">
        <v>403</v>
      </c>
      <c r="Q944" t="s">
        <v>19</v>
      </c>
    </row>
    <row r="945" spans="1:17" x14ac:dyDescent="0.3">
      <c r="A945">
        <v>61172</v>
      </c>
      <c r="B945" t="s">
        <v>125</v>
      </c>
      <c r="C945" t="s">
        <v>611</v>
      </c>
      <c r="D945" t="s">
        <v>126</v>
      </c>
      <c r="E945" s="6">
        <v>16804.2</v>
      </c>
      <c r="F945" t="s">
        <v>602</v>
      </c>
      <c r="G945" s="4" t="str">
        <f t="shared" si="86"/>
        <v>16804.2</v>
      </c>
      <c r="H945" t="str">
        <f t="shared" si="87"/>
        <v>16804.2</v>
      </c>
      <c r="I945" s="1">
        <v>45761</v>
      </c>
      <c r="J945" s="2">
        <f t="shared" si="88"/>
        <v>-6.2276090668630928E-2</v>
      </c>
      <c r="K945" s="3" t="str">
        <f t="shared" si="89"/>
        <v/>
      </c>
      <c r="L945" t="str">
        <f t="shared" si="90"/>
        <v/>
      </c>
      <c r="M945" t="str">
        <f t="shared" si="91"/>
        <v>Check</v>
      </c>
      <c r="N945">
        <v>17920.2</v>
      </c>
      <c r="O945" t="s">
        <v>127</v>
      </c>
      <c r="Q945" t="s">
        <v>41</v>
      </c>
    </row>
    <row r="946" spans="1:17" x14ac:dyDescent="0.3">
      <c r="A946">
        <v>61172</v>
      </c>
      <c r="B946" t="s">
        <v>125</v>
      </c>
      <c r="C946" t="s">
        <v>606</v>
      </c>
      <c r="D946" t="s">
        <v>615</v>
      </c>
      <c r="E946" s="6">
        <v>650.49</v>
      </c>
      <c r="F946" t="s">
        <v>602</v>
      </c>
      <c r="G946" s="4" t="str">
        <f t="shared" si="86"/>
        <v>650.49</v>
      </c>
      <c r="H946" t="str">
        <f t="shared" si="87"/>
        <v>650.49</v>
      </c>
      <c r="I946" s="1">
        <v>45761</v>
      </c>
      <c r="J946" s="2">
        <f t="shared" si="88"/>
        <v>-0.28762607733838552</v>
      </c>
      <c r="K946" s="3" t="str">
        <f t="shared" si="89"/>
        <v>Check!</v>
      </c>
      <c r="L946" t="str">
        <f t="shared" si="90"/>
        <v/>
      </c>
      <c r="M946" t="str">
        <f t="shared" si="91"/>
        <v/>
      </c>
      <c r="N946">
        <v>913.13</v>
      </c>
      <c r="O946" t="s">
        <v>649</v>
      </c>
      <c r="Q946" t="s">
        <v>606</v>
      </c>
    </row>
    <row r="947" spans="1:17" x14ac:dyDescent="0.3">
      <c r="A947">
        <v>62166</v>
      </c>
      <c r="B947" t="s">
        <v>128</v>
      </c>
      <c r="C947" t="s">
        <v>611</v>
      </c>
      <c r="D947" t="s">
        <v>129</v>
      </c>
      <c r="E947" s="6">
        <v>15394.82</v>
      </c>
      <c r="F947" t="s">
        <v>602</v>
      </c>
      <c r="G947" s="4" t="str">
        <f t="shared" si="86"/>
        <v>15394.82</v>
      </c>
      <c r="H947" t="str">
        <f t="shared" si="87"/>
        <v>15394.82</v>
      </c>
      <c r="I947" s="1">
        <v>45761</v>
      </c>
      <c r="J947" s="2">
        <f t="shared" si="88"/>
        <v>-6.3368044992930361E-2</v>
      </c>
      <c r="K947" s="3" t="str">
        <f t="shared" si="89"/>
        <v/>
      </c>
      <c r="L947" t="str">
        <f t="shared" si="90"/>
        <v/>
      </c>
      <c r="M947" t="str">
        <f t="shared" si="91"/>
        <v>Check</v>
      </c>
      <c r="N947">
        <v>16436.36</v>
      </c>
      <c r="O947" t="s">
        <v>130</v>
      </c>
      <c r="Q947" t="s">
        <v>41</v>
      </c>
    </row>
    <row r="948" spans="1:17" x14ac:dyDescent="0.3">
      <c r="A948">
        <v>62166</v>
      </c>
      <c r="B948" t="s">
        <v>128</v>
      </c>
      <c r="C948" t="s">
        <v>606</v>
      </c>
      <c r="D948" t="s">
        <v>616</v>
      </c>
      <c r="E948" s="6">
        <v>650.49</v>
      </c>
      <c r="F948" t="s">
        <v>602</v>
      </c>
      <c r="G948" s="4" t="str">
        <f t="shared" si="86"/>
        <v>650.49</v>
      </c>
      <c r="H948" t="str">
        <f t="shared" si="87"/>
        <v>650.49</v>
      </c>
      <c r="I948" s="1">
        <v>45761</v>
      </c>
      <c r="J948" s="2">
        <f t="shared" si="88"/>
        <v>-0.28762607733838552</v>
      </c>
      <c r="K948" s="3" t="str">
        <f t="shared" si="89"/>
        <v>Check!</v>
      </c>
      <c r="L948" t="str">
        <f t="shared" si="90"/>
        <v/>
      </c>
      <c r="M948" t="str">
        <f t="shared" si="91"/>
        <v/>
      </c>
      <c r="N948">
        <v>913.13</v>
      </c>
      <c r="O948" t="s">
        <v>650</v>
      </c>
      <c r="Q948" t="s">
        <v>606</v>
      </c>
    </row>
    <row r="949" spans="1:17" x14ac:dyDescent="0.3">
      <c r="A949">
        <v>69046</v>
      </c>
      <c r="B949" t="s">
        <v>131</v>
      </c>
      <c r="C949" t="s">
        <v>19</v>
      </c>
      <c r="D949" t="s">
        <v>132</v>
      </c>
      <c r="E949" s="6">
        <v>79142.37</v>
      </c>
      <c r="F949" t="s">
        <v>602</v>
      </c>
      <c r="G949" s="4" t="str">
        <f t="shared" si="86"/>
        <v>79142.37</v>
      </c>
      <c r="H949" t="str">
        <f t="shared" si="87"/>
        <v>79142.37</v>
      </c>
      <c r="I949" s="1">
        <v>45761</v>
      </c>
      <c r="J949" s="2">
        <f t="shared" si="88"/>
        <v>-5.4063764519847742E-2</v>
      </c>
      <c r="K949" s="3" t="str">
        <f t="shared" si="89"/>
        <v/>
      </c>
      <c r="L949" t="str">
        <f t="shared" si="90"/>
        <v/>
      </c>
      <c r="M949" t="str">
        <f t="shared" si="91"/>
        <v/>
      </c>
      <c r="N949">
        <v>83665.649999999994</v>
      </c>
      <c r="O949" t="s">
        <v>405</v>
      </c>
      <c r="Q949" t="s">
        <v>19</v>
      </c>
    </row>
    <row r="950" spans="1:17" x14ac:dyDescent="0.3">
      <c r="A950">
        <v>72002</v>
      </c>
      <c r="B950" t="s">
        <v>134</v>
      </c>
      <c r="C950" t="s">
        <v>590</v>
      </c>
      <c r="D950" t="s">
        <v>135</v>
      </c>
      <c r="E950" s="6">
        <v>10624.59</v>
      </c>
      <c r="F950" t="s">
        <v>602</v>
      </c>
      <c r="G950" s="4" t="str">
        <f t="shared" si="86"/>
        <v>10624.59</v>
      </c>
      <c r="H950" t="str">
        <f t="shared" si="87"/>
        <v>10624.59</v>
      </c>
      <c r="I950" s="1">
        <v>45761</v>
      </c>
      <c r="J950" s="2">
        <f t="shared" si="88"/>
        <v>-0.1905851323987183</v>
      </c>
      <c r="K950" s="3" t="str">
        <f t="shared" si="89"/>
        <v>Check!</v>
      </c>
      <c r="L950" t="str">
        <f t="shared" si="90"/>
        <v/>
      </c>
      <c r="M950" t="str">
        <f t="shared" si="91"/>
        <v>Check</v>
      </c>
      <c r="N950">
        <v>13126.26</v>
      </c>
      <c r="O950" t="s">
        <v>406</v>
      </c>
      <c r="Q950" t="s">
        <v>16</v>
      </c>
    </row>
    <row r="951" spans="1:17" x14ac:dyDescent="0.3">
      <c r="A951">
        <v>72002</v>
      </c>
      <c r="B951" t="s">
        <v>134</v>
      </c>
      <c r="C951" t="s">
        <v>19</v>
      </c>
      <c r="D951" t="s">
        <v>137</v>
      </c>
      <c r="E951" s="6">
        <v>35559.86</v>
      </c>
      <c r="F951" t="s">
        <v>602</v>
      </c>
      <c r="G951" s="4" t="str">
        <f t="shared" si="86"/>
        <v>35559.86</v>
      </c>
      <c r="H951" t="str">
        <f t="shared" si="87"/>
        <v>35559.86</v>
      </c>
      <c r="I951" s="1">
        <v>45761</v>
      </c>
      <c r="J951" s="2">
        <f t="shared" si="88"/>
        <v>-5.8784885444458618E-2</v>
      </c>
      <c r="K951" s="3" t="str">
        <f t="shared" si="89"/>
        <v/>
      </c>
      <c r="L951" t="str">
        <f t="shared" si="90"/>
        <v/>
      </c>
      <c r="M951" t="str">
        <f t="shared" si="91"/>
        <v/>
      </c>
      <c r="N951">
        <v>37780.800000000003</v>
      </c>
      <c r="O951" t="s">
        <v>407</v>
      </c>
      <c r="Q951" t="s">
        <v>19</v>
      </c>
    </row>
    <row r="952" spans="1:17" x14ac:dyDescent="0.3">
      <c r="A952">
        <v>72002</v>
      </c>
      <c r="B952" t="s">
        <v>134</v>
      </c>
      <c r="C952" t="s">
        <v>19</v>
      </c>
      <c r="D952" t="s">
        <v>139</v>
      </c>
      <c r="E952" s="6">
        <v>3902.91</v>
      </c>
      <c r="F952" t="s">
        <v>602</v>
      </c>
      <c r="G952" s="4" t="str">
        <f t="shared" si="86"/>
        <v>3902.91</v>
      </c>
      <c r="H952" t="str">
        <f t="shared" si="87"/>
        <v>3902.91</v>
      </c>
      <c r="I952" s="1">
        <v>45761</v>
      </c>
      <c r="J952" s="2">
        <f t="shared" si="88"/>
        <v>-0.10016669087488503</v>
      </c>
      <c r="K952" s="3" t="str">
        <f t="shared" si="89"/>
        <v>Check!</v>
      </c>
      <c r="L952" t="str">
        <f t="shared" si="90"/>
        <v/>
      </c>
      <c r="M952" t="str">
        <f t="shared" si="91"/>
        <v/>
      </c>
      <c r="N952">
        <v>4337.37</v>
      </c>
      <c r="O952" t="s">
        <v>408</v>
      </c>
      <c r="Q952" t="s">
        <v>19</v>
      </c>
    </row>
    <row r="953" spans="1:17" x14ac:dyDescent="0.3">
      <c r="A953">
        <v>80212</v>
      </c>
      <c r="B953" t="s">
        <v>141</v>
      </c>
      <c r="C953" t="s">
        <v>590</v>
      </c>
      <c r="D953" t="s">
        <v>142</v>
      </c>
      <c r="E953" s="6">
        <v>4770.22</v>
      </c>
      <c r="F953" t="s">
        <v>602</v>
      </c>
      <c r="G953" s="4" t="str">
        <f t="shared" si="86"/>
        <v>4770.22</v>
      </c>
      <c r="H953" t="str">
        <f t="shared" si="87"/>
        <v>4770.22</v>
      </c>
      <c r="I953" s="1">
        <v>45761</v>
      </c>
      <c r="J953" s="2">
        <f t="shared" si="88"/>
        <v>-9.1473193029235261E-2</v>
      </c>
      <c r="K953" s="3" t="str">
        <f t="shared" si="89"/>
        <v/>
      </c>
      <c r="L953" t="str">
        <f t="shared" si="90"/>
        <v/>
      </c>
      <c r="M953" t="str">
        <f t="shared" si="91"/>
        <v>Check</v>
      </c>
      <c r="N953">
        <v>5250.5</v>
      </c>
      <c r="O953" t="s">
        <v>409</v>
      </c>
      <c r="Q953" t="s">
        <v>16</v>
      </c>
    </row>
    <row r="954" spans="1:17" x14ac:dyDescent="0.3">
      <c r="A954">
        <v>80212</v>
      </c>
      <c r="B954" t="s">
        <v>141</v>
      </c>
      <c r="C954" t="s">
        <v>611</v>
      </c>
      <c r="D954" t="s">
        <v>144</v>
      </c>
      <c r="E954" s="6">
        <v>5203.88</v>
      </c>
      <c r="F954" t="s">
        <v>602</v>
      </c>
      <c r="G954" s="4" t="str">
        <f t="shared" si="86"/>
        <v>5203.88</v>
      </c>
      <c r="H954" t="str">
        <f t="shared" si="87"/>
        <v>5203.88</v>
      </c>
      <c r="I954" s="1">
        <v>45761</v>
      </c>
      <c r="J954" s="2">
        <f t="shared" si="88"/>
        <v>-8.8169586144904416E-2</v>
      </c>
      <c r="K954" s="3" t="str">
        <f t="shared" si="89"/>
        <v/>
      </c>
      <c r="L954" t="str">
        <f t="shared" si="90"/>
        <v/>
      </c>
      <c r="M954" t="str">
        <f t="shared" si="91"/>
        <v>Check</v>
      </c>
      <c r="N954">
        <v>5707.07</v>
      </c>
      <c r="O954" t="s">
        <v>145</v>
      </c>
      <c r="Q954" t="s">
        <v>41</v>
      </c>
    </row>
    <row r="955" spans="1:17" x14ac:dyDescent="0.3">
      <c r="A955">
        <v>81381</v>
      </c>
      <c r="B955" t="s">
        <v>593</v>
      </c>
      <c r="C955" t="s">
        <v>19</v>
      </c>
      <c r="D955" t="s">
        <v>146</v>
      </c>
      <c r="E955" s="6">
        <v>11817.15</v>
      </c>
      <c r="F955" t="s">
        <v>602</v>
      </c>
      <c r="G955" s="4" t="str">
        <f t="shared" si="86"/>
        <v>11817.15</v>
      </c>
      <c r="H955" t="str">
        <f t="shared" si="87"/>
        <v>11817.15</v>
      </c>
      <c r="I955" s="1">
        <v>45761</v>
      </c>
      <c r="J955" s="2">
        <f t="shared" si="88"/>
        <v>-6.7290464651886081E-2</v>
      </c>
      <c r="K955" s="3" t="str">
        <f t="shared" si="89"/>
        <v/>
      </c>
      <c r="L955" t="str">
        <f t="shared" si="90"/>
        <v/>
      </c>
      <c r="M955" t="str">
        <f t="shared" si="91"/>
        <v/>
      </c>
      <c r="N955">
        <v>12669.7</v>
      </c>
      <c r="O955" t="s">
        <v>410</v>
      </c>
      <c r="Q955" t="s">
        <v>19</v>
      </c>
    </row>
    <row r="956" spans="1:17" x14ac:dyDescent="0.3">
      <c r="A956">
        <v>81381</v>
      </c>
      <c r="B956" t="s">
        <v>593</v>
      </c>
      <c r="C956" t="s">
        <v>19</v>
      </c>
      <c r="D956" t="s">
        <v>148</v>
      </c>
      <c r="E956" s="6">
        <v>446883.33</v>
      </c>
      <c r="F956" t="s">
        <v>602</v>
      </c>
      <c r="G956" s="4" t="str">
        <f t="shared" si="86"/>
        <v>446883.33</v>
      </c>
      <c r="H956" t="str">
        <f t="shared" si="87"/>
        <v>446883.33</v>
      </c>
      <c r="I956" s="1">
        <v>45761</v>
      </c>
      <c r="J956" s="2">
        <f t="shared" si="88"/>
        <v>-5.2016213354838386E-2</v>
      </c>
      <c r="K956" s="3" t="str">
        <f t="shared" si="89"/>
        <v/>
      </c>
      <c r="L956" t="str">
        <f t="shared" si="90"/>
        <v/>
      </c>
      <c r="M956" t="str">
        <f t="shared" si="91"/>
        <v/>
      </c>
      <c r="N956">
        <v>471403.98</v>
      </c>
      <c r="O956" t="s">
        <v>411</v>
      </c>
      <c r="Q956" t="s">
        <v>19</v>
      </c>
    </row>
    <row r="957" spans="1:17" x14ac:dyDescent="0.3">
      <c r="A957">
        <v>113590</v>
      </c>
      <c r="B957" t="s">
        <v>150</v>
      </c>
      <c r="C957" t="s">
        <v>19</v>
      </c>
      <c r="D957" t="s">
        <v>151</v>
      </c>
      <c r="E957" s="6">
        <v>77949.81</v>
      </c>
      <c r="F957" t="s">
        <v>602</v>
      </c>
      <c r="G957" s="4" t="str">
        <f t="shared" si="86"/>
        <v>77949.81</v>
      </c>
      <c r="H957" t="str">
        <f t="shared" si="87"/>
        <v>77949.81</v>
      </c>
      <c r="I957" s="1">
        <v>45761</v>
      </c>
      <c r="J957" s="2">
        <f t="shared" si="88"/>
        <v>-5.4122984212248752E-2</v>
      </c>
      <c r="K957" s="3" t="str">
        <f t="shared" si="89"/>
        <v/>
      </c>
      <c r="L957" t="str">
        <f t="shared" si="90"/>
        <v/>
      </c>
      <c r="M957" t="str">
        <f t="shared" si="91"/>
        <v/>
      </c>
      <c r="N957">
        <v>82410.09</v>
      </c>
      <c r="O957" t="s">
        <v>412</v>
      </c>
      <c r="Q957" t="s">
        <v>19</v>
      </c>
    </row>
    <row r="958" spans="1:17" x14ac:dyDescent="0.3">
      <c r="A958">
        <v>113590</v>
      </c>
      <c r="B958" t="s">
        <v>150</v>
      </c>
      <c r="C958" t="s">
        <v>19</v>
      </c>
      <c r="D958" t="s">
        <v>153</v>
      </c>
      <c r="E958" s="6">
        <v>19297.73</v>
      </c>
      <c r="F958" t="s">
        <v>602</v>
      </c>
      <c r="G958" s="4" t="str">
        <f t="shared" si="86"/>
        <v>19297.73</v>
      </c>
      <c r="H958" t="str">
        <f t="shared" si="87"/>
        <v>19297.73</v>
      </c>
      <c r="I958" s="1">
        <v>45761</v>
      </c>
      <c r="J958" s="2">
        <f t="shared" si="88"/>
        <v>-6.0729747949059339E-2</v>
      </c>
      <c r="K958" s="3" t="str">
        <f t="shared" si="89"/>
        <v/>
      </c>
      <c r="L958" t="str">
        <f t="shared" si="90"/>
        <v/>
      </c>
      <c r="M958" t="str">
        <f t="shared" si="91"/>
        <v/>
      </c>
      <c r="N958">
        <v>20545.45</v>
      </c>
      <c r="O958" t="s">
        <v>413</v>
      </c>
      <c r="Q958" t="s">
        <v>19</v>
      </c>
    </row>
    <row r="959" spans="1:17" x14ac:dyDescent="0.3">
      <c r="A959">
        <v>130912</v>
      </c>
      <c r="B959" t="s">
        <v>604</v>
      </c>
      <c r="C959" t="s">
        <v>590</v>
      </c>
      <c r="D959" t="s">
        <v>605</v>
      </c>
      <c r="E959" s="6">
        <v>12684.46</v>
      </c>
      <c r="F959" t="s">
        <v>602</v>
      </c>
      <c r="G959" s="4" t="str">
        <f t="shared" si="86"/>
        <v>12684.46</v>
      </c>
      <c r="H959" t="str">
        <f t="shared" si="87"/>
        <v>12684.46</v>
      </c>
      <c r="I959" s="1">
        <v>45761</v>
      </c>
      <c r="J959" s="2">
        <f t="shared" si="88"/>
        <v>-6.6140119547988221E-2</v>
      </c>
      <c r="K959" s="3" t="str">
        <f t="shared" si="89"/>
        <v/>
      </c>
      <c r="L959" t="str">
        <f t="shared" si="90"/>
        <v/>
      </c>
      <c r="M959" t="str">
        <f t="shared" si="91"/>
        <v/>
      </c>
      <c r="N959">
        <v>13582.83</v>
      </c>
      <c r="O959" t="s">
        <v>677</v>
      </c>
      <c r="Q959" t="s">
        <v>590</v>
      </c>
    </row>
    <row r="960" spans="1:17" x14ac:dyDescent="0.3">
      <c r="A960">
        <v>133380</v>
      </c>
      <c r="B960" t="s">
        <v>155</v>
      </c>
      <c r="C960" t="s">
        <v>611</v>
      </c>
      <c r="D960" t="s">
        <v>156</v>
      </c>
      <c r="E960" s="6">
        <v>2601.94</v>
      </c>
      <c r="F960" t="s">
        <v>602</v>
      </c>
      <c r="G960" s="4" t="str">
        <f t="shared" si="86"/>
        <v>2601.94</v>
      </c>
      <c r="H960" t="str">
        <f t="shared" si="87"/>
        <v>2601.94</v>
      </c>
      <c r="I960" s="1">
        <v>45761</v>
      </c>
      <c r="J960" s="2">
        <f t="shared" si="88"/>
        <v>-0.12324105024800511</v>
      </c>
      <c r="K960" s="3" t="str">
        <f t="shared" si="89"/>
        <v>Check!</v>
      </c>
      <c r="L960" t="str">
        <f t="shared" si="90"/>
        <v/>
      </c>
      <c r="M960" t="str">
        <f t="shared" si="91"/>
        <v>Check</v>
      </c>
      <c r="N960">
        <v>2967.68</v>
      </c>
      <c r="O960" t="s">
        <v>157</v>
      </c>
      <c r="Q960" t="s">
        <v>41</v>
      </c>
    </row>
    <row r="961" spans="1:17" x14ac:dyDescent="0.3">
      <c r="A961">
        <v>100202693</v>
      </c>
      <c r="B961" t="s">
        <v>594</v>
      </c>
      <c r="C961" t="s">
        <v>590</v>
      </c>
      <c r="D961" t="s">
        <v>599</v>
      </c>
      <c r="E961" s="6">
        <v>144841.37</v>
      </c>
      <c r="F961" t="s">
        <v>602</v>
      </c>
      <c r="G961" s="4" t="str">
        <f t="shared" si="86"/>
        <v>144841.37</v>
      </c>
      <c r="H961" t="str">
        <f t="shared" si="87"/>
        <v>144841.37</v>
      </c>
      <c r="I961" s="1">
        <v>45761</v>
      </c>
      <c r="J961" s="2">
        <f t="shared" si="88"/>
        <v>1.0206438823227417</v>
      </c>
      <c r="K961" s="3" t="str">
        <f t="shared" si="89"/>
        <v>Check!</v>
      </c>
      <c r="L961" t="str">
        <f t="shared" si="90"/>
        <v/>
      </c>
      <c r="M961" t="str">
        <f t="shared" si="91"/>
        <v/>
      </c>
      <c r="N961">
        <v>71680.800000000003</v>
      </c>
      <c r="O961" t="s">
        <v>678</v>
      </c>
      <c r="Q961" t="s">
        <v>590</v>
      </c>
    </row>
    <row r="962" spans="1:17" x14ac:dyDescent="0.3">
      <c r="A962">
        <v>100202693</v>
      </c>
      <c r="B962" t="s">
        <v>594</v>
      </c>
      <c r="C962" t="s">
        <v>19</v>
      </c>
      <c r="D962" t="s">
        <v>597</v>
      </c>
      <c r="E962" s="6">
        <v>50954.67</v>
      </c>
      <c r="F962" t="s">
        <v>602</v>
      </c>
      <c r="G962" s="4" t="str">
        <f t="shared" si="86"/>
        <v>50954.67</v>
      </c>
      <c r="H962" t="str">
        <f t="shared" si="87"/>
        <v>50954.67</v>
      </c>
      <c r="I962" s="1">
        <v>45761</v>
      </c>
      <c r="J962" s="2">
        <f t="shared" si="88"/>
        <v>-5.4201096840560153E-2</v>
      </c>
      <c r="K962" s="3" t="str">
        <f t="shared" si="89"/>
        <v/>
      </c>
      <c r="L962" t="str">
        <f t="shared" si="90"/>
        <v/>
      </c>
      <c r="M962" t="str">
        <f t="shared" si="91"/>
        <v/>
      </c>
      <c r="N962">
        <v>53874.74</v>
      </c>
      <c r="O962" t="s">
        <v>679</v>
      </c>
      <c r="Q962" t="s">
        <v>19</v>
      </c>
    </row>
    <row r="963" spans="1:17" x14ac:dyDescent="0.3">
      <c r="A963">
        <v>100202693</v>
      </c>
      <c r="B963" t="s">
        <v>594</v>
      </c>
      <c r="C963" t="s">
        <v>19</v>
      </c>
      <c r="D963" t="s">
        <v>598</v>
      </c>
      <c r="E963" s="6">
        <v>200132.61</v>
      </c>
      <c r="F963" t="s">
        <v>602</v>
      </c>
      <c r="G963" s="4" t="str">
        <f t="shared" ref="G963:G1026" si="92">SUBSTITUTE(E963,"R","")</f>
        <v>200132.61</v>
      </c>
      <c r="H963" t="str">
        <f t="shared" ref="H963:H1026" si="93">SUBSTITUTE(G963,",","")</f>
        <v>200132.61</v>
      </c>
      <c r="I963" s="1">
        <v>45761</v>
      </c>
      <c r="J963" s="2">
        <f t="shared" ref="J963:J1026" si="94">(H963-N963)/N963</f>
        <v>-5.2742073119330948E-2</v>
      </c>
      <c r="K963" s="3" t="str">
        <f t="shared" ref="K963:K1026" si="95">IF(ABS(J963)&gt;0.1,"Check!","")</f>
        <v/>
      </c>
      <c r="L963" t="str">
        <f t="shared" ref="L963:L1026" si="96">IF(LEFT(O963,10)&lt;&gt;LEFT(D963,10),"Check","")</f>
        <v/>
      </c>
      <c r="M963" t="str">
        <f t="shared" ref="M963:M1026" si="97">IF(Q963&lt;&gt;C963,"Check","")</f>
        <v/>
      </c>
      <c r="N963">
        <v>211275.73</v>
      </c>
      <c r="O963" t="s">
        <v>680</v>
      </c>
      <c r="Q963" t="s">
        <v>19</v>
      </c>
    </row>
    <row r="964" spans="1:17" x14ac:dyDescent="0.3">
      <c r="A964">
        <v>100205932</v>
      </c>
      <c r="B964" t="s">
        <v>165</v>
      </c>
      <c r="C964" t="s">
        <v>19</v>
      </c>
      <c r="D964" t="s">
        <v>586</v>
      </c>
      <c r="E964" s="6">
        <v>20381.87</v>
      </c>
      <c r="F964" t="s">
        <v>602</v>
      </c>
      <c r="G964" s="4" t="str">
        <f t="shared" si="92"/>
        <v>20381.87</v>
      </c>
      <c r="H964" t="str">
        <f t="shared" si="93"/>
        <v>20381.87</v>
      </c>
      <c r="I964" s="1">
        <v>45761</v>
      </c>
      <c r="J964" s="2">
        <f t="shared" si="94"/>
        <v>-6.0174658675963846E-2</v>
      </c>
      <c r="K964" s="3" t="str">
        <f t="shared" si="95"/>
        <v/>
      </c>
      <c r="L964" t="str">
        <f t="shared" si="96"/>
        <v/>
      </c>
      <c r="M964" t="str">
        <f t="shared" si="97"/>
        <v/>
      </c>
      <c r="N964">
        <v>21686.87</v>
      </c>
      <c r="O964" t="s">
        <v>681</v>
      </c>
      <c r="Q964" t="s">
        <v>19</v>
      </c>
    </row>
    <row r="965" spans="1:17" x14ac:dyDescent="0.3">
      <c r="A965">
        <v>100220898</v>
      </c>
      <c r="B965" t="s">
        <v>166</v>
      </c>
      <c r="C965" t="s">
        <v>19</v>
      </c>
      <c r="D965" t="s">
        <v>167</v>
      </c>
      <c r="E965" s="6">
        <v>51713.57</v>
      </c>
      <c r="F965" t="s">
        <v>602</v>
      </c>
      <c r="G965" s="4" t="str">
        <f t="shared" si="92"/>
        <v>51713.57</v>
      </c>
      <c r="H965" t="str">
        <f t="shared" si="93"/>
        <v>51713.57</v>
      </c>
      <c r="I965" s="1">
        <v>45761</v>
      </c>
      <c r="J965" s="2">
        <f t="shared" si="94"/>
        <v>-5.4142272714885253E-2</v>
      </c>
      <c r="K965" s="3" t="str">
        <f t="shared" si="95"/>
        <v/>
      </c>
      <c r="L965" t="str">
        <f t="shared" si="96"/>
        <v/>
      </c>
      <c r="M965" t="str">
        <f t="shared" si="97"/>
        <v/>
      </c>
      <c r="N965">
        <v>54673.73</v>
      </c>
      <c r="O965" t="s">
        <v>414</v>
      </c>
      <c r="Q965" t="s">
        <v>19</v>
      </c>
    </row>
    <row r="966" spans="1:17" x14ac:dyDescent="0.3">
      <c r="A966">
        <v>100220898</v>
      </c>
      <c r="B966" t="s">
        <v>166</v>
      </c>
      <c r="C966" t="s">
        <v>19</v>
      </c>
      <c r="D966" t="s">
        <v>169</v>
      </c>
      <c r="E966" s="6">
        <v>40330.080000000002</v>
      </c>
      <c r="F966" t="s">
        <v>602</v>
      </c>
      <c r="G966" s="4" t="str">
        <f t="shared" si="92"/>
        <v>40330.08</v>
      </c>
      <c r="H966" t="str">
        <f t="shared" si="93"/>
        <v>40330.08</v>
      </c>
      <c r="I966" s="1">
        <v>45761</v>
      </c>
      <c r="J966" s="2">
        <f t="shared" si="94"/>
        <v>-5.7775115453275086E-2</v>
      </c>
      <c r="K966" s="3" t="str">
        <f t="shared" si="95"/>
        <v/>
      </c>
      <c r="L966" t="str">
        <f t="shared" si="96"/>
        <v/>
      </c>
      <c r="M966" t="str">
        <f t="shared" si="97"/>
        <v/>
      </c>
      <c r="N966">
        <v>42803.03</v>
      </c>
      <c r="O966" t="s">
        <v>415</v>
      </c>
      <c r="Q966" t="s">
        <v>19</v>
      </c>
    </row>
    <row r="967" spans="1:17" x14ac:dyDescent="0.3">
      <c r="A967">
        <v>100247003</v>
      </c>
      <c r="B967" t="s">
        <v>105</v>
      </c>
      <c r="C967" t="s">
        <v>19</v>
      </c>
      <c r="D967" t="s">
        <v>171</v>
      </c>
      <c r="E967" s="6">
        <v>32307.43</v>
      </c>
      <c r="F967" t="s">
        <v>602</v>
      </c>
      <c r="G967" s="4" t="str">
        <f t="shared" si="92"/>
        <v>32307.43</v>
      </c>
      <c r="H967" t="str">
        <f t="shared" si="93"/>
        <v>32307.43</v>
      </c>
      <c r="I967" s="1">
        <v>45761</v>
      </c>
      <c r="J967" s="2">
        <f t="shared" si="94"/>
        <v>-5.650856452318493E-2</v>
      </c>
      <c r="K967" s="3" t="str">
        <f t="shared" si="95"/>
        <v/>
      </c>
      <c r="L967" t="str">
        <f t="shared" si="96"/>
        <v/>
      </c>
      <c r="M967" t="str">
        <f t="shared" si="97"/>
        <v/>
      </c>
      <c r="N967">
        <v>34242.42</v>
      </c>
      <c r="O967" t="s">
        <v>416</v>
      </c>
      <c r="Q967" t="s">
        <v>19</v>
      </c>
    </row>
    <row r="968" spans="1:17" x14ac:dyDescent="0.3">
      <c r="A968">
        <v>100249944</v>
      </c>
      <c r="B968" t="s">
        <v>173</v>
      </c>
      <c r="C968" t="s">
        <v>19</v>
      </c>
      <c r="D968" t="s">
        <v>174</v>
      </c>
      <c r="E968" s="6">
        <v>69385.09</v>
      </c>
      <c r="F968" t="s">
        <v>602</v>
      </c>
      <c r="G968" s="4" t="str">
        <f t="shared" si="92"/>
        <v>69385.09</v>
      </c>
      <c r="H968" t="str">
        <f t="shared" si="93"/>
        <v>69385.09</v>
      </c>
      <c r="I968" s="1">
        <v>45761</v>
      </c>
      <c r="J968" s="2">
        <f t="shared" si="94"/>
        <v>-5.3135300560407835E-2</v>
      </c>
      <c r="K968" s="3" t="str">
        <f t="shared" si="95"/>
        <v/>
      </c>
      <c r="L968" t="str">
        <f t="shared" si="96"/>
        <v/>
      </c>
      <c r="M968" t="str">
        <f t="shared" si="97"/>
        <v/>
      </c>
      <c r="N968">
        <v>73278.78</v>
      </c>
      <c r="O968" t="s">
        <v>417</v>
      </c>
      <c r="Q968" t="s">
        <v>19</v>
      </c>
    </row>
    <row r="969" spans="1:17" x14ac:dyDescent="0.3">
      <c r="A969">
        <v>100250182</v>
      </c>
      <c r="B969" t="s">
        <v>176</v>
      </c>
      <c r="C969" t="s">
        <v>19</v>
      </c>
      <c r="D969" t="s">
        <v>177</v>
      </c>
      <c r="E969" s="6">
        <v>151129.39000000001</v>
      </c>
      <c r="F969" t="s">
        <v>602</v>
      </c>
      <c r="G969" s="4" t="str">
        <f t="shared" si="92"/>
        <v>151129.39</v>
      </c>
      <c r="H969" t="str">
        <f t="shared" si="93"/>
        <v>151129.39</v>
      </c>
      <c r="I969" s="1">
        <v>45761</v>
      </c>
      <c r="J969" s="2">
        <f t="shared" si="94"/>
        <v>-5.2894071104234712E-2</v>
      </c>
      <c r="K969" s="3" t="str">
        <f t="shared" si="95"/>
        <v/>
      </c>
      <c r="L969" t="str">
        <f t="shared" si="96"/>
        <v/>
      </c>
      <c r="M969" t="str">
        <f t="shared" si="97"/>
        <v/>
      </c>
      <c r="N969">
        <v>159569.68</v>
      </c>
      <c r="O969" t="s">
        <v>418</v>
      </c>
      <c r="Q969" t="s">
        <v>19</v>
      </c>
    </row>
    <row r="970" spans="1:17" x14ac:dyDescent="0.3">
      <c r="A970">
        <v>100271808</v>
      </c>
      <c r="B970" t="s">
        <v>179</v>
      </c>
      <c r="C970" t="s">
        <v>611</v>
      </c>
      <c r="D970" t="s">
        <v>180</v>
      </c>
      <c r="E970" s="6">
        <v>1626.21</v>
      </c>
      <c r="F970" t="s">
        <v>602</v>
      </c>
      <c r="G970" s="4" t="str">
        <f t="shared" si="92"/>
        <v>1626.21</v>
      </c>
      <c r="H970" t="str">
        <f t="shared" si="93"/>
        <v>1626.21</v>
      </c>
      <c r="I970" s="1">
        <v>45761</v>
      </c>
      <c r="J970" s="2">
        <f t="shared" si="94"/>
        <v>-0.16192022263450837</v>
      </c>
      <c r="K970" s="3" t="str">
        <f t="shared" si="95"/>
        <v>Check!</v>
      </c>
      <c r="L970" t="str">
        <f t="shared" si="96"/>
        <v/>
      </c>
      <c r="M970" t="str">
        <f t="shared" si="97"/>
        <v>Check</v>
      </c>
      <c r="N970">
        <v>1940.4</v>
      </c>
      <c r="O970" t="s">
        <v>181</v>
      </c>
      <c r="Q970" t="s">
        <v>41</v>
      </c>
    </row>
    <row r="971" spans="1:17" x14ac:dyDescent="0.3">
      <c r="A971">
        <v>100273792</v>
      </c>
      <c r="B971" t="s">
        <v>182</v>
      </c>
      <c r="C971" t="s">
        <v>19</v>
      </c>
      <c r="D971" t="s">
        <v>183</v>
      </c>
      <c r="E971" s="6">
        <v>67758.880000000005</v>
      </c>
      <c r="F971" t="s">
        <v>602</v>
      </c>
      <c r="G971" s="4" t="str">
        <f t="shared" si="92"/>
        <v>67758.88</v>
      </c>
      <c r="H971" t="str">
        <f t="shared" si="93"/>
        <v>67758.88</v>
      </c>
      <c r="I971" s="1">
        <v>45761</v>
      </c>
      <c r="J971" s="2">
        <f t="shared" si="94"/>
        <v>-5.4713675070590703E-2</v>
      </c>
      <c r="K971" s="3" t="str">
        <f t="shared" si="95"/>
        <v/>
      </c>
      <c r="L971" t="str">
        <f t="shared" si="96"/>
        <v/>
      </c>
      <c r="M971" t="str">
        <f t="shared" si="97"/>
        <v/>
      </c>
      <c r="N971">
        <v>71680.800000000003</v>
      </c>
      <c r="O971" t="s">
        <v>419</v>
      </c>
      <c r="Q971" t="s">
        <v>19</v>
      </c>
    </row>
    <row r="972" spans="1:17" x14ac:dyDescent="0.3">
      <c r="A972">
        <v>100273792</v>
      </c>
      <c r="B972" t="s">
        <v>182</v>
      </c>
      <c r="C972" t="s">
        <v>19</v>
      </c>
      <c r="D972" t="s">
        <v>185</v>
      </c>
      <c r="E972" s="6">
        <v>97572.78</v>
      </c>
      <c r="F972" t="s">
        <v>602</v>
      </c>
      <c r="G972" s="4" t="str">
        <f t="shared" si="92"/>
        <v>97572.78</v>
      </c>
      <c r="H972" t="str">
        <f t="shared" si="93"/>
        <v>97572.78</v>
      </c>
      <c r="I972" s="1">
        <v>45761</v>
      </c>
      <c r="J972" s="2">
        <f t="shared" si="94"/>
        <v>-5.333188188805859E-2</v>
      </c>
      <c r="K972" s="3" t="str">
        <f t="shared" si="95"/>
        <v/>
      </c>
      <c r="L972" t="str">
        <f t="shared" si="96"/>
        <v/>
      </c>
      <c r="M972" t="str">
        <f t="shared" si="97"/>
        <v/>
      </c>
      <c r="N972">
        <v>103069.68</v>
      </c>
      <c r="O972" t="s">
        <v>420</v>
      </c>
      <c r="Q972" t="s">
        <v>19</v>
      </c>
    </row>
    <row r="973" spans="1:17" x14ac:dyDescent="0.3">
      <c r="A973">
        <v>100273792</v>
      </c>
      <c r="B973" t="s">
        <v>182</v>
      </c>
      <c r="C973" t="s">
        <v>590</v>
      </c>
      <c r="D973" t="s">
        <v>588</v>
      </c>
      <c r="E973" s="6">
        <v>10407.76</v>
      </c>
      <c r="F973" t="s">
        <v>602</v>
      </c>
      <c r="G973" s="4" t="str">
        <f t="shared" si="92"/>
        <v>10407.76</v>
      </c>
      <c r="H973" t="str">
        <f t="shared" si="93"/>
        <v>10407.76</v>
      </c>
      <c r="I973" s="1">
        <v>45761</v>
      </c>
      <c r="J973" s="2">
        <f t="shared" si="94"/>
        <v>-6.9561035092518625E-2</v>
      </c>
      <c r="K973" s="3" t="str">
        <f t="shared" si="95"/>
        <v/>
      </c>
      <c r="L973" t="str">
        <f t="shared" si="96"/>
        <v/>
      </c>
      <c r="M973" t="str">
        <f t="shared" si="97"/>
        <v>Check</v>
      </c>
      <c r="N973">
        <v>11185.86</v>
      </c>
      <c r="O973" t="s">
        <v>589</v>
      </c>
      <c r="Q973" t="s">
        <v>16</v>
      </c>
    </row>
    <row r="974" spans="1:17" x14ac:dyDescent="0.3">
      <c r="A974">
        <v>100278188</v>
      </c>
      <c r="B974" t="s">
        <v>187</v>
      </c>
      <c r="C974" t="s">
        <v>19</v>
      </c>
      <c r="D974" t="s">
        <v>192</v>
      </c>
      <c r="E974" s="6">
        <v>12467.63</v>
      </c>
      <c r="F974" t="s">
        <v>602</v>
      </c>
      <c r="G974" s="4" t="str">
        <f t="shared" si="92"/>
        <v>12467.63</v>
      </c>
      <c r="H974" t="str">
        <f t="shared" si="93"/>
        <v>12467.63</v>
      </c>
      <c r="I974" s="1">
        <v>45761</v>
      </c>
      <c r="J974" s="2">
        <f t="shared" si="94"/>
        <v>-6.6412620726734248E-2</v>
      </c>
      <c r="K974" s="3" t="str">
        <f t="shared" si="95"/>
        <v/>
      </c>
      <c r="L974" t="str">
        <f t="shared" si="96"/>
        <v/>
      </c>
      <c r="M974" t="str">
        <f t="shared" si="97"/>
        <v/>
      </c>
      <c r="N974">
        <v>13354.54</v>
      </c>
      <c r="O974" t="s">
        <v>422</v>
      </c>
      <c r="Q974" t="s">
        <v>19</v>
      </c>
    </row>
    <row r="975" spans="1:17" x14ac:dyDescent="0.3">
      <c r="A975">
        <v>100278188</v>
      </c>
      <c r="B975" t="s">
        <v>187</v>
      </c>
      <c r="C975" t="s">
        <v>19</v>
      </c>
      <c r="D975" t="s">
        <v>194</v>
      </c>
      <c r="E975" s="6">
        <v>24610.02</v>
      </c>
      <c r="F975" t="s">
        <v>602</v>
      </c>
      <c r="G975" s="4" t="str">
        <f t="shared" si="92"/>
        <v>24610.02</v>
      </c>
      <c r="H975" t="str">
        <f t="shared" si="93"/>
        <v>24610.02</v>
      </c>
      <c r="I975" s="1">
        <v>45761</v>
      </c>
      <c r="J975" s="2">
        <f t="shared" si="94"/>
        <v>-5.8471871630912109E-2</v>
      </c>
      <c r="K975" s="3" t="str">
        <f t="shared" si="95"/>
        <v/>
      </c>
      <c r="L975" t="str">
        <f t="shared" si="96"/>
        <v/>
      </c>
      <c r="M975" t="str">
        <f t="shared" si="97"/>
        <v/>
      </c>
      <c r="N975">
        <v>26138.38</v>
      </c>
      <c r="O975" t="s">
        <v>423</v>
      </c>
      <c r="Q975" t="s">
        <v>19</v>
      </c>
    </row>
    <row r="976" spans="1:17" x14ac:dyDescent="0.3">
      <c r="A976">
        <v>100278188</v>
      </c>
      <c r="B976" t="s">
        <v>187</v>
      </c>
      <c r="C976" t="s">
        <v>19</v>
      </c>
      <c r="D976" t="s">
        <v>190</v>
      </c>
      <c r="E976" s="6">
        <v>6396.44</v>
      </c>
      <c r="F976" t="s">
        <v>602</v>
      </c>
      <c r="G976" s="4" t="str">
        <f t="shared" si="92"/>
        <v>6396.44</v>
      </c>
      <c r="H976" t="str">
        <f t="shared" si="93"/>
        <v>6396.44</v>
      </c>
      <c r="I976" s="1">
        <v>45761</v>
      </c>
      <c r="J976" s="2">
        <f t="shared" si="94"/>
        <v>-8.1318409853747872E-2</v>
      </c>
      <c r="K976" s="3" t="str">
        <f t="shared" si="95"/>
        <v/>
      </c>
      <c r="L976" t="str">
        <f t="shared" si="96"/>
        <v/>
      </c>
      <c r="M976" t="str">
        <f t="shared" si="97"/>
        <v/>
      </c>
      <c r="N976">
        <v>6962.63</v>
      </c>
      <c r="O976" t="s">
        <v>421</v>
      </c>
      <c r="Q976" t="s">
        <v>19</v>
      </c>
    </row>
    <row r="977" spans="1:17" x14ac:dyDescent="0.3">
      <c r="A977">
        <v>100309343</v>
      </c>
      <c r="B977" t="s">
        <v>196</v>
      </c>
      <c r="C977" t="s">
        <v>590</v>
      </c>
      <c r="D977" t="s">
        <v>424</v>
      </c>
      <c r="E977" s="6">
        <v>4987.05</v>
      </c>
      <c r="F977" t="s">
        <v>602</v>
      </c>
      <c r="G977" s="4" t="str">
        <f t="shared" si="92"/>
        <v>4987.05</v>
      </c>
      <c r="H977" t="str">
        <f t="shared" si="93"/>
        <v>4987.05</v>
      </c>
      <c r="I977" s="1">
        <v>45761</v>
      </c>
      <c r="J977" s="2">
        <f t="shared" si="94"/>
        <v>-8.9753394453884847E-2</v>
      </c>
      <c r="K977" s="3" t="str">
        <f t="shared" si="95"/>
        <v/>
      </c>
      <c r="L977" t="str">
        <f t="shared" si="96"/>
        <v/>
      </c>
      <c r="M977" t="str">
        <f t="shared" si="97"/>
        <v>Check</v>
      </c>
      <c r="N977">
        <v>5478.79</v>
      </c>
      <c r="O977" t="s">
        <v>425</v>
      </c>
      <c r="Q977" t="s">
        <v>16</v>
      </c>
    </row>
    <row r="978" spans="1:17" x14ac:dyDescent="0.3">
      <c r="A978">
        <v>100325823</v>
      </c>
      <c r="B978" t="s">
        <v>202</v>
      </c>
      <c r="C978" t="s">
        <v>19</v>
      </c>
      <c r="D978" t="s">
        <v>203</v>
      </c>
      <c r="E978" s="6">
        <v>168909.32</v>
      </c>
      <c r="F978" t="s">
        <v>602</v>
      </c>
      <c r="G978" s="4" t="str">
        <f t="shared" si="92"/>
        <v>168909.32</v>
      </c>
      <c r="H978" t="str">
        <f t="shared" si="93"/>
        <v>168909.32</v>
      </c>
      <c r="I978" s="1">
        <v>45761</v>
      </c>
      <c r="J978" s="2">
        <f t="shared" si="94"/>
        <v>1.2086942695065064</v>
      </c>
      <c r="K978" s="3" t="str">
        <f t="shared" si="95"/>
        <v>Check!</v>
      </c>
      <c r="L978" t="str">
        <f t="shared" si="96"/>
        <v/>
      </c>
      <c r="M978" t="str">
        <f t="shared" si="97"/>
        <v/>
      </c>
      <c r="N978">
        <v>76474.740000000005</v>
      </c>
      <c r="O978" t="s">
        <v>426</v>
      </c>
      <c r="Q978" t="s">
        <v>19</v>
      </c>
    </row>
    <row r="979" spans="1:17" x14ac:dyDescent="0.3">
      <c r="A979">
        <v>100376880</v>
      </c>
      <c r="B979" t="s">
        <v>205</v>
      </c>
      <c r="C979" t="s">
        <v>19</v>
      </c>
      <c r="D979" t="s">
        <v>208</v>
      </c>
      <c r="E979" s="6">
        <v>5312.3</v>
      </c>
      <c r="F979" t="s">
        <v>602</v>
      </c>
      <c r="G979" s="4" t="str">
        <f t="shared" si="92"/>
        <v>5312.3</v>
      </c>
      <c r="H979" t="str">
        <f t="shared" si="93"/>
        <v>5312.3</v>
      </c>
      <c r="I979" s="1">
        <v>45761</v>
      </c>
      <c r="J979" s="2">
        <f t="shared" si="94"/>
        <v>-0.10497274802665389</v>
      </c>
      <c r="K979" s="3" t="str">
        <f t="shared" si="95"/>
        <v>Check!</v>
      </c>
      <c r="L979" t="str">
        <f t="shared" si="96"/>
        <v/>
      </c>
      <c r="M979" t="str">
        <f t="shared" si="97"/>
        <v/>
      </c>
      <c r="N979">
        <v>5935.35</v>
      </c>
      <c r="O979" t="s">
        <v>427</v>
      </c>
      <c r="Q979" t="s">
        <v>19</v>
      </c>
    </row>
    <row r="980" spans="1:17" x14ac:dyDescent="0.3">
      <c r="A980">
        <v>100388471</v>
      </c>
      <c r="B980" t="s">
        <v>210</v>
      </c>
      <c r="C980" t="s">
        <v>19</v>
      </c>
      <c r="D980" t="s">
        <v>211</v>
      </c>
      <c r="E980" s="6">
        <v>173354.31</v>
      </c>
      <c r="F980" t="s">
        <v>602</v>
      </c>
      <c r="G980" s="4" t="str">
        <f t="shared" si="92"/>
        <v>173354.31</v>
      </c>
      <c r="H980" t="str">
        <f t="shared" si="93"/>
        <v>173354.31</v>
      </c>
      <c r="I980" s="1">
        <v>45761</v>
      </c>
      <c r="J980" s="2">
        <f t="shared" si="94"/>
        <v>-5.254643062915805E-2</v>
      </c>
      <c r="K980" s="3" t="str">
        <f t="shared" si="95"/>
        <v/>
      </c>
      <c r="L980" t="str">
        <f t="shared" si="96"/>
        <v/>
      </c>
      <c r="M980" t="str">
        <f t="shared" si="97"/>
        <v/>
      </c>
      <c r="N980">
        <v>182968.66</v>
      </c>
      <c r="O980" t="s">
        <v>428</v>
      </c>
      <c r="Q980" t="s">
        <v>19</v>
      </c>
    </row>
    <row r="981" spans="1:17" x14ac:dyDescent="0.3">
      <c r="A981">
        <v>100388471</v>
      </c>
      <c r="B981" t="s">
        <v>210</v>
      </c>
      <c r="C981" t="s">
        <v>19</v>
      </c>
      <c r="D981" t="s">
        <v>213</v>
      </c>
      <c r="E981" s="6">
        <v>5745.95</v>
      </c>
      <c r="F981" t="s">
        <v>602</v>
      </c>
      <c r="G981" s="4" t="str">
        <f t="shared" si="92"/>
        <v>5745.95</v>
      </c>
      <c r="H981" t="str">
        <f t="shared" si="93"/>
        <v>5745.95</v>
      </c>
      <c r="I981" s="1">
        <v>45761</v>
      </c>
      <c r="J981" s="2">
        <f t="shared" si="94"/>
        <v>-0.10106040125658648</v>
      </c>
      <c r="K981" s="3" t="str">
        <f t="shared" si="95"/>
        <v>Check!</v>
      </c>
      <c r="L981" t="str">
        <f t="shared" si="96"/>
        <v/>
      </c>
      <c r="M981" t="str">
        <f t="shared" si="97"/>
        <v/>
      </c>
      <c r="N981">
        <v>6391.92</v>
      </c>
      <c r="O981" t="s">
        <v>429</v>
      </c>
      <c r="Q981" t="s">
        <v>19</v>
      </c>
    </row>
    <row r="982" spans="1:17" x14ac:dyDescent="0.3">
      <c r="A982">
        <v>100408912</v>
      </c>
      <c r="B982" t="s">
        <v>215</v>
      </c>
      <c r="C982" t="s">
        <v>19</v>
      </c>
      <c r="D982" t="s">
        <v>216</v>
      </c>
      <c r="E982" s="6">
        <v>101692.52</v>
      </c>
      <c r="F982" t="s">
        <v>602</v>
      </c>
      <c r="G982" s="4" t="str">
        <f t="shared" si="92"/>
        <v>101692.52</v>
      </c>
      <c r="H982" t="str">
        <f t="shared" si="93"/>
        <v>101692.52</v>
      </c>
      <c r="I982" s="1">
        <v>45761</v>
      </c>
      <c r="J982" s="2">
        <f t="shared" si="94"/>
        <v>-5.3204510020104769E-2</v>
      </c>
      <c r="K982" s="3" t="str">
        <f t="shared" si="95"/>
        <v/>
      </c>
      <c r="L982" t="str">
        <f t="shared" si="96"/>
        <v/>
      </c>
      <c r="M982" t="str">
        <f t="shared" si="97"/>
        <v/>
      </c>
      <c r="N982">
        <v>107407.06</v>
      </c>
      <c r="O982" t="s">
        <v>430</v>
      </c>
      <c r="Q982" t="s">
        <v>19</v>
      </c>
    </row>
    <row r="983" spans="1:17" x14ac:dyDescent="0.3">
      <c r="A983">
        <v>100421069</v>
      </c>
      <c r="B983" t="s">
        <v>218</v>
      </c>
      <c r="C983" t="s">
        <v>19</v>
      </c>
      <c r="D983" t="s">
        <v>220</v>
      </c>
      <c r="E983" s="6">
        <v>54315.51</v>
      </c>
      <c r="F983" t="s">
        <v>602</v>
      </c>
      <c r="G983" s="4" t="str">
        <f t="shared" si="92"/>
        <v>54315.51</v>
      </c>
      <c r="H983" t="str">
        <f t="shared" si="93"/>
        <v>54315.51</v>
      </c>
      <c r="I983" s="1">
        <v>45761</v>
      </c>
      <c r="J983" s="2">
        <f t="shared" si="94"/>
        <v>-5.3952998896419503E-2</v>
      </c>
      <c r="K983" s="3" t="str">
        <f t="shared" si="95"/>
        <v/>
      </c>
      <c r="L983" t="str">
        <f t="shared" si="96"/>
        <v/>
      </c>
      <c r="M983" t="str">
        <f t="shared" si="97"/>
        <v/>
      </c>
      <c r="N983">
        <v>57413.120000000003</v>
      </c>
      <c r="O983" t="s">
        <v>431</v>
      </c>
      <c r="Q983" t="s">
        <v>19</v>
      </c>
    </row>
    <row r="984" spans="1:17" x14ac:dyDescent="0.3">
      <c r="A984">
        <v>100421069</v>
      </c>
      <c r="B984" t="s">
        <v>218</v>
      </c>
      <c r="C984" t="s">
        <v>19</v>
      </c>
      <c r="D984" t="s">
        <v>222</v>
      </c>
      <c r="E984" s="6">
        <v>23959.54</v>
      </c>
      <c r="F984" t="s">
        <v>602</v>
      </c>
      <c r="G984" s="4" t="str">
        <f t="shared" si="92"/>
        <v>23959.54</v>
      </c>
      <c r="H984" t="str">
        <f t="shared" si="93"/>
        <v>23959.54</v>
      </c>
      <c r="I984" s="1">
        <v>45761</v>
      </c>
      <c r="J984" s="2">
        <f t="shared" si="94"/>
        <v>-5.8694805789216584E-2</v>
      </c>
      <c r="K984" s="3" t="str">
        <f t="shared" si="95"/>
        <v/>
      </c>
      <c r="L984" t="str">
        <f t="shared" si="96"/>
        <v/>
      </c>
      <c r="M984" t="str">
        <f t="shared" si="97"/>
        <v/>
      </c>
      <c r="N984">
        <v>25453.53</v>
      </c>
      <c r="O984" t="s">
        <v>432</v>
      </c>
      <c r="Q984" t="s">
        <v>19</v>
      </c>
    </row>
    <row r="985" spans="1:17" x14ac:dyDescent="0.3">
      <c r="A985">
        <v>100421069</v>
      </c>
      <c r="B985" t="s">
        <v>218</v>
      </c>
      <c r="C985" t="s">
        <v>19</v>
      </c>
      <c r="D985" t="s">
        <v>224</v>
      </c>
      <c r="E985" s="6">
        <v>28946.59</v>
      </c>
      <c r="F985" t="s">
        <v>602</v>
      </c>
      <c r="G985" s="4" t="str">
        <f t="shared" si="92"/>
        <v>28946.59</v>
      </c>
      <c r="H985" t="str">
        <f t="shared" si="93"/>
        <v>28946.59</v>
      </c>
      <c r="I985" s="1">
        <v>45761</v>
      </c>
      <c r="J985" s="2">
        <f t="shared" si="94"/>
        <v>-6.0730062579944698E-2</v>
      </c>
      <c r="K985" s="3" t="str">
        <f t="shared" si="95"/>
        <v/>
      </c>
      <c r="L985" t="str">
        <f t="shared" si="96"/>
        <v/>
      </c>
      <c r="M985" t="str">
        <f t="shared" si="97"/>
        <v/>
      </c>
      <c r="N985">
        <v>30818.18</v>
      </c>
      <c r="O985" t="s">
        <v>433</v>
      </c>
      <c r="Q985" t="s">
        <v>19</v>
      </c>
    </row>
    <row r="986" spans="1:17" x14ac:dyDescent="0.3">
      <c r="A986">
        <v>100489695</v>
      </c>
      <c r="B986" t="s">
        <v>229</v>
      </c>
      <c r="C986" t="s">
        <v>590</v>
      </c>
      <c r="D986" t="s">
        <v>230</v>
      </c>
      <c r="E986" s="6">
        <v>197422.26</v>
      </c>
      <c r="F986" t="s">
        <v>602</v>
      </c>
      <c r="G986" s="4" t="str">
        <f t="shared" si="92"/>
        <v>197422.26</v>
      </c>
      <c r="H986" t="str">
        <f t="shared" si="93"/>
        <v>197422.26</v>
      </c>
      <c r="I986" s="1">
        <v>45761</v>
      </c>
      <c r="J986" s="2">
        <f t="shared" si="94"/>
        <v>-5.2777199357841927E-2</v>
      </c>
      <c r="K986" s="3" t="str">
        <f t="shared" si="95"/>
        <v/>
      </c>
      <c r="L986" t="str">
        <f t="shared" si="96"/>
        <v/>
      </c>
      <c r="M986" t="str">
        <f t="shared" si="97"/>
        <v>Check</v>
      </c>
      <c r="N986">
        <v>208422.2</v>
      </c>
      <c r="O986" t="s">
        <v>434</v>
      </c>
      <c r="Q986" t="s">
        <v>16</v>
      </c>
    </row>
    <row r="987" spans="1:17" x14ac:dyDescent="0.3">
      <c r="A987">
        <v>100492707</v>
      </c>
      <c r="B987" t="s">
        <v>232</v>
      </c>
      <c r="C987" t="s">
        <v>19</v>
      </c>
      <c r="D987" t="s">
        <v>233</v>
      </c>
      <c r="E987" s="6">
        <v>46184.45</v>
      </c>
      <c r="F987" t="s">
        <v>602</v>
      </c>
      <c r="G987" s="4" t="str">
        <f t="shared" si="92"/>
        <v>46184.45</v>
      </c>
      <c r="H987" t="str">
        <f t="shared" si="93"/>
        <v>46184.45</v>
      </c>
      <c r="I987" s="1">
        <v>45761</v>
      </c>
      <c r="J987" s="2">
        <f t="shared" si="94"/>
        <v>-5.6818455659422271E-2</v>
      </c>
      <c r="K987" s="3" t="str">
        <f t="shared" si="95"/>
        <v/>
      </c>
      <c r="L987" t="str">
        <f t="shared" si="96"/>
        <v/>
      </c>
      <c r="M987" t="str">
        <f t="shared" si="97"/>
        <v/>
      </c>
      <c r="N987">
        <v>48966.66</v>
      </c>
      <c r="O987" t="s">
        <v>435</v>
      </c>
      <c r="Q987" t="s">
        <v>19</v>
      </c>
    </row>
    <row r="988" spans="1:17" x14ac:dyDescent="0.3">
      <c r="A988">
        <v>100492707</v>
      </c>
      <c r="B988" t="s">
        <v>232</v>
      </c>
      <c r="C988" t="s">
        <v>19</v>
      </c>
      <c r="D988" t="s">
        <v>624</v>
      </c>
      <c r="E988" s="6">
        <v>378365.56</v>
      </c>
      <c r="F988" t="s">
        <v>602</v>
      </c>
      <c r="G988" s="4" t="str">
        <f t="shared" si="92"/>
        <v>378365.56</v>
      </c>
      <c r="H988" t="str">
        <f t="shared" si="93"/>
        <v>378365.56</v>
      </c>
      <c r="I988" s="1">
        <v>45761</v>
      </c>
      <c r="J988" s="2">
        <f t="shared" si="94"/>
        <v>-5.20776421080986E-2</v>
      </c>
      <c r="K988" s="3" t="str">
        <f t="shared" si="95"/>
        <v/>
      </c>
      <c r="L988" t="str">
        <f t="shared" si="96"/>
        <v/>
      </c>
      <c r="M988" t="str">
        <f t="shared" si="97"/>
        <v/>
      </c>
      <c r="N988">
        <v>399152.48</v>
      </c>
      <c r="O988" t="s">
        <v>682</v>
      </c>
      <c r="Q988" t="s">
        <v>19</v>
      </c>
    </row>
    <row r="989" spans="1:17" x14ac:dyDescent="0.3">
      <c r="A989">
        <v>100497270</v>
      </c>
      <c r="B989" t="s">
        <v>235</v>
      </c>
      <c r="C989" t="s">
        <v>611</v>
      </c>
      <c r="D989" t="s">
        <v>236</v>
      </c>
      <c r="E989" s="6">
        <v>3686.08</v>
      </c>
      <c r="F989" t="s">
        <v>602</v>
      </c>
      <c r="G989" s="4" t="str">
        <f t="shared" si="92"/>
        <v>3686.08</v>
      </c>
      <c r="H989" t="str">
        <f t="shared" si="93"/>
        <v>3686.08</v>
      </c>
      <c r="I989" s="1">
        <v>45761</v>
      </c>
      <c r="J989" s="2">
        <f t="shared" si="94"/>
        <v>-0.10294493427985277</v>
      </c>
      <c r="K989" s="3" t="str">
        <f t="shared" si="95"/>
        <v>Check!</v>
      </c>
      <c r="L989" t="str">
        <f t="shared" si="96"/>
        <v/>
      </c>
      <c r="M989" t="str">
        <f t="shared" si="97"/>
        <v>Check</v>
      </c>
      <c r="N989">
        <v>4109.09</v>
      </c>
      <c r="O989" t="s">
        <v>237</v>
      </c>
      <c r="Q989" t="s">
        <v>41</v>
      </c>
    </row>
    <row r="990" spans="1:17" x14ac:dyDescent="0.3">
      <c r="A990">
        <v>100528113</v>
      </c>
      <c r="B990" t="s">
        <v>436</v>
      </c>
      <c r="C990" t="s">
        <v>590</v>
      </c>
      <c r="D990" t="s">
        <v>437</v>
      </c>
      <c r="E990" s="6">
        <v>39137.53</v>
      </c>
      <c r="F990" t="s">
        <v>602</v>
      </c>
      <c r="G990" s="4" t="str">
        <f t="shared" si="92"/>
        <v>39137.53</v>
      </c>
      <c r="H990" t="str">
        <f t="shared" si="93"/>
        <v>39137.53</v>
      </c>
      <c r="I990" s="1">
        <v>45761</v>
      </c>
      <c r="J990" s="2">
        <f t="shared" si="94"/>
        <v>-5.5409497619428677E-2</v>
      </c>
      <c r="K990" s="3" t="str">
        <f t="shared" si="95"/>
        <v/>
      </c>
      <c r="L990" t="str">
        <f t="shared" si="96"/>
        <v/>
      </c>
      <c r="M990" t="str">
        <f t="shared" si="97"/>
        <v>Check</v>
      </c>
      <c r="N990">
        <v>41433.33</v>
      </c>
      <c r="O990" t="s">
        <v>438</v>
      </c>
      <c r="Q990" t="s">
        <v>16</v>
      </c>
    </row>
    <row r="991" spans="1:17" x14ac:dyDescent="0.3">
      <c r="A991">
        <v>100562496</v>
      </c>
      <c r="B991" t="s">
        <v>238</v>
      </c>
      <c r="C991" t="s">
        <v>611</v>
      </c>
      <c r="D991" t="s">
        <v>239</v>
      </c>
      <c r="E991" s="6">
        <v>4770.22</v>
      </c>
      <c r="F991" t="s">
        <v>602</v>
      </c>
      <c r="G991" s="4" t="str">
        <f t="shared" si="92"/>
        <v>4770.22</v>
      </c>
      <c r="H991" t="str">
        <f t="shared" si="93"/>
        <v>4770.22</v>
      </c>
      <c r="I991" s="1">
        <v>45761</v>
      </c>
      <c r="J991" s="2">
        <f t="shared" si="94"/>
        <v>-9.1473193029235261E-2</v>
      </c>
      <c r="K991" s="3" t="str">
        <f t="shared" si="95"/>
        <v/>
      </c>
      <c r="L991" t="str">
        <f t="shared" si="96"/>
        <v/>
      </c>
      <c r="M991" t="str">
        <f t="shared" si="97"/>
        <v>Check</v>
      </c>
      <c r="N991">
        <v>5250.5</v>
      </c>
      <c r="O991" t="s">
        <v>240</v>
      </c>
      <c r="Q991" t="s">
        <v>41</v>
      </c>
    </row>
    <row r="992" spans="1:17" x14ac:dyDescent="0.3">
      <c r="A992">
        <v>100564770</v>
      </c>
      <c r="B992" t="s">
        <v>241</v>
      </c>
      <c r="C992" t="s">
        <v>19</v>
      </c>
      <c r="D992" t="s">
        <v>242</v>
      </c>
      <c r="E992" s="6">
        <v>26778.31</v>
      </c>
      <c r="F992" t="s">
        <v>602</v>
      </c>
      <c r="G992" s="4" t="str">
        <f t="shared" si="92"/>
        <v>26778.31</v>
      </c>
      <c r="H992" t="str">
        <f t="shared" si="93"/>
        <v>26778.31</v>
      </c>
      <c r="I992" s="1">
        <v>45761</v>
      </c>
      <c r="J992" s="2">
        <f t="shared" si="94"/>
        <v>-5.7805420669985473E-2</v>
      </c>
      <c r="K992" s="3" t="str">
        <f t="shared" si="95"/>
        <v/>
      </c>
      <c r="L992" t="str">
        <f t="shared" si="96"/>
        <v/>
      </c>
      <c r="M992" t="str">
        <f t="shared" si="97"/>
        <v/>
      </c>
      <c r="N992">
        <v>28421.21</v>
      </c>
      <c r="O992" t="s">
        <v>439</v>
      </c>
      <c r="Q992" t="s">
        <v>19</v>
      </c>
    </row>
    <row r="993" spans="1:17" x14ac:dyDescent="0.3">
      <c r="A993">
        <v>100596195</v>
      </c>
      <c r="B993" t="s">
        <v>244</v>
      </c>
      <c r="C993" t="s">
        <v>590</v>
      </c>
      <c r="D993" t="s">
        <v>245</v>
      </c>
      <c r="E993" s="6">
        <v>5529.12</v>
      </c>
      <c r="F993" t="s">
        <v>602</v>
      </c>
      <c r="G993" s="4" t="str">
        <f t="shared" si="92"/>
        <v>5529.12</v>
      </c>
      <c r="H993" t="str">
        <f t="shared" si="93"/>
        <v>5529.12</v>
      </c>
      <c r="I993" s="1">
        <v>45761</v>
      </c>
      <c r="J993" s="2">
        <f t="shared" si="94"/>
        <v>-0.96564881725834562</v>
      </c>
      <c r="K993" s="3" t="str">
        <f t="shared" si="95"/>
        <v>Check!</v>
      </c>
      <c r="L993" t="str">
        <f t="shared" si="96"/>
        <v/>
      </c>
      <c r="M993" t="str">
        <f t="shared" si="97"/>
        <v>Check</v>
      </c>
      <c r="N993">
        <v>160958.65</v>
      </c>
      <c r="O993" t="s">
        <v>697</v>
      </c>
      <c r="Q993" t="s">
        <v>16</v>
      </c>
    </row>
    <row r="994" spans="1:17" x14ac:dyDescent="0.3">
      <c r="A994">
        <v>100596689</v>
      </c>
      <c r="B994" t="s">
        <v>250</v>
      </c>
      <c r="C994" t="s">
        <v>590</v>
      </c>
      <c r="D994" t="s">
        <v>440</v>
      </c>
      <c r="E994" s="6">
        <v>22224.91</v>
      </c>
      <c r="F994" t="s">
        <v>602</v>
      </c>
      <c r="G994" s="4" t="str">
        <f t="shared" si="92"/>
        <v>22224.91</v>
      </c>
      <c r="H994" t="str">
        <f t="shared" si="93"/>
        <v>22224.91</v>
      </c>
      <c r="I994" s="1">
        <v>45761</v>
      </c>
      <c r="J994" s="2">
        <f t="shared" si="94"/>
        <v>-5.9353450483276338E-2</v>
      </c>
      <c r="K994" s="3" t="str">
        <f t="shared" si="95"/>
        <v/>
      </c>
      <c r="L994" t="str">
        <f t="shared" si="96"/>
        <v/>
      </c>
      <c r="M994" t="str">
        <f t="shared" si="97"/>
        <v>Check</v>
      </c>
      <c r="N994">
        <v>23627.27</v>
      </c>
      <c r="O994" t="s">
        <v>441</v>
      </c>
      <c r="Q994" t="s">
        <v>16</v>
      </c>
    </row>
    <row r="995" spans="1:17" x14ac:dyDescent="0.3">
      <c r="A995">
        <v>100596689</v>
      </c>
      <c r="B995" t="s">
        <v>250</v>
      </c>
      <c r="C995" t="s">
        <v>590</v>
      </c>
      <c r="D995" t="s">
        <v>251</v>
      </c>
      <c r="E995" s="6">
        <v>6830.09</v>
      </c>
      <c r="F995" t="s">
        <v>602</v>
      </c>
      <c r="G995" s="4" t="str">
        <f t="shared" si="92"/>
        <v>6830.09</v>
      </c>
      <c r="H995" t="str">
        <f t="shared" si="93"/>
        <v>6830.09</v>
      </c>
      <c r="I995" s="1">
        <v>45761</v>
      </c>
      <c r="J995" s="2">
        <f t="shared" si="94"/>
        <v>-7.9402198892331841E-2</v>
      </c>
      <c r="K995" s="3" t="str">
        <f t="shared" si="95"/>
        <v/>
      </c>
      <c r="L995" t="str">
        <f t="shared" si="96"/>
        <v/>
      </c>
      <c r="M995" t="str">
        <f t="shared" si="97"/>
        <v>Check</v>
      </c>
      <c r="N995">
        <v>7419.19</v>
      </c>
      <c r="O995" t="s">
        <v>442</v>
      </c>
      <c r="Q995" t="s">
        <v>16</v>
      </c>
    </row>
    <row r="996" spans="1:17" x14ac:dyDescent="0.3">
      <c r="A996">
        <v>100614771</v>
      </c>
      <c r="B996" t="s">
        <v>443</v>
      </c>
      <c r="C996" t="s">
        <v>590</v>
      </c>
      <c r="D996" t="s">
        <v>444</v>
      </c>
      <c r="E996" s="6">
        <v>2059.87</v>
      </c>
      <c r="F996" t="s">
        <v>602</v>
      </c>
      <c r="G996" s="4" t="str">
        <f t="shared" si="92"/>
        <v>2059.87</v>
      </c>
      <c r="H996" t="str">
        <f t="shared" si="93"/>
        <v>2059.87</v>
      </c>
      <c r="I996" s="1">
        <v>45761</v>
      </c>
      <c r="J996" s="2">
        <f t="shared" si="94"/>
        <v>-0.14063588613958453</v>
      </c>
      <c r="K996" s="3" t="str">
        <f t="shared" si="95"/>
        <v>Check!</v>
      </c>
      <c r="L996" t="str">
        <f t="shared" si="96"/>
        <v/>
      </c>
      <c r="M996" t="str">
        <f t="shared" si="97"/>
        <v>Check</v>
      </c>
      <c r="N996">
        <v>2396.9699999999998</v>
      </c>
      <c r="O996" t="s">
        <v>445</v>
      </c>
      <c r="Q996" t="s">
        <v>16</v>
      </c>
    </row>
    <row r="997" spans="1:17" x14ac:dyDescent="0.3">
      <c r="A997">
        <v>100620477</v>
      </c>
      <c r="B997" t="s">
        <v>446</v>
      </c>
      <c r="C997" t="s">
        <v>590</v>
      </c>
      <c r="D997" t="s">
        <v>447</v>
      </c>
      <c r="E997" s="6">
        <v>16370.54</v>
      </c>
      <c r="F997" t="s">
        <v>602</v>
      </c>
      <c r="G997" s="4" t="str">
        <f t="shared" si="92"/>
        <v>16370.54</v>
      </c>
      <c r="H997" t="str">
        <f t="shared" si="93"/>
        <v>16370.54</v>
      </c>
      <c r="I997" s="1">
        <v>45761</v>
      </c>
      <c r="J997" s="2">
        <f t="shared" si="94"/>
        <v>0.14738626041514813</v>
      </c>
      <c r="K997" s="3" t="str">
        <f t="shared" si="95"/>
        <v>Check!</v>
      </c>
      <c r="L997" t="str">
        <f t="shared" si="96"/>
        <v/>
      </c>
      <c r="M997" t="str">
        <f t="shared" si="97"/>
        <v>Check</v>
      </c>
      <c r="N997">
        <v>14267.68</v>
      </c>
      <c r="O997" t="s">
        <v>448</v>
      </c>
      <c r="Q997" t="s">
        <v>16</v>
      </c>
    </row>
    <row r="998" spans="1:17" x14ac:dyDescent="0.3">
      <c r="A998">
        <v>100623191</v>
      </c>
      <c r="B998" t="s">
        <v>449</v>
      </c>
      <c r="C998" t="s">
        <v>590</v>
      </c>
      <c r="D998" t="s">
        <v>450</v>
      </c>
      <c r="E998" s="6">
        <v>1192.56</v>
      </c>
      <c r="F998" t="s">
        <v>602</v>
      </c>
      <c r="G998" s="4" t="str">
        <f t="shared" si="92"/>
        <v>1192.56</v>
      </c>
      <c r="H998" t="str">
        <f t="shared" si="93"/>
        <v>1192.56</v>
      </c>
      <c r="I998" s="1">
        <v>45761</v>
      </c>
      <c r="J998" s="2">
        <f t="shared" si="94"/>
        <v>-0.19630148803105454</v>
      </c>
      <c r="K998" s="3" t="str">
        <f t="shared" si="95"/>
        <v>Check!</v>
      </c>
      <c r="L998" t="str">
        <f t="shared" si="96"/>
        <v/>
      </c>
      <c r="M998" t="str">
        <f t="shared" si="97"/>
        <v>Check</v>
      </c>
      <c r="N998">
        <v>1483.84</v>
      </c>
      <c r="O998" t="s">
        <v>451</v>
      </c>
      <c r="Q998" t="s">
        <v>16</v>
      </c>
    </row>
    <row r="999" spans="1:17" x14ac:dyDescent="0.3">
      <c r="A999">
        <v>100625039</v>
      </c>
      <c r="B999" t="s">
        <v>452</v>
      </c>
      <c r="C999" t="s">
        <v>590</v>
      </c>
      <c r="D999" t="s">
        <v>453</v>
      </c>
      <c r="E999" s="6">
        <v>17237.86</v>
      </c>
      <c r="F999" t="s">
        <v>602</v>
      </c>
      <c r="G999" s="4" t="str">
        <f t="shared" si="92"/>
        <v>17237.86</v>
      </c>
      <c r="H999" t="str">
        <f t="shared" si="93"/>
        <v>17237.86</v>
      </c>
      <c r="I999" s="1">
        <v>45761</v>
      </c>
      <c r="J999" s="2">
        <f t="shared" si="94"/>
        <v>-3.807658396669681E-2</v>
      </c>
      <c r="K999" s="3" t="str">
        <f t="shared" si="95"/>
        <v/>
      </c>
      <c r="L999" t="str">
        <f t="shared" si="96"/>
        <v/>
      </c>
      <c r="M999" t="str">
        <f t="shared" si="97"/>
        <v>Check</v>
      </c>
      <c r="N999">
        <v>17920.2</v>
      </c>
      <c r="O999" t="s">
        <v>454</v>
      </c>
      <c r="Q999" t="s">
        <v>16</v>
      </c>
    </row>
    <row r="1000" spans="1:17" x14ac:dyDescent="0.3">
      <c r="A1000">
        <v>100625041</v>
      </c>
      <c r="B1000" t="s">
        <v>69</v>
      </c>
      <c r="C1000" t="s">
        <v>590</v>
      </c>
      <c r="D1000" t="s">
        <v>455</v>
      </c>
      <c r="E1000" s="6">
        <v>13009.7</v>
      </c>
      <c r="F1000" t="s">
        <v>602</v>
      </c>
      <c r="G1000" s="4" t="str">
        <f t="shared" si="92"/>
        <v>13009.7</v>
      </c>
      <c r="H1000" t="str">
        <f t="shared" si="93"/>
        <v>13009.7</v>
      </c>
      <c r="I1000" s="1">
        <v>45761</v>
      </c>
      <c r="J1000" s="2">
        <f t="shared" si="94"/>
        <v>-6.574747311538387E-2</v>
      </c>
      <c r="K1000" s="3" t="str">
        <f t="shared" si="95"/>
        <v/>
      </c>
      <c r="L1000" t="str">
        <f t="shared" si="96"/>
        <v/>
      </c>
      <c r="M1000" t="str">
        <f t="shared" si="97"/>
        <v>Check</v>
      </c>
      <c r="N1000">
        <v>13925.25</v>
      </c>
      <c r="O1000" t="s">
        <v>456</v>
      </c>
      <c r="Q1000" t="s">
        <v>16</v>
      </c>
    </row>
    <row r="1001" spans="1:17" x14ac:dyDescent="0.3">
      <c r="A1001">
        <v>100628018</v>
      </c>
      <c r="B1001" t="s">
        <v>253</v>
      </c>
      <c r="C1001" t="s">
        <v>590</v>
      </c>
      <c r="D1001" t="s">
        <v>254</v>
      </c>
      <c r="E1001" s="6">
        <v>63747.55</v>
      </c>
      <c r="F1001" t="s">
        <v>602</v>
      </c>
      <c r="G1001" s="4" t="str">
        <f t="shared" si="92"/>
        <v>63747.55</v>
      </c>
      <c r="H1001" t="str">
        <f t="shared" si="93"/>
        <v>63747.55</v>
      </c>
      <c r="I1001" s="1">
        <v>45761</v>
      </c>
      <c r="J1001" s="2">
        <f t="shared" si="94"/>
        <v>-0.1394510120917517</v>
      </c>
      <c r="K1001" s="3" t="str">
        <f t="shared" si="95"/>
        <v>Check!</v>
      </c>
      <c r="L1001" t="str">
        <f t="shared" si="96"/>
        <v/>
      </c>
      <c r="M1001" t="str">
        <f t="shared" si="97"/>
        <v>Check</v>
      </c>
      <c r="N1001">
        <v>74077.77</v>
      </c>
      <c r="O1001" t="s">
        <v>584</v>
      </c>
      <c r="Q1001" t="s">
        <v>16</v>
      </c>
    </row>
    <row r="1002" spans="1:17" x14ac:dyDescent="0.3">
      <c r="A1002">
        <v>100628990</v>
      </c>
      <c r="B1002" t="s">
        <v>256</v>
      </c>
      <c r="C1002" t="s">
        <v>19</v>
      </c>
      <c r="D1002" t="s">
        <v>257</v>
      </c>
      <c r="E1002" s="6">
        <v>20056.63</v>
      </c>
      <c r="F1002" t="s">
        <v>602</v>
      </c>
      <c r="G1002" s="4" t="str">
        <f t="shared" si="92"/>
        <v>20056.63</v>
      </c>
      <c r="H1002" t="str">
        <f t="shared" si="93"/>
        <v>20056.63</v>
      </c>
      <c r="I1002" s="1">
        <v>45761</v>
      </c>
      <c r="J1002" s="2">
        <f t="shared" si="94"/>
        <v>-6.0334682006180425E-2</v>
      </c>
      <c r="K1002" s="3" t="str">
        <f t="shared" si="95"/>
        <v/>
      </c>
      <c r="L1002" t="str">
        <f t="shared" si="96"/>
        <v/>
      </c>
      <c r="M1002" t="str">
        <f t="shared" si="97"/>
        <v/>
      </c>
      <c r="N1002">
        <v>21344.44</v>
      </c>
      <c r="O1002" t="s">
        <v>457</v>
      </c>
      <c r="Q1002" t="s">
        <v>19</v>
      </c>
    </row>
    <row r="1003" spans="1:17" x14ac:dyDescent="0.3">
      <c r="A1003">
        <v>100630706</v>
      </c>
      <c r="B1003" t="s">
        <v>262</v>
      </c>
      <c r="C1003" t="s">
        <v>590</v>
      </c>
      <c r="D1003" t="s">
        <v>263</v>
      </c>
      <c r="E1003" s="6">
        <v>5637.54</v>
      </c>
      <c r="F1003" t="s">
        <v>602</v>
      </c>
      <c r="G1003" s="4" t="str">
        <f t="shared" si="92"/>
        <v>5637.54</v>
      </c>
      <c r="H1003" t="str">
        <f t="shared" si="93"/>
        <v>5637.54</v>
      </c>
      <c r="I1003" s="1">
        <v>45761</v>
      </c>
      <c r="J1003" s="2">
        <f t="shared" si="94"/>
        <v>-8.5355406869966496E-2</v>
      </c>
      <c r="K1003" s="3" t="str">
        <f t="shared" si="95"/>
        <v/>
      </c>
      <c r="L1003" t="str">
        <f t="shared" si="96"/>
        <v/>
      </c>
      <c r="M1003" t="str">
        <f t="shared" si="97"/>
        <v>Check</v>
      </c>
      <c r="N1003">
        <v>6163.64</v>
      </c>
      <c r="O1003" t="s">
        <v>458</v>
      </c>
      <c r="Q1003" t="s">
        <v>16</v>
      </c>
    </row>
    <row r="1004" spans="1:17" x14ac:dyDescent="0.3">
      <c r="A1004">
        <v>100631121</v>
      </c>
      <c r="B1004" t="s">
        <v>459</v>
      </c>
      <c r="C1004" t="s">
        <v>590</v>
      </c>
      <c r="D1004" t="s">
        <v>460</v>
      </c>
      <c r="E1004" s="6">
        <v>2168.2800000000002</v>
      </c>
      <c r="F1004" t="s">
        <v>602</v>
      </c>
      <c r="G1004" s="4" t="str">
        <f t="shared" si="92"/>
        <v>2168.28</v>
      </c>
      <c r="H1004" t="str">
        <f t="shared" si="93"/>
        <v>2168.28</v>
      </c>
      <c r="I1004" s="1">
        <v>45761</v>
      </c>
      <c r="J1004" s="2">
        <f t="shared" si="94"/>
        <v>-0.13652528164835467</v>
      </c>
      <c r="K1004" s="3" t="str">
        <f t="shared" si="95"/>
        <v>Check!</v>
      </c>
      <c r="L1004" t="str">
        <f t="shared" si="96"/>
        <v/>
      </c>
      <c r="M1004" t="str">
        <f t="shared" si="97"/>
        <v>Check</v>
      </c>
      <c r="N1004">
        <v>2511.11</v>
      </c>
      <c r="O1004" t="s">
        <v>461</v>
      </c>
      <c r="Q1004" t="s">
        <v>16</v>
      </c>
    </row>
    <row r="1005" spans="1:17" x14ac:dyDescent="0.3">
      <c r="A1005">
        <v>100633203</v>
      </c>
      <c r="B1005" t="s">
        <v>265</v>
      </c>
      <c r="C1005" t="s">
        <v>590</v>
      </c>
      <c r="D1005" t="s">
        <v>266</v>
      </c>
      <c r="E1005" s="6">
        <v>117304.16</v>
      </c>
      <c r="F1005" t="s">
        <v>602</v>
      </c>
      <c r="G1005" s="4" t="str">
        <f t="shared" si="92"/>
        <v>117304.16</v>
      </c>
      <c r="H1005" t="str">
        <f t="shared" si="93"/>
        <v>117304.16</v>
      </c>
      <c r="I1005" s="1">
        <v>45761</v>
      </c>
      <c r="J1005" s="2">
        <f t="shared" si="94"/>
        <v>-0.10165283889078808</v>
      </c>
      <c r="K1005" s="3" t="str">
        <f t="shared" si="95"/>
        <v>Check!</v>
      </c>
      <c r="L1005" t="str">
        <f t="shared" si="96"/>
        <v/>
      </c>
      <c r="M1005" t="str">
        <f t="shared" si="97"/>
        <v>Check</v>
      </c>
      <c r="N1005">
        <v>130577.76</v>
      </c>
      <c r="O1005" t="s">
        <v>585</v>
      </c>
      <c r="Q1005" t="s">
        <v>16</v>
      </c>
    </row>
    <row r="1006" spans="1:17" x14ac:dyDescent="0.3">
      <c r="A1006">
        <v>100637079</v>
      </c>
      <c r="B1006" t="s">
        <v>268</v>
      </c>
      <c r="C1006" t="s">
        <v>611</v>
      </c>
      <c r="D1006" t="s">
        <v>269</v>
      </c>
      <c r="E1006" s="6">
        <v>5420.71</v>
      </c>
      <c r="F1006" t="s">
        <v>602</v>
      </c>
      <c r="G1006" s="4" t="str">
        <f t="shared" si="92"/>
        <v>5420.71</v>
      </c>
      <c r="H1006" t="str">
        <f t="shared" si="93"/>
        <v>5420.71</v>
      </c>
      <c r="I1006" s="1">
        <v>45761</v>
      </c>
      <c r="J1006" s="2">
        <f t="shared" si="94"/>
        <v>-0.10393934034108657</v>
      </c>
      <c r="K1006" s="3" t="str">
        <f t="shared" si="95"/>
        <v>Check!</v>
      </c>
      <c r="L1006" t="str">
        <f t="shared" si="96"/>
        <v/>
      </c>
      <c r="M1006" t="str">
        <f t="shared" si="97"/>
        <v>Check</v>
      </c>
      <c r="N1006">
        <v>6049.49</v>
      </c>
      <c r="O1006" t="s">
        <v>270</v>
      </c>
      <c r="Q1006" t="s">
        <v>41</v>
      </c>
    </row>
    <row r="1007" spans="1:17" x14ac:dyDescent="0.3">
      <c r="A1007">
        <v>100637079</v>
      </c>
      <c r="B1007" t="s">
        <v>268</v>
      </c>
      <c r="C1007" t="s">
        <v>611</v>
      </c>
      <c r="D1007" t="s">
        <v>271</v>
      </c>
      <c r="E1007" s="6">
        <v>8564.7199999999993</v>
      </c>
      <c r="F1007" t="s">
        <v>602</v>
      </c>
      <c r="G1007" s="4" t="str">
        <f t="shared" si="92"/>
        <v>8564.72</v>
      </c>
      <c r="H1007" t="str">
        <f t="shared" si="93"/>
        <v>8564.72</v>
      </c>
      <c r="I1007" s="1">
        <v>45761</v>
      </c>
      <c r="J1007" s="2">
        <f t="shared" si="94"/>
        <v>-7.362864976826454E-2</v>
      </c>
      <c r="K1007" s="3" t="str">
        <f t="shared" si="95"/>
        <v/>
      </c>
      <c r="L1007" t="str">
        <f t="shared" si="96"/>
        <v/>
      </c>
      <c r="M1007" t="str">
        <f t="shared" si="97"/>
        <v>Check</v>
      </c>
      <c r="N1007">
        <v>9245.4500000000007</v>
      </c>
      <c r="O1007" t="s">
        <v>272</v>
      </c>
      <c r="Q1007" t="s">
        <v>41</v>
      </c>
    </row>
    <row r="1008" spans="1:17" x14ac:dyDescent="0.3">
      <c r="A1008">
        <v>100637079</v>
      </c>
      <c r="B1008" t="s">
        <v>268</v>
      </c>
      <c r="C1008" t="s">
        <v>606</v>
      </c>
      <c r="D1008" t="s">
        <v>629</v>
      </c>
      <c r="E1008" s="6">
        <v>216.83</v>
      </c>
      <c r="F1008" t="s">
        <v>602</v>
      </c>
      <c r="G1008" s="4" t="str">
        <f t="shared" si="92"/>
        <v>216.83</v>
      </c>
      <c r="H1008" t="str">
        <f t="shared" si="93"/>
        <v>216.83</v>
      </c>
      <c r="I1008" s="1">
        <v>45761</v>
      </c>
      <c r="J1008" s="2">
        <f t="shared" si="94"/>
        <v>-0.52508925246950078</v>
      </c>
      <c r="K1008" s="3" t="str">
        <f t="shared" si="95"/>
        <v>Check!</v>
      </c>
      <c r="L1008" t="str">
        <f t="shared" si="96"/>
        <v/>
      </c>
      <c r="M1008" t="str">
        <f t="shared" si="97"/>
        <v/>
      </c>
      <c r="N1008">
        <v>456.57</v>
      </c>
      <c r="O1008" t="s">
        <v>665</v>
      </c>
      <c r="Q1008" t="s">
        <v>606</v>
      </c>
    </row>
    <row r="1009" spans="1:17" x14ac:dyDescent="0.3">
      <c r="A1009">
        <v>100637079</v>
      </c>
      <c r="B1009" t="s">
        <v>268</v>
      </c>
      <c r="C1009" t="s">
        <v>590</v>
      </c>
      <c r="D1009" t="s">
        <v>635</v>
      </c>
      <c r="E1009" s="6">
        <v>975.73</v>
      </c>
      <c r="F1009" t="s">
        <v>602</v>
      </c>
      <c r="G1009" s="4" t="str">
        <f t="shared" si="92"/>
        <v>975.73</v>
      </c>
      <c r="H1009" t="str">
        <f t="shared" si="93"/>
        <v>975.73</v>
      </c>
      <c r="I1009" s="1">
        <v>45761</v>
      </c>
      <c r="J1009" s="2">
        <f t="shared" si="94"/>
        <v>0.22120427039136911</v>
      </c>
      <c r="K1009" s="3" t="str">
        <f t="shared" si="95"/>
        <v>Check!</v>
      </c>
      <c r="L1009" t="str">
        <f t="shared" si="96"/>
        <v/>
      </c>
      <c r="M1009" t="str">
        <f t="shared" si="97"/>
        <v/>
      </c>
      <c r="N1009">
        <v>798.99</v>
      </c>
      <c r="O1009" t="s">
        <v>683</v>
      </c>
      <c r="Q1009" t="s">
        <v>590</v>
      </c>
    </row>
    <row r="1010" spans="1:17" x14ac:dyDescent="0.3">
      <c r="A1010">
        <v>100641153</v>
      </c>
      <c r="B1010" t="s">
        <v>273</v>
      </c>
      <c r="C1010" t="s">
        <v>19</v>
      </c>
      <c r="D1010" t="s">
        <v>274</v>
      </c>
      <c r="E1010" s="6">
        <v>263121.26</v>
      </c>
      <c r="F1010" t="s">
        <v>602</v>
      </c>
      <c r="G1010" s="4" t="str">
        <f t="shared" si="92"/>
        <v>263121.26</v>
      </c>
      <c r="H1010" t="str">
        <f t="shared" si="93"/>
        <v>263121.26</v>
      </c>
      <c r="I1010" s="1">
        <v>45761</v>
      </c>
      <c r="J1010" s="2">
        <f t="shared" si="94"/>
        <v>-5.2518737169661087E-2</v>
      </c>
      <c r="K1010" s="3" t="str">
        <f t="shared" si="95"/>
        <v/>
      </c>
      <c r="L1010" t="str">
        <f t="shared" si="96"/>
        <v/>
      </c>
      <c r="M1010" t="str">
        <f t="shared" si="97"/>
        <v/>
      </c>
      <c r="N1010">
        <v>277706.03000000003</v>
      </c>
      <c r="O1010" t="s">
        <v>462</v>
      </c>
      <c r="Q1010" t="s">
        <v>19</v>
      </c>
    </row>
    <row r="1011" spans="1:17" x14ac:dyDescent="0.3">
      <c r="A1011">
        <v>100651921</v>
      </c>
      <c r="B1011" t="s">
        <v>279</v>
      </c>
      <c r="C1011" t="s">
        <v>590</v>
      </c>
      <c r="D1011" t="s">
        <v>280</v>
      </c>
      <c r="E1011" s="6">
        <v>41088.980000000003</v>
      </c>
      <c r="F1011" t="s">
        <v>602</v>
      </c>
      <c r="G1011" s="4" t="str">
        <f t="shared" si="92"/>
        <v>41088.98</v>
      </c>
      <c r="H1011" t="str">
        <f t="shared" si="93"/>
        <v>41088.98</v>
      </c>
      <c r="I1011" s="1">
        <v>45761</v>
      </c>
      <c r="J1011" s="2">
        <f t="shared" si="94"/>
        <v>-5.0176388634288804E-2</v>
      </c>
      <c r="K1011" s="3" t="str">
        <f t="shared" si="95"/>
        <v/>
      </c>
      <c r="L1011" t="str">
        <f t="shared" si="96"/>
        <v/>
      </c>
      <c r="M1011" t="str">
        <f t="shared" si="97"/>
        <v>Check</v>
      </c>
      <c r="N1011">
        <v>43259.59</v>
      </c>
      <c r="O1011" t="s">
        <v>463</v>
      </c>
      <c r="Q1011" t="s">
        <v>16</v>
      </c>
    </row>
    <row r="1012" spans="1:17" x14ac:dyDescent="0.3">
      <c r="A1012">
        <v>100651921</v>
      </c>
      <c r="B1012" t="s">
        <v>279</v>
      </c>
      <c r="C1012" t="s">
        <v>590</v>
      </c>
      <c r="D1012" t="s">
        <v>282</v>
      </c>
      <c r="E1012" s="6">
        <v>42173.120000000003</v>
      </c>
      <c r="F1012" t="s">
        <v>602</v>
      </c>
      <c r="G1012" s="4" t="str">
        <f t="shared" si="92"/>
        <v>42173.12</v>
      </c>
      <c r="H1012" t="str">
        <f t="shared" si="93"/>
        <v>42173.12</v>
      </c>
      <c r="I1012" s="1">
        <v>45761</v>
      </c>
      <c r="J1012" s="2">
        <f t="shared" si="94"/>
        <v>-4.5267758018976381E-2</v>
      </c>
      <c r="K1012" s="3" t="str">
        <f t="shared" si="95"/>
        <v/>
      </c>
      <c r="L1012" t="str">
        <f t="shared" si="96"/>
        <v/>
      </c>
      <c r="M1012" t="str">
        <f t="shared" si="97"/>
        <v>Check</v>
      </c>
      <c r="N1012">
        <v>44172.72</v>
      </c>
      <c r="O1012" t="s">
        <v>464</v>
      </c>
      <c r="Q1012" t="s">
        <v>16</v>
      </c>
    </row>
    <row r="1013" spans="1:17" x14ac:dyDescent="0.3">
      <c r="A1013">
        <v>100655835</v>
      </c>
      <c r="B1013" t="s">
        <v>284</v>
      </c>
      <c r="C1013" t="s">
        <v>19</v>
      </c>
      <c r="D1013" t="s">
        <v>285</v>
      </c>
      <c r="E1013" s="6">
        <v>710980.32</v>
      </c>
      <c r="F1013" t="s">
        <v>602</v>
      </c>
      <c r="G1013" s="4" t="str">
        <f t="shared" si="92"/>
        <v>710980.32</v>
      </c>
      <c r="H1013" t="str">
        <f t="shared" si="93"/>
        <v>710980.32</v>
      </c>
      <c r="I1013" s="1">
        <v>45761</v>
      </c>
      <c r="J1013" s="2">
        <f t="shared" si="94"/>
        <v>-5.1622509379726379E-2</v>
      </c>
      <c r="K1013" s="3" t="str">
        <f t="shared" si="95"/>
        <v/>
      </c>
      <c r="L1013" t="str">
        <f t="shared" si="96"/>
        <v/>
      </c>
      <c r="M1013" t="str">
        <f t="shared" si="97"/>
        <v/>
      </c>
      <c r="N1013">
        <v>749680.72</v>
      </c>
      <c r="O1013" t="s">
        <v>465</v>
      </c>
      <c r="Q1013" t="s">
        <v>19</v>
      </c>
    </row>
    <row r="1014" spans="1:17" x14ac:dyDescent="0.3">
      <c r="A1014">
        <v>100663638</v>
      </c>
      <c r="B1014" t="s">
        <v>287</v>
      </c>
      <c r="C1014" t="s">
        <v>19</v>
      </c>
      <c r="D1014" t="s">
        <v>288</v>
      </c>
      <c r="E1014" s="6">
        <v>217478.89</v>
      </c>
      <c r="F1014" t="s">
        <v>602</v>
      </c>
      <c r="G1014" s="4" t="str">
        <f t="shared" si="92"/>
        <v>217478.89</v>
      </c>
      <c r="H1014" t="str">
        <f t="shared" si="93"/>
        <v>217478.89</v>
      </c>
      <c r="I1014" s="1">
        <v>45761</v>
      </c>
      <c r="J1014" s="2">
        <f t="shared" si="94"/>
        <v>-5.3008828556188096E-2</v>
      </c>
      <c r="K1014" s="3" t="str">
        <f t="shared" si="95"/>
        <v/>
      </c>
      <c r="L1014" t="str">
        <f t="shared" si="96"/>
        <v/>
      </c>
      <c r="M1014" t="str">
        <f t="shared" si="97"/>
        <v/>
      </c>
      <c r="N1014">
        <v>229652.5</v>
      </c>
      <c r="O1014" t="s">
        <v>466</v>
      </c>
      <c r="Q1014" t="s">
        <v>19</v>
      </c>
    </row>
    <row r="1015" spans="1:17" x14ac:dyDescent="0.3">
      <c r="A1015">
        <v>100663638</v>
      </c>
      <c r="B1015" t="s">
        <v>287</v>
      </c>
      <c r="C1015" t="s">
        <v>19</v>
      </c>
      <c r="D1015" t="s">
        <v>290</v>
      </c>
      <c r="E1015" s="6">
        <v>6071.2</v>
      </c>
      <c r="F1015" t="s">
        <v>602</v>
      </c>
      <c r="G1015" s="4" t="str">
        <f t="shared" si="92"/>
        <v>6071.2</v>
      </c>
      <c r="H1015" t="str">
        <f t="shared" si="93"/>
        <v>6071.2</v>
      </c>
      <c r="I1015" s="1">
        <v>45761</v>
      </c>
      <c r="J1015" s="2">
        <f t="shared" si="94"/>
        <v>-8.2928008217274404E-2</v>
      </c>
      <c r="K1015" s="3" t="str">
        <f t="shared" si="95"/>
        <v/>
      </c>
      <c r="L1015" t="str">
        <f t="shared" si="96"/>
        <v/>
      </c>
      <c r="M1015" t="str">
        <f t="shared" si="97"/>
        <v/>
      </c>
      <c r="N1015">
        <v>6620.2</v>
      </c>
      <c r="O1015" t="s">
        <v>467</v>
      </c>
      <c r="Q1015" t="s">
        <v>19</v>
      </c>
    </row>
    <row r="1016" spans="1:17" x14ac:dyDescent="0.3">
      <c r="A1016">
        <v>100664029</v>
      </c>
      <c r="B1016" t="s">
        <v>292</v>
      </c>
      <c r="C1016" t="s">
        <v>19</v>
      </c>
      <c r="D1016" t="s">
        <v>293</v>
      </c>
      <c r="E1016" s="6">
        <v>18647.240000000002</v>
      </c>
      <c r="F1016" t="s">
        <v>602</v>
      </c>
      <c r="G1016" s="4" t="str">
        <f t="shared" si="92"/>
        <v>18647.24</v>
      </c>
      <c r="H1016" t="str">
        <f t="shared" si="93"/>
        <v>18647.24</v>
      </c>
      <c r="I1016" s="1">
        <v>45761</v>
      </c>
      <c r="J1016" s="2">
        <f t="shared" si="94"/>
        <v>-6.1093823952951924E-2</v>
      </c>
      <c r="K1016" s="3" t="str">
        <f t="shared" si="95"/>
        <v/>
      </c>
      <c r="L1016" t="str">
        <f t="shared" si="96"/>
        <v/>
      </c>
      <c r="M1016" t="str">
        <f t="shared" si="97"/>
        <v/>
      </c>
      <c r="N1016">
        <v>19860.599999999999</v>
      </c>
      <c r="O1016" t="s">
        <v>468</v>
      </c>
      <c r="Q1016" t="s">
        <v>19</v>
      </c>
    </row>
    <row r="1017" spans="1:17" x14ac:dyDescent="0.3">
      <c r="A1017">
        <v>100664029</v>
      </c>
      <c r="B1017" t="s">
        <v>292</v>
      </c>
      <c r="C1017" t="s">
        <v>19</v>
      </c>
      <c r="D1017" t="s">
        <v>295</v>
      </c>
      <c r="E1017" s="6">
        <v>11275.08</v>
      </c>
      <c r="F1017" t="s">
        <v>602</v>
      </c>
      <c r="G1017" s="4" t="str">
        <f t="shared" si="92"/>
        <v>11275.08</v>
      </c>
      <c r="H1017" t="str">
        <f t="shared" si="93"/>
        <v>11275.08</v>
      </c>
      <c r="I1017" s="1">
        <v>45761</v>
      </c>
      <c r="J1017" s="2">
        <f t="shared" si="94"/>
        <v>-6.8097419701975109E-2</v>
      </c>
      <c r="K1017" s="3" t="str">
        <f t="shared" si="95"/>
        <v/>
      </c>
      <c r="L1017" t="str">
        <f t="shared" si="96"/>
        <v/>
      </c>
      <c r="M1017" t="str">
        <f t="shared" si="97"/>
        <v/>
      </c>
      <c r="N1017">
        <v>12098.99</v>
      </c>
      <c r="O1017" t="s">
        <v>469</v>
      </c>
      <c r="Q1017" t="s">
        <v>19</v>
      </c>
    </row>
    <row r="1018" spans="1:17" x14ac:dyDescent="0.3">
      <c r="A1018">
        <v>100664292</v>
      </c>
      <c r="B1018" t="s">
        <v>297</v>
      </c>
      <c r="C1018" t="s">
        <v>19</v>
      </c>
      <c r="D1018" t="s">
        <v>300</v>
      </c>
      <c r="E1018" s="6">
        <v>100066.31</v>
      </c>
      <c r="F1018" t="s">
        <v>602</v>
      </c>
      <c r="G1018" s="4" t="str">
        <f t="shared" si="92"/>
        <v>100066.31</v>
      </c>
      <c r="H1018" t="str">
        <f t="shared" si="93"/>
        <v>100066.31</v>
      </c>
      <c r="I1018" s="1">
        <v>45761</v>
      </c>
      <c r="J1018" s="2">
        <f t="shared" si="94"/>
        <v>-5.3253542695610639E-2</v>
      </c>
      <c r="K1018" s="3" t="str">
        <f t="shared" si="95"/>
        <v/>
      </c>
      <c r="L1018" t="str">
        <f t="shared" si="96"/>
        <v/>
      </c>
      <c r="M1018" t="str">
        <f t="shared" si="97"/>
        <v/>
      </c>
      <c r="N1018">
        <v>105694.94</v>
      </c>
      <c r="O1018" t="s">
        <v>471</v>
      </c>
      <c r="Q1018" t="s">
        <v>19</v>
      </c>
    </row>
    <row r="1019" spans="1:17" x14ac:dyDescent="0.3">
      <c r="A1019">
        <v>100664348</v>
      </c>
      <c r="B1019" t="s">
        <v>302</v>
      </c>
      <c r="C1019" t="s">
        <v>19</v>
      </c>
      <c r="D1019" t="s">
        <v>303</v>
      </c>
      <c r="E1019" s="6">
        <v>15503.23</v>
      </c>
      <c r="F1019" t="s">
        <v>602</v>
      </c>
      <c r="G1019" s="4" t="str">
        <f t="shared" si="92"/>
        <v>15503.23</v>
      </c>
      <c r="H1019" t="str">
        <f t="shared" si="93"/>
        <v>15503.23</v>
      </c>
      <c r="I1019" s="1">
        <v>45761</v>
      </c>
      <c r="J1019" s="2">
        <f t="shared" si="94"/>
        <v>-6.3277242379384341E-2</v>
      </c>
      <c r="K1019" s="3" t="str">
        <f t="shared" si="95"/>
        <v/>
      </c>
      <c r="L1019" t="str">
        <f t="shared" si="96"/>
        <v/>
      </c>
      <c r="M1019" t="str">
        <f t="shared" si="97"/>
        <v/>
      </c>
      <c r="N1019">
        <v>16550.5</v>
      </c>
      <c r="O1019" t="s">
        <v>472</v>
      </c>
      <c r="Q1019" t="s">
        <v>19</v>
      </c>
    </row>
    <row r="1020" spans="1:17" x14ac:dyDescent="0.3">
      <c r="A1020">
        <v>100664351</v>
      </c>
      <c r="B1020" t="s">
        <v>305</v>
      </c>
      <c r="C1020" t="s">
        <v>19</v>
      </c>
      <c r="D1020" t="s">
        <v>306</v>
      </c>
      <c r="E1020" s="6">
        <v>23200.639999999999</v>
      </c>
      <c r="F1020" t="s">
        <v>602</v>
      </c>
      <c r="G1020" s="4" t="str">
        <f t="shared" si="92"/>
        <v>23200.64</v>
      </c>
      <c r="H1020" t="str">
        <f t="shared" si="93"/>
        <v>23200.64</v>
      </c>
      <c r="I1020" s="1">
        <v>45761</v>
      </c>
      <c r="J1020" s="2">
        <f t="shared" si="94"/>
        <v>-7.6080667083215398E-2</v>
      </c>
      <c r="K1020" s="3" t="str">
        <f t="shared" si="95"/>
        <v/>
      </c>
      <c r="L1020" t="str">
        <f t="shared" si="96"/>
        <v/>
      </c>
      <c r="M1020" t="str">
        <f t="shared" si="97"/>
        <v/>
      </c>
      <c r="N1020">
        <v>25111.11</v>
      </c>
      <c r="O1020" t="s">
        <v>473</v>
      </c>
      <c r="Q1020" t="s">
        <v>19</v>
      </c>
    </row>
    <row r="1021" spans="1:17" x14ac:dyDescent="0.3">
      <c r="A1021">
        <v>100664601</v>
      </c>
      <c r="B1021" t="s">
        <v>308</v>
      </c>
      <c r="C1021" t="s">
        <v>623</v>
      </c>
      <c r="D1021" t="s">
        <v>309</v>
      </c>
      <c r="E1021" s="6">
        <v>102885.08</v>
      </c>
      <c r="F1021" t="s">
        <v>602</v>
      </c>
      <c r="G1021" s="4" t="str">
        <f t="shared" si="92"/>
        <v>102885.08</v>
      </c>
      <c r="H1021" t="str">
        <f t="shared" si="93"/>
        <v>102885.08</v>
      </c>
      <c r="I1021" s="1">
        <v>45761</v>
      </c>
      <c r="J1021" s="2">
        <f t="shared" si="94"/>
        <v>-5.3169438871383624E-2</v>
      </c>
      <c r="K1021" s="3" t="str">
        <f t="shared" si="95"/>
        <v/>
      </c>
      <c r="L1021" t="str">
        <f t="shared" si="96"/>
        <v/>
      </c>
      <c r="M1021" t="str">
        <f t="shared" si="97"/>
        <v>Check</v>
      </c>
      <c r="N1021">
        <v>108662.61</v>
      </c>
      <c r="O1021" t="s">
        <v>310</v>
      </c>
      <c r="Q1021" t="s">
        <v>164</v>
      </c>
    </row>
    <row r="1022" spans="1:17" x14ac:dyDescent="0.3">
      <c r="A1022">
        <v>100664601</v>
      </c>
      <c r="B1022" t="s">
        <v>308</v>
      </c>
      <c r="C1022" t="s">
        <v>611</v>
      </c>
      <c r="D1022" t="s">
        <v>311</v>
      </c>
      <c r="E1022" s="6">
        <v>31440.12</v>
      </c>
      <c r="F1022" t="s">
        <v>602</v>
      </c>
      <c r="G1022" s="4" t="str">
        <f t="shared" si="92"/>
        <v>31440.12</v>
      </c>
      <c r="H1022" t="str">
        <f t="shared" si="93"/>
        <v>31440.12</v>
      </c>
      <c r="I1022" s="1">
        <v>45761</v>
      </c>
      <c r="J1022" s="2">
        <f t="shared" si="94"/>
        <v>-5.6681975523631072E-2</v>
      </c>
      <c r="K1022" s="3" t="str">
        <f t="shared" si="95"/>
        <v/>
      </c>
      <c r="L1022" t="str">
        <f t="shared" si="96"/>
        <v/>
      </c>
      <c r="M1022" t="str">
        <f t="shared" si="97"/>
        <v>Check</v>
      </c>
      <c r="N1022">
        <v>33329.29</v>
      </c>
      <c r="O1022" t="s">
        <v>312</v>
      </c>
      <c r="Q1022" t="s">
        <v>41</v>
      </c>
    </row>
    <row r="1023" spans="1:17" x14ac:dyDescent="0.3">
      <c r="A1023">
        <v>100664601</v>
      </c>
      <c r="B1023" t="s">
        <v>308</v>
      </c>
      <c r="C1023" t="s">
        <v>622</v>
      </c>
      <c r="D1023" t="s">
        <v>630</v>
      </c>
      <c r="E1023" s="6">
        <v>650.49</v>
      </c>
      <c r="F1023" t="s">
        <v>602</v>
      </c>
      <c r="G1023" s="4" t="str">
        <f t="shared" si="92"/>
        <v>650.49</v>
      </c>
      <c r="H1023" t="str">
        <f t="shared" si="93"/>
        <v>650.49</v>
      </c>
      <c r="I1023" s="1">
        <v>45761</v>
      </c>
      <c r="J1023" s="2">
        <f t="shared" si="94"/>
        <v>-0.28762607733838552</v>
      </c>
      <c r="K1023" s="3" t="str">
        <f t="shared" si="95"/>
        <v>Check!</v>
      </c>
      <c r="L1023" t="str">
        <f t="shared" si="96"/>
        <v/>
      </c>
      <c r="M1023" t="str">
        <f t="shared" si="97"/>
        <v/>
      </c>
      <c r="N1023">
        <v>913.13</v>
      </c>
      <c r="O1023" t="s">
        <v>667</v>
      </c>
      <c r="Q1023" t="s">
        <v>622</v>
      </c>
    </row>
    <row r="1024" spans="1:17" x14ac:dyDescent="0.3">
      <c r="A1024">
        <v>100664601</v>
      </c>
      <c r="B1024" t="s">
        <v>308</v>
      </c>
      <c r="C1024" t="s">
        <v>606</v>
      </c>
      <c r="D1024" t="s">
        <v>631</v>
      </c>
      <c r="E1024" s="6">
        <v>542.07000000000005</v>
      </c>
      <c r="F1024" t="s">
        <v>602</v>
      </c>
      <c r="G1024" s="4" t="str">
        <f t="shared" si="92"/>
        <v>542.07</v>
      </c>
      <c r="H1024" t="str">
        <f t="shared" si="93"/>
        <v>542.07</v>
      </c>
      <c r="I1024" s="1">
        <v>45761</v>
      </c>
      <c r="J1024" s="2">
        <f t="shared" si="94"/>
        <v>-0.40636054012024569</v>
      </c>
      <c r="K1024" s="3" t="str">
        <f t="shared" si="95"/>
        <v>Check!</v>
      </c>
      <c r="L1024" t="str">
        <f t="shared" si="96"/>
        <v/>
      </c>
      <c r="M1024" t="str">
        <f t="shared" si="97"/>
        <v/>
      </c>
      <c r="N1024">
        <v>913.13</v>
      </c>
      <c r="O1024" t="s">
        <v>668</v>
      </c>
      <c r="Q1024" t="s">
        <v>606</v>
      </c>
    </row>
    <row r="1025" spans="1:17" x14ac:dyDescent="0.3">
      <c r="A1025">
        <v>100664737</v>
      </c>
      <c r="B1025" t="s">
        <v>313</v>
      </c>
      <c r="C1025" t="s">
        <v>19</v>
      </c>
      <c r="D1025" t="s">
        <v>314</v>
      </c>
      <c r="E1025" s="6">
        <v>12467.63</v>
      </c>
      <c r="F1025" t="s">
        <v>602</v>
      </c>
      <c r="G1025" s="4" t="str">
        <f t="shared" si="92"/>
        <v>12467.63</v>
      </c>
      <c r="H1025" t="str">
        <f t="shared" si="93"/>
        <v>12467.63</v>
      </c>
      <c r="I1025" s="1">
        <v>45761</v>
      </c>
      <c r="J1025" s="2">
        <f t="shared" si="94"/>
        <v>-6.6412620726734248E-2</v>
      </c>
      <c r="K1025" s="3" t="str">
        <f t="shared" si="95"/>
        <v/>
      </c>
      <c r="L1025" t="str">
        <f t="shared" si="96"/>
        <v/>
      </c>
      <c r="M1025" t="str">
        <f t="shared" si="97"/>
        <v/>
      </c>
      <c r="N1025">
        <v>13354.54</v>
      </c>
      <c r="O1025" t="s">
        <v>474</v>
      </c>
      <c r="Q1025" t="s">
        <v>19</v>
      </c>
    </row>
    <row r="1026" spans="1:17" x14ac:dyDescent="0.3">
      <c r="A1026">
        <v>100664737</v>
      </c>
      <c r="B1026" t="s">
        <v>313</v>
      </c>
      <c r="C1026" t="s">
        <v>19</v>
      </c>
      <c r="D1026" t="s">
        <v>316</v>
      </c>
      <c r="E1026" s="6">
        <v>5095.47</v>
      </c>
      <c r="F1026" t="s">
        <v>602</v>
      </c>
      <c r="G1026" s="4" t="str">
        <f t="shared" si="92"/>
        <v>5095.47</v>
      </c>
      <c r="H1026" t="str">
        <f t="shared" si="93"/>
        <v>5095.47</v>
      </c>
      <c r="I1026" s="1">
        <v>45761</v>
      </c>
      <c r="J1026" s="2">
        <f t="shared" si="94"/>
        <v>-8.8944435206591177E-2</v>
      </c>
      <c r="K1026" s="3" t="str">
        <f t="shared" si="95"/>
        <v/>
      </c>
      <c r="L1026" t="str">
        <f t="shared" si="96"/>
        <v/>
      </c>
      <c r="M1026" t="str">
        <f t="shared" si="97"/>
        <v/>
      </c>
      <c r="N1026">
        <v>5592.93</v>
      </c>
      <c r="O1026" t="s">
        <v>475</v>
      </c>
      <c r="Q1026" t="s">
        <v>19</v>
      </c>
    </row>
    <row r="1027" spans="1:17" x14ac:dyDescent="0.3">
      <c r="A1027">
        <v>100665510</v>
      </c>
      <c r="B1027" t="s">
        <v>318</v>
      </c>
      <c r="C1027" t="s">
        <v>590</v>
      </c>
      <c r="D1027" t="s">
        <v>476</v>
      </c>
      <c r="E1027" s="6">
        <v>4661.8100000000004</v>
      </c>
      <c r="F1027" t="s">
        <v>602</v>
      </c>
      <c r="G1027" s="4" t="str">
        <f t="shared" ref="G1027:G1090" si="98">SUBSTITUTE(E1027,"R","")</f>
        <v>4661.81</v>
      </c>
      <c r="H1027" t="str">
        <f t="shared" ref="H1027:H1090" si="99">SUBSTITUTE(G1027,",","")</f>
        <v>4661.81</v>
      </c>
      <c r="I1027" s="1">
        <v>45761</v>
      </c>
      <c r="J1027" s="2">
        <f t="shared" ref="J1027:J1090" si="100">(H1027-N1027)/N1027</f>
        <v>-0.11212075040472329</v>
      </c>
      <c r="K1027" s="3" t="str">
        <f t="shared" ref="K1027:K1090" si="101">IF(ABS(J1027)&gt;0.1,"Check!","")</f>
        <v>Check!</v>
      </c>
      <c r="L1027" t="str">
        <f t="shared" ref="L1027:L1090" si="102">IF(LEFT(O1027,10)&lt;&gt;LEFT(D1027,10),"Check","")</f>
        <v/>
      </c>
      <c r="M1027" t="str">
        <f t="shared" ref="M1027:M1090" si="103">IF(Q1027&lt;&gt;C1027,"Check","")</f>
        <v>Check</v>
      </c>
      <c r="N1027">
        <v>5250.5</v>
      </c>
      <c r="O1027" t="s">
        <v>477</v>
      </c>
      <c r="Q1027" t="s">
        <v>16</v>
      </c>
    </row>
    <row r="1028" spans="1:17" x14ac:dyDescent="0.3">
      <c r="A1028">
        <v>100665510</v>
      </c>
      <c r="B1028" t="s">
        <v>318</v>
      </c>
      <c r="C1028" t="s">
        <v>19</v>
      </c>
      <c r="D1028" t="s">
        <v>319</v>
      </c>
      <c r="E1028" s="6">
        <v>63097.06</v>
      </c>
      <c r="F1028" t="s">
        <v>602</v>
      </c>
      <c r="G1028" s="4" t="str">
        <f t="shared" si="98"/>
        <v>63097.06</v>
      </c>
      <c r="H1028" t="str">
        <f t="shared" si="99"/>
        <v>63097.06</v>
      </c>
      <c r="I1028" s="1">
        <v>45761</v>
      </c>
      <c r="J1028" s="2">
        <f t="shared" si="100"/>
        <v>-5.3429280971781935E-2</v>
      </c>
      <c r="K1028" s="3" t="str">
        <f t="shared" si="101"/>
        <v/>
      </c>
      <c r="L1028" t="str">
        <f t="shared" si="102"/>
        <v/>
      </c>
      <c r="M1028" t="str">
        <f t="shared" si="103"/>
        <v/>
      </c>
      <c r="N1028">
        <v>66658.58</v>
      </c>
      <c r="O1028" t="s">
        <v>478</v>
      </c>
      <c r="Q1028" t="s">
        <v>19</v>
      </c>
    </row>
    <row r="1029" spans="1:17" x14ac:dyDescent="0.3">
      <c r="A1029">
        <v>100665581</v>
      </c>
      <c r="B1029" t="s">
        <v>321</v>
      </c>
      <c r="C1029" t="s">
        <v>590</v>
      </c>
      <c r="D1029" t="s">
        <v>639</v>
      </c>
      <c r="E1029" s="6">
        <v>172053.34</v>
      </c>
      <c r="F1029" t="s">
        <v>602</v>
      </c>
      <c r="G1029" s="4" t="str">
        <f t="shared" si="98"/>
        <v>172053.34</v>
      </c>
      <c r="H1029" t="str">
        <f t="shared" si="99"/>
        <v>172053.34</v>
      </c>
      <c r="I1029" s="1">
        <v>45761</v>
      </c>
      <c r="J1029" s="2">
        <f t="shared" si="100"/>
        <v>0.31763127197158231</v>
      </c>
      <c r="K1029" s="3" t="str">
        <f t="shared" si="101"/>
        <v>Check!</v>
      </c>
      <c r="L1029" t="str">
        <f t="shared" si="102"/>
        <v/>
      </c>
      <c r="M1029" t="str">
        <f t="shared" si="103"/>
        <v/>
      </c>
      <c r="N1029">
        <v>130577.76</v>
      </c>
      <c r="O1029" t="s">
        <v>684</v>
      </c>
      <c r="Q1029" t="s">
        <v>590</v>
      </c>
    </row>
    <row r="1030" spans="1:17" x14ac:dyDescent="0.3">
      <c r="A1030">
        <v>100665581</v>
      </c>
      <c r="B1030" t="s">
        <v>321</v>
      </c>
      <c r="C1030" t="s">
        <v>19</v>
      </c>
      <c r="D1030" t="s">
        <v>695</v>
      </c>
      <c r="E1030" s="6">
        <v>563862.25</v>
      </c>
      <c r="F1030" t="s">
        <v>602</v>
      </c>
      <c r="G1030" s="4" t="str">
        <f t="shared" si="98"/>
        <v>563862.25</v>
      </c>
      <c r="H1030" t="str">
        <f t="shared" si="99"/>
        <v>563862.25</v>
      </c>
      <c r="I1030" s="1">
        <v>45761</v>
      </c>
      <c r="J1030" s="2">
        <f t="shared" si="100"/>
        <v>3.8469989918529892</v>
      </c>
      <c r="K1030" s="3" t="str">
        <f t="shared" si="101"/>
        <v>Check!</v>
      </c>
      <c r="L1030" t="str">
        <f t="shared" si="102"/>
        <v/>
      </c>
      <c r="M1030" t="str">
        <f t="shared" si="103"/>
        <v/>
      </c>
      <c r="N1030">
        <v>116332.24</v>
      </c>
      <c r="O1030" t="s">
        <v>698</v>
      </c>
      <c r="Q1030" t="s">
        <v>19</v>
      </c>
    </row>
    <row r="1031" spans="1:17" x14ac:dyDescent="0.3">
      <c r="A1031">
        <v>100666150</v>
      </c>
      <c r="B1031" t="s">
        <v>324</v>
      </c>
      <c r="C1031" t="s">
        <v>19</v>
      </c>
      <c r="D1031" t="s">
        <v>325</v>
      </c>
      <c r="E1031" s="6">
        <v>106245.92</v>
      </c>
      <c r="F1031" t="s">
        <v>602</v>
      </c>
      <c r="G1031" s="4" t="str">
        <f t="shared" si="98"/>
        <v>106245.92</v>
      </c>
      <c r="H1031" t="str">
        <f t="shared" si="99"/>
        <v>106245.92</v>
      </c>
      <c r="I1031" s="1">
        <v>45761</v>
      </c>
      <c r="J1031" s="2">
        <f t="shared" si="100"/>
        <v>-5.3075106282475214E-2</v>
      </c>
      <c r="K1031" s="3" t="str">
        <f t="shared" si="101"/>
        <v/>
      </c>
      <c r="L1031" t="str">
        <f t="shared" si="102"/>
        <v/>
      </c>
      <c r="M1031" t="str">
        <f t="shared" si="103"/>
        <v/>
      </c>
      <c r="N1031">
        <v>112201</v>
      </c>
      <c r="O1031" t="s">
        <v>479</v>
      </c>
      <c r="Q1031" t="s">
        <v>19</v>
      </c>
    </row>
    <row r="1032" spans="1:17" x14ac:dyDescent="0.3">
      <c r="A1032">
        <v>100668166</v>
      </c>
      <c r="B1032" t="s">
        <v>480</v>
      </c>
      <c r="C1032" t="s">
        <v>590</v>
      </c>
      <c r="D1032" t="s">
        <v>481</v>
      </c>
      <c r="E1032" s="6">
        <v>13009.7</v>
      </c>
      <c r="F1032" t="s">
        <v>602</v>
      </c>
      <c r="G1032" s="4" t="str">
        <f t="shared" si="98"/>
        <v>13009.7</v>
      </c>
      <c r="H1032" t="str">
        <f t="shared" si="99"/>
        <v>13009.7</v>
      </c>
      <c r="I1032" s="1">
        <v>45761</v>
      </c>
      <c r="J1032" s="2">
        <f t="shared" si="100"/>
        <v>-6.574747311538387E-2</v>
      </c>
      <c r="K1032" s="3" t="str">
        <f t="shared" si="101"/>
        <v/>
      </c>
      <c r="L1032" t="str">
        <f t="shared" si="102"/>
        <v/>
      </c>
      <c r="M1032" t="str">
        <f t="shared" si="103"/>
        <v>Check</v>
      </c>
      <c r="N1032">
        <v>13925.25</v>
      </c>
      <c r="O1032" t="s">
        <v>482</v>
      </c>
      <c r="Q1032" t="s">
        <v>16</v>
      </c>
    </row>
    <row r="1033" spans="1:17" x14ac:dyDescent="0.3">
      <c r="A1033">
        <v>100668409</v>
      </c>
      <c r="B1033" t="s">
        <v>327</v>
      </c>
      <c r="C1033" t="s">
        <v>590</v>
      </c>
      <c r="D1033" t="s">
        <v>328</v>
      </c>
      <c r="E1033" s="6">
        <v>20381.87</v>
      </c>
      <c r="F1033" t="s">
        <v>602</v>
      </c>
      <c r="G1033" s="4" t="str">
        <f t="shared" si="98"/>
        <v>20381.87</v>
      </c>
      <c r="H1033" t="str">
        <f t="shared" si="99"/>
        <v>20381.87</v>
      </c>
      <c r="I1033" s="1">
        <v>45761</v>
      </c>
      <c r="J1033" s="2">
        <f t="shared" si="100"/>
        <v>-6.0174658675963846E-2</v>
      </c>
      <c r="K1033" s="3" t="str">
        <f t="shared" si="101"/>
        <v/>
      </c>
      <c r="L1033" t="str">
        <f t="shared" si="102"/>
        <v/>
      </c>
      <c r="M1033" t="str">
        <f t="shared" si="103"/>
        <v>Check</v>
      </c>
      <c r="N1033">
        <v>21686.87</v>
      </c>
      <c r="O1033" t="s">
        <v>483</v>
      </c>
      <c r="Q1033" t="s">
        <v>16</v>
      </c>
    </row>
    <row r="1034" spans="1:17" x14ac:dyDescent="0.3">
      <c r="A1034">
        <v>100668534</v>
      </c>
      <c r="B1034" t="s">
        <v>330</v>
      </c>
      <c r="C1034" t="s">
        <v>590</v>
      </c>
      <c r="D1034" t="s">
        <v>331</v>
      </c>
      <c r="E1034" s="6">
        <v>42389.95</v>
      </c>
      <c r="F1034" t="s">
        <v>602</v>
      </c>
      <c r="G1034" s="4" t="str">
        <f t="shared" si="98"/>
        <v>42389.95</v>
      </c>
      <c r="H1034" t="str">
        <f t="shared" si="99"/>
        <v>42389.95</v>
      </c>
      <c r="I1034" s="1">
        <v>45761</v>
      </c>
      <c r="J1034" s="2">
        <f t="shared" si="100"/>
        <v>-5.7408535276955268E-2</v>
      </c>
      <c r="K1034" s="3" t="str">
        <f t="shared" si="101"/>
        <v/>
      </c>
      <c r="L1034" t="str">
        <f t="shared" si="102"/>
        <v/>
      </c>
      <c r="M1034" t="str">
        <f t="shared" si="103"/>
        <v>Check</v>
      </c>
      <c r="N1034">
        <v>44971.71</v>
      </c>
      <c r="O1034" t="s">
        <v>484</v>
      </c>
      <c r="Q1034" t="s">
        <v>16</v>
      </c>
    </row>
    <row r="1035" spans="1:17" x14ac:dyDescent="0.3">
      <c r="A1035">
        <v>100669580</v>
      </c>
      <c r="B1035" t="s">
        <v>333</v>
      </c>
      <c r="C1035" t="s">
        <v>19</v>
      </c>
      <c r="D1035" t="s">
        <v>334</v>
      </c>
      <c r="E1035" s="6">
        <v>49978.95</v>
      </c>
      <c r="F1035" t="s">
        <v>602</v>
      </c>
      <c r="G1035" s="4" t="str">
        <f t="shared" si="98"/>
        <v>49978.95</v>
      </c>
      <c r="H1035" t="str">
        <f t="shared" si="99"/>
        <v>49978.95</v>
      </c>
      <c r="I1035" s="1">
        <v>45761</v>
      </c>
      <c r="J1035" s="2">
        <f t="shared" si="100"/>
        <v>-5.4279230396459925E-2</v>
      </c>
      <c r="K1035" s="3" t="str">
        <f t="shared" si="101"/>
        <v/>
      </c>
      <c r="L1035" t="str">
        <f t="shared" si="102"/>
        <v/>
      </c>
      <c r="M1035" t="str">
        <f t="shared" si="103"/>
        <v/>
      </c>
      <c r="N1035">
        <v>52847.47</v>
      </c>
      <c r="O1035" t="s">
        <v>485</v>
      </c>
      <c r="Q1035" t="s">
        <v>19</v>
      </c>
    </row>
    <row r="1036" spans="1:17" x14ac:dyDescent="0.3">
      <c r="A1036">
        <v>100670671</v>
      </c>
      <c r="B1036" t="s">
        <v>336</v>
      </c>
      <c r="C1036" t="s">
        <v>590</v>
      </c>
      <c r="D1036" t="s">
        <v>337</v>
      </c>
      <c r="E1036" s="6">
        <v>389532.22</v>
      </c>
      <c r="F1036" t="s">
        <v>602</v>
      </c>
      <c r="G1036" s="4" t="str">
        <f t="shared" si="98"/>
        <v>389532.22</v>
      </c>
      <c r="H1036" t="str">
        <f t="shared" si="99"/>
        <v>389532.22</v>
      </c>
      <c r="I1036" s="1">
        <v>45761</v>
      </c>
      <c r="J1036" s="2">
        <f t="shared" si="100"/>
        <v>-4.6727276745170229E-2</v>
      </c>
      <c r="K1036" s="3" t="str">
        <f t="shared" si="101"/>
        <v/>
      </c>
      <c r="L1036" t="str">
        <f t="shared" si="102"/>
        <v/>
      </c>
      <c r="M1036" t="str">
        <f t="shared" si="103"/>
        <v>Check</v>
      </c>
      <c r="N1036">
        <v>408626.21</v>
      </c>
      <c r="O1036" t="s">
        <v>486</v>
      </c>
      <c r="Q1036" t="s">
        <v>16</v>
      </c>
    </row>
    <row r="1037" spans="1:17" x14ac:dyDescent="0.3">
      <c r="A1037">
        <v>100670671</v>
      </c>
      <c r="B1037" t="s">
        <v>336</v>
      </c>
      <c r="C1037" t="s">
        <v>611</v>
      </c>
      <c r="D1037" t="s">
        <v>339</v>
      </c>
      <c r="E1037" s="6">
        <v>4987.05</v>
      </c>
      <c r="F1037" t="s">
        <v>602</v>
      </c>
      <c r="G1037" s="4" t="str">
        <f t="shared" si="98"/>
        <v>4987.05</v>
      </c>
      <c r="H1037" t="str">
        <f t="shared" si="99"/>
        <v>4987.05</v>
      </c>
      <c r="I1037" s="1">
        <v>45761</v>
      </c>
      <c r="J1037" s="2">
        <f t="shared" si="100"/>
        <v>-0.10832962329226364</v>
      </c>
      <c r="K1037" s="3" t="str">
        <f t="shared" si="101"/>
        <v>Check!</v>
      </c>
      <c r="L1037" t="str">
        <f t="shared" si="102"/>
        <v/>
      </c>
      <c r="M1037" t="str">
        <f t="shared" si="103"/>
        <v>Check</v>
      </c>
      <c r="N1037">
        <v>5592.93</v>
      </c>
      <c r="O1037" t="s">
        <v>340</v>
      </c>
      <c r="Q1037" t="s">
        <v>41</v>
      </c>
    </row>
    <row r="1038" spans="1:17" x14ac:dyDescent="0.3">
      <c r="A1038">
        <v>100675336</v>
      </c>
      <c r="B1038" t="s">
        <v>347</v>
      </c>
      <c r="C1038" t="s">
        <v>19</v>
      </c>
      <c r="D1038" t="s">
        <v>348</v>
      </c>
      <c r="E1038" s="6">
        <v>68951.429999999993</v>
      </c>
      <c r="F1038" t="s">
        <v>602</v>
      </c>
      <c r="G1038" s="4" t="str">
        <f t="shared" si="98"/>
        <v>68951.43</v>
      </c>
      <c r="H1038" t="str">
        <f t="shared" si="99"/>
        <v>68951.43</v>
      </c>
      <c r="I1038" s="1">
        <v>45761</v>
      </c>
      <c r="J1038" s="2">
        <f t="shared" si="100"/>
        <v>-5.315383864345799E-2</v>
      </c>
      <c r="K1038" s="3" t="str">
        <f t="shared" si="101"/>
        <v/>
      </c>
      <c r="L1038" t="str">
        <f t="shared" si="102"/>
        <v/>
      </c>
      <c r="M1038" t="str">
        <f t="shared" si="103"/>
        <v/>
      </c>
      <c r="N1038">
        <v>72822.210000000006</v>
      </c>
      <c r="O1038" t="s">
        <v>487</v>
      </c>
      <c r="Q1038" t="s">
        <v>19</v>
      </c>
    </row>
    <row r="1039" spans="1:17" x14ac:dyDescent="0.3">
      <c r="A1039">
        <v>100677278</v>
      </c>
      <c r="B1039" t="s">
        <v>350</v>
      </c>
      <c r="C1039" t="s">
        <v>19</v>
      </c>
      <c r="D1039" t="s">
        <v>351</v>
      </c>
      <c r="E1039" s="6">
        <v>42064.71</v>
      </c>
      <c r="F1039" t="s">
        <v>602</v>
      </c>
      <c r="G1039" s="4" t="str">
        <f t="shared" si="98"/>
        <v>42064.71</v>
      </c>
      <c r="H1039" t="str">
        <f t="shared" si="99"/>
        <v>42064.71</v>
      </c>
      <c r="I1039" s="1">
        <v>45761</v>
      </c>
      <c r="J1039" s="2">
        <f t="shared" si="100"/>
        <v>-5.7464055556339835E-2</v>
      </c>
      <c r="K1039" s="3" t="str">
        <f t="shared" si="101"/>
        <v/>
      </c>
      <c r="L1039" t="str">
        <f t="shared" si="102"/>
        <v/>
      </c>
      <c r="M1039" t="str">
        <f t="shared" si="103"/>
        <v/>
      </c>
      <c r="N1039">
        <v>44629.29</v>
      </c>
      <c r="O1039" t="s">
        <v>488</v>
      </c>
      <c r="Q1039" t="s">
        <v>19</v>
      </c>
    </row>
    <row r="1040" spans="1:17" x14ac:dyDescent="0.3">
      <c r="A1040">
        <v>100677585</v>
      </c>
      <c r="B1040" t="s">
        <v>353</v>
      </c>
      <c r="C1040" t="s">
        <v>19</v>
      </c>
      <c r="D1040" t="s">
        <v>354</v>
      </c>
      <c r="E1040" s="6">
        <v>32632.67</v>
      </c>
      <c r="F1040" t="s">
        <v>602</v>
      </c>
      <c r="G1040" s="4" t="str">
        <f t="shared" si="98"/>
        <v>32632.67</v>
      </c>
      <c r="H1040" t="str">
        <f t="shared" si="99"/>
        <v>32632.67</v>
      </c>
      <c r="I1040" s="1">
        <v>45761</v>
      </c>
      <c r="J1040" s="2">
        <f t="shared" si="100"/>
        <v>-5.6445830022634147E-2</v>
      </c>
      <c r="K1040" s="3" t="str">
        <f t="shared" si="101"/>
        <v/>
      </c>
      <c r="L1040" t="str">
        <f t="shared" si="102"/>
        <v/>
      </c>
      <c r="M1040" t="str">
        <f t="shared" si="103"/>
        <v/>
      </c>
      <c r="N1040">
        <v>34584.839999999997</v>
      </c>
      <c r="O1040" t="s">
        <v>489</v>
      </c>
      <c r="Q1040" t="s">
        <v>19</v>
      </c>
    </row>
    <row r="1041" spans="1:17" x14ac:dyDescent="0.3">
      <c r="A1041">
        <v>100706842</v>
      </c>
      <c r="B1041" t="s">
        <v>356</v>
      </c>
      <c r="C1041" t="s">
        <v>19</v>
      </c>
      <c r="D1041" t="s">
        <v>357</v>
      </c>
      <c r="E1041" s="6">
        <v>12792.88</v>
      </c>
      <c r="F1041" t="s">
        <v>602</v>
      </c>
      <c r="G1041" s="4" t="str">
        <f t="shared" si="98"/>
        <v>12792.88</v>
      </c>
      <c r="H1041" t="str">
        <f t="shared" si="99"/>
        <v>12792.88</v>
      </c>
      <c r="I1041" s="1">
        <v>45761</v>
      </c>
      <c r="J1041" s="2">
        <f t="shared" si="100"/>
        <v>-6.6006569336137855E-2</v>
      </c>
      <c r="K1041" s="3" t="str">
        <f t="shared" si="101"/>
        <v/>
      </c>
      <c r="L1041" t="str">
        <f t="shared" si="102"/>
        <v/>
      </c>
      <c r="M1041" t="str">
        <f t="shared" si="103"/>
        <v/>
      </c>
      <c r="N1041">
        <v>13696.97</v>
      </c>
      <c r="O1041" t="s">
        <v>490</v>
      </c>
      <c r="Q1041" t="s">
        <v>19</v>
      </c>
    </row>
    <row r="1042" spans="1:17" x14ac:dyDescent="0.3">
      <c r="A1042">
        <v>100711105</v>
      </c>
      <c r="B1042" t="s">
        <v>359</v>
      </c>
      <c r="C1042" t="s">
        <v>590</v>
      </c>
      <c r="D1042" t="s">
        <v>360</v>
      </c>
      <c r="E1042" s="6">
        <v>1084.1400000000001</v>
      </c>
      <c r="F1042" t="s">
        <v>602</v>
      </c>
      <c r="G1042" s="4" t="str">
        <f t="shared" si="98"/>
        <v>1084.14</v>
      </c>
      <c r="H1042" t="str">
        <f t="shared" si="99"/>
        <v>1084.14</v>
      </c>
      <c r="I1042" s="1">
        <v>45761</v>
      </c>
      <c r="J1042" s="2">
        <f t="shared" si="100"/>
        <v>-0.32155596440506135</v>
      </c>
      <c r="K1042" s="3" t="str">
        <f t="shared" si="101"/>
        <v>Check!</v>
      </c>
      <c r="L1042" t="str">
        <f t="shared" si="102"/>
        <v/>
      </c>
      <c r="M1042" t="str">
        <f t="shared" si="103"/>
        <v>Check</v>
      </c>
      <c r="N1042">
        <v>1597.98</v>
      </c>
      <c r="O1042" t="s">
        <v>491</v>
      </c>
      <c r="Q1042" t="s">
        <v>16</v>
      </c>
    </row>
    <row r="1043" spans="1:17" x14ac:dyDescent="0.3">
      <c r="A1043">
        <v>100786852</v>
      </c>
      <c r="B1043" t="s">
        <v>636</v>
      </c>
      <c r="C1043" t="s">
        <v>19</v>
      </c>
      <c r="D1043" t="s">
        <v>637</v>
      </c>
      <c r="E1043" s="6">
        <v>187231.32</v>
      </c>
      <c r="F1043" t="s">
        <v>602</v>
      </c>
      <c r="G1043" s="4" t="str">
        <f t="shared" si="98"/>
        <v>187231.32</v>
      </c>
      <c r="H1043" t="str">
        <f t="shared" si="99"/>
        <v>187231.32</v>
      </c>
      <c r="I1043" s="1">
        <v>45761</v>
      </c>
      <c r="J1043" s="2">
        <f t="shared" si="100"/>
        <v>-5.2918339505364065E-2</v>
      </c>
      <c r="K1043" s="3" t="str">
        <f t="shared" si="101"/>
        <v/>
      </c>
      <c r="L1043" t="str">
        <f t="shared" si="102"/>
        <v/>
      </c>
      <c r="M1043" t="str">
        <f t="shared" si="103"/>
        <v/>
      </c>
      <c r="N1043">
        <v>197692.9</v>
      </c>
      <c r="O1043" t="s">
        <v>685</v>
      </c>
      <c r="Q1043" t="s">
        <v>19</v>
      </c>
    </row>
    <row r="1044" spans="1:17" x14ac:dyDescent="0.3">
      <c r="A1044">
        <v>100799345</v>
      </c>
      <c r="B1044" t="s">
        <v>640</v>
      </c>
      <c r="C1044" t="s">
        <v>590</v>
      </c>
      <c r="D1044" t="s">
        <v>641</v>
      </c>
      <c r="E1044" s="6">
        <v>800855.7</v>
      </c>
      <c r="F1044" t="s">
        <v>602</v>
      </c>
      <c r="G1044" s="4" t="str">
        <f t="shared" si="98"/>
        <v>800855.7</v>
      </c>
      <c r="H1044" t="str">
        <f t="shared" si="99"/>
        <v>800855.7</v>
      </c>
      <c r="I1044" s="1">
        <v>45761</v>
      </c>
      <c r="J1044" s="2">
        <f t="shared" si="100"/>
        <v>1.557910051765969</v>
      </c>
      <c r="K1044" s="3" t="str">
        <f t="shared" si="101"/>
        <v>Check!</v>
      </c>
      <c r="L1044" t="str">
        <f t="shared" si="102"/>
        <v/>
      </c>
      <c r="M1044" t="str">
        <f t="shared" si="103"/>
        <v/>
      </c>
      <c r="N1044">
        <v>313089.86</v>
      </c>
      <c r="O1044" t="s">
        <v>686</v>
      </c>
      <c r="Q1044" t="s">
        <v>590</v>
      </c>
    </row>
    <row r="1045" spans="1:17" s="7" customFormat="1" x14ac:dyDescent="0.3">
      <c r="A1045" s="7">
        <v>32490</v>
      </c>
      <c r="B1045" s="7" t="s">
        <v>15</v>
      </c>
      <c r="C1045" s="7" t="s">
        <v>590</v>
      </c>
      <c r="D1045" s="7" t="s">
        <v>17</v>
      </c>
      <c r="E1045" s="8">
        <v>7845.46</v>
      </c>
      <c r="F1045" s="7" t="s">
        <v>603</v>
      </c>
      <c r="G1045" s="4" t="str">
        <f t="shared" si="98"/>
        <v>7845.46</v>
      </c>
      <c r="H1045" t="str">
        <f t="shared" si="99"/>
        <v>7845.46</v>
      </c>
      <c r="I1045" s="1">
        <v>45761</v>
      </c>
      <c r="J1045" s="2">
        <f t="shared" si="100"/>
        <v>3.8899253492615071E-3</v>
      </c>
      <c r="K1045" s="3" t="str">
        <f t="shared" si="101"/>
        <v/>
      </c>
      <c r="L1045" t="str">
        <f t="shared" si="102"/>
        <v/>
      </c>
      <c r="M1045" t="str">
        <f t="shared" si="103"/>
        <v>Check</v>
      </c>
      <c r="N1045" s="7">
        <v>7815.06</v>
      </c>
      <c r="O1045" s="7" t="s">
        <v>18</v>
      </c>
      <c r="Q1045" s="7" t="s">
        <v>16</v>
      </c>
    </row>
    <row r="1046" spans="1:17" x14ac:dyDescent="0.3">
      <c r="A1046">
        <v>32490</v>
      </c>
      <c r="B1046" t="s">
        <v>15</v>
      </c>
      <c r="C1046" t="s">
        <v>19</v>
      </c>
      <c r="D1046" t="s">
        <v>20</v>
      </c>
      <c r="E1046" s="6">
        <v>823.27</v>
      </c>
      <c r="F1046" t="s">
        <v>603</v>
      </c>
      <c r="G1046" s="4" t="str">
        <f t="shared" si="98"/>
        <v>823.27</v>
      </c>
      <c r="H1046" t="str">
        <f t="shared" si="99"/>
        <v>823.27</v>
      </c>
      <c r="I1046" s="1">
        <v>45761</v>
      </c>
      <c r="J1046" s="2">
        <f t="shared" si="100"/>
        <v>-0.13730483076600647</v>
      </c>
      <c r="K1046" s="3" t="str">
        <f t="shared" si="101"/>
        <v>Check!</v>
      </c>
      <c r="L1046" t="str">
        <f t="shared" si="102"/>
        <v/>
      </c>
      <c r="M1046" t="str">
        <f t="shared" si="103"/>
        <v/>
      </c>
      <c r="N1046">
        <v>954.3</v>
      </c>
      <c r="O1046" t="s">
        <v>21</v>
      </c>
      <c r="Q1046" t="s">
        <v>19</v>
      </c>
    </row>
    <row r="1047" spans="1:17" x14ac:dyDescent="0.3">
      <c r="A1047">
        <v>32490</v>
      </c>
      <c r="B1047" t="s">
        <v>15</v>
      </c>
      <c r="C1047" t="s">
        <v>19</v>
      </c>
      <c r="D1047" t="s">
        <v>22</v>
      </c>
      <c r="E1047" s="6">
        <v>2559.86</v>
      </c>
      <c r="F1047" t="s">
        <v>603</v>
      </c>
      <c r="G1047" s="4" t="str">
        <f t="shared" si="98"/>
        <v>2559.86</v>
      </c>
      <c r="H1047" t="str">
        <f t="shared" si="99"/>
        <v>2559.86</v>
      </c>
      <c r="I1047" s="1">
        <v>45761</v>
      </c>
      <c r="J1047" s="2">
        <f t="shared" si="100"/>
        <v>-0.19394798161093268</v>
      </c>
      <c r="K1047" s="3" t="str">
        <f t="shared" si="101"/>
        <v>Check!</v>
      </c>
      <c r="L1047" t="str">
        <f t="shared" si="102"/>
        <v/>
      </c>
      <c r="M1047" t="str">
        <f t="shared" si="103"/>
        <v/>
      </c>
      <c r="N1047">
        <v>3175.8</v>
      </c>
      <c r="O1047" t="s">
        <v>23</v>
      </c>
      <c r="Q1047" t="s">
        <v>19</v>
      </c>
    </row>
    <row r="1048" spans="1:17" x14ac:dyDescent="0.3">
      <c r="A1048">
        <v>33672</v>
      </c>
      <c r="B1048" t="s">
        <v>24</v>
      </c>
      <c r="C1048" t="s">
        <v>19</v>
      </c>
      <c r="D1048" t="s">
        <v>25</v>
      </c>
      <c r="E1048" s="6">
        <v>13640.81</v>
      </c>
      <c r="F1048" t="s">
        <v>603</v>
      </c>
      <c r="G1048" s="4" t="str">
        <f t="shared" si="98"/>
        <v>13640.81</v>
      </c>
      <c r="H1048" t="str">
        <f t="shared" si="99"/>
        <v>13640.81</v>
      </c>
      <c r="I1048" s="1">
        <v>45761</v>
      </c>
      <c r="J1048" s="2">
        <f t="shared" si="100"/>
        <v>-4.1852397478781738E-3</v>
      </c>
      <c r="K1048" s="3" t="str">
        <f t="shared" si="101"/>
        <v/>
      </c>
      <c r="L1048" t="str">
        <f t="shared" si="102"/>
        <v/>
      </c>
      <c r="M1048" t="str">
        <f t="shared" si="103"/>
        <v/>
      </c>
      <c r="N1048">
        <v>13698.14</v>
      </c>
      <c r="O1048" t="s">
        <v>26</v>
      </c>
      <c r="Q1048" t="s">
        <v>19</v>
      </c>
    </row>
    <row r="1049" spans="1:17" x14ac:dyDescent="0.3">
      <c r="A1049">
        <v>34171</v>
      </c>
      <c r="B1049" t="s">
        <v>27</v>
      </c>
      <c r="C1049" t="s">
        <v>19</v>
      </c>
      <c r="D1049" t="s">
        <v>28</v>
      </c>
      <c r="E1049" s="6">
        <v>4013.96</v>
      </c>
      <c r="F1049" t="s">
        <v>603</v>
      </c>
      <c r="G1049" s="4" t="str">
        <f t="shared" si="98"/>
        <v>4013.96</v>
      </c>
      <c r="H1049" t="str">
        <f t="shared" si="99"/>
        <v>4013.96</v>
      </c>
      <c r="I1049" s="1">
        <v>45761</v>
      </c>
      <c r="J1049" s="2">
        <f t="shared" si="100"/>
        <v>5.7453840236730454E-3</v>
      </c>
      <c r="K1049" s="3" t="str">
        <f t="shared" si="101"/>
        <v/>
      </c>
      <c r="L1049" t="str">
        <f t="shared" si="102"/>
        <v/>
      </c>
      <c r="M1049" t="str">
        <f t="shared" si="103"/>
        <v/>
      </c>
      <c r="N1049">
        <v>3991.03</v>
      </c>
      <c r="O1049" t="s">
        <v>29</v>
      </c>
      <c r="Q1049" t="s">
        <v>19</v>
      </c>
    </row>
    <row r="1050" spans="1:17" x14ac:dyDescent="0.3">
      <c r="A1050">
        <v>34173</v>
      </c>
      <c r="B1050" t="s">
        <v>30</v>
      </c>
      <c r="C1050" t="s">
        <v>19</v>
      </c>
      <c r="D1050" t="s">
        <v>31</v>
      </c>
      <c r="E1050" s="6">
        <v>4616.68</v>
      </c>
      <c r="F1050" t="s">
        <v>603</v>
      </c>
      <c r="G1050" s="4" t="str">
        <f t="shared" si="98"/>
        <v>4616.68</v>
      </c>
      <c r="H1050" t="str">
        <f t="shared" si="99"/>
        <v>4616.68</v>
      </c>
      <c r="I1050" s="1">
        <v>45761</v>
      </c>
      <c r="J1050" s="2">
        <f t="shared" si="100"/>
        <v>-2.5050155217198465E-2</v>
      </c>
      <c r="K1050" s="3" t="str">
        <f t="shared" si="101"/>
        <v/>
      </c>
      <c r="L1050" t="str">
        <f t="shared" si="102"/>
        <v/>
      </c>
      <c r="M1050" t="str">
        <f t="shared" si="103"/>
        <v/>
      </c>
      <c r="N1050">
        <v>4735.3</v>
      </c>
      <c r="O1050" t="s">
        <v>32</v>
      </c>
      <c r="Q1050" t="s">
        <v>19</v>
      </c>
    </row>
    <row r="1051" spans="1:17" x14ac:dyDescent="0.3">
      <c r="A1051">
        <v>34196</v>
      </c>
      <c r="B1051" t="s">
        <v>33</v>
      </c>
      <c r="C1051" t="s">
        <v>590</v>
      </c>
      <c r="D1051" t="s">
        <v>34</v>
      </c>
      <c r="E1051" s="6">
        <v>109031.49</v>
      </c>
      <c r="F1051" t="s">
        <v>603</v>
      </c>
      <c r="G1051" s="4" t="str">
        <f t="shared" si="98"/>
        <v>109031.49</v>
      </c>
      <c r="H1051" t="str">
        <f t="shared" si="99"/>
        <v>109031.49</v>
      </c>
      <c r="I1051" s="1">
        <v>45761</v>
      </c>
      <c r="J1051" s="2">
        <f t="shared" si="100"/>
        <v>-3.002382136109726E-3</v>
      </c>
      <c r="K1051" s="3" t="str">
        <f t="shared" si="101"/>
        <v/>
      </c>
      <c r="L1051" t="str">
        <f t="shared" si="102"/>
        <v/>
      </c>
      <c r="M1051" t="str">
        <f t="shared" si="103"/>
        <v>Check</v>
      </c>
      <c r="N1051">
        <v>109359.83</v>
      </c>
      <c r="O1051" t="s">
        <v>35</v>
      </c>
      <c r="Q1051" t="s">
        <v>16</v>
      </c>
    </row>
    <row r="1052" spans="1:17" x14ac:dyDescent="0.3">
      <c r="A1052">
        <v>34199</v>
      </c>
      <c r="B1052" t="s">
        <v>36</v>
      </c>
      <c r="C1052" t="s">
        <v>590</v>
      </c>
      <c r="D1052" t="s">
        <v>37</v>
      </c>
      <c r="E1052" s="6">
        <v>4147.68</v>
      </c>
      <c r="F1052" t="s">
        <v>603</v>
      </c>
      <c r="G1052" s="4" t="str">
        <f t="shared" si="98"/>
        <v>4147.68</v>
      </c>
      <c r="H1052" t="str">
        <f t="shared" si="99"/>
        <v>4147.68</v>
      </c>
      <c r="I1052" s="1">
        <v>45761</v>
      </c>
      <c r="J1052" s="2">
        <f t="shared" si="100"/>
        <v>-0.1265412534720978</v>
      </c>
      <c r="K1052" s="3" t="str">
        <f t="shared" si="101"/>
        <v>Check!</v>
      </c>
      <c r="L1052" t="str">
        <f t="shared" si="102"/>
        <v/>
      </c>
      <c r="M1052" t="str">
        <f t="shared" si="103"/>
        <v>Check</v>
      </c>
      <c r="N1052">
        <v>4748.57</v>
      </c>
      <c r="O1052" t="s">
        <v>38</v>
      </c>
      <c r="Q1052" t="s">
        <v>16</v>
      </c>
    </row>
    <row r="1053" spans="1:17" x14ac:dyDescent="0.3">
      <c r="A1053">
        <v>34199</v>
      </c>
      <c r="B1053" t="s">
        <v>36</v>
      </c>
      <c r="C1053" t="s">
        <v>19</v>
      </c>
      <c r="D1053" t="s">
        <v>39</v>
      </c>
      <c r="E1053" s="6">
        <v>3705.61</v>
      </c>
      <c r="F1053" t="s">
        <v>603</v>
      </c>
      <c r="G1053" s="4" t="str">
        <f t="shared" si="98"/>
        <v>3705.61</v>
      </c>
      <c r="H1053" t="str">
        <f t="shared" si="99"/>
        <v>3705.61</v>
      </c>
      <c r="I1053" s="1">
        <v>45761</v>
      </c>
      <c r="J1053" s="2">
        <f t="shared" si="100"/>
        <v>9.3894539570815207E-3</v>
      </c>
      <c r="K1053" s="3" t="str">
        <f t="shared" si="101"/>
        <v/>
      </c>
      <c r="L1053" t="str">
        <f t="shared" si="102"/>
        <v/>
      </c>
      <c r="M1053" t="str">
        <f t="shared" si="103"/>
        <v/>
      </c>
      <c r="N1053">
        <v>3671.14</v>
      </c>
      <c r="O1053" t="s">
        <v>40</v>
      </c>
      <c r="Q1053" t="s">
        <v>19</v>
      </c>
    </row>
    <row r="1054" spans="1:17" x14ac:dyDescent="0.3">
      <c r="A1054">
        <v>34200</v>
      </c>
      <c r="B1054" t="s">
        <v>592</v>
      </c>
      <c r="C1054" t="s">
        <v>611</v>
      </c>
      <c r="D1054" t="s">
        <v>42</v>
      </c>
      <c r="E1054" s="6">
        <v>64286.6</v>
      </c>
      <c r="F1054" t="s">
        <v>603</v>
      </c>
      <c r="G1054" s="4" t="str">
        <f t="shared" si="98"/>
        <v>64286.6</v>
      </c>
      <c r="H1054" t="str">
        <f t="shared" si="99"/>
        <v>64286.6</v>
      </c>
      <c r="I1054" s="1">
        <v>45761</v>
      </c>
      <c r="J1054" s="2">
        <f t="shared" si="100"/>
        <v>-2.3688166304662549E-2</v>
      </c>
      <c r="K1054" s="3" t="str">
        <f t="shared" si="101"/>
        <v/>
      </c>
      <c r="L1054" t="str">
        <f t="shared" si="102"/>
        <v/>
      </c>
      <c r="M1054" t="str">
        <f t="shared" si="103"/>
        <v>Check</v>
      </c>
      <c r="N1054">
        <v>65846.38</v>
      </c>
      <c r="O1054" t="s">
        <v>43</v>
      </c>
      <c r="Q1054" t="s">
        <v>41</v>
      </c>
    </row>
    <row r="1055" spans="1:17" x14ac:dyDescent="0.3">
      <c r="A1055">
        <v>34200</v>
      </c>
      <c r="B1055" t="s">
        <v>592</v>
      </c>
      <c r="C1055" t="s">
        <v>611</v>
      </c>
      <c r="D1055" t="s">
        <v>44</v>
      </c>
      <c r="E1055" s="6">
        <v>35582.19</v>
      </c>
      <c r="F1055" t="s">
        <v>603</v>
      </c>
      <c r="G1055" s="4" t="str">
        <f t="shared" si="98"/>
        <v>35582.19</v>
      </c>
      <c r="H1055" t="str">
        <f t="shared" si="99"/>
        <v>35582.19</v>
      </c>
      <c r="I1055" s="1">
        <v>45761</v>
      </c>
      <c r="J1055" s="2">
        <f t="shared" si="100"/>
        <v>-2.2772557033695798E-2</v>
      </c>
      <c r="K1055" s="3" t="str">
        <f t="shared" si="101"/>
        <v/>
      </c>
      <c r="L1055" t="str">
        <f t="shared" si="102"/>
        <v/>
      </c>
      <c r="M1055" t="str">
        <f t="shared" si="103"/>
        <v>Check</v>
      </c>
      <c r="N1055">
        <v>36411.370000000003</v>
      </c>
      <c r="O1055" t="s">
        <v>45</v>
      </c>
      <c r="Q1055" t="s">
        <v>41</v>
      </c>
    </row>
    <row r="1056" spans="1:17" x14ac:dyDescent="0.3">
      <c r="A1056">
        <v>34200</v>
      </c>
      <c r="B1056" t="s">
        <v>592</v>
      </c>
      <c r="C1056" t="s">
        <v>609</v>
      </c>
      <c r="D1056" t="s">
        <v>610</v>
      </c>
      <c r="E1056" s="6">
        <v>3521.17</v>
      </c>
      <c r="F1056" t="s">
        <v>603</v>
      </c>
      <c r="G1056" s="4" t="str">
        <f t="shared" si="98"/>
        <v>3521.17</v>
      </c>
      <c r="H1056" t="str">
        <f t="shared" si="99"/>
        <v>3521.17</v>
      </c>
      <c r="I1056" s="1">
        <v>45761</v>
      </c>
      <c r="J1056" s="2">
        <f t="shared" si="100"/>
        <v>0.28658703682727832</v>
      </c>
      <c r="K1056" s="3" t="str">
        <f t="shared" si="101"/>
        <v>Check!</v>
      </c>
      <c r="L1056" t="str">
        <f t="shared" si="102"/>
        <v/>
      </c>
      <c r="M1056" t="str">
        <f t="shared" si="103"/>
        <v/>
      </c>
      <c r="N1056">
        <v>2736.83</v>
      </c>
      <c r="O1056" t="s">
        <v>644</v>
      </c>
      <c r="Q1056" t="s">
        <v>609</v>
      </c>
    </row>
    <row r="1057" spans="1:17" x14ac:dyDescent="0.3">
      <c r="A1057">
        <v>34200</v>
      </c>
      <c r="B1057" t="s">
        <v>592</v>
      </c>
      <c r="C1057" t="s">
        <v>606</v>
      </c>
      <c r="D1057" t="s">
        <v>607</v>
      </c>
      <c r="E1057" s="6">
        <v>5035.08</v>
      </c>
      <c r="F1057" t="s">
        <v>603</v>
      </c>
      <c r="G1057" s="4" t="str">
        <f t="shared" si="98"/>
        <v>5035.08</v>
      </c>
      <c r="H1057" t="str">
        <f t="shared" si="99"/>
        <v>5035.08</v>
      </c>
      <c r="I1057" s="1">
        <v>45761</v>
      </c>
      <c r="J1057" s="2">
        <f t="shared" si="100"/>
        <v>8.0633045598341363E-2</v>
      </c>
      <c r="K1057" s="3" t="str">
        <f t="shared" si="101"/>
        <v/>
      </c>
      <c r="L1057" t="str">
        <f t="shared" si="102"/>
        <v/>
      </c>
      <c r="M1057" t="str">
        <f t="shared" si="103"/>
        <v/>
      </c>
      <c r="N1057">
        <v>4659.38</v>
      </c>
      <c r="O1057" t="s">
        <v>645</v>
      </c>
      <c r="Q1057" t="s">
        <v>606</v>
      </c>
    </row>
    <row r="1058" spans="1:17" x14ac:dyDescent="0.3">
      <c r="A1058">
        <v>34200</v>
      </c>
      <c r="B1058" t="s">
        <v>592</v>
      </c>
      <c r="C1058" t="s">
        <v>606</v>
      </c>
      <c r="D1058" t="s">
        <v>608</v>
      </c>
      <c r="E1058" s="6">
        <v>3244.78</v>
      </c>
      <c r="F1058" t="s">
        <v>603</v>
      </c>
      <c r="G1058" s="4" t="str">
        <f t="shared" si="98"/>
        <v>3244.78</v>
      </c>
      <c r="H1058" t="str">
        <f t="shared" si="99"/>
        <v>3244.78</v>
      </c>
      <c r="I1058" s="1">
        <v>45761</v>
      </c>
      <c r="J1058" s="2">
        <f t="shared" si="100"/>
        <v>-1.3480809456632683E-2</v>
      </c>
      <c r="K1058" s="3" t="str">
        <f t="shared" si="101"/>
        <v/>
      </c>
      <c r="L1058" t="str">
        <f t="shared" si="102"/>
        <v/>
      </c>
      <c r="M1058" t="str">
        <f t="shared" si="103"/>
        <v/>
      </c>
      <c r="N1058">
        <v>3289.12</v>
      </c>
      <c r="O1058" t="s">
        <v>646</v>
      </c>
      <c r="Q1058" t="s">
        <v>606</v>
      </c>
    </row>
    <row r="1059" spans="1:17" x14ac:dyDescent="0.3">
      <c r="A1059">
        <v>34202</v>
      </c>
      <c r="B1059" t="s">
        <v>46</v>
      </c>
      <c r="C1059" t="s">
        <v>19</v>
      </c>
      <c r="D1059" t="s">
        <v>49</v>
      </c>
      <c r="E1059" s="6">
        <v>2854.36</v>
      </c>
      <c r="F1059" t="s">
        <v>603</v>
      </c>
      <c r="G1059" s="4" t="str">
        <f t="shared" si="98"/>
        <v>2854.36</v>
      </c>
      <c r="H1059" t="str">
        <f t="shared" si="99"/>
        <v>2854.36</v>
      </c>
      <c r="I1059" s="1">
        <v>45761</v>
      </c>
      <c r="J1059" s="2">
        <f t="shared" si="100"/>
        <v>-0.6834531416695685</v>
      </c>
      <c r="K1059" s="3" t="str">
        <f t="shared" si="101"/>
        <v>Check!</v>
      </c>
      <c r="L1059" t="str">
        <f t="shared" si="102"/>
        <v/>
      </c>
      <c r="M1059" t="str">
        <f t="shared" si="103"/>
        <v/>
      </c>
      <c r="N1059">
        <v>9017.18</v>
      </c>
      <c r="O1059" t="s">
        <v>50</v>
      </c>
      <c r="Q1059" t="s">
        <v>19</v>
      </c>
    </row>
    <row r="1060" spans="1:17" x14ac:dyDescent="0.3">
      <c r="A1060">
        <v>34202</v>
      </c>
      <c r="B1060" t="s">
        <v>46</v>
      </c>
      <c r="C1060" t="s">
        <v>19</v>
      </c>
      <c r="D1060" t="s">
        <v>47</v>
      </c>
      <c r="E1060" s="6">
        <v>863.02</v>
      </c>
      <c r="F1060" t="s">
        <v>603</v>
      </c>
      <c r="G1060" s="4" t="str">
        <f t="shared" si="98"/>
        <v>863.02</v>
      </c>
      <c r="H1060" t="str">
        <f t="shared" si="99"/>
        <v>863.02</v>
      </c>
      <c r="I1060" s="1">
        <v>45761</v>
      </c>
      <c r="J1060" s="2">
        <f t="shared" si="100"/>
        <v>-0.57582191814486594</v>
      </c>
      <c r="K1060" s="3" t="str">
        <f t="shared" si="101"/>
        <v>Check!</v>
      </c>
      <c r="L1060" t="str">
        <f t="shared" si="102"/>
        <v/>
      </c>
      <c r="M1060" t="str">
        <f t="shared" si="103"/>
        <v/>
      </c>
      <c r="N1060">
        <v>2034.57</v>
      </c>
      <c r="O1060" t="s">
        <v>48</v>
      </c>
      <c r="Q1060" t="s">
        <v>19</v>
      </c>
    </row>
    <row r="1061" spans="1:17" x14ac:dyDescent="0.3">
      <c r="A1061">
        <v>34209</v>
      </c>
      <c r="B1061" t="s">
        <v>51</v>
      </c>
      <c r="C1061" t="s">
        <v>19</v>
      </c>
      <c r="D1061" t="s">
        <v>54</v>
      </c>
      <c r="E1061" s="6">
        <v>39591.25</v>
      </c>
      <c r="F1061" t="s">
        <v>603</v>
      </c>
      <c r="G1061" s="4" t="str">
        <f t="shared" si="98"/>
        <v>39591.25</v>
      </c>
      <c r="H1061" t="str">
        <f t="shared" si="99"/>
        <v>39591.25</v>
      </c>
      <c r="I1061" s="1">
        <v>45761</v>
      </c>
      <c r="J1061" s="2">
        <f t="shared" si="100"/>
        <v>-3.1540831287948955E-2</v>
      </c>
      <c r="K1061" s="3" t="str">
        <f t="shared" si="101"/>
        <v/>
      </c>
      <c r="L1061" t="str">
        <f t="shared" si="102"/>
        <v/>
      </c>
      <c r="M1061" t="str">
        <f t="shared" si="103"/>
        <v/>
      </c>
      <c r="N1061">
        <v>40880.660000000003</v>
      </c>
      <c r="O1061" t="s">
        <v>55</v>
      </c>
      <c r="Q1061" t="s">
        <v>19</v>
      </c>
    </row>
    <row r="1062" spans="1:17" x14ac:dyDescent="0.3">
      <c r="A1062">
        <v>34209</v>
      </c>
      <c r="B1062" t="s">
        <v>51</v>
      </c>
      <c r="C1062" t="s">
        <v>19</v>
      </c>
      <c r="D1062" t="s">
        <v>52</v>
      </c>
      <c r="E1062" s="6">
        <v>31368.51</v>
      </c>
      <c r="F1062" t="s">
        <v>603</v>
      </c>
      <c r="G1062" s="4" t="str">
        <f t="shared" si="98"/>
        <v>31368.51</v>
      </c>
      <c r="H1062" t="str">
        <f t="shared" si="99"/>
        <v>31368.51</v>
      </c>
      <c r="I1062" s="1">
        <v>45761</v>
      </c>
      <c r="J1062" s="2">
        <f t="shared" si="100"/>
        <v>-3.1381697586522102E-2</v>
      </c>
      <c r="K1062" s="3" t="str">
        <f t="shared" si="101"/>
        <v/>
      </c>
      <c r="L1062" t="str">
        <f t="shared" si="102"/>
        <v/>
      </c>
      <c r="M1062" t="str">
        <f t="shared" si="103"/>
        <v/>
      </c>
      <c r="N1062">
        <v>32384.799999999999</v>
      </c>
      <c r="O1062" t="s">
        <v>53</v>
      </c>
      <c r="Q1062" t="s">
        <v>19</v>
      </c>
    </row>
    <row r="1063" spans="1:17" x14ac:dyDescent="0.3">
      <c r="A1063">
        <v>34209</v>
      </c>
      <c r="B1063" t="s">
        <v>51</v>
      </c>
      <c r="C1063" t="s">
        <v>612</v>
      </c>
      <c r="D1063" t="s">
        <v>57</v>
      </c>
      <c r="E1063" s="6">
        <v>12684.6</v>
      </c>
      <c r="F1063" t="s">
        <v>603</v>
      </c>
      <c r="G1063" s="4" t="str">
        <f t="shared" si="98"/>
        <v>12684.6</v>
      </c>
      <c r="H1063" t="str">
        <f t="shared" si="99"/>
        <v>12684.6</v>
      </c>
      <c r="I1063" s="1">
        <v>45761</v>
      </c>
      <c r="J1063" s="2">
        <f t="shared" si="100"/>
        <v>-2.1797219919412338E-2</v>
      </c>
      <c r="K1063" s="3" t="str">
        <f t="shared" si="101"/>
        <v/>
      </c>
      <c r="L1063" t="str">
        <f t="shared" si="102"/>
        <v/>
      </c>
      <c r="M1063" t="str">
        <f t="shared" si="103"/>
        <v>Check</v>
      </c>
      <c r="N1063">
        <v>12967.25</v>
      </c>
      <c r="O1063" t="s">
        <v>58</v>
      </c>
      <c r="Q1063" t="s">
        <v>56</v>
      </c>
    </row>
    <row r="1064" spans="1:17" x14ac:dyDescent="0.3">
      <c r="A1064">
        <v>34216</v>
      </c>
      <c r="B1064" t="s">
        <v>59</v>
      </c>
      <c r="C1064" t="s">
        <v>19</v>
      </c>
      <c r="D1064" t="s">
        <v>60</v>
      </c>
      <c r="E1064" s="6">
        <v>2332.7600000000002</v>
      </c>
      <c r="F1064" t="s">
        <v>603</v>
      </c>
      <c r="G1064" s="4" t="str">
        <f t="shared" si="98"/>
        <v>2332.76</v>
      </c>
      <c r="H1064" t="str">
        <f t="shared" si="99"/>
        <v>2332.76</v>
      </c>
      <c r="I1064" s="1">
        <v>45761</v>
      </c>
      <c r="J1064" s="2">
        <f t="shared" si="100"/>
        <v>-2.3345000251201481E-2</v>
      </c>
      <c r="K1064" s="3" t="str">
        <f t="shared" si="101"/>
        <v/>
      </c>
      <c r="L1064" t="str">
        <f t="shared" si="102"/>
        <v/>
      </c>
      <c r="M1064" t="str">
        <f t="shared" si="103"/>
        <v/>
      </c>
      <c r="N1064">
        <v>2388.52</v>
      </c>
      <c r="O1064" t="s">
        <v>61</v>
      </c>
      <c r="Q1064" t="s">
        <v>19</v>
      </c>
    </row>
    <row r="1065" spans="1:17" x14ac:dyDescent="0.3">
      <c r="A1065">
        <v>34216</v>
      </c>
      <c r="B1065" t="s">
        <v>59</v>
      </c>
      <c r="C1065" t="s">
        <v>590</v>
      </c>
      <c r="D1065" t="s">
        <v>62</v>
      </c>
      <c r="E1065" s="6">
        <v>7560.05</v>
      </c>
      <c r="F1065" t="s">
        <v>603</v>
      </c>
      <c r="G1065" s="4" t="str">
        <f t="shared" si="98"/>
        <v>7560.05</v>
      </c>
      <c r="H1065" t="str">
        <f t="shared" si="99"/>
        <v>7560.05</v>
      </c>
      <c r="I1065" s="1">
        <v>45761</v>
      </c>
      <c r="J1065" s="2">
        <f t="shared" si="100"/>
        <v>-4.0417720034831147E-3</v>
      </c>
      <c r="K1065" s="3" t="str">
        <f t="shared" si="101"/>
        <v/>
      </c>
      <c r="L1065" t="str">
        <f t="shared" si="102"/>
        <v/>
      </c>
      <c r="M1065" t="str">
        <f t="shared" si="103"/>
        <v>Check</v>
      </c>
      <c r="N1065">
        <v>7590.73</v>
      </c>
      <c r="O1065" t="s">
        <v>63</v>
      </c>
      <c r="Q1065" t="s">
        <v>16</v>
      </c>
    </row>
    <row r="1066" spans="1:17" x14ac:dyDescent="0.3">
      <c r="A1066">
        <v>34337</v>
      </c>
      <c r="B1066" t="s">
        <v>64</v>
      </c>
      <c r="C1066" t="s">
        <v>590</v>
      </c>
      <c r="D1066" t="s">
        <v>65</v>
      </c>
      <c r="E1066" s="6">
        <v>1235.93</v>
      </c>
      <c r="F1066" t="s">
        <v>603</v>
      </c>
      <c r="G1066" s="4" t="str">
        <f t="shared" si="98"/>
        <v>1235.93</v>
      </c>
      <c r="H1066" t="str">
        <f t="shared" si="99"/>
        <v>1235.93</v>
      </c>
      <c r="I1066" s="1">
        <v>45761</v>
      </c>
      <c r="J1066" s="2">
        <f t="shared" si="100"/>
        <v>-0.32167045367229774</v>
      </c>
      <c r="K1066" s="3" t="str">
        <f t="shared" si="101"/>
        <v>Check!</v>
      </c>
      <c r="L1066" t="str">
        <f t="shared" si="102"/>
        <v/>
      </c>
      <c r="M1066" t="str">
        <f t="shared" si="103"/>
        <v>Check</v>
      </c>
      <c r="N1066">
        <v>1822.02</v>
      </c>
      <c r="O1066" t="s">
        <v>66</v>
      </c>
      <c r="Q1066" t="s">
        <v>16</v>
      </c>
    </row>
    <row r="1067" spans="1:17" x14ac:dyDescent="0.3">
      <c r="A1067">
        <v>34337</v>
      </c>
      <c r="B1067" t="s">
        <v>64</v>
      </c>
      <c r="C1067" t="s">
        <v>19</v>
      </c>
      <c r="D1067" t="s">
        <v>67</v>
      </c>
      <c r="E1067" s="6">
        <v>30344.87</v>
      </c>
      <c r="F1067" t="s">
        <v>603</v>
      </c>
      <c r="G1067" s="4" t="str">
        <f t="shared" si="98"/>
        <v>30344.87</v>
      </c>
      <c r="H1067" t="str">
        <f t="shared" si="99"/>
        <v>30344.87</v>
      </c>
      <c r="I1067" s="1">
        <v>45761</v>
      </c>
      <c r="J1067" s="2">
        <f t="shared" si="100"/>
        <v>-2.9817610044795877E-2</v>
      </c>
      <c r="K1067" s="3" t="str">
        <f t="shared" si="101"/>
        <v/>
      </c>
      <c r="L1067" t="str">
        <f t="shared" si="102"/>
        <v/>
      </c>
      <c r="M1067" t="str">
        <f t="shared" si="103"/>
        <v/>
      </c>
      <c r="N1067">
        <v>31277.49</v>
      </c>
      <c r="O1067" t="s">
        <v>68</v>
      </c>
      <c r="Q1067" t="s">
        <v>19</v>
      </c>
    </row>
    <row r="1068" spans="1:17" x14ac:dyDescent="0.3">
      <c r="A1068">
        <v>34395</v>
      </c>
      <c r="B1068" t="s">
        <v>69</v>
      </c>
      <c r="C1068" t="s">
        <v>19</v>
      </c>
      <c r="D1068" t="s">
        <v>74</v>
      </c>
      <c r="E1068" s="6">
        <v>6586.55</v>
      </c>
      <c r="F1068" t="s">
        <v>603</v>
      </c>
      <c r="G1068" s="4" t="str">
        <f t="shared" si="98"/>
        <v>6586.55</v>
      </c>
      <c r="H1068" t="str">
        <f t="shared" si="99"/>
        <v>6586.55</v>
      </c>
      <c r="I1068" s="1">
        <v>45761</v>
      </c>
      <c r="J1068" s="2">
        <f t="shared" si="100"/>
        <v>-4.1857413638353894E-2</v>
      </c>
      <c r="K1068" s="3" t="str">
        <f t="shared" si="101"/>
        <v/>
      </c>
      <c r="L1068" t="str">
        <f t="shared" si="102"/>
        <v/>
      </c>
      <c r="M1068" t="str">
        <f t="shared" si="103"/>
        <v/>
      </c>
      <c r="N1068">
        <v>6874.29</v>
      </c>
      <c r="O1068" t="s">
        <v>75</v>
      </c>
      <c r="Q1068" t="s">
        <v>19</v>
      </c>
    </row>
    <row r="1069" spans="1:17" x14ac:dyDescent="0.3">
      <c r="A1069">
        <v>34395</v>
      </c>
      <c r="B1069" t="s">
        <v>69</v>
      </c>
      <c r="C1069" t="s">
        <v>19</v>
      </c>
      <c r="D1069" t="s">
        <v>72</v>
      </c>
      <c r="E1069" s="6">
        <v>4156.32</v>
      </c>
      <c r="F1069" t="s">
        <v>603</v>
      </c>
      <c r="G1069" s="4" t="str">
        <f t="shared" si="98"/>
        <v>4156.32</v>
      </c>
      <c r="H1069" t="str">
        <f t="shared" si="99"/>
        <v>4156.32</v>
      </c>
      <c r="I1069" s="1">
        <v>45761</v>
      </c>
      <c r="J1069" s="2">
        <f t="shared" si="100"/>
        <v>-3.4316755033666366E-2</v>
      </c>
      <c r="K1069" s="3" t="str">
        <f t="shared" si="101"/>
        <v/>
      </c>
      <c r="L1069" t="str">
        <f t="shared" si="102"/>
        <v/>
      </c>
      <c r="M1069" t="str">
        <f t="shared" si="103"/>
        <v/>
      </c>
      <c r="N1069">
        <v>4304.0200000000004</v>
      </c>
      <c r="O1069" t="s">
        <v>73</v>
      </c>
      <c r="Q1069" t="s">
        <v>19</v>
      </c>
    </row>
    <row r="1070" spans="1:17" x14ac:dyDescent="0.3">
      <c r="A1070">
        <v>34395</v>
      </c>
      <c r="B1070" t="s">
        <v>69</v>
      </c>
      <c r="C1070" t="s">
        <v>19</v>
      </c>
      <c r="D1070" t="s">
        <v>70</v>
      </c>
      <c r="E1070" s="6">
        <v>71924.28</v>
      </c>
      <c r="F1070" t="s">
        <v>603</v>
      </c>
      <c r="G1070" s="4" t="str">
        <f t="shared" si="98"/>
        <v>71924.28</v>
      </c>
      <c r="H1070" t="str">
        <f t="shared" si="99"/>
        <v>71924.28</v>
      </c>
      <c r="I1070" s="1">
        <v>45761</v>
      </c>
      <c r="J1070" s="2">
        <f t="shared" si="100"/>
        <v>-5.878131472783487E-2</v>
      </c>
      <c r="K1070" s="3" t="str">
        <f t="shared" si="101"/>
        <v/>
      </c>
      <c r="L1070" t="str">
        <f t="shared" si="102"/>
        <v/>
      </c>
      <c r="M1070" t="str">
        <f t="shared" si="103"/>
        <v/>
      </c>
      <c r="N1070">
        <v>76416.12</v>
      </c>
      <c r="O1070" t="s">
        <v>71</v>
      </c>
      <c r="Q1070" t="s">
        <v>19</v>
      </c>
    </row>
    <row r="1071" spans="1:17" x14ac:dyDescent="0.3">
      <c r="A1071">
        <v>36048</v>
      </c>
      <c r="B1071" t="s">
        <v>76</v>
      </c>
      <c r="C1071" t="s">
        <v>19</v>
      </c>
      <c r="D1071" t="s">
        <v>77</v>
      </c>
      <c r="E1071" s="6">
        <v>831.02</v>
      </c>
      <c r="F1071" t="s">
        <v>603</v>
      </c>
      <c r="G1071" s="4" t="str">
        <f t="shared" si="98"/>
        <v>831.02</v>
      </c>
      <c r="H1071" t="str">
        <f t="shared" si="99"/>
        <v>831.02</v>
      </c>
      <c r="I1071" s="1">
        <v>45761</v>
      </c>
      <c r="J1071" s="2">
        <f t="shared" si="100"/>
        <v>-0.11445712519846976</v>
      </c>
      <c r="K1071" s="3" t="str">
        <f t="shared" si="101"/>
        <v>Check!</v>
      </c>
      <c r="L1071" t="str">
        <f t="shared" si="102"/>
        <v/>
      </c>
      <c r="M1071" t="str">
        <f t="shared" si="103"/>
        <v/>
      </c>
      <c r="N1071">
        <v>938.43</v>
      </c>
      <c r="O1071" t="s">
        <v>78</v>
      </c>
      <c r="Q1071" t="s">
        <v>19</v>
      </c>
    </row>
    <row r="1072" spans="1:17" x14ac:dyDescent="0.3">
      <c r="A1072">
        <v>36048</v>
      </c>
      <c r="B1072" t="s">
        <v>76</v>
      </c>
      <c r="C1072" t="s">
        <v>19</v>
      </c>
      <c r="D1072" t="s">
        <v>79</v>
      </c>
      <c r="E1072" s="6">
        <v>2115.7399999999998</v>
      </c>
      <c r="F1072" t="s">
        <v>603</v>
      </c>
      <c r="G1072" s="4" t="str">
        <f t="shared" si="98"/>
        <v>2115.74</v>
      </c>
      <c r="H1072" t="str">
        <f t="shared" si="99"/>
        <v>2115.74</v>
      </c>
      <c r="I1072" s="1">
        <v>45761</v>
      </c>
      <c r="J1072" s="2">
        <f t="shared" si="100"/>
        <v>-0.16333237107368412</v>
      </c>
      <c r="K1072" s="3" t="str">
        <f t="shared" si="101"/>
        <v>Check!</v>
      </c>
      <c r="L1072" t="str">
        <f t="shared" si="102"/>
        <v/>
      </c>
      <c r="M1072" t="str">
        <f t="shared" si="103"/>
        <v/>
      </c>
      <c r="N1072">
        <v>2528.77</v>
      </c>
      <c r="O1072" t="s">
        <v>80</v>
      </c>
      <c r="Q1072" t="s">
        <v>19</v>
      </c>
    </row>
    <row r="1073" spans="1:17" x14ac:dyDescent="0.3">
      <c r="A1073">
        <v>36059</v>
      </c>
      <c r="B1073" t="s">
        <v>81</v>
      </c>
      <c r="C1073" t="s">
        <v>19</v>
      </c>
      <c r="D1073" t="s">
        <v>82</v>
      </c>
      <c r="E1073" s="6">
        <v>10253.75</v>
      </c>
      <c r="F1073" t="s">
        <v>603</v>
      </c>
      <c r="G1073" s="4" t="str">
        <f t="shared" si="98"/>
        <v>10253.75</v>
      </c>
      <c r="H1073" t="str">
        <f t="shared" si="99"/>
        <v>10253.75</v>
      </c>
      <c r="I1073" s="1">
        <v>45761</v>
      </c>
      <c r="J1073" s="2">
        <f t="shared" si="100"/>
        <v>-7.4810112191257536E-2</v>
      </c>
      <c r="K1073" s="3" t="str">
        <f t="shared" si="101"/>
        <v/>
      </c>
      <c r="L1073" t="str">
        <f t="shared" si="102"/>
        <v/>
      </c>
      <c r="M1073" t="str">
        <f t="shared" si="103"/>
        <v/>
      </c>
      <c r="N1073">
        <v>11082.86</v>
      </c>
      <c r="O1073" t="s">
        <v>83</v>
      </c>
      <c r="Q1073" t="s">
        <v>19</v>
      </c>
    </row>
    <row r="1074" spans="1:17" x14ac:dyDescent="0.3">
      <c r="A1074">
        <v>36059</v>
      </c>
      <c r="B1074" t="s">
        <v>81</v>
      </c>
      <c r="C1074" t="s">
        <v>19</v>
      </c>
      <c r="D1074" t="s">
        <v>84</v>
      </c>
      <c r="E1074" s="6">
        <v>6783.1</v>
      </c>
      <c r="F1074" t="s">
        <v>603</v>
      </c>
      <c r="G1074" s="4" t="str">
        <f t="shared" si="98"/>
        <v>6783.1</v>
      </c>
      <c r="H1074" t="str">
        <f t="shared" si="99"/>
        <v>6783.1</v>
      </c>
      <c r="I1074" s="1">
        <v>45761</v>
      </c>
      <c r="J1074" s="2">
        <f t="shared" si="100"/>
        <v>-6.8545934166132264E-2</v>
      </c>
      <c r="K1074" s="3" t="str">
        <f t="shared" si="101"/>
        <v/>
      </c>
      <c r="L1074" t="str">
        <f t="shared" si="102"/>
        <v/>
      </c>
      <c r="M1074" t="str">
        <f t="shared" si="103"/>
        <v/>
      </c>
      <c r="N1074">
        <v>7282.27</v>
      </c>
      <c r="O1074" t="s">
        <v>85</v>
      </c>
      <c r="Q1074" t="s">
        <v>19</v>
      </c>
    </row>
    <row r="1075" spans="1:17" x14ac:dyDescent="0.3">
      <c r="A1075">
        <v>36060</v>
      </c>
      <c r="B1075" t="s">
        <v>86</v>
      </c>
      <c r="C1075" t="s">
        <v>19</v>
      </c>
      <c r="D1075" t="s">
        <v>87</v>
      </c>
      <c r="E1075" s="6">
        <v>414</v>
      </c>
      <c r="F1075" t="s">
        <v>603</v>
      </c>
      <c r="G1075" s="4" t="str">
        <f t="shared" si="98"/>
        <v>414</v>
      </c>
      <c r="H1075" t="str">
        <f t="shared" si="99"/>
        <v>414</v>
      </c>
      <c r="I1075" s="1">
        <v>45761</v>
      </c>
      <c r="J1075" s="2">
        <f t="shared" si="100"/>
        <v>-0.68758961046801192</v>
      </c>
      <c r="K1075" s="3" t="str">
        <f t="shared" si="101"/>
        <v>Check!</v>
      </c>
      <c r="L1075" t="str">
        <f t="shared" si="102"/>
        <v/>
      </c>
      <c r="M1075" t="str">
        <f t="shared" si="103"/>
        <v/>
      </c>
      <c r="N1075">
        <v>1325.18</v>
      </c>
      <c r="O1075" t="s">
        <v>88</v>
      </c>
      <c r="Q1075" t="s">
        <v>19</v>
      </c>
    </row>
    <row r="1076" spans="1:17" x14ac:dyDescent="0.3">
      <c r="A1076">
        <v>36060</v>
      </c>
      <c r="B1076" t="s">
        <v>86</v>
      </c>
      <c r="C1076" t="s">
        <v>19</v>
      </c>
      <c r="D1076" t="s">
        <v>89</v>
      </c>
      <c r="E1076" s="6">
        <v>915.75</v>
      </c>
      <c r="F1076" t="s">
        <v>603</v>
      </c>
      <c r="G1076" s="4" t="str">
        <f t="shared" si="98"/>
        <v>915.75</v>
      </c>
      <c r="H1076" t="str">
        <f t="shared" si="99"/>
        <v>915.75</v>
      </c>
      <c r="I1076" s="1">
        <v>45761</v>
      </c>
      <c r="J1076" s="2">
        <f t="shared" si="100"/>
        <v>5.8254558901703335E-2</v>
      </c>
      <c r="K1076" s="3" t="str">
        <f t="shared" si="101"/>
        <v/>
      </c>
      <c r="L1076" t="str">
        <f t="shared" si="102"/>
        <v/>
      </c>
      <c r="M1076" t="str">
        <f t="shared" si="103"/>
        <v/>
      </c>
      <c r="N1076">
        <v>865.34</v>
      </c>
      <c r="O1076" t="s">
        <v>90</v>
      </c>
      <c r="Q1076" t="s">
        <v>19</v>
      </c>
    </row>
    <row r="1077" spans="1:17" x14ac:dyDescent="0.3">
      <c r="A1077">
        <v>36062</v>
      </c>
      <c r="B1077" t="s">
        <v>91</v>
      </c>
      <c r="C1077" t="s">
        <v>611</v>
      </c>
      <c r="D1077" t="s">
        <v>92</v>
      </c>
      <c r="E1077" s="6">
        <v>18449.25</v>
      </c>
      <c r="F1077" t="s">
        <v>603</v>
      </c>
      <c r="G1077" s="4" t="str">
        <f t="shared" si="98"/>
        <v>18449.25</v>
      </c>
      <c r="H1077" t="str">
        <f t="shared" si="99"/>
        <v>18449.25</v>
      </c>
      <c r="I1077" s="1">
        <v>45761</v>
      </c>
      <c r="J1077" s="2">
        <f t="shared" si="100"/>
        <v>-2.1723914493603495E-2</v>
      </c>
      <c r="K1077" s="3" t="str">
        <f t="shared" si="101"/>
        <v/>
      </c>
      <c r="L1077" t="str">
        <f t="shared" si="102"/>
        <v/>
      </c>
      <c r="M1077" t="str">
        <f t="shared" si="103"/>
        <v>Check</v>
      </c>
      <c r="N1077">
        <v>18858.939999999999</v>
      </c>
      <c r="O1077" t="s">
        <v>93</v>
      </c>
      <c r="Q1077" t="s">
        <v>41</v>
      </c>
    </row>
    <row r="1078" spans="1:17" x14ac:dyDescent="0.3">
      <c r="A1078">
        <v>36062</v>
      </c>
      <c r="B1078" t="s">
        <v>91</v>
      </c>
      <c r="C1078" t="s">
        <v>606</v>
      </c>
      <c r="D1078" t="s">
        <v>613</v>
      </c>
      <c r="E1078" s="6">
        <v>2163.42</v>
      </c>
      <c r="F1078" t="s">
        <v>603</v>
      </c>
      <c r="G1078" s="4" t="str">
        <f t="shared" si="98"/>
        <v>2163.42</v>
      </c>
      <c r="H1078" t="str">
        <f t="shared" si="99"/>
        <v>2163.42</v>
      </c>
      <c r="I1078" s="1">
        <v>45761</v>
      </c>
      <c r="J1078" s="2">
        <f t="shared" si="100"/>
        <v>-9.4366835620390398E-3</v>
      </c>
      <c r="K1078" s="3" t="str">
        <f t="shared" si="101"/>
        <v/>
      </c>
      <c r="L1078" t="str">
        <f t="shared" si="102"/>
        <v/>
      </c>
      <c r="M1078" t="str">
        <f t="shared" si="103"/>
        <v/>
      </c>
      <c r="N1078">
        <v>2184.0300000000002</v>
      </c>
      <c r="O1078" t="s">
        <v>647</v>
      </c>
      <c r="Q1078" t="s">
        <v>606</v>
      </c>
    </row>
    <row r="1079" spans="1:17" x14ac:dyDescent="0.3">
      <c r="A1079">
        <v>36355</v>
      </c>
      <c r="B1079" t="s">
        <v>94</v>
      </c>
      <c r="C1079" t="s">
        <v>19</v>
      </c>
      <c r="D1079" t="s">
        <v>95</v>
      </c>
      <c r="E1079" s="6">
        <v>310.92</v>
      </c>
      <c r="F1079" t="s">
        <v>603</v>
      </c>
      <c r="G1079" s="4" t="str">
        <f t="shared" si="98"/>
        <v>310.92</v>
      </c>
      <c r="H1079" t="str">
        <f t="shared" si="99"/>
        <v>310.92</v>
      </c>
      <c r="I1079" s="1">
        <v>45761</v>
      </c>
      <c r="J1079" s="2">
        <f t="shared" si="100"/>
        <v>-1.3015046663703784E-2</v>
      </c>
      <c r="K1079" s="3" t="str">
        <f t="shared" si="101"/>
        <v/>
      </c>
      <c r="L1079" t="str">
        <f t="shared" si="102"/>
        <v/>
      </c>
      <c r="M1079" t="str">
        <f t="shared" si="103"/>
        <v/>
      </c>
      <c r="N1079">
        <v>315.02</v>
      </c>
      <c r="O1079" t="s">
        <v>96</v>
      </c>
      <c r="Q1079" t="s">
        <v>19</v>
      </c>
    </row>
    <row r="1080" spans="1:17" x14ac:dyDescent="0.3">
      <c r="A1080">
        <v>37040</v>
      </c>
      <c r="B1080" t="s">
        <v>596</v>
      </c>
      <c r="C1080" t="s">
        <v>19</v>
      </c>
      <c r="D1080" t="s">
        <v>97</v>
      </c>
      <c r="E1080" s="6">
        <v>278.13</v>
      </c>
      <c r="F1080" t="s">
        <v>603</v>
      </c>
      <c r="G1080" s="4" t="str">
        <f t="shared" si="98"/>
        <v>278.13</v>
      </c>
      <c r="H1080" t="str">
        <f t="shared" si="99"/>
        <v>278.13</v>
      </c>
      <c r="I1080" s="1">
        <v>45761</v>
      </c>
      <c r="J1080" s="2">
        <f t="shared" si="100"/>
        <v>-0.64989552126079397</v>
      </c>
      <c r="K1080" s="3" t="str">
        <f t="shared" si="101"/>
        <v>Check!</v>
      </c>
      <c r="L1080" t="str">
        <f t="shared" si="102"/>
        <v/>
      </c>
      <c r="M1080" t="str">
        <f t="shared" si="103"/>
        <v/>
      </c>
      <c r="N1080">
        <v>794.42</v>
      </c>
      <c r="O1080" t="s">
        <v>98</v>
      </c>
      <c r="Q1080" t="s">
        <v>19</v>
      </c>
    </row>
    <row r="1081" spans="1:17" x14ac:dyDescent="0.3">
      <c r="A1081">
        <v>37041</v>
      </c>
      <c r="B1081" t="s">
        <v>99</v>
      </c>
      <c r="C1081" t="s">
        <v>19</v>
      </c>
      <c r="D1081" t="s">
        <v>100</v>
      </c>
      <c r="E1081" s="6">
        <v>1582.88</v>
      </c>
      <c r="F1081" t="s">
        <v>603</v>
      </c>
      <c r="G1081" s="4" t="str">
        <f t="shared" si="98"/>
        <v>1582.88</v>
      </c>
      <c r="H1081" t="str">
        <f t="shared" si="99"/>
        <v>1582.88</v>
      </c>
      <c r="I1081" s="1">
        <v>45761</v>
      </c>
      <c r="J1081" s="2">
        <f t="shared" si="100"/>
        <v>-3.450547439690136E-2</v>
      </c>
      <c r="K1081" s="3" t="str">
        <f t="shared" si="101"/>
        <v/>
      </c>
      <c r="L1081" t="str">
        <f t="shared" si="102"/>
        <v/>
      </c>
      <c r="M1081" t="str">
        <f t="shared" si="103"/>
        <v/>
      </c>
      <c r="N1081">
        <v>1639.45</v>
      </c>
      <c r="O1081" t="s">
        <v>101</v>
      </c>
      <c r="Q1081" t="s">
        <v>19</v>
      </c>
    </row>
    <row r="1082" spans="1:17" x14ac:dyDescent="0.3">
      <c r="A1082">
        <v>38586</v>
      </c>
      <c r="B1082" t="s">
        <v>102</v>
      </c>
      <c r="C1082" t="s">
        <v>19</v>
      </c>
      <c r="D1082" t="s">
        <v>103</v>
      </c>
      <c r="E1082" s="6">
        <v>1471.26</v>
      </c>
      <c r="F1082" t="s">
        <v>603</v>
      </c>
      <c r="G1082" s="4" t="str">
        <f t="shared" si="98"/>
        <v>1471.26</v>
      </c>
      <c r="H1082" t="str">
        <f t="shared" si="99"/>
        <v>1471.26</v>
      </c>
      <c r="I1082" s="1">
        <v>45761</v>
      </c>
      <c r="J1082" s="2">
        <f t="shared" si="100"/>
        <v>3.9267625929771711E-2</v>
      </c>
      <c r="K1082" s="3" t="str">
        <f t="shared" si="101"/>
        <v/>
      </c>
      <c r="L1082" t="str">
        <f t="shared" si="102"/>
        <v/>
      </c>
      <c r="M1082" t="str">
        <f t="shared" si="103"/>
        <v/>
      </c>
      <c r="N1082">
        <v>1415.67</v>
      </c>
      <c r="O1082" t="s">
        <v>104</v>
      </c>
      <c r="Q1082" t="s">
        <v>19</v>
      </c>
    </row>
    <row r="1083" spans="1:17" x14ac:dyDescent="0.3">
      <c r="A1083">
        <v>38842</v>
      </c>
      <c r="B1083" t="s">
        <v>105</v>
      </c>
      <c r="C1083" t="s">
        <v>19</v>
      </c>
      <c r="D1083" t="s">
        <v>106</v>
      </c>
      <c r="E1083" s="6">
        <v>1158.28</v>
      </c>
      <c r="F1083" t="s">
        <v>603</v>
      </c>
      <c r="G1083" s="4" t="str">
        <f t="shared" si="98"/>
        <v>1158.28</v>
      </c>
      <c r="H1083" t="str">
        <f t="shared" si="99"/>
        <v>1158.28</v>
      </c>
      <c r="I1083" s="1">
        <v>45761</v>
      </c>
      <c r="J1083" s="2">
        <f t="shared" si="100"/>
        <v>4.9518407437275043E-2</v>
      </c>
      <c r="K1083" s="3" t="str">
        <f t="shared" si="101"/>
        <v/>
      </c>
      <c r="L1083" t="str">
        <f t="shared" si="102"/>
        <v/>
      </c>
      <c r="M1083" t="str">
        <f t="shared" si="103"/>
        <v/>
      </c>
      <c r="N1083">
        <v>1103.6300000000001</v>
      </c>
      <c r="O1083" t="s">
        <v>107</v>
      </c>
      <c r="Q1083" t="s">
        <v>19</v>
      </c>
    </row>
    <row r="1084" spans="1:17" x14ac:dyDescent="0.3">
      <c r="A1084">
        <v>38851</v>
      </c>
      <c r="B1084" t="s">
        <v>108</v>
      </c>
      <c r="C1084" t="s">
        <v>19</v>
      </c>
      <c r="D1084" t="s">
        <v>109</v>
      </c>
      <c r="E1084" s="6">
        <v>102.74</v>
      </c>
      <c r="F1084" t="s">
        <v>603</v>
      </c>
      <c r="G1084" s="4" t="str">
        <f t="shared" si="98"/>
        <v>102.74</v>
      </c>
      <c r="H1084" t="str">
        <f t="shared" si="99"/>
        <v>102.74</v>
      </c>
      <c r="I1084" s="1">
        <v>45761</v>
      </c>
      <c r="J1084" s="2">
        <f t="shared" si="100"/>
        <v>-2.0497664219658745E-2</v>
      </c>
      <c r="K1084" s="3" t="str">
        <f t="shared" si="101"/>
        <v/>
      </c>
      <c r="L1084" t="str">
        <f t="shared" si="102"/>
        <v/>
      </c>
      <c r="M1084" t="str">
        <f t="shared" si="103"/>
        <v/>
      </c>
      <c r="N1084">
        <v>104.89</v>
      </c>
      <c r="O1084" t="s">
        <v>110</v>
      </c>
      <c r="Q1084" t="s">
        <v>19</v>
      </c>
    </row>
    <row r="1085" spans="1:17" x14ac:dyDescent="0.3">
      <c r="A1085">
        <v>38887</v>
      </c>
      <c r="B1085" t="s">
        <v>111</v>
      </c>
      <c r="C1085" t="s">
        <v>19</v>
      </c>
      <c r="D1085" t="s">
        <v>112</v>
      </c>
      <c r="E1085" s="6">
        <v>298.45999999999998</v>
      </c>
      <c r="F1085" t="s">
        <v>603</v>
      </c>
      <c r="G1085" s="4" t="str">
        <f t="shared" si="98"/>
        <v>298.46</v>
      </c>
      <c r="H1085" t="str">
        <f t="shared" si="99"/>
        <v>298.46</v>
      </c>
      <c r="I1085" s="1">
        <v>45761</v>
      </c>
      <c r="J1085" s="2">
        <f t="shared" si="100"/>
        <v>-8.5572474646894839E-2</v>
      </c>
      <c r="K1085" s="3" t="str">
        <f t="shared" si="101"/>
        <v/>
      </c>
      <c r="L1085" t="str">
        <f t="shared" si="102"/>
        <v/>
      </c>
      <c r="M1085" t="str">
        <f t="shared" si="103"/>
        <v/>
      </c>
      <c r="N1085">
        <v>326.39</v>
      </c>
      <c r="O1085" t="s">
        <v>113</v>
      </c>
      <c r="Q1085" t="s">
        <v>19</v>
      </c>
    </row>
    <row r="1086" spans="1:17" x14ac:dyDescent="0.3">
      <c r="A1086">
        <v>41695</v>
      </c>
      <c r="B1086" t="s">
        <v>114</v>
      </c>
      <c r="C1086" t="s">
        <v>611</v>
      </c>
      <c r="D1086" t="s">
        <v>115</v>
      </c>
      <c r="E1086" s="6">
        <v>4884.1899999999996</v>
      </c>
      <c r="F1086" t="s">
        <v>603</v>
      </c>
      <c r="G1086" s="4" t="str">
        <f t="shared" si="98"/>
        <v>4884.19</v>
      </c>
      <c r="H1086" t="str">
        <f t="shared" si="99"/>
        <v>4884.19</v>
      </c>
      <c r="I1086" s="1">
        <v>45761</v>
      </c>
      <c r="J1086" s="2">
        <f t="shared" si="100"/>
        <v>-1.1857651533543857E-2</v>
      </c>
      <c r="K1086" s="3" t="str">
        <f t="shared" si="101"/>
        <v/>
      </c>
      <c r="L1086" t="str">
        <f t="shared" si="102"/>
        <v/>
      </c>
      <c r="M1086" t="str">
        <f t="shared" si="103"/>
        <v>Check</v>
      </c>
      <c r="N1086">
        <v>4942.8</v>
      </c>
      <c r="O1086" t="s">
        <v>116</v>
      </c>
      <c r="Q1086" t="s">
        <v>41</v>
      </c>
    </row>
    <row r="1087" spans="1:17" x14ac:dyDescent="0.3">
      <c r="A1087">
        <v>41695</v>
      </c>
      <c r="B1087" t="s">
        <v>114</v>
      </c>
      <c r="C1087" t="s">
        <v>606</v>
      </c>
      <c r="D1087" t="s">
        <v>614</v>
      </c>
      <c r="E1087" s="6">
        <v>535.38</v>
      </c>
      <c r="F1087" t="s">
        <v>603</v>
      </c>
      <c r="G1087" s="4" t="str">
        <f t="shared" si="98"/>
        <v>535.38</v>
      </c>
      <c r="H1087" t="str">
        <f t="shared" si="99"/>
        <v>535.38</v>
      </c>
      <c r="I1087" s="1">
        <v>45761</v>
      </c>
      <c r="J1087" s="2">
        <f t="shared" si="100"/>
        <v>-2.2279849519704964E-2</v>
      </c>
      <c r="K1087" s="3" t="str">
        <f t="shared" si="101"/>
        <v/>
      </c>
      <c r="L1087" t="str">
        <f t="shared" si="102"/>
        <v/>
      </c>
      <c r="M1087" t="str">
        <f t="shared" si="103"/>
        <v/>
      </c>
      <c r="N1087">
        <v>547.58000000000004</v>
      </c>
      <c r="O1087" t="s">
        <v>648</v>
      </c>
      <c r="Q1087" t="s">
        <v>606</v>
      </c>
    </row>
    <row r="1088" spans="1:17" x14ac:dyDescent="0.3">
      <c r="A1088">
        <v>41695</v>
      </c>
      <c r="B1088" t="s">
        <v>114</v>
      </c>
      <c r="C1088" t="s">
        <v>590</v>
      </c>
      <c r="D1088" t="s">
        <v>117</v>
      </c>
      <c r="E1088" s="6">
        <v>36260.379999999997</v>
      </c>
      <c r="F1088" t="s">
        <v>603</v>
      </c>
      <c r="G1088" s="4" t="str">
        <f t="shared" si="98"/>
        <v>36260.38</v>
      </c>
      <c r="H1088" t="str">
        <f t="shared" si="99"/>
        <v>36260.38</v>
      </c>
      <c r="I1088" s="1">
        <v>45761</v>
      </c>
      <c r="J1088" s="2">
        <f t="shared" si="100"/>
        <v>-1.5612488669244434E-3</v>
      </c>
      <c r="K1088" s="3" t="str">
        <f t="shared" si="101"/>
        <v/>
      </c>
      <c r="L1088" t="str">
        <f t="shared" si="102"/>
        <v/>
      </c>
      <c r="M1088" t="str">
        <f t="shared" si="103"/>
        <v>Check</v>
      </c>
      <c r="N1088">
        <v>36317.08</v>
      </c>
      <c r="O1088" t="s">
        <v>581</v>
      </c>
      <c r="Q1088" t="s">
        <v>16</v>
      </c>
    </row>
    <row r="1089" spans="1:17" x14ac:dyDescent="0.3">
      <c r="A1089">
        <v>46589</v>
      </c>
      <c r="B1089" t="s">
        <v>638</v>
      </c>
      <c r="C1089" t="s">
        <v>19</v>
      </c>
      <c r="D1089" t="s">
        <v>120</v>
      </c>
      <c r="E1089" s="6">
        <v>1443.47</v>
      </c>
      <c r="F1089" t="s">
        <v>603</v>
      </c>
      <c r="G1089" s="4" t="str">
        <f t="shared" si="98"/>
        <v>1443.47</v>
      </c>
      <c r="H1089" t="str">
        <f t="shared" si="99"/>
        <v>1443.47</v>
      </c>
      <c r="I1089" s="1">
        <v>45761</v>
      </c>
      <c r="J1089" s="2">
        <f t="shared" si="100"/>
        <v>4.1044022617124455E-2</v>
      </c>
      <c r="K1089" s="3" t="str">
        <f t="shared" si="101"/>
        <v/>
      </c>
      <c r="L1089" t="str">
        <f t="shared" si="102"/>
        <v/>
      </c>
      <c r="M1089" t="str">
        <f t="shared" si="103"/>
        <v/>
      </c>
      <c r="N1089">
        <v>1386.56</v>
      </c>
      <c r="O1089" t="s">
        <v>121</v>
      </c>
      <c r="Q1089" t="s">
        <v>19</v>
      </c>
    </row>
    <row r="1090" spans="1:17" x14ac:dyDescent="0.3">
      <c r="A1090">
        <v>46589</v>
      </c>
      <c r="B1090" t="s">
        <v>638</v>
      </c>
      <c r="C1090" t="s">
        <v>19</v>
      </c>
      <c r="D1090" t="s">
        <v>118</v>
      </c>
      <c r="E1090" s="6">
        <v>32931.440000000002</v>
      </c>
      <c r="F1090" t="s">
        <v>603</v>
      </c>
      <c r="G1090" s="4" t="str">
        <f t="shared" si="98"/>
        <v>32931.44</v>
      </c>
      <c r="H1090" t="str">
        <f t="shared" si="99"/>
        <v>32931.44</v>
      </c>
      <c r="I1090" s="1">
        <v>45761</v>
      </c>
      <c r="J1090" s="2">
        <f t="shared" si="100"/>
        <v>-2.1107250801985004E-2</v>
      </c>
      <c r="K1090" s="3" t="str">
        <f t="shared" si="101"/>
        <v/>
      </c>
      <c r="L1090" t="str">
        <f t="shared" si="102"/>
        <v/>
      </c>
      <c r="M1090" t="str">
        <f t="shared" si="103"/>
        <v/>
      </c>
      <c r="N1090">
        <v>33641.519999999997</v>
      </c>
      <c r="O1090" t="s">
        <v>119</v>
      </c>
      <c r="Q1090" t="s">
        <v>19</v>
      </c>
    </row>
    <row r="1091" spans="1:17" x14ac:dyDescent="0.3">
      <c r="A1091">
        <v>54985</v>
      </c>
      <c r="B1091" t="s">
        <v>122</v>
      </c>
      <c r="C1091" t="s">
        <v>19</v>
      </c>
      <c r="D1091" t="s">
        <v>123</v>
      </c>
      <c r="E1091" s="6">
        <v>409.89</v>
      </c>
      <c r="F1091" t="s">
        <v>603</v>
      </c>
      <c r="G1091" s="4" t="str">
        <f t="shared" ref="G1091:G1154" si="104">SUBSTITUTE(E1091,"R","")</f>
        <v>409.89</v>
      </c>
      <c r="H1091" t="str">
        <f t="shared" ref="H1091:H1154" si="105">SUBSTITUTE(G1091,",","")</f>
        <v>409.89</v>
      </c>
      <c r="I1091" s="1">
        <v>45761</v>
      </c>
      <c r="J1091" s="2">
        <f t="shared" ref="J1091:J1154" si="106">(H1091-N1091)/N1091</f>
        <v>-4.3238516287318228E-3</v>
      </c>
      <c r="K1091" s="3" t="str">
        <f t="shared" ref="K1091:K1154" si="107">IF(ABS(J1091)&gt;0.1,"Check!","")</f>
        <v/>
      </c>
      <c r="L1091" t="str">
        <f t="shared" ref="L1091:L1154" si="108">IF(LEFT(O1091,10)&lt;&gt;LEFT(D1091,10),"Check","")</f>
        <v/>
      </c>
      <c r="M1091" t="str">
        <f t="shared" ref="M1091:M1154" si="109">IF(Q1091&lt;&gt;C1091,"Check","")</f>
        <v/>
      </c>
      <c r="N1091">
        <v>411.67</v>
      </c>
      <c r="O1091" t="s">
        <v>124</v>
      </c>
      <c r="Q1091" t="s">
        <v>19</v>
      </c>
    </row>
    <row r="1092" spans="1:17" x14ac:dyDescent="0.3">
      <c r="A1092">
        <v>61172</v>
      </c>
      <c r="B1092" t="s">
        <v>125</v>
      </c>
      <c r="C1092" t="s">
        <v>611</v>
      </c>
      <c r="D1092" t="s">
        <v>126</v>
      </c>
      <c r="E1092" s="6">
        <v>37517.19</v>
      </c>
      <c r="F1092" t="s">
        <v>603</v>
      </c>
      <c r="G1092" s="4" t="str">
        <f t="shared" si="104"/>
        <v>37517.19</v>
      </c>
      <c r="H1092" t="str">
        <f t="shared" si="105"/>
        <v>37517.19</v>
      </c>
      <c r="I1092" s="1">
        <v>45761</v>
      </c>
      <c r="J1092" s="2">
        <f t="shared" si="106"/>
        <v>-2.080680391884086E-2</v>
      </c>
      <c r="K1092" s="3" t="str">
        <f t="shared" si="107"/>
        <v/>
      </c>
      <c r="L1092" t="str">
        <f t="shared" si="108"/>
        <v/>
      </c>
      <c r="M1092" t="str">
        <f t="shared" si="109"/>
        <v>Check</v>
      </c>
      <c r="N1092">
        <v>38314.39</v>
      </c>
      <c r="O1092" t="s">
        <v>127</v>
      </c>
      <c r="Q1092" t="s">
        <v>41</v>
      </c>
    </row>
    <row r="1093" spans="1:17" x14ac:dyDescent="0.3">
      <c r="A1093">
        <v>61172</v>
      </c>
      <c r="B1093" t="s">
        <v>125</v>
      </c>
      <c r="C1093" t="s">
        <v>606</v>
      </c>
      <c r="D1093" t="s">
        <v>615</v>
      </c>
      <c r="E1093" s="6">
        <v>3277.17</v>
      </c>
      <c r="F1093" t="s">
        <v>603</v>
      </c>
      <c r="G1093" s="4" t="str">
        <f t="shared" si="104"/>
        <v>3277.17</v>
      </c>
      <c r="H1093" t="str">
        <f t="shared" si="105"/>
        <v>3277.17</v>
      </c>
      <c r="I1093" s="1">
        <v>45761</v>
      </c>
      <c r="J1093" s="2">
        <f t="shared" si="106"/>
        <v>-1.2085275196999977E-2</v>
      </c>
      <c r="K1093" s="3" t="str">
        <f t="shared" si="107"/>
        <v/>
      </c>
      <c r="L1093" t="str">
        <f t="shared" si="108"/>
        <v/>
      </c>
      <c r="M1093" t="str">
        <f t="shared" si="109"/>
        <v/>
      </c>
      <c r="N1093">
        <v>3317.26</v>
      </c>
      <c r="O1093" t="s">
        <v>649</v>
      </c>
      <c r="Q1093" t="s">
        <v>606</v>
      </c>
    </row>
    <row r="1094" spans="1:17" x14ac:dyDescent="0.3">
      <c r="A1094">
        <v>62166</v>
      </c>
      <c r="B1094" t="s">
        <v>128</v>
      </c>
      <c r="C1094" t="s">
        <v>611</v>
      </c>
      <c r="D1094" t="s">
        <v>129</v>
      </c>
      <c r="E1094" s="6">
        <v>32263.21</v>
      </c>
      <c r="F1094" t="s">
        <v>603</v>
      </c>
      <c r="G1094" s="4" t="str">
        <f t="shared" si="104"/>
        <v>32263.21</v>
      </c>
      <c r="H1094" t="str">
        <f t="shared" si="105"/>
        <v>32263.21</v>
      </c>
      <c r="I1094" s="1">
        <v>45761</v>
      </c>
      <c r="J1094" s="2">
        <f t="shared" si="106"/>
        <v>-2.2807866674097319E-2</v>
      </c>
      <c r="K1094" s="3" t="str">
        <f t="shared" si="107"/>
        <v/>
      </c>
      <c r="L1094" t="str">
        <f t="shared" si="108"/>
        <v/>
      </c>
      <c r="M1094" t="str">
        <f t="shared" si="109"/>
        <v>Check</v>
      </c>
      <c r="N1094">
        <v>33016.239999999998</v>
      </c>
      <c r="O1094" t="s">
        <v>130</v>
      </c>
      <c r="Q1094" t="s">
        <v>41</v>
      </c>
    </row>
    <row r="1095" spans="1:17" x14ac:dyDescent="0.3">
      <c r="A1095">
        <v>62166</v>
      </c>
      <c r="B1095" t="s">
        <v>128</v>
      </c>
      <c r="C1095" t="s">
        <v>606</v>
      </c>
      <c r="D1095" t="s">
        <v>616</v>
      </c>
      <c r="E1095" s="6">
        <v>3249.11</v>
      </c>
      <c r="F1095" t="s">
        <v>603</v>
      </c>
      <c r="G1095" s="4" t="str">
        <f t="shared" si="104"/>
        <v>3249.11</v>
      </c>
      <c r="H1095" t="str">
        <f t="shared" si="105"/>
        <v>3249.11</v>
      </c>
      <c r="I1095" s="1">
        <v>45761</v>
      </c>
      <c r="J1095" s="2">
        <f t="shared" si="106"/>
        <v>-1.3942125309175902E-2</v>
      </c>
      <c r="K1095" s="3" t="str">
        <f t="shared" si="107"/>
        <v/>
      </c>
      <c r="L1095" t="str">
        <f t="shared" si="108"/>
        <v/>
      </c>
      <c r="M1095" t="str">
        <f t="shared" si="109"/>
        <v/>
      </c>
      <c r="N1095">
        <v>3295.05</v>
      </c>
      <c r="O1095" t="s">
        <v>650</v>
      </c>
      <c r="Q1095" t="s">
        <v>606</v>
      </c>
    </row>
    <row r="1096" spans="1:17" x14ac:dyDescent="0.3">
      <c r="A1096">
        <v>69046</v>
      </c>
      <c r="B1096" t="s">
        <v>131</v>
      </c>
      <c r="C1096" t="s">
        <v>19</v>
      </c>
      <c r="D1096" t="s">
        <v>132</v>
      </c>
      <c r="E1096" s="6">
        <v>7359.55</v>
      </c>
      <c r="F1096" t="s">
        <v>603</v>
      </c>
      <c r="G1096" s="4" t="str">
        <f t="shared" si="104"/>
        <v>7359.55</v>
      </c>
      <c r="H1096" t="str">
        <f t="shared" si="105"/>
        <v>7359.55</v>
      </c>
      <c r="I1096" s="1">
        <v>45761</v>
      </c>
      <c r="J1096" s="2">
        <f t="shared" si="106"/>
        <v>-5.030957155503249E-2</v>
      </c>
      <c r="K1096" s="3" t="str">
        <f t="shared" si="107"/>
        <v/>
      </c>
      <c r="L1096" t="str">
        <f t="shared" si="108"/>
        <v/>
      </c>
      <c r="M1096" t="str">
        <f t="shared" si="109"/>
        <v/>
      </c>
      <c r="N1096">
        <v>7749.42</v>
      </c>
      <c r="O1096" t="s">
        <v>133</v>
      </c>
      <c r="Q1096" t="s">
        <v>19</v>
      </c>
    </row>
    <row r="1097" spans="1:17" x14ac:dyDescent="0.3">
      <c r="A1097">
        <v>72002</v>
      </c>
      <c r="B1097" t="s">
        <v>134</v>
      </c>
      <c r="C1097" t="s">
        <v>590</v>
      </c>
      <c r="D1097" t="s">
        <v>135</v>
      </c>
      <c r="E1097" s="6">
        <v>8497.01</v>
      </c>
      <c r="F1097" t="s">
        <v>603</v>
      </c>
      <c r="G1097" s="4" t="str">
        <f t="shared" si="104"/>
        <v>8497.01</v>
      </c>
      <c r="H1097" t="str">
        <f t="shared" si="105"/>
        <v>8497.01</v>
      </c>
      <c r="I1097" s="1">
        <v>45761</v>
      </c>
      <c r="J1097" s="2">
        <f t="shared" si="106"/>
        <v>-0.12420648377098903</v>
      </c>
      <c r="K1097" s="3" t="str">
        <f t="shared" si="107"/>
        <v>Check!</v>
      </c>
      <c r="L1097" t="str">
        <f t="shared" si="108"/>
        <v/>
      </c>
      <c r="M1097" t="str">
        <f t="shared" si="109"/>
        <v>Check</v>
      </c>
      <c r="N1097">
        <v>9702.07</v>
      </c>
      <c r="O1097" t="s">
        <v>136</v>
      </c>
      <c r="Q1097" t="s">
        <v>16</v>
      </c>
    </row>
    <row r="1098" spans="1:17" x14ac:dyDescent="0.3">
      <c r="A1098">
        <v>72002</v>
      </c>
      <c r="B1098" t="s">
        <v>134</v>
      </c>
      <c r="C1098" t="s">
        <v>19</v>
      </c>
      <c r="D1098" t="s">
        <v>137</v>
      </c>
      <c r="E1098" s="6">
        <v>7055.59</v>
      </c>
      <c r="F1098" t="s">
        <v>603</v>
      </c>
      <c r="G1098" s="4" t="str">
        <f t="shared" si="104"/>
        <v>7055.59</v>
      </c>
      <c r="H1098" t="str">
        <f t="shared" si="105"/>
        <v>7055.59</v>
      </c>
      <c r="I1098" s="1">
        <v>45761</v>
      </c>
      <c r="J1098" s="2">
        <f t="shared" si="106"/>
        <v>-0.12715502310897334</v>
      </c>
      <c r="K1098" s="3" t="str">
        <f t="shared" si="107"/>
        <v>Check!</v>
      </c>
      <c r="L1098" t="str">
        <f t="shared" si="108"/>
        <v/>
      </c>
      <c r="M1098" t="str">
        <f t="shared" si="109"/>
        <v/>
      </c>
      <c r="N1098">
        <v>8083.44</v>
      </c>
      <c r="O1098" t="s">
        <v>138</v>
      </c>
      <c r="Q1098" t="s">
        <v>19</v>
      </c>
    </row>
    <row r="1099" spans="1:17" x14ac:dyDescent="0.3">
      <c r="A1099">
        <v>72002</v>
      </c>
      <c r="B1099" t="s">
        <v>134</v>
      </c>
      <c r="C1099" t="s">
        <v>19</v>
      </c>
      <c r="D1099" t="s">
        <v>139</v>
      </c>
      <c r="E1099" s="6">
        <v>2871.94</v>
      </c>
      <c r="F1099" t="s">
        <v>603</v>
      </c>
      <c r="G1099" s="4" t="str">
        <f t="shared" si="104"/>
        <v>2871.94</v>
      </c>
      <c r="H1099" t="str">
        <f t="shared" si="105"/>
        <v>2871.94</v>
      </c>
      <c r="I1099" s="1">
        <v>45761</v>
      </c>
      <c r="J1099" s="2">
        <f t="shared" si="106"/>
        <v>-1.578478409869772E-2</v>
      </c>
      <c r="K1099" s="3" t="str">
        <f t="shared" si="107"/>
        <v/>
      </c>
      <c r="L1099" t="str">
        <f t="shared" si="108"/>
        <v/>
      </c>
      <c r="M1099" t="str">
        <f t="shared" si="109"/>
        <v/>
      </c>
      <c r="N1099">
        <v>2918</v>
      </c>
      <c r="O1099" t="s">
        <v>140</v>
      </c>
      <c r="Q1099" t="s">
        <v>19</v>
      </c>
    </row>
    <row r="1100" spans="1:17" x14ac:dyDescent="0.3">
      <c r="A1100">
        <v>80212</v>
      </c>
      <c r="B1100" t="s">
        <v>141</v>
      </c>
      <c r="C1100" t="s">
        <v>590</v>
      </c>
      <c r="D1100" t="s">
        <v>142</v>
      </c>
      <c r="E1100" s="6">
        <v>237.04</v>
      </c>
      <c r="F1100" t="s">
        <v>603</v>
      </c>
      <c r="G1100" s="4" t="str">
        <f t="shared" si="104"/>
        <v>237.04</v>
      </c>
      <c r="H1100" t="str">
        <f t="shared" si="105"/>
        <v>237.04</v>
      </c>
      <c r="I1100" s="1">
        <v>45761</v>
      </c>
      <c r="J1100" s="2">
        <f t="shared" si="106"/>
        <v>1.022843504943746E-2</v>
      </c>
      <c r="K1100" s="3" t="str">
        <f t="shared" si="107"/>
        <v/>
      </c>
      <c r="L1100" t="str">
        <f t="shared" si="108"/>
        <v/>
      </c>
      <c r="M1100" t="str">
        <f t="shared" si="109"/>
        <v>Check</v>
      </c>
      <c r="N1100">
        <v>234.64</v>
      </c>
      <c r="O1100" t="s">
        <v>143</v>
      </c>
      <c r="Q1100" t="s">
        <v>16</v>
      </c>
    </row>
    <row r="1101" spans="1:17" x14ac:dyDescent="0.3">
      <c r="A1101">
        <v>80212</v>
      </c>
      <c r="B1101" t="s">
        <v>141</v>
      </c>
      <c r="C1101" t="s">
        <v>611</v>
      </c>
      <c r="D1101" t="s">
        <v>144</v>
      </c>
      <c r="E1101" s="6">
        <v>13702.59</v>
      </c>
      <c r="F1101" t="s">
        <v>603</v>
      </c>
      <c r="G1101" s="4" t="str">
        <f t="shared" si="104"/>
        <v>13702.59</v>
      </c>
      <c r="H1101" t="str">
        <f t="shared" si="105"/>
        <v>13702.59</v>
      </c>
      <c r="I1101" s="1">
        <v>45761</v>
      </c>
      <c r="J1101" s="2">
        <f t="shared" si="106"/>
        <v>-2.1024001097389017E-2</v>
      </c>
      <c r="K1101" s="3" t="str">
        <f t="shared" si="107"/>
        <v/>
      </c>
      <c r="L1101" t="str">
        <f t="shared" si="108"/>
        <v/>
      </c>
      <c r="M1101" t="str">
        <f t="shared" si="109"/>
        <v>Check</v>
      </c>
      <c r="N1101">
        <v>13996.86</v>
      </c>
      <c r="O1101" t="s">
        <v>145</v>
      </c>
      <c r="Q1101" t="s">
        <v>41</v>
      </c>
    </row>
    <row r="1102" spans="1:17" x14ac:dyDescent="0.3">
      <c r="A1102">
        <v>80212</v>
      </c>
      <c r="B1102" t="s">
        <v>141</v>
      </c>
      <c r="C1102" t="s">
        <v>606</v>
      </c>
      <c r="D1102" t="s">
        <v>617</v>
      </c>
      <c r="E1102" s="6">
        <v>1597.43</v>
      </c>
      <c r="F1102" t="s">
        <v>603</v>
      </c>
      <c r="G1102" s="4" t="str">
        <f t="shared" si="104"/>
        <v>1597.43</v>
      </c>
      <c r="H1102" t="str">
        <f t="shared" si="105"/>
        <v>1597.43</v>
      </c>
      <c r="I1102" s="1">
        <v>45761</v>
      </c>
      <c r="J1102" s="2">
        <f t="shared" si="106"/>
        <v>-2.3080169034412328E-2</v>
      </c>
      <c r="K1102" s="3" t="str">
        <f t="shared" si="107"/>
        <v/>
      </c>
      <c r="L1102" t="str">
        <f t="shared" si="108"/>
        <v/>
      </c>
      <c r="M1102" t="str">
        <f t="shared" si="109"/>
        <v/>
      </c>
      <c r="N1102">
        <v>1635.17</v>
      </c>
      <c r="O1102" t="s">
        <v>651</v>
      </c>
      <c r="Q1102" t="s">
        <v>606</v>
      </c>
    </row>
    <row r="1103" spans="1:17" x14ac:dyDescent="0.3">
      <c r="A1103">
        <v>81381</v>
      </c>
      <c r="B1103" t="s">
        <v>593</v>
      </c>
      <c r="C1103" t="s">
        <v>19</v>
      </c>
      <c r="D1103" t="s">
        <v>146</v>
      </c>
      <c r="E1103" s="6">
        <v>2444.5300000000002</v>
      </c>
      <c r="F1103" t="s">
        <v>603</v>
      </c>
      <c r="G1103" s="4" t="str">
        <f t="shared" si="104"/>
        <v>2444.53</v>
      </c>
      <c r="H1103" t="str">
        <f t="shared" si="105"/>
        <v>2444.53</v>
      </c>
      <c r="I1103" s="1">
        <v>45761</v>
      </c>
      <c r="J1103" s="2">
        <f t="shared" si="106"/>
        <v>-8.5805001551999313E-2</v>
      </c>
      <c r="K1103" s="3" t="str">
        <f t="shared" si="107"/>
        <v/>
      </c>
      <c r="L1103" t="str">
        <f t="shared" si="108"/>
        <v/>
      </c>
      <c r="M1103" t="str">
        <f t="shared" si="109"/>
        <v/>
      </c>
      <c r="N1103">
        <v>2673.97</v>
      </c>
      <c r="O1103" t="s">
        <v>147</v>
      </c>
      <c r="Q1103" t="s">
        <v>19</v>
      </c>
    </row>
    <row r="1104" spans="1:17" x14ac:dyDescent="0.3">
      <c r="A1104">
        <v>81381</v>
      </c>
      <c r="B1104" t="s">
        <v>593</v>
      </c>
      <c r="C1104" t="s">
        <v>19</v>
      </c>
      <c r="D1104" t="s">
        <v>148</v>
      </c>
      <c r="E1104" s="6">
        <v>163755.1</v>
      </c>
      <c r="F1104" t="s">
        <v>603</v>
      </c>
      <c r="G1104" s="4" t="str">
        <f t="shared" si="104"/>
        <v>163755.1</v>
      </c>
      <c r="H1104" t="str">
        <f t="shared" si="105"/>
        <v>163755.1</v>
      </c>
      <c r="I1104" s="1">
        <v>45761</v>
      </c>
      <c r="J1104" s="2">
        <f t="shared" si="106"/>
        <v>-1.2890971160254909E-2</v>
      </c>
      <c r="K1104" s="3" t="str">
        <f t="shared" si="107"/>
        <v/>
      </c>
      <c r="L1104" t="str">
        <f t="shared" si="108"/>
        <v/>
      </c>
      <c r="M1104" t="str">
        <f t="shared" si="109"/>
        <v/>
      </c>
      <c r="N1104">
        <v>165893.63</v>
      </c>
      <c r="O1104" t="s">
        <v>149</v>
      </c>
      <c r="Q1104" t="s">
        <v>19</v>
      </c>
    </row>
    <row r="1105" spans="1:17" x14ac:dyDescent="0.3">
      <c r="A1105">
        <v>113590</v>
      </c>
      <c r="B1105" t="s">
        <v>150</v>
      </c>
      <c r="C1105" t="s">
        <v>19</v>
      </c>
      <c r="D1105" t="s">
        <v>151</v>
      </c>
      <c r="E1105" s="6">
        <v>4334.22</v>
      </c>
      <c r="F1105" t="s">
        <v>603</v>
      </c>
      <c r="G1105" s="4" t="str">
        <f t="shared" si="104"/>
        <v>4334.22</v>
      </c>
      <c r="H1105" t="str">
        <f t="shared" si="105"/>
        <v>4334.22</v>
      </c>
      <c r="I1105" s="1">
        <v>45761</v>
      </c>
      <c r="J1105" s="2">
        <f t="shared" si="106"/>
        <v>-3.8005082733134223E-2</v>
      </c>
      <c r="K1105" s="3" t="str">
        <f t="shared" si="107"/>
        <v/>
      </c>
      <c r="L1105" t="str">
        <f t="shared" si="108"/>
        <v/>
      </c>
      <c r="M1105" t="str">
        <f t="shared" si="109"/>
        <v/>
      </c>
      <c r="N1105">
        <v>4505.45</v>
      </c>
      <c r="O1105" t="s">
        <v>152</v>
      </c>
      <c r="Q1105" t="s">
        <v>19</v>
      </c>
    </row>
    <row r="1106" spans="1:17" x14ac:dyDescent="0.3">
      <c r="A1106">
        <v>113590</v>
      </c>
      <c r="B1106" t="s">
        <v>150</v>
      </c>
      <c r="C1106" t="s">
        <v>19</v>
      </c>
      <c r="D1106" t="s">
        <v>153</v>
      </c>
      <c r="E1106" s="6">
        <v>1191.1400000000001</v>
      </c>
      <c r="F1106" t="s">
        <v>603</v>
      </c>
      <c r="G1106" s="4" t="str">
        <f t="shared" si="104"/>
        <v>1191.14</v>
      </c>
      <c r="H1106" t="str">
        <f t="shared" si="105"/>
        <v>1191.14</v>
      </c>
      <c r="I1106" s="1">
        <v>45761</v>
      </c>
      <c r="J1106" s="2">
        <f t="shared" si="106"/>
        <v>-3.3659735687108061E-2</v>
      </c>
      <c r="K1106" s="3" t="str">
        <f t="shared" si="107"/>
        <v/>
      </c>
      <c r="L1106" t="str">
        <f t="shared" si="108"/>
        <v/>
      </c>
      <c r="M1106" t="str">
        <f t="shared" si="109"/>
        <v/>
      </c>
      <c r="N1106">
        <v>1232.6300000000001</v>
      </c>
      <c r="O1106" t="s">
        <v>154</v>
      </c>
      <c r="Q1106" t="s">
        <v>19</v>
      </c>
    </row>
    <row r="1107" spans="1:17" x14ac:dyDescent="0.3">
      <c r="A1107">
        <v>130912</v>
      </c>
      <c r="B1107" t="s">
        <v>604</v>
      </c>
      <c r="C1107" t="s">
        <v>590</v>
      </c>
      <c r="D1107" t="s">
        <v>605</v>
      </c>
      <c r="E1107" s="6">
        <v>4726.42</v>
      </c>
      <c r="F1107" t="s">
        <v>603</v>
      </c>
      <c r="G1107" s="4" t="str">
        <f t="shared" si="104"/>
        <v>4726.42</v>
      </c>
      <c r="H1107" t="str">
        <f t="shared" si="105"/>
        <v>4726.42</v>
      </c>
      <c r="I1107" s="1">
        <v>45761</v>
      </c>
      <c r="J1107" s="2">
        <f t="shared" si="106"/>
        <v>6.1179135232710142E-3</v>
      </c>
      <c r="K1107" s="3" t="str">
        <f t="shared" si="107"/>
        <v/>
      </c>
      <c r="L1107" t="str">
        <f t="shared" si="108"/>
        <v/>
      </c>
      <c r="M1107" t="str">
        <f t="shared" si="109"/>
        <v/>
      </c>
      <c r="N1107">
        <v>4697.68</v>
      </c>
      <c r="O1107" t="s">
        <v>652</v>
      </c>
      <c r="Q1107" t="s">
        <v>590</v>
      </c>
    </row>
    <row r="1108" spans="1:17" x14ac:dyDescent="0.3">
      <c r="A1108">
        <v>133380</v>
      </c>
      <c r="B1108" t="s">
        <v>155</v>
      </c>
      <c r="C1108" t="s">
        <v>611</v>
      </c>
      <c r="D1108" t="s">
        <v>156</v>
      </c>
      <c r="E1108" s="6">
        <v>8383.69</v>
      </c>
      <c r="F1108" t="s">
        <v>603</v>
      </c>
      <c r="G1108" s="4" t="str">
        <f t="shared" si="104"/>
        <v>8383.69</v>
      </c>
      <c r="H1108" t="str">
        <f t="shared" si="105"/>
        <v>8383.69</v>
      </c>
      <c r="I1108" s="1">
        <v>45761</v>
      </c>
      <c r="J1108" s="2">
        <f t="shared" si="106"/>
        <v>-1.8608957865582774E-2</v>
      </c>
      <c r="K1108" s="3" t="str">
        <f t="shared" si="107"/>
        <v/>
      </c>
      <c r="L1108" t="str">
        <f t="shared" si="108"/>
        <v/>
      </c>
      <c r="M1108" t="str">
        <f t="shared" si="109"/>
        <v>Check</v>
      </c>
      <c r="N1108">
        <v>8542.66</v>
      </c>
      <c r="O1108" t="s">
        <v>157</v>
      </c>
      <c r="Q1108" t="s">
        <v>41</v>
      </c>
    </row>
    <row r="1109" spans="1:17" x14ac:dyDescent="0.3">
      <c r="A1109">
        <v>133380</v>
      </c>
      <c r="B1109" t="s">
        <v>155</v>
      </c>
      <c r="C1109" t="s">
        <v>606</v>
      </c>
      <c r="D1109" t="s">
        <v>618</v>
      </c>
      <c r="E1109" s="6">
        <v>952.69</v>
      </c>
      <c r="F1109" t="s">
        <v>603</v>
      </c>
      <c r="G1109" s="4" t="str">
        <f t="shared" si="104"/>
        <v>952.69</v>
      </c>
      <c r="H1109" t="str">
        <f t="shared" si="105"/>
        <v>952.69</v>
      </c>
      <c r="I1109" s="1">
        <v>45761</v>
      </c>
      <c r="J1109" s="2">
        <f t="shared" si="106"/>
        <v>-2.2200098530256993E-2</v>
      </c>
      <c r="K1109" s="3" t="str">
        <f t="shared" si="107"/>
        <v/>
      </c>
      <c r="L1109" t="str">
        <f t="shared" si="108"/>
        <v/>
      </c>
      <c r="M1109" t="str">
        <f t="shared" si="109"/>
        <v/>
      </c>
      <c r="N1109">
        <v>974.32</v>
      </c>
      <c r="O1109" t="s">
        <v>653</v>
      </c>
      <c r="Q1109" t="s">
        <v>606</v>
      </c>
    </row>
    <row r="1110" spans="1:17" x14ac:dyDescent="0.3">
      <c r="A1110">
        <v>133382</v>
      </c>
      <c r="B1110" t="s">
        <v>158</v>
      </c>
      <c r="C1110" t="s">
        <v>611</v>
      </c>
      <c r="D1110" t="s">
        <v>159</v>
      </c>
      <c r="E1110" s="6">
        <v>966.66</v>
      </c>
      <c r="F1110" t="s">
        <v>603</v>
      </c>
      <c r="G1110" s="4" t="str">
        <f t="shared" si="104"/>
        <v>966.66</v>
      </c>
      <c r="H1110" t="str">
        <f t="shared" si="105"/>
        <v>966.66</v>
      </c>
      <c r="I1110" s="1">
        <v>45761</v>
      </c>
      <c r="J1110" s="2">
        <f t="shared" si="106"/>
        <v>-2.3072491889761432E-2</v>
      </c>
      <c r="K1110" s="3" t="str">
        <f t="shared" si="107"/>
        <v/>
      </c>
      <c r="L1110" t="str">
        <f t="shared" si="108"/>
        <v/>
      </c>
      <c r="M1110" t="str">
        <f t="shared" si="109"/>
        <v>Check</v>
      </c>
      <c r="N1110">
        <v>989.49</v>
      </c>
      <c r="O1110" t="s">
        <v>160</v>
      </c>
      <c r="Q1110" t="s">
        <v>41</v>
      </c>
    </row>
    <row r="1111" spans="1:17" x14ac:dyDescent="0.3">
      <c r="A1111">
        <v>133382</v>
      </c>
      <c r="B1111" t="s">
        <v>158</v>
      </c>
      <c r="C1111" t="s">
        <v>606</v>
      </c>
      <c r="D1111" t="s">
        <v>619</v>
      </c>
      <c r="E1111" s="6">
        <v>110.8</v>
      </c>
      <c r="F1111" t="s">
        <v>603</v>
      </c>
      <c r="G1111" s="4" t="str">
        <f t="shared" si="104"/>
        <v>110.8</v>
      </c>
      <c r="H1111" t="str">
        <f t="shared" si="105"/>
        <v>110.8</v>
      </c>
      <c r="I1111" s="1">
        <v>45761</v>
      </c>
      <c r="J1111" s="2">
        <f t="shared" si="106"/>
        <v>-2.1547156481808528E-2</v>
      </c>
      <c r="K1111" s="3" t="str">
        <f t="shared" si="107"/>
        <v/>
      </c>
      <c r="L1111" t="str">
        <f t="shared" si="108"/>
        <v/>
      </c>
      <c r="M1111" t="str">
        <f t="shared" si="109"/>
        <v/>
      </c>
      <c r="N1111">
        <v>113.24</v>
      </c>
      <c r="O1111" t="s">
        <v>654</v>
      </c>
      <c r="Q1111" t="s">
        <v>606</v>
      </c>
    </row>
    <row r="1112" spans="1:17" x14ac:dyDescent="0.3">
      <c r="A1112">
        <v>135931</v>
      </c>
      <c r="B1112" t="s">
        <v>161</v>
      </c>
      <c r="C1112" t="s">
        <v>590</v>
      </c>
      <c r="D1112" t="s">
        <v>162</v>
      </c>
      <c r="E1112" s="6">
        <v>303.73</v>
      </c>
      <c r="F1112" t="s">
        <v>603</v>
      </c>
      <c r="G1112" s="4" t="str">
        <f t="shared" si="104"/>
        <v>303.73</v>
      </c>
      <c r="H1112" t="str">
        <f t="shared" si="105"/>
        <v>303.73</v>
      </c>
      <c r="I1112" s="1">
        <v>45761</v>
      </c>
      <c r="J1112" s="2">
        <f t="shared" si="106"/>
        <v>-0.30739060041502281</v>
      </c>
      <c r="K1112" s="3" t="str">
        <f t="shared" si="107"/>
        <v>Check!</v>
      </c>
      <c r="L1112" t="str">
        <f t="shared" si="108"/>
        <v/>
      </c>
      <c r="M1112" t="str">
        <f t="shared" si="109"/>
        <v>Check</v>
      </c>
      <c r="N1112">
        <v>438.53</v>
      </c>
      <c r="O1112" t="s">
        <v>163</v>
      </c>
      <c r="Q1112" t="s">
        <v>16</v>
      </c>
    </row>
    <row r="1113" spans="1:17" x14ac:dyDescent="0.3">
      <c r="A1113">
        <v>100202693</v>
      </c>
      <c r="B1113" t="s">
        <v>594</v>
      </c>
      <c r="C1113" t="s">
        <v>590</v>
      </c>
      <c r="D1113" t="s">
        <v>599</v>
      </c>
      <c r="E1113" s="6">
        <v>32978.86</v>
      </c>
      <c r="F1113" t="s">
        <v>603</v>
      </c>
      <c r="G1113" s="4" t="str">
        <f t="shared" si="104"/>
        <v>32978.86</v>
      </c>
      <c r="H1113" t="str">
        <f t="shared" si="105"/>
        <v>32978.86</v>
      </c>
      <c r="I1113" s="1">
        <v>45761</v>
      </c>
      <c r="J1113" s="2">
        <f t="shared" si="106"/>
        <v>-3.8124069817704396E-3</v>
      </c>
      <c r="K1113" s="3" t="str">
        <f t="shared" si="107"/>
        <v/>
      </c>
      <c r="L1113" t="str">
        <f t="shared" si="108"/>
        <v/>
      </c>
      <c r="M1113" t="str">
        <f t="shared" si="109"/>
        <v/>
      </c>
      <c r="N1113">
        <v>33105.07</v>
      </c>
      <c r="O1113" t="s">
        <v>655</v>
      </c>
      <c r="Q1113" t="s">
        <v>590</v>
      </c>
    </row>
    <row r="1114" spans="1:17" x14ac:dyDescent="0.3">
      <c r="A1114">
        <v>100202693</v>
      </c>
      <c r="B1114" t="s">
        <v>594</v>
      </c>
      <c r="C1114" t="s">
        <v>19</v>
      </c>
      <c r="D1114" t="s">
        <v>597</v>
      </c>
      <c r="E1114" s="6">
        <v>21178.04</v>
      </c>
      <c r="F1114" t="s">
        <v>603</v>
      </c>
      <c r="G1114" s="4" t="str">
        <f t="shared" si="104"/>
        <v>21178.04</v>
      </c>
      <c r="H1114" t="str">
        <f t="shared" si="105"/>
        <v>21178.04</v>
      </c>
      <c r="I1114" s="1">
        <v>45761</v>
      </c>
      <c r="J1114" s="2">
        <f t="shared" si="106"/>
        <v>-9.3723173991299258E-2</v>
      </c>
      <c r="K1114" s="3" t="str">
        <f t="shared" si="107"/>
        <v/>
      </c>
      <c r="L1114" t="str">
        <f t="shared" si="108"/>
        <v/>
      </c>
      <c r="M1114" t="str">
        <f t="shared" si="109"/>
        <v/>
      </c>
      <c r="N1114">
        <v>23368.18</v>
      </c>
      <c r="O1114" t="s">
        <v>657</v>
      </c>
      <c r="Q1114" t="s">
        <v>19</v>
      </c>
    </row>
    <row r="1115" spans="1:17" x14ac:dyDescent="0.3">
      <c r="A1115">
        <v>100202693</v>
      </c>
      <c r="B1115" t="s">
        <v>594</v>
      </c>
      <c r="C1115" t="s">
        <v>19</v>
      </c>
      <c r="D1115" t="s">
        <v>598</v>
      </c>
      <c r="E1115" s="6">
        <v>82533.95</v>
      </c>
      <c r="F1115" t="s">
        <v>603</v>
      </c>
      <c r="G1115" s="4" t="str">
        <f t="shared" si="104"/>
        <v>82533.95</v>
      </c>
      <c r="H1115" t="str">
        <f t="shared" si="105"/>
        <v>82533.95</v>
      </c>
      <c r="I1115" s="1">
        <v>45761</v>
      </c>
      <c r="J1115" s="2">
        <f t="shared" si="106"/>
        <v>-9.3695318089153587E-2</v>
      </c>
      <c r="K1115" s="3" t="str">
        <f t="shared" si="107"/>
        <v/>
      </c>
      <c r="L1115" t="str">
        <f t="shared" si="108"/>
        <v/>
      </c>
      <c r="M1115" t="str">
        <f t="shared" si="109"/>
        <v/>
      </c>
      <c r="N1115">
        <v>91066.45</v>
      </c>
      <c r="O1115" t="s">
        <v>656</v>
      </c>
      <c r="Q1115" t="s">
        <v>19</v>
      </c>
    </row>
    <row r="1116" spans="1:17" x14ac:dyDescent="0.3">
      <c r="A1116">
        <v>100205932</v>
      </c>
      <c r="B1116" t="s">
        <v>165</v>
      </c>
      <c r="C1116" t="s">
        <v>19</v>
      </c>
      <c r="D1116" t="s">
        <v>586</v>
      </c>
      <c r="E1116" s="6">
        <v>40360.29</v>
      </c>
      <c r="F1116" t="s">
        <v>603</v>
      </c>
      <c r="G1116" s="4" t="str">
        <f t="shared" si="104"/>
        <v>40360.29</v>
      </c>
      <c r="H1116" t="str">
        <f t="shared" si="105"/>
        <v>40360.29</v>
      </c>
      <c r="I1116" s="1">
        <v>45761</v>
      </c>
      <c r="J1116" s="2">
        <f t="shared" si="106"/>
        <v>-2.4382744580061034E-3</v>
      </c>
      <c r="K1116" s="3" t="str">
        <f t="shared" si="107"/>
        <v/>
      </c>
      <c r="L1116" t="str">
        <f t="shared" si="108"/>
        <v/>
      </c>
      <c r="M1116" t="str">
        <f t="shared" si="109"/>
        <v/>
      </c>
      <c r="N1116">
        <v>40458.94</v>
      </c>
      <c r="O1116" t="s">
        <v>587</v>
      </c>
      <c r="Q1116" t="s">
        <v>19</v>
      </c>
    </row>
    <row r="1117" spans="1:17" x14ac:dyDescent="0.3">
      <c r="A1117">
        <v>100220898</v>
      </c>
      <c r="B1117" t="s">
        <v>166</v>
      </c>
      <c r="C1117" t="s">
        <v>19</v>
      </c>
      <c r="D1117" t="s">
        <v>167</v>
      </c>
      <c r="E1117" s="6">
        <v>36255.11</v>
      </c>
      <c r="F1117" t="s">
        <v>603</v>
      </c>
      <c r="G1117" s="4" t="str">
        <f t="shared" si="104"/>
        <v>36255.11</v>
      </c>
      <c r="H1117" t="str">
        <f t="shared" si="105"/>
        <v>36255.11</v>
      </c>
      <c r="I1117" s="1">
        <v>45761</v>
      </c>
      <c r="J1117" s="2">
        <f t="shared" si="106"/>
        <v>-3.8359959906272278E-3</v>
      </c>
      <c r="K1117" s="3" t="str">
        <f t="shared" si="107"/>
        <v/>
      </c>
      <c r="L1117" t="str">
        <f t="shared" si="108"/>
        <v/>
      </c>
      <c r="M1117" t="str">
        <f t="shared" si="109"/>
        <v/>
      </c>
      <c r="N1117">
        <v>36394.720000000001</v>
      </c>
      <c r="O1117" t="s">
        <v>168</v>
      </c>
      <c r="Q1117" t="s">
        <v>19</v>
      </c>
    </row>
    <row r="1118" spans="1:17" x14ac:dyDescent="0.3">
      <c r="A1118">
        <v>100220898</v>
      </c>
      <c r="B1118" t="s">
        <v>166</v>
      </c>
      <c r="C1118" t="s">
        <v>19</v>
      </c>
      <c r="D1118" t="s">
        <v>169</v>
      </c>
      <c r="E1118" s="6">
        <v>26504.23</v>
      </c>
      <c r="F1118" t="s">
        <v>603</v>
      </c>
      <c r="G1118" s="4" t="str">
        <f t="shared" si="104"/>
        <v>26504.23</v>
      </c>
      <c r="H1118" t="str">
        <f t="shared" si="105"/>
        <v>26504.23</v>
      </c>
      <c r="I1118" s="1">
        <v>45761</v>
      </c>
      <c r="J1118" s="2">
        <f t="shared" si="106"/>
        <v>-2.1964283407965888E-2</v>
      </c>
      <c r="K1118" s="3" t="str">
        <f t="shared" si="107"/>
        <v/>
      </c>
      <c r="L1118" t="str">
        <f t="shared" si="108"/>
        <v/>
      </c>
      <c r="M1118" t="str">
        <f t="shared" si="109"/>
        <v/>
      </c>
      <c r="N1118">
        <v>27099.45</v>
      </c>
      <c r="O1118" t="s">
        <v>170</v>
      </c>
      <c r="Q1118" t="s">
        <v>19</v>
      </c>
    </row>
    <row r="1119" spans="1:17" x14ac:dyDescent="0.3">
      <c r="A1119">
        <v>100247003</v>
      </c>
      <c r="B1119" t="s">
        <v>105</v>
      </c>
      <c r="C1119" t="s">
        <v>19</v>
      </c>
      <c r="D1119" t="s">
        <v>171</v>
      </c>
      <c r="E1119" s="6">
        <v>3561.01</v>
      </c>
      <c r="F1119" t="s">
        <v>603</v>
      </c>
      <c r="G1119" s="4" t="str">
        <f t="shared" si="104"/>
        <v>3561.01</v>
      </c>
      <c r="H1119" t="str">
        <f t="shared" si="105"/>
        <v>3561.01</v>
      </c>
      <c r="I1119" s="1">
        <v>45761</v>
      </c>
      <c r="J1119" s="2">
        <f t="shared" si="106"/>
        <v>-1.3876581226876889E-2</v>
      </c>
      <c r="K1119" s="3" t="str">
        <f t="shared" si="107"/>
        <v/>
      </c>
      <c r="L1119" t="str">
        <f t="shared" si="108"/>
        <v/>
      </c>
      <c r="M1119" t="str">
        <f t="shared" si="109"/>
        <v/>
      </c>
      <c r="N1119">
        <v>3611.12</v>
      </c>
      <c r="O1119" t="s">
        <v>172</v>
      </c>
      <c r="Q1119" t="s">
        <v>19</v>
      </c>
    </row>
    <row r="1120" spans="1:17" x14ac:dyDescent="0.3">
      <c r="A1120">
        <v>100249944</v>
      </c>
      <c r="B1120" t="s">
        <v>173</v>
      </c>
      <c r="C1120" t="s">
        <v>19</v>
      </c>
      <c r="D1120" t="s">
        <v>174</v>
      </c>
      <c r="E1120" s="6">
        <v>3245.08</v>
      </c>
      <c r="F1120" t="s">
        <v>603</v>
      </c>
      <c r="G1120" s="4" t="str">
        <f t="shared" si="104"/>
        <v>3245.08</v>
      </c>
      <c r="H1120" t="str">
        <f t="shared" si="105"/>
        <v>3245.08</v>
      </c>
      <c r="I1120" s="1">
        <v>45761</v>
      </c>
      <c r="J1120" s="2">
        <f t="shared" si="106"/>
        <v>-0.13225266468074637</v>
      </c>
      <c r="K1120" s="3" t="str">
        <f t="shared" si="107"/>
        <v>Check!</v>
      </c>
      <c r="L1120" t="str">
        <f t="shared" si="108"/>
        <v/>
      </c>
      <c r="M1120" t="str">
        <f t="shared" si="109"/>
        <v/>
      </c>
      <c r="N1120">
        <v>3739.66</v>
      </c>
      <c r="O1120" t="s">
        <v>175</v>
      </c>
      <c r="Q1120" t="s">
        <v>19</v>
      </c>
    </row>
    <row r="1121" spans="1:17" x14ac:dyDescent="0.3">
      <c r="A1121">
        <v>100250182</v>
      </c>
      <c r="B1121" t="s">
        <v>176</v>
      </c>
      <c r="C1121" t="s">
        <v>19</v>
      </c>
      <c r="D1121" t="s">
        <v>177</v>
      </c>
      <c r="E1121" s="6">
        <v>50136.86</v>
      </c>
      <c r="F1121" t="s">
        <v>603</v>
      </c>
      <c r="G1121" s="4" t="str">
        <f t="shared" si="104"/>
        <v>50136.86</v>
      </c>
      <c r="H1121" t="str">
        <f t="shared" si="105"/>
        <v>50136.86</v>
      </c>
      <c r="I1121" s="1">
        <v>45761</v>
      </c>
      <c r="J1121" s="2">
        <f t="shared" si="106"/>
        <v>-2.3614278948319627E-2</v>
      </c>
      <c r="K1121" s="3" t="str">
        <f t="shared" si="107"/>
        <v/>
      </c>
      <c r="L1121" t="str">
        <f t="shared" si="108"/>
        <v/>
      </c>
      <c r="M1121" t="str">
        <f t="shared" si="109"/>
        <v/>
      </c>
      <c r="N1121">
        <v>51349.440000000002</v>
      </c>
      <c r="O1121" t="s">
        <v>178</v>
      </c>
      <c r="Q1121" t="s">
        <v>19</v>
      </c>
    </row>
    <row r="1122" spans="1:17" x14ac:dyDescent="0.3">
      <c r="A1122">
        <v>100271808</v>
      </c>
      <c r="B1122" t="s">
        <v>179</v>
      </c>
      <c r="C1122" t="s">
        <v>611</v>
      </c>
      <c r="D1122" t="s">
        <v>180</v>
      </c>
      <c r="E1122" s="6">
        <v>6433.67</v>
      </c>
      <c r="F1122" t="s">
        <v>603</v>
      </c>
      <c r="G1122" s="4" t="str">
        <f t="shared" si="104"/>
        <v>6433.67</v>
      </c>
      <c r="H1122" t="str">
        <f t="shared" si="105"/>
        <v>6433.67</v>
      </c>
      <c r="I1122" s="1">
        <v>45761</v>
      </c>
      <c r="J1122" s="2">
        <f t="shared" si="106"/>
        <v>-1.7488802249171074E-2</v>
      </c>
      <c r="K1122" s="3" t="str">
        <f t="shared" si="107"/>
        <v/>
      </c>
      <c r="L1122" t="str">
        <f t="shared" si="108"/>
        <v/>
      </c>
      <c r="M1122" t="str">
        <f t="shared" si="109"/>
        <v>Check</v>
      </c>
      <c r="N1122">
        <v>6548.19</v>
      </c>
      <c r="O1122" t="s">
        <v>181</v>
      </c>
      <c r="Q1122" t="s">
        <v>41</v>
      </c>
    </row>
    <row r="1123" spans="1:17" x14ac:dyDescent="0.3">
      <c r="A1123">
        <v>100273792</v>
      </c>
      <c r="B1123" t="s">
        <v>182</v>
      </c>
      <c r="C1123" t="s">
        <v>19</v>
      </c>
      <c r="D1123" t="s">
        <v>183</v>
      </c>
      <c r="E1123" s="6">
        <v>3371.78</v>
      </c>
      <c r="F1123" t="s">
        <v>603</v>
      </c>
      <c r="G1123" s="4" t="str">
        <f t="shared" si="104"/>
        <v>3371.78</v>
      </c>
      <c r="H1123" t="str">
        <f t="shared" si="105"/>
        <v>3371.78</v>
      </c>
      <c r="I1123" s="1">
        <v>45761</v>
      </c>
      <c r="J1123" s="2">
        <f t="shared" si="106"/>
        <v>-2.673478813070081E-2</v>
      </c>
      <c r="K1123" s="3" t="str">
        <f t="shared" si="107"/>
        <v/>
      </c>
      <c r="L1123" t="str">
        <f t="shared" si="108"/>
        <v/>
      </c>
      <c r="M1123" t="str">
        <f t="shared" si="109"/>
        <v/>
      </c>
      <c r="N1123">
        <v>3464.4</v>
      </c>
      <c r="O1123" t="s">
        <v>184</v>
      </c>
      <c r="Q1123" t="s">
        <v>19</v>
      </c>
    </row>
    <row r="1124" spans="1:17" x14ac:dyDescent="0.3">
      <c r="A1124">
        <v>100273792</v>
      </c>
      <c r="B1124" t="s">
        <v>182</v>
      </c>
      <c r="C1124" t="s">
        <v>19</v>
      </c>
      <c r="D1124" t="s">
        <v>185</v>
      </c>
      <c r="E1124" s="6">
        <v>2922.45</v>
      </c>
      <c r="F1124" t="s">
        <v>603</v>
      </c>
      <c r="G1124" s="4" t="str">
        <f t="shared" si="104"/>
        <v>2922.45</v>
      </c>
      <c r="H1124" t="str">
        <f t="shared" si="105"/>
        <v>2922.45</v>
      </c>
      <c r="I1124" s="1">
        <v>45761</v>
      </c>
      <c r="J1124" s="2">
        <f t="shared" si="106"/>
        <v>-2.4536375652545499E-2</v>
      </c>
      <c r="K1124" s="3" t="str">
        <f t="shared" si="107"/>
        <v/>
      </c>
      <c r="L1124" t="str">
        <f t="shared" si="108"/>
        <v/>
      </c>
      <c r="M1124" t="str">
        <f t="shared" si="109"/>
        <v/>
      </c>
      <c r="N1124">
        <v>2995.96</v>
      </c>
      <c r="O1124" t="s">
        <v>186</v>
      </c>
      <c r="Q1124" t="s">
        <v>19</v>
      </c>
    </row>
    <row r="1125" spans="1:17" x14ac:dyDescent="0.3">
      <c r="A1125">
        <v>100278188</v>
      </c>
      <c r="B1125" t="s">
        <v>187</v>
      </c>
      <c r="C1125" t="s">
        <v>590</v>
      </c>
      <c r="D1125" t="s">
        <v>188</v>
      </c>
      <c r="E1125" s="6">
        <v>868.11</v>
      </c>
      <c r="F1125" t="s">
        <v>603</v>
      </c>
      <c r="G1125" s="4" t="str">
        <f t="shared" si="104"/>
        <v>868.11</v>
      </c>
      <c r="H1125" t="str">
        <f t="shared" si="105"/>
        <v>868.11</v>
      </c>
      <c r="I1125" s="1">
        <v>45761</v>
      </c>
      <c r="J1125" s="2">
        <f t="shared" si="106"/>
        <v>-0.82201487258658756</v>
      </c>
      <c r="K1125" s="3" t="str">
        <f t="shared" si="107"/>
        <v>Check!</v>
      </c>
      <c r="L1125" t="str">
        <f t="shared" si="108"/>
        <v/>
      </c>
      <c r="M1125" t="str">
        <f t="shared" si="109"/>
        <v>Check</v>
      </c>
      <c r="N1125">
        <v>4877.43</v>
      </c>
      <c r="O1125" t="s">
        <v>189</v>
      </c>
      <c r="Q1125" t="s">
        <v>16</v>
      </c>
    </row>
    <row r="1126" spans="1:17" x14ac:dyDescent="0.3">
      <c r="A1126">
        <v>100278188</v>
      </c>
      <c r="B1126" t="s">
        <v>187</v>
      </c>
      <c r="C1126" t="s">
        <v>19</v>
      </c>
      <c r="D1126" t="s">
        <v>190</v>
      </c>
      <c r="E1126" s="6">
        <v>2475</v>
      </c>
      <c r="F1126" t="s">
        <v>603</v>
      </c>
      <c r="G1126" s="4" t="str">
        <f t="shared" si="104"/>
        <v>2475</v>
      </c>
      <c r="H1126" t="str">
        <f t="shared" si="105"/>
        <v>2475</v>
      </c>
      <c r="I1126" s="1">
        <v>45761</v>
      </c>
      <c r="J1126" s="2">
        <f t="shared" si="106"/>
        <v>6.347460813526818E-4</v>
      </c>
      <c r="K1126" s="3" t="str">
        <f t="shared" si="107"/>
        <v/>
      </c>
      <c r="L1126" t="str">
        <f t="shared" si="108"/>
        <v/>
      </c>
      <c r="M1126" t="str">
        <f t="shared" si="109"/>
        <v/>
      </c>
      <c r="N1126">
        <v>2473.4299999999998</v>
      </c>
      <c r="O1126" t="s">
        <v>191</v>
      </c>
      <c r="Q1126" t="s">
        <v>19</v>
      </c>
    </row>
    <row r="1127" spans="1:17" x14ac:dyDescent="0.3">
      <c r="A1127">
        <v>100278188</v>
      </c>
      <c r="B1127" t="s">
        <v>187</v>
      </c>
      <c r="C1127" t="s">
        <v>19</v>
      </c>
      <c r="D1127" t="s">
        <v>192</v>
      </c>
      <c r="E1127" s="6">
        <v>8086.91</v>
      </c>
      <c r="F1127" t="s">
        <v>603</v>
      </c>
      <c r="G1127" s="4" t="str">
        <f t="shared" si="104"/>
        <v>8086.91</v>
      </c>
      <c r="H1127" t="str">
        <f t="shared" si="105"/>
        <v>8086.91</v>
      </c>
      <c r="I1127" s="1">
        <v>45761</v>
      </c>
      <c r="J1127" s="2">
        <f t="shared" si="106"/>
        <v>2.2531426878827638E-3</v>
      </c>
      <c r="K1127" s="3" t="str">
        <f t="shared" si="107"/>
        <v/>
      </c>
      <c r="L1127" t="str">
        <f t="shared" si="108"/>
        <v/>
      </c>
      <c r="M1127" t="str">
        <f t="shared" si="109"/>
        <v/>
      </c>
      <c r="N1127">
        <v>8068.73</v>
      </c>
      <c r="O1127" t="s">
        <v>193</v>
      </c>
      <c r="Q1127" t="s">
        <v>19</v>
      </c>
    </row>
    <row r="1128" spans="1:17" x14ac:dyDescent="0.3">
      <c r="A1128">
        <v>100278188</v>
      </c>
      <c r="B1128" t="s">
        <v>187</v>
      </c>
      <c r="C1128" t="s">
        <v>19</v>
      </c>
      <c r="D1128" t="s">
        <v>194</v>
      </c>
      <c r="E1128" s="6">
        <v>1029.72</v>
      </c>
      <c r="F1128" t="s">
        <v>603</v>
      </c>
      <c r="G1128" s="4" t="str">
        <f t="shared" si="104"/>
        <v>1029.72</v>
      </c>
      <c r="H1128" t="str">
        <f t="shared" si="105"/>
        <v>1029.72</v>
      </c>
      <c r="I1128" s="1">
        <v>45761</v>
      </c>
      <c r="J1128" s="2">
        <f t="shared" si="106"/>
        <v>1.1632019491492153E-2</v>
      </c>
      <c r="K1128" s="3" t="str">
        <f t="shared" si="107"/>
        <v/>
      </c>
      <c r="L1128" t="str">
        <f t="shared" si="108"/>
        <v/>
      </c>
      <c r="M1128" t="str">
        <f t="shared" si="109"/>
        <v/>
      </c>
      <c r="N1128">
        <v>1017.88</v>
      </c>
      <c r="O1128" t="s">
        <v>195</v>
      </c>
      <c r="Q1128" t="s">
        <v>19</v>
      </c>
    </row>
    <row r="1129" spans="1:17" x14ac:dyDescent="0.3">
      <c r="A1129">
        <v>100309343</v>
      </c>
      <c r="B1129" t="s">
        <v>196</v>
      </c>
      <c r="C1129" t="s">
        <v>590</v>
      </c>
      <c r="D1129" t="s">
        <v>197</v>
      </c>
      <c r="E1129" s="6">
        <v>23647.15</v>
      </c>
      <c r="F1129" t="s">
        <v>603</v>
      </c>
      <c r="G1129" s="4" t="str">
        <f t="shared" si="104"/>
        <v>23647.15</v>
      </c>
      <c r="H1129" t="str">
        <f t="shared" si="105"/>
        <v>23647.15</v>
      </c>
      <c r="I1129" s="1">
        <v>45761</v>
      </c>
      <c r="J1129" s="2">
        <f t="shared" si="106"/>
        <v>-0.27884011315493173</v>
      </c>
      <c r="K1129" s="3" t="str">
        <f t="shared" si="107"/>
        <v>Check!</v>
      </c>
      <c r="L1129" t="str">
        <f t="shared" si="108"/>
        <v/>
      </c>
      <c r="M1129" t="str">
        <f t="shared" si="109"/>
        <v>Check</v>
      </c>
      <c r="N1129">
        <v>32790.44</v>
      </c>
      <c r="O1129" t="s">
        <v>198</v>
      </c>
      <c r="Q1129" t="s">
        <v>16</v>
      </c>
    </row>
    <row r="1130" spans="1:17" x14ac:dyDescent="0.3">
      <c r="A1130">
        <v>100317997</v>
      </c>
      <c r="B1130" t="s">
        <v>199</v>
      </c>
      <c r="C1130" t="s">
        <v>611</v>
      </c>
      <c r="D1130" t="s">
        <v>200</v>
      </c>
      <c r="E1130" s="6">
        <v>1355.64</v>
      </c>
      <c r="F1130" t="s">
        <v>603</v>
      </c>
      <c r="G1130" s="4" t="str">
        <f t="shared" si="104"/>
        <v>1355.64</v>
      </c>
      <c r="H1130" t="str">
        <f t="shared" si="105"/>
        <v>1355.64</v>
      </c>
      <c r="I1130" s="1">
        <v>45761</v>
      </c>
      <c r="J1130" s="2">
        <f t="shared" si="106"/>
        <v>-2.4649255342110935E-2</v>
      </c>
      <c r="K1130" s="3" t="str">
        <f t="shared" si="107"/>
        <v/>
      </c>
      <c r="L1130" t="str">
        <f t="shared" si="108"/>
        <v/>
      </c>
      <c r="M1130" t="str">
        <f t="shared" si="109"/>
        <v>Check</v>
      </c>
      <c r="N1130">
        <v>1389.9</v>
      </c>
      <c r="O1130" t="s">
        <v>201</v>
      </c>
      <c r="Q1130" t="s">
        <v>41</v>
      </c>
    </row>
    <row r="1131" spans="1:17" x14ac:dyDescent="0.3">
      <c r="A1131">
        <v>100317997</v>
      </c>
      <c r="B1131" t="s">
        <v>199</v>
      </c>
      <c r="C1131" t="s">
        <v>606</v>
      </c>
      <c r="D1131" t="s">
        <v>621</v>
      </c>
      <c r="E1131" s="6">
        <v>148.61000000000001</v>
      </c>
      <c r="F1131" t="s">
        <v>603</v>
      </c>
      <c r="G1131" s="4" t="str">
        <f t="shared" si="104"/>
        <v>148.61</v>
      </c>
      <c r="H1131" t="str">
        <f t="shared" si="105"/>
        <v>148.61</v>
      </c>
      <c r="I1131" s="1">
        <v>45761</v>
      </c>
      <c r="J1131" s="2">
        <f t="shared" si="106"/>
        <v>-2.403625139554736E-2</v>
      </c>
      <c r="K1131" s="3" t="str">
        <f t="shared" si="107"/>
        <v/>
      </c>
      <c r="L1131" t="str">
        <f t="shared" si="108"/>
        <v/>
      </c>
      <c r="M1131" t="str">
        <f t="shared" si="109"/>
        <v/>
      </c>
      <c r="N1131">
        <v>152.27000000000001</v>
      </c>
      <c r="O1131" t="s">
        <v>659</v>
      </c>
      <c r="Q1131" t="s">
        <v>606</v>
      </c>
    </row>
    <row r="1132" spans="1:17" x14ac:dyDescent="0.3">
      <c r="A1132">
        <v>100325823</v>
      </c>
      <c r="B1132" t="s">
        <v>202</v>
      </c>
      <c r="C1132" t="s">
        <v>19</v>
      </c>
      <c r="D1132" t="s">
        <v>203</v>
      </c>
      <c r="E1132" s="6">
        <v>28101.96</v>
      </c>
      <c r="F1132" t="s">
        <v>603</v>
      </c>
      <c r="G1132" s="4" t="str">
        <f t="shared" si="104"/>
        <v>28101.96</v>
      </c>
      <c r="H1132" t="str">
        <f t="shared" si="105"/>
        <v>28101.96</v>
      </c>
      <c r="I1132" s="1">
        <v>45761</v>
      </c>
      <c r="J1132" s="2">
        <f t="shared" si="106"/>
        <v>3.9624767565677592</v>
      </c>
      <c r="K1132" s="3" t="str">
        <f t="shared" si="107"/>
        <v>Check!</v>
      </c>
      <c r="L1132" t="str">
        <f t="shared" si="108"/>
        <v/>
      </c>
      <c r="M1132" t="str">
        <f t="shared" si="109"/>
        <v/>
      </c>
      <c r="N1132">
        <v>5662.89</v>
      </c>
      <c r="O1132" t="s">
        <v>204</v>
      </c>
      <c r="Q1132" t="s">
        <v>19</v>
      </c>
    </row>
    <row r="1133" spans="1:17" x14ac:dyDescent="0.3">
      <c r="A1133">
        <v>100376880</v>
      </c>
      <c r="B1133" t="s">
        <v>205</v>
      </c>
      <c r="C1133" t="s">
        <v>590</v>
      </c>
      <c r="D1133" t="s">
        <v>206</v>
      </c>
      <c r="E1133" s="6">
        <v>65564.649999999994</v>
      </c>
      <c r="F1133" t="s">
        <v>603</v>
      </c>
      <c r="G1133" s="4" t="str">
        <f t="shared" si="104"/>
        <v>65564.65</v>
      </c>
      <c r="H1133" t="str">
        <f t="shared" si="105"/>
        <v>65564.65</v>
      </c>
      <c r="I1133" s="1">
        <v>45761</v>
      </c>
      <c r="J1133" s="2">
        <f t="shared" si="106"/>
        <v>-2.087917490273978E-3</v>
      </c>
      <c r="K1133" s="3" t="str">
        <f t="shared" si="107"/>
        <v/>
      </c>
      <c r="L1133" t="str">
        <f t="shared" si="108"/>
        <v/>
      </c>
      <c r="M1133" t="str">
        <f t="shared" si="109"/>
        <v>Check</v>
      </c>
      <c r="N1133">
        <v>65701.83</v>
      </c>
      <c r="O1133" t="s">
        <v>207</v>
      </c>
      <c r="Q1133" t="s">
        <v>16</v>
      </c>
    </row>
    <row r="1134" spans="1:17" x14ac:dyDescent="0.3">
      <c r="A1134">
        <v>100388471</v>
      </c>
      <c r="B1134" t="s">
        <v>210</v>
      </c>
      <c r="C1134" t="s">
        <v>19</v>
      </c>
      <c r="D1134" t="s">
        <v>211</v>
      </c>
      <c r="E1134" s="6">
        <v>26199.33</v>
      </c>
      <c r="F1134" t="s">
        <v>603</v>
      </c>
      <c r="G1134" s="4" t="str">
        <f t="shared" si="104"/>
        <v>26199.33</v>
      </c>
      <c r="H1134" t="str">
        <f t="shared" si="105"/>
        <v>26199.33</v>
      </c>
      <c r="I1134" s="1">
        <v>45761</v>
      </c>
      <c r="J1134" s="2">
        <f t="shared" si="106"/>
        <v>-2.3975427394208514E-2</v>
      </c>
      <c r="K1134" s="3" t="str">
        <f t="shared" si="107"/>
        <v/>
      </c>
      <c r="L1134" t="str">
        <f t="shared" si="108"/>
        <v/>
      </c>
      <c r="M1134" t="str">
        <f t="shared" si="109"/>
        <v/>
      </c>
      <c r="N1134">
        <v>26842.9</v>
      </c>
      <c r="O1134" t="s">
        <v>212</v>
      </c>
      <c r="Q1134" t="s">
        <v>19</v>
      </c>
    </row>
    <row r="1135" spans="1:17" x14ac:dyDescent="0.3">
      <c r="A1135">
        <v>100388471</v>
      </c>
      <c r="B1135" t="s">
        <v>210</v>
      </c>
      <c r="C1135" t="s">
        <v>19</v>
      </c>
      <c r="D1135" t="s">
        <v>213</v>
      </c>
      <c r="E1135" s="6">
        <v>4507.28</v>
      </c>
      <c r="F1135" t="s">
        <v>603</v>
      </c>
      <c r="G1135" s="4" t="str">
        <f t="shared" si="104"/>
        <v>4507.28</v>
      </c>
      <c r="H1135" t="str">
        <f t="shared" si="105"/>
        <v>4507.28</v>
      </c>
      <c r="I1135" s="1">
        <v>45761</v>
      </c>
      <c r="J1135" s="2">
        <f t="shared" si="106"/>
        <v>-5.7543366621501779E-2</v>
      </c>
      <c r="K1135" s="3" t="str">
        <f t="shared" si="107"/>
        <v/>
      </c>
      <c r="L1135" t="str">
        <f t="shared" si="108"/>
        <v/>
      </c>
      <c r="M1135" t="str">
        <f t="shared" si="109"/>
        <v/>
      </c>
      <c r="N1135">
        <v>4782.4799999999996</v>
      </c>
      <c r="O1135" t="s">
        <v>214</v>
      </c>
      <c r="Q1135" t="s">
        <v>19</v>
      </c>
    </row>
    <row r="1136" spans="1:17" x14ac:dyDescent="0.3">
      <c r="A1136">
        <v>100408912</v>
      </c>
      <c r="B1136" t="s">
        <v>215</v>
      </c>
      <c r="C1136" t="s">
        <v>19</v>
      </c>
      <c r="D1136" t="s">
        <v>216</v>
      </c>
      <c r="E1136" s="6">
        <v>10550.37</v>
      </c>
      <c r="F1136" t="s">
        <v>603</v>
      </c>
      <c r="G1136" s="4" t="str">
        <f t="shared" si="104"/>
        <v>10550.37</v>
      </c>
      <c r="H1136" t="str">
        <f t="shared" si="105"/>
        <v>10550.37</v>
      </c>
      <c r="I1136" s="1">
        <v>45761</v>
      </c>
      <c r="J1136" s="2">
        <f t="shared" si="106"/>
        <v>-0.18942135934264759</v>
      </c>
      <c r="K1136" s="3" t="str">
        <f t="shared" si="107"/>
        <v>Check!</v>
      </c>
      <c r="L1136" t="str">
        <f t="shared" si="108"/>
        <v/>
      </c>
      <c r="M1136" t="str">
        <f t="shared" si="109"/>
        <v/>
      </c>
      <c r="N1136">
        <v>13015.85</v>
      </c>
      <c r="O1136" t="s">
        <v>217</v>
      </c>
      <c r="Q1136" t="s">
        <v>19</v>
      </c>
    </row>
    <row r="1137" spans="1:17" x14ac:dyDescent="0.3">
      <c r="A1137">
        <v>100421069</v>
      </c>
      <c r="B1137" t="s">
        <v>218</v>
      </c>
      <c r="C1137" t="s">
        <v>19</v>
      </c>
      <c r="D1137" t="s">
        <v>222</v>
      </c>
      <c r="E1137" s="6">
        <v>4784.45</v>
      </c>
      <c r="F1137" t="s">
        <v>603</v>
      </c>
      <c r="G1137" s="4" t="str">
        <f t="shared" si="104"/>
        <v>4784.45</v>
      </c>
      <c r="H1137" t="str">
        <f t="shared" si="105"/>
        <v>4784.45</v>
      </c>
      <c r="I1137" s="1">
        <v>45761</v>
      </c>
      <c r="J1137" s="2">
        <f t="shared" si="106"/>
        <v>-4.3834773241882681E-2</v>
      </c>
      <c r="K1137" s="3" t="str">
        <f t="shared" si="107"/>
        <v/>
      </c>
      <c r="L1137" t="str">
        <f t="shared" si="108"/>
        <v/>
      </c>
      <c r="M1137" t="str">
        <f t="shared" si="109"/>
        <v/>
      </c>
      <c r="N1137">
        <v>5003.79</v>
      </c>
      <c r="O1137" t="s">
        <v>223</v>
      </c>
      <c r="Q1137" t="s">
        <v>19</v>
      </c>
    </row>
    <row r="1138" spans="1:17" x14ac:dyDescent="0.3">
      <c r="A1138">
        <v>100421069</v>
      </c>
      <c r="B1138" t="s">
        <v>218</v>
      </c>
      <c r="C1138" t="s">
        <v>19</v>
      </c>
      <c r="D1138" t="s">
        <v>220</v>
      </c>
      <c r="E1138" s="6">
        <v>10584.7</v>
      </c>
      <c r="F1138" t="s">
        <v>603</v>
      </c>
      <c r="G1138" s="4" t="str">
        <f t="shared" si="104"/>
        <v>10584.7</v>
      </c>
      <c r="H1138" t="str">
        <f t="shared" si="105"/>
        <v>10584.7</v>
      </c>
      <c r="I1138" s="1">
        <v>45761</v>
      </c>
      <c r="J1138" s="2">
        <f t="shared" si="106"/>
        <v>-3.4839761534379274E-2</v>
      </c>
      <c r="K1138" s="3" t="str">
        <f t="shared" si="107"/>
        <v/>
      </c>
      <c r="L1138" t="str">
        <f t="shared" si="108"/>
        <v/>
      </c>
      <c r="M1138" t="str">
        <f t="shared" si="109"/>
        <v/>
      </c>
      <c r="N1138">
        <v>10966.78</v>
      </c>
      <c r="O1138" t="s">
        <v>221</v>
      </c>
      <c r="Q1138" t="s">
        <v>19</v>
      </c>
    </row>
    <row r="1139" spans="1:17" x14ac:dyDescent="0.3">
      <c r="A1139">
        <v>100421069</v>
      </c>
      <c r="B1139" t="s">
        <v>218</v>
      </c>
      <c r="C1139" t="s">
        <v>19</v>
      </c>
      <c r="D1139" t="s">
        <v>224</v>
      </c>
      <c r="E1139" s="6">
        <v>5774.71</v>
      </c>
      <c r="F1139" t="s">
        <v>603</v>
      </c>
      <c r="G1139" s="4" t="str">
        <f t="shared" si="104"/>
        <v>5774.71</v>
      </c>
      <c r="H1139" t="str">
        <f t="shared" si="105"/>
        <v>5774.71</v>
      </c>
      <c r="I1139" s="1">
        <v>45761</v>
      </c>
      <c r="J1139" s="2">
        <f t="shared" si="106"/>
        <v>-2.8433419530899052E-2</v>
      </c>
      <c r="K1139" s="3" t="str">
        <f t="shared" si="107"/>
        <v/>
      </c>
      <c r="L1139" t="str">
        <f t="shared" si="108"/>
        <v/>
      </c>
      <c r="M1139" t="str">
        <f t="shared" si="109"/>
        <v/>
      </c>
      <c r="N1139">
        <v>5943.71</v>
      </c>
      <c r="O1139" t="s">
        <v>225</v>
      </c>
      <c r="Q1139" t="s">
        <v>19</v>
      </c>
    </row>
    <row r="1140" spans="1:17" x14ac:dyDescent="0.3">
      <c r="A1140">
        <v>100489695</v>
      </c>
      <c r="B1140" t="s">
        <v>229</v>
      </c>
      <c r="C1140" t="s">
        <v>590</v>
      </c>
      <c r="D1140" t="s">
        <v>230</v>
      </c>
      <c r="E1140" s="6">
        <v>77167.64</v>
      </c>
      <c r="F1140" t="s">
        <v>603</v>
      </c>
      <c r="G1140" s="4" t="str">
        <f t="shared" si="104"/>
        <v>77167.64</v>
      </c>
      <c r="H1140" t="str">
        <f t="shared" si="105"/>
        <v>77167.64</v>
      </c>
      <c r="I1140" s="1">
        <v>45761</v>
      </c>
      <c r="J1140" s="2">
        <f t="shared" si="106"/>
        <v>-2.291812646766192E-2</v>
      </c>
      <c r="K1140" s="3" t="str">
        <f t="shared" si="107"/>
        <v/>
      </c>
      <c r="L1140" t="str">
        <f t="shared" si="108"/>
        <v/>
      </c>
      <c r="M1140" t="str">
        <f t="shared" si="109"/>
        <v>Check</v>
      </c>
      <c r="N1140">
        <v>78977.66</v>
      </c>
      <c r="O1140" t="s">
        <v>231</v>
      </c>
      <c r="Q1140" t="s">
        <v>16</v>
      </c>
    </row>
    <row r="1141" spans="1:17" x14ac:dyDescent="0.3">
      <c r="A1141">
        <v>100492707</v>
      </c>
      <c r="B1141" t="s">
        <v>232</v>
      </c>
      <c r="C1141" t="s">
        <v>19</v>
      </c>
      <c r="D1141" t="s">
        <v>233</v>
      </c>
      <c r="E1141" s="6">
        <v>8067.04</v>
      </c>
      <c r="F1141" t="s">
        <v>603</v>
      </c>
      <c r="G1141" s="4" t="str">
        <f t="shared" si="104"/>
        <v>8067.04</v>
      </c>
      <c r="H1141" t="str">
        <f t="shared" si="105"/>
        <v>8067.04</v>
      </c>
      <c r="I1141" s="1">
        <v>45761</v>
      </c>
      <c r="J1141" s="2">
        <f t="shared" si="106"/>
        <v>-1.4264801839736623E-2</v>
      </c>
      <c r="K1141" s="3" t="str">
        <f t="shared" si="107"/>
        <v/>
      </c>
      <c r="L1141" t="str">
        <f t="shared" si="108"/>
        <v/>
      </c>
      <c r="M1141" t="str">
        <f t="shared" si="109"/>
        <v/>
      </c>
      <c r="N1141">
        <v>8183.78</v>
      </c>
      <c r="O1141" t="s">
        <v>234</v>
      </c>
      <c r="Q1141" t="s">
        <v>19</v>
      </c>
    </row>
    <row r="1142" spans="1:17" x14ac:dyDescent="0.3">
      <c r="A1142">
        <v>100492707</v>
      </c>
      <c r="B1142" t="s">
        <v>232</v>
      </c>
      <c r="C1142" t="s">
        <v>19</v>
      </c>
      <c r="D1142" t="s">
        <v>624</v>
      </c>
      <c r="E1142" s="6">
        <v>26394.89</v>
      </c>
      <c r="F1142" t="s">
        <v>603</v>
      </c>
      <c r="G1142" s="4" t="str">
        <f t="shared" si="104"/>
        <v>26394.89</v>
      </c>
      <c r="H1142" t="str">
        <f t="shared" si="105"/>
        <v>26394.89</v>
      </c>
      <c r="I1142" s="1">
        <v>45761</v>
      </c>
      <c r="J1142" s="2">
        <f t="shared" si="106"/>
        <v>-3.6439143184754406E-2</v>
      </c>
      <c r="K1142" s="3" t="str">
        <f t="shared" si="107"/>
        <v/>
      </c>
      <c r="L1142" t="str">
        <f t="shared" si="108"/>
        <v/>
      </c>
      <c r="M1142" t="str">
        <f t="shared" si="109"/>
        <v/>
      </c>
      <c r="N1142">
        <v>27393.07</v>
      </c>
      <c r="O1142" t="s">
        <v>672</v>
      </c>
      <c r="Q1142" t="s">
        <v>19</v>
      </c>
    </row>
    <row r="1143" spans="1:17" x14ac:dyDescent="0.3">
      <c r="A1143">
        <v>100497270</v>
      </c>
      <c r="B1143" t="s">
        <v>235</v>
      </c>
      <c r="C1143" t="s">
        <v>606</v>
      </c>
      <c r="D1143" t="s">
        <v>625</v>
      </c>
      <c r="E1143" s="6">
        <v>1229.9100000000001</v>
      </c>
      <c r="F1143" t="s">
        <v>603</v>
      </c>
      <c r="G1143" s="4" t="str">
        <f t="shared" si="104"/>
        <v>1229.91</v>
      </c>
      <c r="H1143" t="str">
        <f t="shared" si="105"/>
        <v>1229.91</v>
      </c>
      <c r="I1143" s="1">
        <v>45761</v>
      </c>
      <c r="J1143" s="2">
        <f t="shared" si="106"/>
        <v>-2.3958415998730123E-2</v>
      </c>
      <c r="K1143" s="3" t="str">
        <f t="shared" si="107"/>
        <v/>
      </c>
      <c r="L1143" t="str">
        <f t="shared" si="108"/>
        <v/>
      </c>
      <c r="M1143" t="str">
        <f t="shared" si="109"/>
        <v/>
      </c>
      <c r="N1143">
        <v>1260.0999999999999</v>
      </c>
      <c r="O1143" t="s">
        <v>661</v>
      </c>
      <c r="Q1143" t="s">
        <v>606</v>
      </c>
    </row>
    <row r="1144" spans="1:17" x14ac:dyDescent="0.3">
      <c r="A1144">
        <v>100497270</v>
      </c>
      <c r="B1144" t="s">
        <v>235</v>
      </c>
      <c r="C1144" t="s">
        <v>611</v>
      </c>
      <c r="D1144" t="s">
        <v>236</v>
      </c>
      <c r="E1144" s="6">
        <v>10483.540000000001</v>
      </c>
      <c r="F1144" t="s">
        <v>603</v>
      </c>
      <c r="G1144" s="4" t="str">
        <f t="shared" si="104"/>
        <v>10483.54</v>
      </c>
      <c r="H1144" t="str">
        <f t="shared" si="105"/>
        <v>10483.54</v>
      </c>
      <c r="I1144" s="1">
        <v>45761</v>
      </c>
      <c r="J1144" s="2">
        <f t="shared" si="106"/>
        <v>-2.4027079689022835E-2</v>
      </c>
      <c r="K1144" s="3" t="str">
        <f t="shared" si="107"/>
        <v/>
      </c>
      <c r="L1144" t="str">
        <f t="shared" si="108"/>
        <v/>
      </c>
      <c r="M1144" t="str">
        <f t="shared" si="109"/>
        <v>Check</v>
      </c>
      <c r="N1144">
        <v>10741.63</v>
      </c>
      <c r="O1144" t="s">
        <v>237</v>
      </c>
      <c r="Q1144" t="s">
        <v>41</v>
      </c>
    </row>
    <row r="1145" spans="1:17" x14ac:dyDescent="0.3">
      <c r="A1145">
        <v>100562496</v>
      </c>
      <c r="B1145" t="s">
        <v>238</v>
      </c>
      <c r="C1145" t="s">
        <v>611</v>
      </c>
      <c r="D1145" t="s">
        <v>239</v>
      </c>
      <c r="E1145" s="6">
        <v>12985.92</v>
      </c>
      <c r="F1145" t="s">
        <v>603</v>
      </c>
      <c r="G1145" s="4" t="str">
        <f t="shared" si="104"/>
        <v>12985.92</v>
      </c>
      <c r="H1145" t="str">
        <f t="shared" si="105"/>
        <v>12985.92</v>
      </c>
      <c r="I1145" s="1">
        <v>45761</v>
      </c>
      <c r="J1145" s="2">
        <f t="shared" si="106"/>
        <v>-2.3962888414204239E-2</v>
      </c>
      <c r="K1145" s="3" t="str">
        <f t="shared" si="107"/>
        <v/>
      </c>
      <c r="L1145" t="str">
        <f t="shared" si="108"/>
        <v/>
      </c>
      <c r="M1145" t="str">
        <f t="shared" si="109"/>
        <v>Check</v>
      </c>
      <c r="N1145">
        <v>13304.74</v>
      </c>
      <c r="O1145" t="s">
        <v>240</v>
      </c>
      <c r="Q1145" t="s">
        <v>41</v>
      </c>
    </row>
    <row r="1146" spans="1:17" x14ac:dyDescent="0.3">
      <c r="A1146">
        <v>100562496</v>
      </c>
      <c r="B1146" t="s">
        <v>238</v>
      </c>
      <c r="C1146" t="s">
        <v>606</v>
      </c>
      <c r="D1146" t="s">
        <v>626</v>
      </c>
      <c r="E1146" s="6">
        <v>1673.29</v>
      </c>
      <c r="F1146" t="s">
        <v>603</v>
      </c>
      <c r="G1146" s="4" t="str">
        <f t="shared" si="104"/>
        <v>1673.29</v>
      </c>
      <c r="H1146" t="str">
        <f t="shared" si="105"/>
        <v>1673.29</v>
      </c>
      <c r="I1146" s="1">
        <v>45761</v>
      </c>
      <c r="J1146" s="2">
        <f t="shared" si="106"/>
        <v>6.1876127480456787E-3</v>
      </c>
      <c r="K1146" s="3" t="str">
        <f t="shared" si="107"/>
        <v/>
      </c>
      <c r="L1146" t="str">
        <f t="shared" si="108"/>
        <v/>
      </c>
      <c r="M1146" t="str">
        <f t="shared" si="109"/>
        <v/>
      </c>
      <c r="N1146">
        <v>1663</v>
      </c>
      <c r="O1146" t="s">
        <v>663</v>
      </c>
      <c r="Q1146" t="s">
        <v>606</v>
      </c>
    </row>
    <row r="1147" spans="1:17" x14ac:dyDescent="0.3">
      <c r="A1147">
        <v>100562496</v>
      </c>
      <c r="B1147" t="s">
        <v>238</v>
      </c>
      <c r="C1147" t="s">
        <v>609</v>
      </c>
      <c r="D1147" t="s">
        <v>627</v>
      </c>
      <c r="E1147" s="6">
        <v>405.89</v>
      </c>
      <c r="F1147" t="s">
        <v>603</v>
      </c>
      <c r="G1147" s="4" t="str">
        <f t="shared" si="104"/>
        <v>405.89</v>
      </c>
      <c r="H1147" t="str">
        <f t="shared" si="105"/>
        <v>405.89</v>
      </c>
      <c r="I1147" s="1">
        <v>45761</v>
      </c>
      <c r="J1147" s="2">
        <f t="shared" si="106"/>
        <v>0.35753704137262105</v>
      </c>
      <c r="K1147" s="3" t="str">
        <f t="shared" si="107"/>
        <v>Check!</v>
      </c>
      <c r="L1147" t="str">
        <f t="shared" si="108"/>
        <v/>
      </c>
      <c r="M1147" t="str">
        <f t="shared" si="109"/>
        <v/>
      </c>
      <c r="N1147">
        <v>298.99</v>
      </c>
      <c r="O1147" t="s">
        <v>662</v>
      </c>
      <c r="Q1147" t="s">
        <v>609</v>
      </c>
    </row>
    <row r="1148" spans="1:17" x14ac:dyDescent="0.3">
      <c r="A1148">
        <v>100564770</v>
      </c>
      <c r="B1148" t="s">
        <v>241</v>
      </c>
      <c r="C1148" t="s">
        <v>19</v>
      </c>
      <c r="D1148" t="s">
        <v>242</v>
      </c>
      <c r="E1148" s="6">
        <v>27593.42</v>
      </c>
      <c r="F1148" t="s">
        <v>603</v>
      </c>
      <c r="G1148" s="4" t="str">
        <f t="shared" si="104"/>
        <v>27593.42</v>
      </c>
      <c r="H1148" t="str">
        <f t="shared" si="105"/>
        <v>27593.42</v>
      </c>
      <c r="I1148" s="1">
        <v>45761</v>
      </c>
      <c r="J1148" s="2">
        <f t="shared" si="106"/>
        <v>-3.126529368437983E-2</v>
      </c>
      <c r="K1148" s="3" t="str">
        <f t="shared" si="107"/>
        <v/>
      </c>
      <c r="L1148" t="str">
        <f t="shared" si="108"/>
        <v/>
      </c>
      <c r="M1148" t="str">
        <f t="shared" si="109"/>
        <v/>
      </c>
      <c r="N1148">
        <v>28483.98</v>
      </c>
      <c r="O1148" t="s">
        <v>243</v>
      </c>
      <c r="Q1148" t="s">
        <v>19</v>
      </c>
    </row>
    <row r="1149" spans="1:17" x14ac:dyDescent="0.3">
      <c r="A1149">
        <v>100596195</v>
      </c>
      <c r="B1149" t="s">
        <v>244</v>
      </c>
      <c r="C1149" t="s">
        <v>590</v>
      </c>
      <c r="D1149" t="s">
        <v>245</v>
      </c>
      <c r="E1149" s="6">
        <v>65549.789999999994</v>
      </c>
      <c r="F1149" t="s">
        <v>603</v>
      </c>
      <c r="G1149" s="4" t="str">
        <f t="shared" si="104"/>
        <v>65549.79</v>
      </c>
      <c r="H1149" t="str">
        <f t="shared" si="105"/>
        <v>65549.79</v>
      </c>
      <c r="I1149" s="1">
        <v>45761</v>
      </c>
      <c r="J1149" s="2">
        <f t="shared" si="106"/>
        <v>-0.18532625581956069</v>
      </c>
      <c r="K1149" s="3" t="str">
        <f t="shared" si="107"/>
        <v>Check!</v>
      </c>
      <c r="L1149" t="str">
        <f t="shared" si="108"/>
        <v/>
      </c>
      <c r="M1149" t="str">
        <f t="shared" si="109"/>
        <v>Check</v>
      </c>
      <c r="N1149">
        <v>80461.399999999994</v>
      </c>
      <c r="O1149" t="s">
        <v>246</v>
      </c>
      <c r="Q1149" t="s">
        <v>16</v>
      </c>
    </row>
    <row r="1150" spans="1:17" x14ac:dyDescent="0.3">
      <c r="A1150">
        <v>100596197</v>
      </c>
      <c r="B1150" t="s">
        <v>247</v>
      </c>
      <c r="C1150" t="s">
        <v>590</v>
      </c>
      <c r="D1150" t="s">
        <v>248</v>
      </c>
      <c r="E1150" s="6">
        <v>3799.15</v>
      </c>
      <c r="F1150" t="s">
        <v>603</v>
      </c>
      <c r="G1150" s="4" t="str">
        <f t="shared" si="104"/>
        <v>3799.15</v>
      </c>
      <c r="H1150" t="str">
        <f t="shared" si="105"/>
        <v>3799.15</v>
      </c>
      <c r="I1150" s="1">
        <v>45761</v>
      </c>
      <c r="J1150" s="2">
        <f t="shared" si="106"/>
        <v>-5.3029736533811905E-2</v>
      </c>
      <c r="K1150" s="3" t="str">
        <f t="shared" si="107"/>
        <v/>
      </c>
      <c r="L1150" t="str">
        <f t="shared" si="108"/>
        <v/>
      </c>
      <c r="M1150" t="str">
        <f t="shared" si="109"/>
        <v>Check</v>
      </c>
      <c r="N1150">
        <v>4011.9</v>
      </c>
      <c r="O1150" t="s">
        <v>249</v>
      </c>
      <c r="Q1150" t="s">
        <v>16</v>
      </c>
    </row>
    <row r="1151" spans="1:17" x14ac:dyDescent="0.3">
      <c r="A1151">
        <v>100596689</v>
      </c>
      <c r="B1151" t="s">
        <v>250</v>
      </c>
      <c r="C1151" t="s">
        <v>590</v>
      </c>
      <c r="D1151" t="s">
        <v>251</v>
      </c>
      <c r="E1151" s="6">
        <v>1369.24</v>
      </c>
      <c r="F1151" t="s">
        <v>603</v>
      </c>
      <c r="G1151" s="4" t="str">
        <f t="shared" si="104"/>
        <v>1369.24</v>
      </c>
      <c r="H1151" t="str">
        <f t="shared" si="105"/>
        <v>1369.24</v>
      </c>
      <c r="I1151" s="1">
        <v>45761</v>
      </c>
      <c r="J1151" s="2">
        <f t="shared" si="106"/>
        <v>4.2563235719615705E-2</v>
      </c>
      <c r="K1151" s="3" t="str">
        <f t="shared" si="107"/>
        <v/>
      </c>
      <c r="L1151" t="str">
        <f t="shared" si="108"/>
        <v/>
      </c>
      <c r="M1151" t="str">
        <f t="shared" si="109"/>
        <v>Check</v>
      </c>
      <c r="N1151">
        <v>1313.34</v>
      </c>
      <c r="O1151" t="s">
        <v>252</v>
      </c>
      <c r="Q1151" t="s">
        <v>16</v>
      </c>
    </row>
    <row r="1152" spans="1:17" x14ac:dyDescent="0.3">
      <c r="A1152">
        <v>100628018</v>
      </c>
      <c r="B1152" t="s">
        <v>253</v>
      </c>
      <c r="C1152" t="s">
        <v>590</v>
      </c>
      <c r="D1152" t="s">
        <v>254</v>
      </c>
      <c r="E1152" s="6">
        <v>29952.46</v>
      </c>
      <c r="F1152" t="s">
        <v>603</v>
      </c>
      <c r="G1152" s="4" t="str">
        <f t="shared" si="104"/>
        <v>29952.46</v>
      </c>
      <c r="H1152" t="str">
        <f t="shared" si="105"/>
        <v>29952.46</v>
      </c>
      <c r="I1152" s="1">
        <v>45761</v>
      </c>
      <c r="J1152" s="2">
        <f t="shared" si="106"/>
        <v>-3.8568691481397984E-3</v>
      </c>
      <c r="K1152" s="3" t="str">
        <f t="shared" si="107"/>
        <v/>
      </c>
      <c r="L1152" t="str">
        <f t="shared" si="108"/>
        <v/>
      </c>
      <c r="M1152" t="str">
        <f t="shared" si="109"/>
        <v>Check</v>
      </c>
      <c r="N1152">
        <v>30068.43</v>
      </c>
      <c r="O1152" t="s">
        <v>255</v>
      </c>
      <c r="Q1152" t="s">
        <v>16</v>
      </c>
    </row>
    <row r="1153" spans="1:17" x14ac:dyDescent="0.3">
      <c r="A1153">
        <v>100628990</v>
      </c>
      <c r="B1153" t="s">
        <v>256</v>
      </c>
      <c r="C1153" t="s">
        <v>19</v>
      </c>
      <c r="D1153" t="s">
        <v>257</v>
      </c>
      <c r="E1153" s="6">
        <v>401.93</v>
      </c>
      <c r="F1153" t="s">
        <v>603</v>
      </c>
      <c r="G1153" s="4" t="str">
        <f t="shared" si="104"/>
        <v>401.93</v>
      </c>
      <c r="H1153" t="str">
        <f t="shared" si="105"/>
        <v>401.93</v>
      </c>
      <c r="I1153" s="1">
        <v>45761</v>
      </c>
      <c r="J1153" s="2">
        <f t="shared" si="106"/>
        <v>3.6569954867827228E-2</v>
      </c>
      <c r="K1153" s="3" t="str">
        <f t="shared" si="107"/>
        <v/>
      </c>
      <c r="L1153" t="str">
        <f t="shared" si="108"/>
        <v/>
      </c>
      <c r="M1153" t="str">
        <f t="shared" si="109"/>
        <v/>
      </c>
      <c r="N1153">
        <v>387.75</v>
      </c>
      <c r="O1153" t="s">
        <v>258</v>
      </c>
      <c r="Q1153" t="s">
        <v>19</v>
      </c>
    </row>
    <row r="1154" spans="1:17" x14ac:dyDescent="0.3">
      <c r="A1154">
        <v>100630705</v>
      </c>
      <c r="B1154" t="s">
        <v>259</v>
      </c>
      <c r="C1154" t="s">
        <v>590</v>
      </c>
      <c r="D1154" t="s">
        <v>260</v>
      </c>
      <c r="E1154" s="6">
        <v>2604.83</v>
      </c>
      <c r="F1154" t="s">
        <v>603</v>
      </c>
      <c r="G1154" s="4" t="str">
        <f t="shared" si="104"/>
        <v>2604.83</v>
      </c>
      <c r="H1154" t="str">
        <f t="shared" si="105"/>
        <v>2604.83</v>
      </c>
      <c r="I1154" s="1">
        <v>45761</v>
      </c>
      <c r="J1154" s="2">
        <f t="shared" si="106"/>
        <v>-3.6681175939597102E-3</v>
      </c>
      <c r="K1154" s="3" t="str">
        <f t="shared" si="107"/>
        <v/>
      </c>
      <c r="L1154" t="str">
        <f t="shared" si="108"/>
        <v/>
      </c>
      <c r="M1154" t="str">
        <f t="shared" si="109"/>
        <v>Check</v>
      </c>
      <c r="N1154">
        <v>2614.42</v>
      </c>
      <c r="O1154" t="s">
        <v>261</v>
      </c>
      <c r="Q1154" t="s">
        <v>16</v>
      </c>
    </row>
    <row r="1155" spans="1:17" x14ac:dyDescent="0.3">
      <c r="A1155">
        <v>100630706</v>
      </c>
      <c r="B1155" t="s">
        <v>262</v>
      </c>
      <c r="C1155" t="s">
        <v>590</v>
      </c>
      <c r="D1155" t="s">
        <v>263</v>
      </c>
      <c r="E1155" s="6">
        <v>486.3</v>
      </c>
      <c r="F1155" t="s">
        <v>603</v>
      </c>
      <c r="G1155" s="4" t="str">
        <f t="shared" ref="G1155:G1218" si="110">SUBSTITUTE(E1155,"R","")</f>
        <v>486.3</v>
      </c>
      <c r="H1155" t="str">
        <f t="shared" ref="H1155:H1218" si="111">SUBSTITUTE(G1155,",","")</f>
        <v>486.3</v>
      </c>
      <c r="I1155" s="1">
        <v>45761</v>
      </c>
      <c r="J1155" s="2">
        <f t="shared" ref="J1155:J1218" si="112">(H1155-N1155)/N1155</f>
        <v>0.10746737719478035</v>
      </c>
      <c r="K1155" s="3" t="str">
        <f t="shared" ref="K1155:K1218" si="113">IF(ABS(J1155)&gt;0.1,"Check!","")</f>
        <v>Check!</v>
      </c>
      <c r="L1155" t="str">
        <f t="shared" ref="L1155:L1218" si="114">IF(LEFT(O1155,10)&lt;&gt;LEFT(D1155,10),"Check","")</f>
        <v/>
      </c>
      <c r="M1155" t="str">
        <f t="shared" ref="M1155:M1218" si="115">IF(Q1155&lt;&gt;C1155,"Check","")</f>
        <v>Check</v>
      </c>
      <c r="N1155">
        <v>439.11</v>
      </c>
      <c r="O1155" t="s">
        <v>264</v>
      </c>
      <c r="Q1155" t="s">
        <v>16</v>
      </c>
    </row>
    <row r="1156" spans="1:17" x14ac:dyDescent="0.3">
      <c r="A1156">
        <v>100633203</v>
      </c>
      <c r="B1156" t="s">
        <v>265</v>
      </c>
      <c r="C1156" t="s">
        <v>590</v>
      </c>
      <c r="D1156" t="s">
        <v>266</v>
      </c>
      <c r="E1156" s="6">
        <v>30361.919999999998</v>
      </c>
      <c r="F1156" t="s">
        <v>603</v>
      </c>
      <c r="G1156" s="4" t="str">
        <f t="shared" si="110"/>
        <v>30361.92</v>
      </c>
      <c r="H1156" t="str">
        <f t="shared" si="111"/>
        <v>30361.92</v>
      </c>
      <c r="I1156" s="1">
        <v>45761</v>
      </c>
      <c r="J1156" s="2">
        <f t="shared" si="112"/>
        <v>-3.719736127116817E-3</v>
      </c>
      <c r="K1156" s="3" t="str">
        <f t="shared" si="113"/>
        <v/>
      </c>
      <c r="L1156" t="str">
        <f t="shared" si="114"/>
        <v/>
      </c>
      <c r="M1156" t="str">
        <f t="shared" si="115"/>
        <v>Check</v>
      </c>
      <c r="N1156">
        <v>30475.279999999999</v>
      </c>
      <c r="O1156" t="s">
        <v>267</v>
      </c>
      <c r="Q1156" t="s">
        <v>16</v>
      </c>
    </row>
    <row r="1157" spans="1:17" x14ac:dyDescent="0.3">
      <c r="A1157">
        <v>100637079</v>
      </c>
      <c r="B1157" t="s">
        <v>268</v>
      </c>
      <c r="C1157" t="s">
        <v>611</v>
      </c>
      <c r="D1157" t="s">
        <v>269</v>
      </c>
      <c r="E1157" s="6">
        <v>14557.73</v>
      </c>
      <c r="F1157" t="s">
        <v>603</v>
      </c>
      <c r="G1157" s="4" t="str">
        <f t="shared" si="110"/>
        <v>14557.73</v>
      </c>
      <c r="H1157" t="str">
        <f t="shared" si="111"/>
        <v>14557.73</v>
      </c>
      <c r="I1157" s="1">
        <v>45761</v>
      </c>
      <c r="J1157" s="2">
        <f t="shared" si="112"/>
        <v>-2.1192865158378392E-2</v>
      </c>
      <c r="K1157" s="3" t="str">
        <f t="shared" si="113"/>
        <v/>
      </c>
      <c r="L1157" t="str">
        <f t="shared" si="114"/>
        <v/>
      </c>
      <c r="M1157" t="str">
        <f t="shared" si="115"/>
        <v>Check</v>
      </c>
      <c r="N1157">
        <v>14872.93</v>
      </c>
      <c r="O1157" t="s">
        <v>270</v>
      </c>
      <c r="Q1157" t="s">
        <v>41</v>
      </c>
    </row>
    <row r="1158" spans="1:17" x14ac:dyDescent="0.3">
      <c r="A1158">
        <v>100637079</v>
      </c>
      <c r="B1158" t="s">
        <v>268</v>
      </c>
      <c r="C1158" t="s">
        <v>611</v>
      </c>
      <c r="D1158" t="s">
        <v>271</v>
      </c>
      <c r="E1158" s="6">
        <v>20197.02</v>
      </c>
      <c r="F1158" t="s">
        <v>603</v>
      </c>
      <c r="G1158" s="4" t="str">
        <f t="shared" si="110"/>
        <v>20197.02</v>
      </c>
      <c r="H1158" t="str">
        <f t="shared" si="111"/>
        <v>20197.02</v>
      </c>
      <c r="I1158" s="1">
        <v>45761</v>
      </c>
      <c r="J1158" s="2">
        <f t="shared" si="112"/>
        <v>-2.1818127222120148E-2</v>
      </c>
      <c r="K1158" s="3" t="str">
        <f t="shared" si="113"/>
        <v/>
      </c>
      <c r="L1158" t="str">
        <f t="shared" si="114"/>
        <v/>
      </c>
      <c r="M1158" t="str">
        <f t="shared" si="115"/>
        <v>Check</v>
      </c>
      <c r="N1158">
        <v>20647.509999999998</v>
      </c>
      <c r="O1158" t="s">
        <v>272</v>
      </c>
      <c r="Q1158" t="s">
        <v>41</v>
      </c>
    </row>
    <row r="1159" spans="1:17" x14ac:dyDescent="0.3">
      <c r="A1159">
        <v>100637079</v>
      </c>
      <c r="B1159" t="s">
        <v>268</v>
      </c>
      <c r="C1159" t="s">
        <v>606</v>
      </c>
      <c r="D1159" t="s">
        <v>628</v>
      </c>
      <c r="E1159" s="6">
        <v>1692.57</v>
      </c>
      <c r="F1159" t="s">
        <v>603</v>
      </c>
      <c r="G1159" s="4" t="str">
        <f t="shared" si="110"/>
        <v>1692.57</v>
      </c>
      <c r="H1159" t="str">
        <f t="shared" si="111"/>
        <v>1692.57</v>
      </c>
      <c r="I1159" s="1">
        <v>45761</v>
      </c>
      <c r="J1159" s="2">
        <f t="shared" si="112"/>
        <v>-2.3982792821885032E-2</v>
      </c>
      <c r="K1159" s="3" t="str">
        <f t="shared" si="113"/>
        <v/>
      </c>
      <c r="L1159" t="str">
        <f t="shared" si="114"/>
        <v/>
      </c>
      <c r="M1159" t="str">
        <f t="shared" si="115"/>
        <v/>
      </c>
      <c r="N1159">
        <v>1734.16</v>
      </c>
      <c r="O1159" t="s">
        <v>664</v>
      </c>
      <c r="Q1159" t="s">
        <v>606</v>
      </c>
    </row>
    <row r="1160" spans="1:17" x14ac:dyDescent="0.3">
      <c r="A1160">
        <v>100637079</v>
      </c>
      <c r="B1160" t="s">
        <v>268</v>
      </c>
      <c r="C1160" t="s">
        <v>606</v>
      </c>
      <c r="D1160" t="s">
        <v>629</v>
      </c>
      <c r="E1160" s="6">
        <v>2346.13</v>
      </c>
      <c r="F1160" t="s">
        <v>603</v>
      </c>
      <c r="G1160" s="4" t="str">
        <f t="shared" si="110"/>
        <v>2346.13</v>
      </c>
      <c r="H1160" t="str">
        <f t="shared" si="111"/>
        <v>2346.13</v>
      </c>
      <c r="I1160" s="1">
        <v>45761</v>
      </c>
      <c r="J1160" s="2">
        <f t="shared" si="112"/>
        <v>-1.0163613504231546E-2</v>
      </c>
      <c r="K1160" s="3" t="str">
        <f t="shared" si="113"/>
        <v/>
      </c>
      <c r="L1160" t="str">
        <f t="shared" si="114"/>
        <v/>
      </c>
      <c r="M1160" t="str">
        <f t="shared" si="115"/>
        <v/>
      </c>
      <c r="N1160">
        <v>2370.2199999999998</v>
      </c>
      <c r="O1160" t="s">
        <v>665</v>
      </c>
      <c r="Q1160" t="s">
        <v>606</v>
      </c>
    </row>
    <row r="1161" spans="1:17" x14ac:dyDescent="0.3">
      <c r="A1161">
        <v>100641153</v>
      </c>
      <c r="B1161" t="s">
        <v>273</v>
      </c>
      <c r="C1161" t="s">
        <v>19</v>
      </c>
      <c r="D1161" t="s">
        <v>274</v>
      </c>
      <c r="E1161" s="6">
        <v>4847.76</v>
      </c>
      <c r="F1161" t="s">
        <v>603</v>
      </c>
      <c r="G1161" s="4" t="str">
        <f t="shared" si="110"/>
        <v>4847.76</v>
      </c>
      <c r="H1161" t="str">
        <f t="shared" si="111"/>
        <v>4847.76</v>
      </c>
      <c r="I1161" s="1">
        <v>45761</v>
      </c>
      <c r="J1161" s="2">
        <f t="shared" si="112"/>
        <v>-0.20276415089685249</v>
      </c>
      <c r="K1161" s="3" t="str">
        <f t="shared" si="113"/>
        <v>Check!</v>
      </c>
      <c r="L1161" t="str">
        <f t="shared" si="114"/>
        <v/>
      </c>
      <c r="M1161" t="str">
        <f t="shared" si="115"/>
        <v/>
      </c>
      <c r="N1161">
        <v>6080.71</v>
      </c>
      <c r="O1161" t="s">
        <v>275</v>
      </c>
      <c r="Q1161" t="s">
        <v>19</v>
      </c>
    </row>
    <row r="1162" spans="1:17" x14ac:dyDescent="0.3">
      <c r="A1162">
        <v>100651305</v>
      </c>
      <c r="B1162" t="s">
        <v>276</v>
      </c>
      <c r="C1162" t="s">
        <v>590</v>
      </c>
      <c r="D1162" t="s">
        <v>277</v>
      </c>
      <c r="E1162" s="6">
        <v>2649.77</v>
      </c>
      <c r="F1162" t="s">
        <v>603</v>
      </c>
      <c r="G1162" s="4" t="str">
        <f t="shared" si="110"/>
        <v>2649.77</v>
      </c>
      <c r="H1162" t="str">
        <f t="shared" si="111"/>
        <v>2649.77</v>
      </c>
      <c r="I1162" s="1">
        <v>45761</v>
      </c>
      <c r="J1162" s="2">
        <f t="shared" si="112"/>
        <v>-0.33161556234928513</v>
      </c>
      <c r="K1162" s="3" t="str">
        <f t="shared" si="113"/>
        <v>Check!</v>
      </c>
      <c r="L1162" t="str">
        <f t="shared" si="114"/>
        <v/>
      </c>
      <c r="M1162" t="str">
        <f t="shared" si="115"/>
        <v>Check</v>
      </c>
      <c r="N1162">
        <v>3964.44</v>
      </c>
      <c r="O1162" t="s">
        <v>278</v>
      </c>
      <c r="Q1162" t="s">
        <v>16</v>
      </c>
    </row>
    <row r="1163" spans="1:17" x14ac:dyDescent="0.3">
      <c r="A1163">
        <v>100651921</v>
      </c>
      <c r="B1163" t="s">
        <v>279</v>
      </c>
      <c r="C1163" t="s">
        <v>590</v>
      </c>
      <c r="D1163" t="s">
        <v>280</v>
      </c>
      <c r="E1163" s="6">
        <v>16070.38</v>
      </c>
      <c r="F1163" t="s">
        <v>603</v>
      </c>
      <c r="G1163" s="4" t="str">
        <f t="shared" si="110"/>
        <v>16070.38</v>
      </c>
      <c r="H1163" t="str">
        <f t="shared" si="111"/>
        <v>16070.38</v>
      </c>
      <c r="I1163" s="1">
        <v>45761</v>
      </c>
      <c r="J1163" s="2">
        <f t="shared" si="112"/>
        <v>9.2260041310091249E-3</v>
      </c>
      <c r="K1163" s="3" t="str">
        <f t="shared" si="113"/>
        <v/>
      </c>
      <c r="L1163" t="str">
        <f t="shared" si="114"/>
        <v/>
      </c>
      <c r="M1163" t="str">
        <f t="shared" si="115"/>
        <v>Check</v>
      </c>
      <c r="N1163">
        <v>15923.47</v>
      </c>
      <c r="O1163" t="s">
        <v>281</v>
      </c>
      <c r="Q1163" t="s">
        <v>16</v>
      </c>
    </row>
    <row r="1164" spans="1:17" x14ac:dyDescent="0.3">
      <c r="A1164">
        <v>100651921</v>
      </c>
      <c r="B1164" t="s">
        <v>279</v>
      </c>
      <c r="C1164" t="s">
        <v>590</v>
      </c>
      <c r="D1164" t="s">
        <v>282</v>
      </c>
      <c r="E1164" s="6">
        <v>2127.11</v>
      </c>
      <c r="F1164" t="s">
        <v>603</v>
      </c>
      <c r="G1164" s="4" t="str">
        <f t="shared" si="110"/>
        <v>2127.11</v>
      </c>
      <c r="H1164" t="str">
        <f t="shared" si="111"/>
        <v>2127.11</v>
      </c>
      <c r="I1164" s="1">
        <v>45761</v>
      </c>
      <c r="J1164" s="2">
        <f t="shared" si="112"/>
        <v>2.1907173157947789E-2</v>
      </c>
      <c r="K1164" s="3" t="str">
        <f t="shared" si="113"/>
        <v/>
      </c>
      <c r="L1164" t="str">
        <f t="shared" si="114"/>
        <v/>
      </c>
      <c r="M1164" t="str">
        <f t="shared" si="115"/>
        <v>Check</v>
      </c>
      <c r="N1164">
        <v>2081.5100000000002</v>
      </c>
      <c r="O1164" t="s">
        <v>283</v>
      </c>
      <c r="Q1164" t="s">
        <v>16</v>
      </c>
    </row>
    <row r="1165" spans="1:17" x14ac:dyDescent="0.3">
      <c r="A1165">
        <v>100655835</v>
      </c>
      <c r="B1165" t="s">
        <v>284</v>
      </c>
      <c r="C1165" t="s">
        <v>19</v>
      </c>
      <c r="D1165" t="s">
        <v>285</v>
      </c>
      <c r="E1165" s="6">
        <v>322473.46000000002</v>
      </c>
      <c r="F1165" t="s">
        <v>603</v>
      </c>
      <c r="G1165" s="4" t="str">
        <f t="shared" si="110"/>
        <v>322473.46</v>
      </c>
      <c r="H1165" t="str">
        <f t="shared" si="111"/>
        <v>322473.46</v>
      </c>
      <c r="I1165" s="1">
        <v>45761</v>
      </c>
      <c r="J1165" s="2">
        <f t="shared" si="112"/>
        <v>-0.45015140666341408</v>
      </c>
      <c r="K1165" s="3" t="str">
        <f t="shared" si="113"/>
        <v>Check!</v>
      </c>
      <c r="L1165" t="str">
        <f t="shared" si="114"/>
        <v/>
      </c>
      <c r="M1165" t="str">
        <f t="shared" si="115"/>
        <v/>
      </c>
      <c r="N1165">
        <v>586476.82999999996</v>
      </c>
      <c r="O1165" t="s">
        <v>286</v>
      </c>
      <c r="Q1165" t="s">
        <v>19</v>
      </c>
    </row>
    <row r="1166" spans="1:17" x14ac:dyDescent="0.3">
      <c r="A1166">
        <v>100663638</v>
      </c>
      <c r="B1166" t="s">
        <v>287</v>
      </c>
      <c r="C1166" t="s">
        <v>19</v>
      </c>
      <c r="D1166" t="s">
        <v>288</v>
      </c>
      <c r="E1166" s="6">
        <v>60362.51</v>
      </c>
      <c r="F1166" t="s">
        <v>603</v>
      </c>
      <c r="G1166" s="4" t="str">
        <f t="shared" si="110"/>
        <v>60362.51</v>
      </c>
      <c r="H1166" t="str">
        <f t="shared" si="111"/>
        <v>60362.51</v>
      </c>
      <c r="I1166" s="1">
        <v>45761</v>
      </c>
      <c r="J1166" s="2">
        <f t="shared" si="112"/>
        <v>-7.409423077011569E-2</v>
      </c>
      <c r="K1166" s="3" t="str">
        <f t="shared" si="113"/>
        <v/>
      </c>
      <c r="L1166" t="str">
        <f t="shared" si="114"/>
        <v/>
      </c>
      <c r="M1166" t="str">
        <f t="shared" si="115"/>
        <v/>
      </c>
      <c r="N1166">
        <v>65192.93</v>
      </c>
      <c r="O1166" t="s">
        <v>289</v>
      </c>
      <c r="Q1166" t="s">
        <v>19</v>
      </c>
    </row>
    <row r="1167" spans="1:17" x14ac:dyDescent="0.3">
      <c r="A1167">
        <v>100663638</v>
      </c>
      <c r="B1167" t="s">
        <v>287</v>
      </c>
      <c r="C1167" t="s">
        <v>19</v>
      </c>
      <c r="D1167" t="s">
        <v>290</v>
      </c>
      <c r="E1167" s="6">
        <v>2605.54</v>
      </c>
      <c r="F1167" t="s">
        <v>603</v>
      </c>
      <c r="G1167" s="4" t="str">
        <f t="shared" si="110"/>
        <v>2605.54</v>
      </c>
      <c r="H1167" t="str">
        <f t="shared" si="111"/>
        <v>2605.54</v>
      </c>
      <c r="I1167" s="1">
        <v>45761</v>
      </c>
      <c r="J1167" s="2">
        <f t="shared" si="112"/>
        <v>-1.7126000588470539E-2</v>
      </c>
      <c r="K1167" s="3" t="str">
        <f t="shared" si="113"/>
        <v/>
      </c>
      <c r="L1167" t="str">
        <f t="shared" si="114"/>
        <v/>
      </c>
      <c r="M1167" t="str">
        <f t="shared" si="115"/>
        <v/>
      </c>
      <c r="N1167">
        <v>2650.94</v>
      </c>
      <c r="O1167" t="s">
        <v>291</v>
      </c>
      <c r="Q1167" t="s">
        <v>19</v>
      </c>
    </row>
    <row r="1168" spans="1:17" x14ac:dyDescent="0.3">
      <c r="A1168">
        <v>100663638</v>
      </c>
      <c r="B1168" t="s">
        <v>287</v>
      </c>
      <c r="C1168" t="s">
        <v>590</v>
      </c>
      <c r="D1168" t="s">
        <v>600</v>
      </c>
      <c r="E1168" s="6">
        <v>64078.559999999998</v>
      </c>
      <c r="F1168" t="s">
        <v>603</v>
      </c>
      <c r="G1168" s="4" t="str">
        <f t="shared" si="110"/>
        <v>64078.56</v>
      </c>
      <c r="H1168" t="str">
        <f t="shared" si="111"/>
        <v>64078.56</v>
      </c>
      <c r="I1168" s="1">
        <v>45761</v>
      </c>
      <c r="J1168" s="2">
        <f t="shared" si="112"/>
        <v>-0.20166587471005543</v>
      </c>
      <c r="K1168" s="3" t="str">
        <f t="shared" si="113"/>
        <v>Check!</v>
      </c>
      <c r="L1168" t="str">
        <f t="shared" si="114"/>
        <v/>
      </c>
      <c r="M1168" t="str">
        <f t="shared" si="115"/>
        <v/>
      </c>
      <c r="N1168">
        <v>80265.34</v>
      </c>
      <c r="O1168" t="s">
        <v>666</v>
      </c>
      <c r="Q1168" t="s">
        <v>590</v>
      </c>
    </row>
    <row r="1169" spans="1:17" x14ac:dyDescent="0.3">
      <c r="A1169">
        <v>100664029</v>
      </c>
      <c r="B1169" t="s">
        <v>292</v>
      </c>
      <c r="C1169" t="s">
        <v>19</v>
      </c>
      <c r="D1169" t="s">
        <v>293</v>
      </c>
      <c r="E1169" s="6">
        <v>10404.75</v>
      </c>
      <c r="F1169" t="s">
        <v>603</v>
      </c>
      <c r="G1169" s="4" t="str">
        <f t="shared" si="110"/>
        <v>10404.75</v>
      </c>
      <c r="H1169" t="str">
        <f t="shared" si="111"/>
        <v>10404.75</v>
      </c>
      <c r="I1169" s="1">
        <v>45761</v>
      </c>
      <c r="J1169" s="2">
        <f t="shared" si="112"/>
        <v>-2.181945013744685E-2</v>
      </c>
      <c r="K1169" s="3" t="str">
        <f t="shared" si="113"/>
        <v/>
      </c>
      <c r="L1169" t="str">
        <f t="shared" si="114"/>
        <v/>
      </c>
      <c r="M1169" t="str">
        <f t="shared" si="115"/>
        <v/>
      </c>
      <c r="N1169">
        <v>10636.84</v>
      </c>
      <c r="O1169" t="s">
        <v>294</v>
      </c>
      <c r="Q1169" t="s">
        <v>19</v>
      </c>
    </row>
    <row r="1170" spans="1:17" x14ac:dyDescent="0.3">
      <c r="A1170">
        <v>100664029</v>
      </c>
      <c r="B1170" t="s">
        <v>292</v>
      </c>
      <c r="C1170" t="s">
        <v>19</v>
      </c>
      <c r="D1170" t="s">
        <v>295</v>
      </c>
      <c r="E1170" s="6">
        <v>7686.3</v>
      </c>
      <c r="F1170" t="s">
        <v>603</v>
      </c>
      <c r="G1170" s="4" t="str">
        <f t="shared" si="110"/>
        <v>7686.3</v>
      </c>
      <c r="H1170" t="str">
        <f t="shared" si="111"/>
        <v>7686.3</v>
      </c>
      <c r="I1170" s="1">
        <v>45761</v>
      </c>
      <c r="J1170" s="2">
        <f t="shared" si="112"/>
        <v>-9.3110301680470534E-3</v>
      </c>
      <c r="K1170" s="3" t="str">
        <f t="shared" si="113"/>
        <v/>
      </c>
      <c r="L1170" t="str">
        <f t="shared" si="114"/>
        <v/>
      </c>
      <c r="M1170" t="str">
        <f t="shared" si="115"/>
        <v/>
      </c>
      <c r="N1170">
        <v>7758.54</v>
      </c>
      <c r="O1170" t="s">
        <v>296</v>
      </c>
      <c r="Q1170" t="s">
        <v>19</v>
      </c>
    </row>
    <row r="1171" spans="1:17" x14ac:dyDescent="0.3">
      <c r="A1171">
        <v>100664292</v>
      </c>
      <c r="B1171" t="s">
        <v>297</v>
      </c>
      <c r="C1171" t="s">
        <v>590</v>
      </c>
      <c r="D1171" t="s">
        <v>298</v>
      </c>
      <c r="E1171" s="6">
        <v>13074.12</v>
      </c>
      <c r="F1171" t="s">
        <v>603</v>
      </c>
      <c r="G1171" s="4" t="str">
        <f t="shared" si="110"/>
        <v>13074.12</v>
      </c>
      <c r="H1171" t="str">
        <f t="shared" si="111"/>
        <v>13074.12</v>
      </c>
      <c r="I1171" s="1">
        <v>45761</v>
      </c>
      <c r="J1171" s="2">
        <f t="shared" si="112"/>
        <v>-4.0564103853247069E-3</v>
      </c>
      <c r="K1171" s="3" t="str">
        <f t="shared" si="113"/>
        <v/>
      </c>
      <c r="L1171" t="str">
        <f t="shared" si="114"/>
        <v/>
      </c>
      <c r="M1171" t="str">
        <f t="shared" si="115"/>
        <v>Check</v>
      </c>
      <c r="N1171">
        <v>13127.37</v>
      </c>
      <c r="O1171" t="s">
        <v>299</v>
      </c>
      <c r="Q1171" t="s">
        <v>16</v>
      </c>
    </row>
    <row r="1172" spans="1:17" x14ac:dyDescent="0.3">
      <c r="A1172">
        <v>100664292</v>
      </c>
      <c r="B1172" t="s">
        <v>297</v>
      </c>
      <c r="C1172" t="s">
        <v>19</v>
      </c>
      <c r="D1172" t="s">
        <v>300</v>
      </c>
      <c r="E1172" s="6">
        <v>23351.51</v>
      </c>
      <c r="F1172" t="s">
        <v>603</v>
      </c>
      <c r="G1172" s="4" t="str">
        <f t="shared" si="110"/>
        <v>23351.51</v>
      </c>
      <c r="H1172" t="str">
        <f t="shared" si="111"/>
        <v>23351.51</v>
      </c>
      <c r="I1172" s="1">
        <v>45761</v>
      </c>
      <c r="J1172" s="2">
        <f t="shared" si="112"/>
        <v>-6.6942823076628105E-2</v>
      </c>
      <c r="K1172" s="3" t="str">
        <f t="shared" si="113"/>
        <v/>
      </c>
      <c r="L1172" t="str">
        <f t="shared" si="114"/>
        <v/>
      </c>
      <c r="M1172" t="str">
        <f t="shared" si="115"/>
        <v/>
      </c>
      <c r="N1172">
        <v>25026.880000000001</v>
      </c>
      <c r="O1172" t="s">
        <v>301</v>
      </c>
      <c r="Q1172" t="s">
        <v>19</v>
      </c>
    </row>
    <row r="1173" spans="1:17" x14ac:dyDescent="0.3">
      <c r="A1173">
        <v>100664348</v>
      </c>
      <c r="B1173" t="s">
        <v>302</v>
      </c>
      <c r="C1173" t="s">
        <v>19</v>
      </c>
      <c r="D1173" t="s">
        <v>303</v>
      </c>
      <c r="E1173" s="6">
        <v>27995.360000000001</v>
      </c>
      <c r="F1173" t="s">
        <v>603</v>
      </c>
      <c r="G1173" s="4" t="str">
        <f t="shared" si="110"/>
        <v>27995.36</v>
      </c>
      <c r="H1173" t="str">
        <f t="shared" si="111"/>
        <v>27995.36</v>
      </c>
      <c r="I1173" s="1">
        <v>45761</v>
      </c>
      <c r="J1173" s="2">
        <f t="shared" si="112"/>
        <v>-1.8718591599750253E-2</v>
      </c>
      <c r="K1173" s="3" t="str">
        <f t="shared" si="113"/>
        <v/>
      </c>
      <c r="L1173" t="str">
        <f t="shared" si="114"/>
        <v/>
      </c>
      <c r="M1173" t="str">
        <f t="shared" si="115"/>
        <v/>
      </c>
      <c r="N1173">
        <v>28529.39</v>
      </c>
      <c r="O1173" t="s">
        <v>304</v>
      </c>
      <c r="Q1173" t="s">
        <v>19</v>
      </c>
    </row>
    <row r="1174" spans="1:17" x14ac:dyDescent="0.3">
      <c r="A1174">
        <v>100664351</v>
      </c>
      <c r="B1174" t="s">
        <v>305</v>
      </c>
      <c r="C1174" t="s">
        <v>19</v>
      </c>
      <c r="D1174" t="s">
        <v>306</v>
      </c>
      <c r="E1174" s="6">
        <v>245.38</v>
      </c>
      <c r="F1174" t="s">
        <v>603</v>
      </c>
      <c r="G1174" s="4" t="str">
        <f t="shared" si="110"/>
        <v>245.38</v>
      </c>
      <c r="H1174" t="str">
        <f t="shared" si="111"/>
        <v>245.38</v>
      </c>
      <c r="I1174" s="1">
        <v>45761</v>
      </c>
      <c r="J1174" s="2">
        <f t="shared" si="112"/>
        <v>-1.7615501641444493E-2</v>
      </c>
      <c r="K1174" s="3" t="str">
        <f t="shared" si="113"/>
        <v/>
      </c>
      <c r="L1174" t="str">
        <f t="shared" si="114"/>
        <v/>
      </c>
      <c r="M1174" t="str">
        <f t="shared" si="115"/>
        <v/>
      </c>
      <c r="N1174">
        <v>249.78</v>
      </c>
      <c r="O1174" t="s">
        <v>307</v>
      </c>
      <c r="Q1174" t="s">
        <v>19</v>
      </c>
    </row>
    <row r="1175" spans="1:17" x14ac:dyDescent="0.3">
      <c r="A1175">
        <v>100664601</v>
      </c>
      <c r="B1175" t="s">
        <v>308</v>
      </c>
      <c r="C1175" t="s">
        <v>623</v>
      </c>
      <c r="D1175" t="s">
        <v>309</v>
      </c>
      <c r="E1175" s="6">
        <v>212929.77</v>
      </c>
      <c r="F1175" t="s">
        <v>603</v>
      </c>
      <c r="G1175" s="4" t="str">
        <f t="shared" si="110"/>
        <v>212929.77</v>
      </c>
      <c r="H1175" t="str">
        <f t="shared" si="111"/>
        <v>212929.77</v>
      </c>
      <c r="I1175" s="1">
        <v>45761</v>
      </c>
      <c r="J1175" s="2">
        <f t="shared" si="112"/>
        <v>-2.3258070193843593E-2</v>
      </c>
      <c r="K1175" s="3" t="str">
        <f t="shared" si="113"/>
        <v/>
      </c>
      <c r="L1175" t="str">
        <f t="shared" si="114"/>
        <v/>
      </c>
      <c r="M1175" t="str">
        <f t="shared" si="115"/>
        <v>Check</v>
      </c>
      <c r="N1175">
        <v>218000.03</v>
      </c>
      <c r="O1175" t="s">
        <v>310</v>
      </c>
      <c r="Q1175" t="s">
        <v>164</v>
      </c>
    </row>
    <row r="1176" spans="1:17" x14ac:dyDescent="0.3">
      <c r="A1176">
        <v>100664601</v>
      </c>
      <c r="B1176" t="s">
        <v>308</v>
      </c>
      <c r="C1176" t="s">
        <v>611</v>
      </c>
      <c r="D1176" t="s">
        <v>311</v>
      </c>
      <c r="E1176" s="6">
        <v>65806.320000000007</v>
      </c>
      <c r="F1176" t="s">
        <v>603</v>
      </c>
      <c r="G1176" s="4" t="str">
        <f t="shared" si="110"/>
        <v>65806.32</v>
      </c>
      <c r="H1176" t="str">
        <f t="shared" si="111"/>
        <v>65806.32</v>
      </c>
      <c r="I1176" s="1">
        <v>45761</v>
      </c>
      <c r="J1176" s="2">
        <f t="shared" si="112"/>
        <v>-2.3343702507598638E-2</v>
      </c>
      <c r="K1176" s="3" t="str">
        <f t="shared" si="113"/>
        <v/>
      </c>
      <c r="L1176" t="str">
        <f t="shared" si="114"/>
        <v/>
      </c>
      <c r="M1176" t="str">
        <f t="shared" si="115"/>
        <v>Check</v>
      </c>
      <c r="N1176">
        <v>67379.199999999997</v>
      </c>
      <c r="O1176" t="s">
        <v>312</v>
      </c>
      <c r="Q1176" t="s">
        <v>41</v>
      </c>
    </row>
    <row r="1177" spans="1:17" x14ac:dyDescent="0.3">
      <c r="A1177">
        <v>100664601</v>
      </c>
      <c r="B1177" t="s">
        <v>308</v>
      </c>
      <c r="C1177" t="s">
        <v>622</v>
      </c>
      <c r="D1177" t="s">
        <v>630</v>
      </c>
      <c r="E1177" s="6">
        <v>3251.9</v>
      </c>
      <c r="F1177" t="s">
        <v>603</v>
      </c>
      <c r="G1177" s="4" t="str">
        <f t="shared" si="110"/>
        <v>3251.9</v>
      </c>
      <c r="H1177" t="str">
        <f t="shared" si="111"/>
        <v>3251.9</v>
      </c>
      <c r="I1177" s="1">
        <v>45761</v>
      </c>
      <c r="J1177" s="2">
        <f t="shared" si="112"/>
        <v>-7.968224721020583E-3</v>
      </c>
      <c r="K1177" s="3" t="str">
        <f t="shared" si="113"/>
        <v/>
      </c>
      <c r="L1177" t="str">
        <f t="shared" si="114"/>
        <v/>
      </c>
      <c r="M1177" t="str">
        <f t="shared" si="115"/>
        <v/>
      </c>
      <c r="N1177">
        <v>3278.02</v>
      </c>
      <c r="O1177" t="s">
        <v>667</v>
      </c>
      <c r="Q1177" t="s">
        <v>622</v>
      </c>
    </row>
    <row r="1178" spans="1:17" x14ac:dyDescent="0.3">
      <c r="A1178">
        <v>100664601</v>
      </c>
      <c r="B1178" t="s">
        <v>308</v>
      </c>
      <c r="C1178" t="s">
        <v>606</v>
      </c>
      <c r="D1178" t="s">
        <v>631</v>
      </c>
      <c r="E1178" s="6">
        <v>3267.73</v>
      </c>
      <c r="F1178" t="s">
        <v>603</v>
      </c>
      <c r="G1178" s="4" t="str">
        <f t="shared" si="110"/>
        <v>3267.73</v>
      </c>
      <c r="H1178" t="str">
        <f t="shared" si="111"/>
        <v>3267.73</v>
      </c>
      <c r="I1178" s="1">
        <v>45761</v>
      </c>
      <c r="J1178" s="2">
        <f t="shared" si="112"/>
        <v>-9.0611078932924475E-3</v>
      </c>
      <c r="K1178" s="3" t="str">
        <f t="shared" si="113"/>
        <v/>
      </c>
      <c r="L1178" t="str">
        <f t="shared" si="114"/>
        <v/>
      </c>
      <c r="M1178" t="str">
        <f t="shared" si="115"/>
        <v/>
      </c>
      <c r="N1178">
        <v>3297.61</v>
      </c>
      <c r="O1178" t="s">
        <v>668</v>
      </c>
      <c r="Q1178" t="s">
        <v>606</v>
      </c>
    </row>
    <row r="1179" spans="1:17" x14ac:dyDescent="0.3">
      <c r="A1179">
        <v>100664737</v>
      </c>
      <c r="B1179" t="s">
        <v>313</v>
      </c>
      <c r="C1179" t="s">
        <v>19</v>
      </c>
      <c r="D1179" t="s">
        <v>314</v>
      </c>
      <c r="E1179" s="6">
        <v>13656.38</v>
      </c>
      <c r="F1179" t="s">
        <v>603</v>
      </c>
      <c r="G1179" s="4" t="str">
        <f t="shared" si="110"/>
        <v>13656.38</v>
      </c>
      <c r="H1179" t="str">
        <f t="shared" si="111"/>
        <v>13656.38</v>
      </c>
      <c r="I1179" s="1">
        <v>45761</v>
      </c>
      <c r="J1179" s="2">
        <f t="shared" si="112"/>
        <v>-6.44309833291388E-3</v>
      </c>
      <c r="K1179" s="3" t="str">
        <f t="shared" si="113"/>
        <v/>
      </c>
      <c r="L1179" t="str">
        <f t="shared" si="114"/>
        <v/>
      </c>
      <c r="M1179" t="str">
        <f t="shared" si="115"/>
        <v/>
      </c>
      <c r="N1179">
        <v>13744.94</v>
      </c>
      <c r="O1179" t="s">
        <v>315</v>
      </c>
      <c r="Q1179" t="s">
        <v>19</v>
      </c>
    </row>
    <row r="1180" spans="1:17" x14ac:dyDescent="0.3">
      <c r="A1180">
        <v>100664737</v>
      </c>
      <c r="B1180" t="s">
        <v>313</v>
      </c>
      <c r="C1180" t="s">
        <v>19</v>
      </c>
      <c r="D1180" t="s">
        <v>316</v>
      </c>
      <c r="E1180" s="6">
        <v>4226.1099999999997</v>
      </c>
      <c r="F1180" t="s">
        <v>603</v>
      </c>
      <c r="G1180" s="4" t="str">
        <f t="shared" si="110"/>
        <v>4226.11</v>
      </c>
      <c r="H1180" t="str">
        <f t="shared" si="111"/>
        <v>4226.11</v>
      </c>
      <c r="I1180" s="1">
        <v>45761</v>
      </c>
      <c r="J1180" s="2">
        <f t="shared" si="112"/>
        <v>1.0037977013032641E-2</v>
      </c>
      <c r="K1180" s="3" t="str">
        <f t="shared" si="113"/>
        <v/>
      </c>
      <c r="L1180" t="str">
        <f t="shared" si="114"/>
        <v/>
      </c>
      <c r="M1180" t="str">
        <f t="shared" si="115"/>
        <v/>
      </c>
      <c r="N1180">
        <v>4184.1099999999997</v>
      </c>
      <c r="O1180" t="s">
        <v>317</v>
      </c>
      <c r="Q1180" t="s">
        <v>19</v>
      </c>
    </row>
    <row r="1181" spans="1:17" x14ac:dyDescent="0.3">
      <c r="A1181">
        <v>100665510</v>
      </c>
      <c r="B1181" t="s">
        <v>318</v>
      </c>
      <c r="C1181" t="s">
        <v>19</v>
      </c>
      <c r="D1181" t="s">
        <v>319</v>
      </c>
      <c r="E1181" s="6">
        <v>2515.88</v>
      </c>
      <c r="F1181" t="s">
        <v>603</v>
      </c>
      <c r="G1181" s="4" t="str">
        <f t="shared" si="110"/>
        <v>2515.88</v>
      </c>
      <c r="H1181" t="str">
        <f t="shared" si="111"/>
        <v>2515.88</v>
      </c>
      <c r="I1181" s="1">
        <v>45761</v>
      </c>
      <c r="J1181" s="2">
        <f t="shared" si="112"/>
        <v>9.6029214069304324E-3</v>
      </c>
      <c r="K1181" s="3" t="str">
        <f t="shared" si="113"/>
        <v/>
      </c>
      <c r="L1181" t="str">
        <f t="shared" si="114"/>
        <v/>
      </c>
      <c r="M1181" t="str">
        <f t="shared" si="115"/>
        <v/>
      </c>
      <c r="N1181">
        <v>2491.9499999999998</v>
      </c>
      <c r="O1181" t="s">
        <v>320</v>
      </c>
      <c r="Q1181" t="s">
        <v>19</v>
      </c>
    </row>
    <row r="1182" spans="1:17" x14ac:dyDescent="0.3">
      <c r="A1182">
        <v>100665581</v>
      </c>
      <c r="B1182" t="s">
        <v>321</v>
      </c>
      <c r="C1182" t="s">
        <v>590</v>
      </c>
      <c r="D1182" t="s">
        <v>639</v>
      </c>
      <c r="E1182" s="6">
        <v>71181.88</v>
      </c>
      <c r="F1182" t="s">
        <v>603</v>
      </c>
      <c r="G1182" s="4" t="str">
        <f t="shared" si="110"/>
        <v>71181.88</v>
      </c>
      <c r="H1182" t="str">
        <f t="shared" si="111"/>
        <v>71181.88</v>
      </c>
      <c r="I1182" s="1">
        <v>45761</v>
      </c>
      <c r="J1182" s="2">
        <f t="shared" si="112"/>
        <v>0.22403705924523379</v>
      </c>
      <c r="K1182" s="3" t="str">
        <f t="shared" si="113"/>
        <v>Check!</v>
      </c>
      <c r="L1182" t="str">
        <f t="shared" si="114"/>
        <v/>
      </c>
      <c r="M1182" t="str">
        <f t="shared" si="115"/>
        <v/>
      </c>
      <c r="N1182">
        <v>58153.37</v>
      </c>
      <c r="O1182" t="s">
        <v>673</v>
      </c>
      <c r="Q1182" t="s">
        <v>590</v>
      </c>
    </row>
    <row r="1183" spans="1:17" x14ac:dyDescent="0.3">
      <c r="A1183">
        <v>100665581</v>
      </c>
      <c r="B1183" t="s">
        <v>321</v>
      </c>
      <c r="C1183" t="s">
        <v>19</v>
      </c>
      <c r="D1183" t="s">
        <v>695</v>
      </c>
      <c r="E1183" s="6">
        <v>46612.74</v>
      </c>
      <c r="F1183" t="s">
        <v>603</v>
      </c>
      <c r="G1183" s="4" t="str">
        <f t="shared" si="110"/>
        <v>46612.74</v>
      </c>
      <c r="H1183" t="str">
        <f t="shared" si="111"/>
        <v>46612.74</v>
      </c>
      <c r="I1183" s="1">
        <v>45761</v>
      </c>
      <c r="J1183" s="2">
        <f t="shared" si="112"/>
        <v>-0.59931365544065851</v>
      </c>
      <c r="K1183" s="3" t="str">
        <f t="shared" si="113"/>
        <v>Check!</v>
      </c>
      <c r="L1183" t="str">
        <f t="shared" si="114"/>
        <v/>
      </c>
      <c r="M1183" t="str">
        <f t="shared" si="115"/>
        <v/>
      </c>
      <c r="N1183">
        <v>116332.24</v>
      </c>
      <c r="O1183" t="s">
        <v>696</v>
      </c>
      <c r="Q1183" t="s">
        <v>19</v>
      </c>
    </row>
    <row r="1184" spans="1:17" x14ac:dyDescent="0.3">
      <c r="A1184">
        <v>100666150</v>
      </c>
      <c r="B1184" t="s">
        <v>324</v>
      </c>
      <c r="C1184" t="s">
        <v>19</v>
      </c>
      <c r="D1184" t="s">
        <v>325</v>
      </c>
      <c r="E1184" s="6">
        <v>40593.01</v>
      </c>
      <c r="F1184" t="s">
        <v>603</v>
      </c>
      <c r="G1184" s="4" t="str">
        <f t="shared" si="110"/>
        <v>40593.01</v>
      </c>
      <c r="H1184" t="str">
        <f t="shared" si="111"/>
        <v>40593.01</v>
      </c>
      <c r="I1184" s="1">
        <v>45761</v>
      </c>
      <c r="J1184" s="2">
        <f t="shared" si="112"/>
        <v>-3.2979643098514207E-2</v>
      </c>
      <c r="K1184" s="3" t="str">
        <f t="shared" si="113"/>
        <v/>
      </c>
      <c r="L1184" t="str">
        <f t="shared" si="114"/>
        <v/>
      </c>
      <c r="M1184" t="str">
        <f t="shared" si="115"/>
        <v/>
      </c>
      <c r="N1184">
        <v>41977.41</v>
      </c>
      <c r="O1184" t="s">
        <v>326</v>
      </c>
      <c r="Q1184" t="s">
        <v>19</v>
      </c>
    </row>
    <row r="1185" spans="1:17" x14ac:dyDescent="0.3">
      <c r="A1185">
        <v>100668409</v>
      </c>
      <c r="B1185" t="s">
        <v>327</v>
      </c>
      <c r="C1185" t="s">
        <v>590</v>
      </c>
      <c r="D1185" t="s">
        <v>328</v>
      </c>
      <c r="E1185" s="6">
        <v>2216.73</v>
      </c>
      <c r="F1185" t="s">
        <v>603</v>
      </c>
      <c r="G1185" s="4" t="str">
        <f t="shared" si="110"/>
        <v>2216.73</v>
      </c>
      <c r="H1185" t="str">
        <f t="shared" si="111"/>
        <v>2216.73</v>
      </c>
      <c r="I1185" s="1">
        <v>45761</v>
      </c>
      <c r="J1185" s="2">
        <f t="shared" si="112"/>
        <v>1.3038113517960059E-2</v>
      </c>
      <c r="K1185" s="3" t="str">
        <f t="shared" si="113"/>
        <v/>
      </c>
      <c r="L1185" t="str">
        <f t="shared" si="114"/>
        <v/>
      </c>
      <c r="M1185" t="str">
        <f t="shared" si="115"/>
        <v>Check</v>
      </c>
      <c r="N1185">
        <v>2188.1999999999998</v>
      </c>
      <c r="O1185" t="s">
        <v>329</v>
      </c>
      <c r="Q1185" t="s">
        <v>16</v>
      </c>
    </row>
    <row r="1186" spans="1:17" x14ac:dyDescent="0.3">
      <c r="A1186">
        <v>100668534</v>
      </c>
      <c r="B1186" t="s">
        <v>330</v>
      </c>
      <c r="C1186" t="s">
        <v>590</v>
      </c>
      <c r="D1186" t="s">
        <v>331</v>
      </c>
      <c r="E1186" s="6">
        <v>2061.19</v>
      </c>
      <c r="F1186" t="s">
        <v>603</v>
      </c>
      <c r="G1186" s="4" t="str">
        <f t="shared" si="110"/>
        <v>2061.19</v>
      </c>
      <c r="H1186" t="str">
        <f t="shared" si="111"/>
        <v>2061.19</v>
      </c>
      <c r="I1186" s="1">
        <v>45761</v>
      </c>
      <c r="J1186" s="2">
        <f t="shared" si="112"/>
        <v>8.9974104297512302E-3</v>
      </c>
      <c r="K1186" s="3" t="str">
        <f t="shared" si="113"/>
        <v/>
      </c>
      <c r="L1186" t="str">
        <f t="shared" si="114"/>
        <v/>
      </c>
      <c r="M1186" t="str">
        <f t="shared" si="115"/>
        <v>Check</v>
      </c>
      <c r="N1186">
        <v>2042.81</v>
      </c>
      <c r="O1186" t="s">
        <v>332</v>
      </c>
      <c r="Q1186" t="s">
        <v>16</v>
      </c>
    </row>
    <row r="1187" spans="1:17" x14ac:dyDescent="0.3">
      <c r="A1187">
        <v>100669580</v>
      </c>
      <c r="B1187" t="s">
        <v>333</v>
      </c>
      <c r="C1187" t="s">
        <v>19</v>
      </c>
      <c r="D1187" t="s">
        <v>334</v>
      </c>
      <c r="E1187" s="6">
        <v>6968.41</v>
      </c>
      <c r="F1187" t="s">
        <v>603</v>
      </c>
      <c r="G1187" s="4" t="str">
        <f t="shared" si="110"/>
        <v>6968.41</v>
      </c>
      <c r="H1187" t="str">
        <f t="shared" si="111"/>
        <v>6968.41</v>
      </c>
      <c r="I1187" s="1">
        <v>45761</v>
      </c>
      <c r="J1187" s="2">
        <f t="shared" si="112"/>
        <v>-3.96076682504017E-3</v>
      </c>
      <c r="K1187" s="3" t="str">
        <f t="shared" si="113"/>
        <v/>
      </c>
      <c r="L1187" t="str">
        <f t="shared" si="114"/>
        <v/>
      </c>
      <c r="M1187" t="str">
        <f t="shared" si="115"/>
        <v/>
      </c>
      <c r="N1187">
        <v>6996.12</v>
      </c>
      <c r="O1187" t="s">
        <v>335</v>
      </c>
      <c r="Q1187" t="s">
        <v>19</v>
      </c>
    </row>
    <row r="1188" spans="1:17" x14ac:dyDescent="0.3">
      <c r="A1188">
        <v>100670671</v>
      </c>
      <c r="B1188" t="s">
        <v>336</v>
      </c>
      <c r="C1188" t="s">
        <v>590</v>
      </c>
      <c r="D1188" t="s">
        <v>337</v>
      </c>
      <c r="E1188" s="6">
        <v>31347.94</v>
      </c>
      <c r="F1188" t="s">
        <v>603</v>
      </c>
      <c r="G1188" s="4" t="str">
        <f t="shared" si="110"/>
        <v>31347.94</v>
      </c>
      <c r="H1188" t="str">
        <f t="shared" si="111"/>
        <v>31347.94</v>
      </c>
      <c r="I1188" s="1">
        <v>45761</v>
      </c>
      <c r="J1188" s="2">
        <f t="shared" si="112"/>
        <v>-2.4496482409501622E-3</v>
      </c>
      <c r="K1188" s="3" t="str">
        <f t="shared" si="113"/>
        <v/>
      </c>
      <c r="L1188" t="str">
        <f t="shared" si="114"/>
        <v/>
      </c>
      <c r="M1188" t="str">
        <f t="shared" si="115"/>
        <v>Check</v>
      </c>
      <c r="N1188">
        <v>31424.92</v>
      </c>
      <c r="O1188" t="s">
        <v>338</v>
      </c>
      <c r="Q1188" t="s">
        <v>16</v>
      </c>
    </row>
    <row r="1189" spans="1:17" x14ac:dyDescent="0.3">
      <c r="A1189">
        <v>100670671</v>
      </c>
      <c r="B1189" t="s">
        <v>336</v>
      </c>
      <c r="C1189" t="s">
        <v>611</v>
      </c>
      <c r="D1189" t="s">
        <v>339</v>
      </c>
      <c r="E1189" s="6">
        <v>13518.76</v>
      </c>
      <c r="F1189" t="s">
        <v>603</v>
      </c>
      <c r="G1189" s="4" t="str">
        <f t="shared" si="110"/>
        <v>13518.76</v>
      </c>
      <c r="H1189" t="str">
        <f t="shared" si="111"/>
        <v>13518.76</v>
      </c>
      <c r="I1189" s="1">
        <v>45761</v>
      </c>
      <c r="J1189" s="2">
        <f t="shared" si="112"/>
        <v>-2.0708979009956014E-2</v>
      </c>
      <c r="K1189" s="3" t="str">
        <f t="shared" si="113"/>
        <v/>
      </c>
      <c r="L1189" t="str">
        <f t="shared" si="114"/>
        <v/>
      </c>
      <c r="M1189" t="str">
        <f t="shared" si="115"/>
        <v>Check</v>
      </c>
      <c r="N1189">
        <v>13804.64</v>
      </c>
      <c r="O1189" t="s">
        <v>340</v>
      </c>
      <c r="Q1189" t="s">
        <v>41</v>
      </c>
    </row>
    <row r="1190" spans="1:17" x14ac:dyDescent="0.3">
      <c r="A1190">
        <v>100670671</v>
      </c>
      <c r="B1190" t="s">
        <v>336</v>
      </c>
      <c r="C1190" t="s">
        <v>606</v>
      </c>
      <c r="D1190" t="s">
        <v>633</v>
      </c>
      <c r="E1190" s="6">
        <v>1716.61</v>
      </c>
      <c r="F1190" t="s">
        <v>603</v>
      </c>
      <c r="G1190" s="4" t="str">
        <f t="shared" si="110"/>
        <v>1716.61</v>
      </c>
      <c r="H1190" t="str">
        <f t="shared" si="111"/>
        <v>1716.61</v>
      </c>
      <c r="I1190" s="1">
        <v>45761</v>
      </c>
      <c r="J1190" s="2">
        <f t="shared" si="112"/>
        <v>-4.8349227513841825E-3</v>
      </c>
      <c r="K1190" s="3" t="str">
        <f t="shared" si="113"/>
        <v/>
      </c>
      <c r="L1190" t="str">
        <f t="shared" si="114"/>
        <v/>
      </c>
      <c r="M1190" t="str">
        <f t="shared" si="115"/>
        <v/>
      </c>
      <c r="N1190">
        <v>1724.95</v>
      </c>
      <c r="O1190" t="s">
        <v>671</v>
      </c>
      <c r="Q1190" t="s">
        <v>606</v>
      </c>
    </row>
    <row r="1191" spans="1:17" x14ac:dyDescent="0.3">
      <c r="A1191">
        <v>100670671</v>
      </c>
      <c r="B1191" t="s">
        <v>336</v>
      </c>
      <c r="C1191" t="s">
        <v>609</v>
      </c>
      <c r="D1191" t="s">
        <v>634</v>
      </c>
      <c r="E1191" s="6">
        <v>265.24</v>
      </c>
      <c r="F1191" t="s">
        <v>603</v>
      </c>
      <c r="G1191" s="4" t="str">
        <f t="shared" si="110"/>
        <v>265.24</v>
      </c>
      <c r="H1191" t="str">
        <f t="shared" si="111"/>
        <v>265.24</v>
      </c>
      <c r="I1191" s="1">
        <v>45761</v>
      </c>
      <c r="J1191" s="2">
        <f t="shared" si="112"/>
        <v>0.2989862383074588</v>
      </c>
      <c r="K1191" s="3" t="str">
        <f t="shared" si="113"/>
        <v>Check!</v>
      </c>
      <c r="L1191" t="str">
        <f t="shared" si="114"/>
        <v/>
      </c>
      <c r="M1191" t="str">
        <f t="shared" si="115"/>
        <v/>
      </c>
      <c r="N1191">
        <v>204.19</v>
      </c>
      <c r="O1191" t="s">
        <v>670</v>
      </c>
      <c r="Q1191" t="s">
        <v>609</v>
      </c>
    </row>
    <row r="1192" spans="1:17" x14ac:dyDescent="0.3">
      <c r="A1192">
        <v>100672294</v>
      </c>
      <c r="B1192" t="s">
        <v>341</v>
      </c>
      <c r="C1192" t="s">
        <v>590</v>
      </c>
      <c r="D1192" t="s">
        <v>342</v>
      </c>
      <c r="E1192" s="6">
        <v>8346.51</v>
      </c>
      <c r="F1192" t="s">
        <v>603</v>
      </c>
      <c r="G1192" s="4" t="str">
        <f t="shared" si="110"/>
        <v>8346.51</v>
      </c>
      <c r="H1192" t="str">
        <f t="shared" si="111"/>
        <v>8346.51</v>
      </c>
      <c r="I1192" s="1">
        <v>45761</v>
      </c>
      <c r="J1192" s="2">
        <f t="shared" si="112"/>
        <v>-0.12813610524402549</v>
      </c>
      <c r="K1192" s="3" t="str">
        <f t="shared" si="113"/>
        <v>Check!</v>
      </c>
      <c r="L1192" t="str">
        <f t="shared" si="114"/>
        <v/>
      </c>
      <c r="M1192" t="str">
        <f t="shared" si="115"/>
        <v>Check</v>
      </c>
      <c r="N1192">
        <v>9573.18</v>
      </c>
      <c r="O1192" t="s">
        <v>343</v>
      </c>
      <c r="Q1192" t="s">
        <v>16</v>
      </c>
    </row>
    <row r="1193" spans="1:17" x14ac:dyDescent="0.3">
      <c r="A1193">
        <v>100672395</v>
      </c>
      <c r="B1193" t="s">
        <v>344</v>
      </c>
      <c r="C1193" t="s">
        <v>590</v>
      </c>
      <c r="D1193" t="s">
        <v>345</v>
      </c>
      <c r="E1193" s="6">
        <v>491.82</v>
      </c>
      <c r="F1193" t="s">
        <v>603</v>
      </c>
      <c r="G1193" s="4" t="str">
        <f t="shared" si="110"/>
        <v>491.82</v>
      </c>
      <c r="H1193" t="str">
        <f t="shared" si="111"/>
        <v>491.82</v>
      </c>
      <c r="I1193" s="1">
        <v>45761</v>
      </c>
      <c r="J1193" s="2">
        <f t="shared" si="112"/>
        <v>-0.67130703272761305</v>
      </c>
      <c r="K1193" s="3" t="str">
        <f t="shared" si="113"/>
        <v>Check!</v>
      </c>
      <c r="L1193" t="str">
        <f t="shared" si="114"/>
        <v/>
      </c>
      <c r="M1193" t="str">
        <f t="shared" si="115"/>
        <v>Check</v>
      </c>
      <c r="N1193">
        <v>1496.29</v>
      </c>
      <c r="O1193" t="s">
        <v>346</v>
      </c>
      <c r="Q1193" t="s">
        <v>16</v>
      </c>
    </row>
    <row r="1194" spans="1:17" x14ac:dyDescent="0.3">
      <c r="A1194">
        <v>100675336</v>
      </c>
      <c r="B1194" t="s">
        <v>347</v>
      </c>
      <c r="C1194" t="s">
        <v>19</v>
      </c>
      <c r="D1194" t="s">
        <v>348</v>
      </c>
      <c r="E1194" s="6">
        <v>356.57</v>
      </c>
      <c r="F1194" t="s">
        <v>603</v>
      </c>
      <c r="G1194" s="4" t="str">
        <f t="shared" si="110"/>
        <v>356.57</v>
      </c>
      <c r="H1194" t="str">
        <f t="shared" si="111"/>
        <v>356.57</v>
      </c>
      <c r="I1194" s="1">
        <v>45761</v>
      </c>
      <c r="J1194" s="2">
        <f t="shared" si="112"/>
        <v>-0.7901677739788503</v>
      </c>
      <c r="K1194" s="3" t="str">
        <f t="shared" si="113"/>
        <v>Check!</v>
      </c>
      <c r="L1194" t="str">
        <f t="shared" si="114"/>
        <v/>
      </c>
      <c r="M1194" t="str">
        <f t="shared" si="115"/>
        <v/>
      </c>
      <c r="N1194">
        <v>1699.31</v>
      </c>
      <c r="O1194" t="s">
        <v>349</v>
      </c>
      <c r="Q1194" t="s">
        <v>19</v>
      </c>
    </row>
    <row r="1195" spans="1:17" x14ac:dyDescent="0.3">
      <c r="A1195">
        <v>100677278</v>
      </c>
      <c r="B1195" t="s">
        <v>350</v>
      </c>
      <c r="C1195" t="s">
        <v>19</v>
      </c>
      <c r="D1195" t="s">
        <v>351</v>
      </c>
      <c r="E1195" s="6">
        <v>21693.46</v>
      </c>
      <c r="F1195" t="s">
        <v>603</v>
      </c>
      <c r="G1195" s="4" t="str">
        <f t="shared" si="110"/>
        <v>21693.46</v>
      </c>
      <c r="H1195" t="str">
        <f t="shared" si="111"/>
        <v>21693.46</v>
      </c>
      <c r="I1195" s="1">
        <v>45761</v>
      </c>
      <c r="J1195" s="2">
        <f t="shared" si="112"/>
        <v>-6.0035885390330522E-2</v>
      </c>
      <c r="K1195" s="3" t="str">
        <f t="shared" si="113"/>
        <v/>
      </c>
      <c r="L1195" t="str">
        <f t="shared" si="114"/>
        <v/>
      </c>
      <c r="M1195" t="str">
        <f t="shared" si="115"/>
        <v/>
      </c>
      <c r="N1195">
        <v>23079.03</v>
      </c>
      <c r="O1195" t="s">
        <v>352</v>
      </c>
      <c r="Q1195" t="s">
        <v>19</v>
      </c>
    </row>
    <row r="1196" spans="1:17" x14ac:dyDescent="0.3">
      <c r="A1196">
        <v>100677585</v>
      </c>
      <c r="B1196" t="s">
        <v>353</v>
      </c>
      <c r="C1196" t="s">
        <v>19</v>
      </c>
      <c r="D1196" t="s">
        <v>354</v>
      </c>
      <c r="E1196" s="6">
        <v>2098.04</v>
      </c>
      <c r="F1196" t="s">
        <v>603</v>
      </c>
      <c r="G1196" s="4" t="str">
        <f t="shared" si="110"/>
        <v>2098.04</v>
      </c>
      <c r="H1196" t="str">
        <f t="shared" si="111"/>
        <v>2098.04</v>
      </c>
      <c r="I1196" s="1">
        <v>45761</v>
      </c>
      <c r="J1196" s="2">
        <f t="shared" si="112"/>
        <v>-0.11701997819947904</v>
      </c>
      <c r="K1196" s="3" t="str">
        <f t="shared" si="113"/>
        <v>Check!</v>
      </c>
      <c r="L1196" t="str">
        <f t="shared" si="114"/>
        <v/>
      </c>
      <c r="M1196" t="str">
        <f t="shared" si="115"/>
        <v/>
      </c>
      <c r="N1196">
        <v>2376.09</v>
      </c>
      <c r="O1196" t="s">
        <v>355</v>
      </c>
      <c r="Q1196" t="s">
        <v>19</v>
      </c>
    </row>
    <row r="1197" spans="1:17" x14ac:dyDescent="0.3">
      <c r="A1197">
        <v>100706842</v>
      </c>
      <c r="B1197" t="s">
        <v>356</v>
      </c>
      <c r="C1197" t="s">
        <v>19</v>
      </c>
      <c r="D1197" t="s">
        <v>357</v>
      </c>
      <c r="E1197" s="6">
        <v>26578.19</v>
      </c>
      <c r="F1197" t="s">
        <v>603</v>
      </c>
      <c r="G1197" s="4" t="str">
        <f t="shared" si="110"/>
        <v>26578.19</v>
      </c>
      <c r="H1197" t="str">
        <f t="shared" si="111"/>
        <v>26578.19</v>
      </c>
      <c r="I1197" s="1">
        <v>45761</v>
      </c>
      <c r="J1197" s="2">
        <f t="shared" si="112"/>
        <v>-2.1505158347122268E-3</v>
      </c>
      <c r="K1197" s="3" t="str">
        <f t="shared" si="113"/>
        <v/>
      </c>
      <c r="L1197" t="str">
        <f t="shared" si="114"/>
        <v/>
      </c>
      <c r="M1197" t="str">
        <f t="shared" si="115"/>
        <v/>
      </c>
      <c r="N1197">
        <v>26635.47</v>
      </c>
      <c r="O1197" t="s">
        <v>358</v>
      </c>
      <c r="Q1197" t="s">
        <v>19</v>
      </c>
    </row>
    <row r="1198" spans="1:17" x14ac:dyDescent="0.3">
      <c r="A1198">
        <v>100711105</v>
      </c>
      <c r="B1198" t="s">
        <v>359</v>
      </c>
      <c r="C1198" t="s">
        <v>590</v>
      </c>
      <c r="D1198" t="s">
        <v>360</v>
      </c>
      <c r="E1198" s="6">
        <v>89.42</v>
      </c>
      <c r="F1198" t="s">
        <v>603</v>
      </c>
      <c r="G1198" s="4" t="str">
        <f t="shared" si="110"/>
        <v>89.42</v>
      </c>
      <c r="H1198" t="str">
        <f t="shared" si="111"/>
        <v>89.42</v>
      </c>
      <c r="I1198" s="1">
        <v>45761</v>
      </c>
      <c r="J1198" s="2">
        <f t="shared" si="112"/>
        <v>1.6945297395655576E-2</v>
      </c>
      <c r="K1198" s="3" t="str">
        <f t="shared" si="113"/>
        <v/>
      </c>
      <c r="L1198" t="str">
        <f t="shared" si="114"/>
        <v/>
      </c>
      <c r="M1198" t="str">
        <f t="shared" si="115"/>
        <v>Check</v>
      </c>
      <c r="N1198">
        <v>87.93</v>
      </c>
      <c r="O1198" t="s">
        <v>361</v>
      </c>
      <c r="Q1198" t="s">
        <v>16</v>
      </c>
    </row>
    <row r="1199" spans="1:17" x14ac:dyDescent="0.3">
      <c r="A1199">
        <v>100786852</v>
      </c>
      <c r="B1199" t="s">
        <v>636</v>
      </c>
      <c r="C1199" t="s">
        <v>19</v>
      </c>
      <c r="D1199" t="s">
        <v>637</v>
      </c>
      <c r="E1199" s="6">
        <v>36372.660000000003</v>
      </c>
      <c r="F1199" t="s">
        <v>603</v>
      </c>
      <c r="G1199" s="4" t="str">
        <f t="shared" si="110"/>
        <v>36372.66</v>
      </c>
      <c r="H1199" t="str">
        <f t="shared" si="111"/>
        <v>36372.66</v>
      </c>
      <c r="I1199" s="1">
        <v>45761</v>
      </c>
      <c r="J1199" s="2">
        <f t="shared" si="112"/>
        <v>-3.4047020437560332E-2</v>
      </c>
      <c r="K1199" s="3" t="str">
        <f t="shared" si="113"/>
        <v/>
      </c>
      <c r="L1199" t="str">
        <f t="shared" si="114"/>
        <v/>
      </c>
      <c r="M1199" t="str">
        <f t="shared" si="115"/>
        <v/>
      </c>
      <c r="N1199">
        <v>37654.69</v>
      </c>
      <c r="O1199" t="s">
        <v>674</v>
      </c>
      <c r="Q1199" t="s">
        <v>19</v>
      </c>
    </row>
    <row r="1200" spans="1:17" x14ac:dyDescent="0.3">
      <c r="A1200">
        <v>100799345</v>
      </c>
      <c r="B1200" t="s">
        <v>640</v>
      </c>
      <c r="C1200" t="s">
        <v>590</v>
      </c>
      <c r="D1200" t="s">
        <v>641</v>
      </c>
      <c r="E1200" s="6">
        <v>112912.19</v>
      </c>
      <c r="F1200" t="s">
        <v>603</v>
      </c>
      <c r="G1200" s="4" t="str">
        <f t="shared" si="110"/>
        <v>112912.19</v>
      </c>
      <c r="H1200" t="str">
        <f t="shared" si="111"/>
        <v>112912.19</v>
      </c>
      <c r="I1200" s="1">
        <v>45761</v>
      </c>
      <c r="J1200" s="2">
        <f t="shared" si="112"/>
        <v>0.99224027670270964</v>
      </c>
      <c r="K1200" s="3" t="str">
        <f t="shared" si="113"/>
        <v>Check!</v>
      </c>
      <c r="L1200" t="str">
        <f t="shared" si="114"/>
        <v/>
      </c>
      <c r="M1200" t="str">
        <f t="shared" si="115"/>
        <v/>
      </c>
      <c r="N1200">
        <v>56675.99</v>
      </c>
      <c r="O1200" t="s">
        <v>675</v>
      </c>
      <c r="Q1200" t="s">
        <v>590</v>
      </c>
    </row>
    <row r="1201" spans="1:17" s="7" customFormat="1" x14ac:dyDescent="0.3">
      <c r="A1201" s="7">
        <v>32490</v>
      </c>
      <c r="B1201" s="7" t="s">
        <v>15</v>
      </c>
      <c r="C1201" s="7" t="s">
        <v>590</v>
      </c>
      <c r="D1201" s="7" t="s">
        <v>17</v>
      </c>
      <c r="E1201" s="8">
        <v>15397.44</v>
      </c>
      <c r="F1201" s="7" t="s">
        <v>642</v>
      </c>
      <c r="G1201" s="4" t="str">
        <f t="shared" si="110"/>
        <v>15397.44</v>
      </c>
      <c r="H1201" t="str">
        <f t="shared" si="111"/>
        <v>15397.44</v>
      </c>
      <c r="I1201" s="1">
        <v>45761</v>
      </c>
      <c r="J1201" s="2">
        <f t="shared" si="112"/>
        <v>-1.3867709493485567E-2</v>
      </c>
      <c r="K1201" s="3" t="str">
        <f t="shared" si="113"/>
        <v/>
      </c>
      <c r="L1201" t="str">
        <f t="shared" si="114"/>
        <v/>
      </c>
      <c r="M1201" t="str">
        <f t="shared" si="115"/>
        <v>Check</v>
      </c>
      <c r="N1201" s="7">
        <v>15613.97</v>
      </c>
      <c r="O1201" s="7" t="s">
        <v>18</v>
      </c>
      <c r="Q1201" s="7" t="s">
        <v>16</v>
      </c>
    </row>
    <row r="1202" spans="1:17" x14ac:dyDescent="0.3">
      <c r="A1202">
        <v>32490</v>
      </c>
      <c r="B1202" t="s">
        <v>15</v>
      </c>
      <c r="C1202" t="s">
        <v>19</v>
      </c>
      <c r="D1202" t="s">
        <v>20</v>
      </c>
      <c r="E1202" s="6">
        <v>1641.62</v>
      </c>
      <c r="F1202" t="s">
        <v>642</v>
      </c>
      <c r="G1202" s="4" t="str">
        <f t="shared" si="110"/>
        <v>1641.62</v>
      </c>
      <c r="H1202" t="str">
        <f t="shared" si="111"/>
        <v>1641.62</v>
      </c>
      <c r="I1202" s="1">
        <v>45761</v>
      </c>
      <c r="J1202" s="2">
        <f t="shared" si="112"/>
        <v>-0.13899393170148389</v>
      </c>
      <c r="K1202" s="3" t="str">
        <f t="shared" si="113"/>
        <v>Check!</v>
      </c>
      <c r="L1202" t="str">
        <f t="shared" si="114"/>
        <v/>
      </c>
      <c r="M1202" t="str">
        <f t="shared" si="115"/>
        <v/>
      </c>
      <c r="N1202">
        <v>1906.63</v>
      </c>
      <c r="O1202" t="s">
        <v>21</v>
      </c>
      <c r="Q1202" t="s">
        <v>19</v>
      </c>
    </row>
    <row r="1203" spans="1:17" x14ac:dyDescent="0.3">
      <c r="A1203">
        <v>32490</v>
      </c>
      <c r="B1203" t="s">
        <v>15</v>
      </c>
      <c r="C1203" t="s">
        <v>19</v>
      </c>
      <c r="D1203" t="s">
        <v>22</v>
      </c>
      <c r="E1203" s="6">
        <v>5124.08</v>
      </c>
      <c r="F1203" t="s">
        <v>642</v>
      </c>
      <c r="G1203" s="4" t="str">
        <f t="shared" si="110"/>
        <v>5124.08</v>
      </c>
      <c r="H1203" t="str">
        <f t="shared" si="111"/>
        <v>5124.08</v>
      </c>
      <c r="I1203" s="1">
        <v>45761</v>
      </c>
      <c r="J1203" s="2">
        <f t="shared" si="112"/>
        <v>-0.19242619814248316</v>
      </c>
      <c r="K1203" s="3" t="str">
        <f t="shared" si="113"/>
        <v>Check!</v>
      </c>
      <c r="L1203" t="str">
        <f t="shared" si="114"/>
        <v/>
      </c>
      <c r="M1203" t="str">
        <f t="shared" si="115"/>
        <v/>
      </c>
      <c r="N1203">
        <v>6345.03</v>
      </c>
      <c r="O1203" t="s">
        <v>23</v>
      </c>
      <c r="Q1203" t="s">
        <v>19</v>
      </c>
    </row>
    <row r="1204" spans="1:17" x14ac:dyDescent="0.3">
      <c r="A1204">
        <v>33672</v>
      </c>
      <c r="B1204" t="s">
        <v>24</v>
      </c>
      <c r="C1204" t="s">
        <v>19</v>
      </c>
      <c r="D1204" t="s">
        <v>25</v>
      </c>
      <c r="E1204" s="6">
        <v>26767.02</v>
      </c>
      <c r="F1204" t="s">
        <v>642</v>
      </c>
      <c r="G1204" s="4" t="str">
        <f t="shared" si="110"/>
        <v>26767.02</v>
      </c>
      <c r="H1204" t="str">
        <f t="shared" si="111"/>
        <v>26767.02</v>
      </c>
      <c r="I1204" s="1">
        <v>45761</v>
      </c>
      <c r="J1204" s="2">
        <f t="shared" si="112"/>
        <v>-2.1959579815996777E-2</v>
      </c>
      <c r="K1204" s="3" t="str">
        <f t="shared" si="113"/>
        <v/>
      </c>
      <c r="L1204" t="str">
        <f t="shared" si="114"/>
        <v/>
      </c>
      <c r="M1204" t="str">
        <f t="shared" si="115"/>
        <v/>
      </c>
      <c r="N1204">
        <v>27368.01</v>
      </c>
      <c r="O1204" t="s">
        <v>26</v>
      </c>
      <c r="Q1204" t="s">
        <v>19</v>
      </c>
    </row>
    <row r="1205" spans="1:17" x14ac:dyDescent="0.3">
      <c r="A1205">
        <v>34171</v>
      </c>
      <c r="B1205" t="s">
        <v>27</v>
      </c>
      <c r="C1205" t="s">
        <v>19</v>
      </c>
      <c r="D1205" t="s">
        <v>28</v>
      </c>
      <c r="E1205" s="6">
        <v>7878.07</v>
      </c>
      <c r="F1205" t="s">
        <v>642</v>
      </c>
      <c r="G1205" s="4" t="str">
        <f t="shared" si="110"/>
        <v>7878.07</v>
      </c>
      <c r="H1205" t="str">
        <f t="shared" si="111"/>
        <v>7878.07</v>
      </c>
      <c r="I1205" s="1">
        <v>45761</v>
      </c>
      <c r="J1205" s="2">
        <f t="shared" si="112"/>
        <v>-1.2003090127894179E-2</v>
      </c>
      <c r="K1205" s="3" t="str">
        <f t="shared" si="113"/>
        <v/>
      </c>
      <c r="L1205" t="str">
        <f t="shared" si="114"/>
        <v/>
      </c>
      <c r="M1205" t="str">
        <f t="shared" si="115"/>
        <v/>
      </c>
      <c r="N1205">
        <v>7973.78</v>
      </c>
      <c r="O1205" t="s">
        <v>29</v>
      </c>
      <c r="Q1205" t="s">
        <v>19</v>
      </c>
    </row>
    <row r="1206" spans="1:17" x14ac:dyDescent="0.3">
      <c r="A1206">
        <v>34173</v>
      </c>
      <c r="B1206" t="s">
        <v>30</v>
      </c>
      <c r="C1206" t="s">
        <v>19</v>
      </c>
      <c r="D1206" t="s">
        <v>31</v>
      </c>
      <c r="E1206" s="6">
        <v>9238.64</v>
      </c>
      <c r="F1206" t="s">
        <v>642</v>
      </c>
      <c r="G1206" s="4" t="str">
        <f t="shared" si="110"/>
        <v>9238.64</v>
      </c>
      <c r="H1206" t="str">
        <f t="shared" si="111"/>
        <v>9238.64</v>
      </c>
      <c r="I1206" s="1">
        <v>45761</v>
      </c>
      <c r="J1206" s="2">
        <f t="shared" si="112"/>
        <v>-2.348009360750395E-2</v>
      </c>
      <c r="K1206" s="3" t="str">
        <f t="shared" si="113"/>
        <v/>
      </c>
      <c r="L1206" t="str">
        <f t="shared" si="114"/>
        <v/>
      </c>
      <c r="M1206" t="str">
        <f t="shared" si="115"/>
        <v/>
      </c>
      <c r="N1206">
        <v>9460.7800000000007</v>
      </c>
      <c r="O1206" t="s">
        <v>32</v>
      </c>
      <c r="Q1206" t="s">
        <v>19</v>
      </c>
    </row>
    <row r="1207" spans="1:17" x14ac:dyDescent="0.3">
      <c r="A1207">
        <v>34196</v>
      </c>
      <c r="B1207" t="s">
        <v>33</v>
      </c>
      <c r="C1207" t="s">
        <v>590</v>
      </c>
      <c r="D1207" t="s">
        <v>34</v>
      </c>
      <c r="E1207" s="6">
        <v>213952.75</v>
      </c>
      <c r="F1207" t="s">
        <v>642</v>
      </c>
      <c r="G1207" s="4" t="str">
        <f t="shared" si="110"/>
        <v>213952.75</v>
      </c>
      <c r="H1207" t="str">
        <f t="shared" si="111"/>
        <v>213952.75</v>
      </c>
      <c r="I1207" s="1">
        <v>45761</v>
      </c>
      <c r="J1207" s="2">
        <f t="shared" si="112"/>
        <v>-2.078374098092544E-2</v>
      </c>
      <c r="K1207" s="3" t="str">
        <f t="shared" si="113"/>
        <v/>
      </c>
      <c r="L1207" t="str">
        <f t="shared" si="114"/>
        <v/>
      </c>
      <c r="M1207" t="str">
        <f t="shared" si="115"/>
        <v>Check</v>
      </c>
      <c r="N1207">
        <v>218493.87</v>
      </c>
      <c r="O1207" t="s">
        <v>35</v>
      </c>
      <c r="Q1207" t="s">
        <v>16</v>
      </c>
    </row>
    <row r="1208" spans="1:17" x14ac:dyDescent="0.3">
      <c r="A1208">
        <v>34199</v>
      </c>
      <c r="B1208" t="s">
        <v>36</v>
      </c>
      <c r="C1208" t="s">
        <v>590</v>
      </c>
      <c r="D1208" t="s">
        <v>37</v>
      </c>
      <c r="E1208" s="6">
        <v>8140.41</v>
      </c>
      <c r="F1208" t="s">
        <v>642</v>
      </c>
      <c r="G1208" s="4" t="str">
        <f t="shared" si="110"/>
        <v>8140.41</v>
      </c>
      <c r="H1208" t="str">
        <f t="shared" si="111"/>
        <v>8140.41</v>
      </c>
      <c r="I1208" s="1">
        <v>45761</v>
      </c>
      <c r="J1208" s="2">
        <f t="shared" si="112"/>
        <v>-0.14197491825983563</v>
      </c>
      <c r="K1208" s="3" t="str">
        <f t="shared" si="113"/>
        <v>Check!</v>
      </c>
      <c r="L1208" t="str">
        <f t="shared" si="114"/>
        <v/>
      </c>
      <c r="M1208" t="str">
        <f t="shared" si="115"/>
        <v>Check</v>
      </c>
      <c r="N1208">
        <v>9487.3799999999992</v>
      </c>
      <c r="O1208" t="s">
        <v>38</v>
      </c>
      <c r="Q1208" t="s">
        <v>16</v>
      </c>
    </row>
    <row r="1209" spans="1:17" x14ac:dyDescent="0.3">
      <c r="A1209">
        <v>34199</v>
      </c>
      <c r="B1209" t="s">
        <v>36</v>
      </c>
      <c r="C1209" t="s">
        <v>19</v>
      </c>
      <c r="D1209" t="s">
        <v>39</v>
      </c>
      <c r="E1209" s="6">
        <v>7273.44</v>
      </c>
      <c r="F1209" t="s">
        <v>642</v>
      </c>
      <c r="G1209" s="4" t="str">
        <f t="shared" si="110"/>
        <v>7273.44</v>
      </c>
      <c r="H1209" t="str">
        <f t="shared" si="111"/>
        <v>7273.44</v>
      </c>
      <c r="I1209" s="1">
        <v>45761</v>
      </c>
      <c r="J1209" s="2">
        <f t="shared" si="112"/>
        <v>-8.353431833024132E-3</v>
      </c>
      <c r="K1209" s="3" t="str">
        <f t="shared" si="113"/>
        <v/>
      </c>
      <c r="L1209" t="str">
        <f t="shared" si="114"/>
        <v/>
      </c>
      <c r="M1209" t="str">
        <f t="shared" si="115"/>
        <v/>
      </c>
      <c r="N1209">
        <v>7334.71</v>
      </c>
      <c r="O1209" t="s">
        <v>40</v>
      </c>
      <c r="Q1209" t="s">
        <v>19</v>
      </c>
    </row>
    <row r="1210" spans="1:17" x14ac:dyDescent="0.3">
      <c r="A1210">
        <v>34202</v>
      </c>
      <c r="B1210" t="s">
        <v>46</v>
      </c>
      <c r="C1210" t="s">
        <v>19</v>
      </c>
      <c r="D1210" t="s">
        <v>49</v>
      </c>
      <c r="E1210" s="6">
        <v>5616.48</v>
      </c>
      <c r="F1210" t="s">
        <v>642</v>
      </c>
      <c r="G1210" s="4" t="str">
        <f t="shared" si="110"/>
        <v>5616.48</v>
      </c>
      <c r="H1210" t="str">
        <f t="shared" si="111"/>
        <v>5616.48</v>
      </c>
      <c r="I1210" s="1">
        <v>45761</v>
      </c>
      <c r="J1210" s="2">
        <f t="shared" si="112"/>
        <v>-0.6882462910251913</v>
      </c>
      <c r="K1210" s="3" t="str">
        <f t="shared" si="113"/>
        <v>Check!</v>
      </c>
      <c r="L1210" t="str">
        <f t="shared" si="114"/>
        <v/>
      </c>
      <c r="M1210" t="str">
        <f t="shared" si="115"/>
        <v/>
      </c>
      <c r="N1210">
        <v>18015.759999999998</v>
      </c>
      <c r="O1210" t="s">
        <v>50</v>
      </c>
      <c r="Q1210" t="s">
        <v>19</v>
      </c>
    </row>
    <row r="1211" spans="1:17" x14ac:dyDescent="0.3">
      <c r="A1211">
        <v>34202</v>
      </c>
      <c r="B1211" t="s">
        <v>46</v>
      </c>
      <c r="C1211" t="s">
        <v>19</v>
      </c>
      <c r="D1211" t="s">
        <v>47</v>
      </c>
      <c r="E1211" s="6">
        <v>1696.42</v>
      </c>
      <c r="F1211" t="s">
        <v>642</v>
      </c>
      <c r="G1211" s="4" t="str">
        <f t="shared" si="110"/>
        <v>1696.42</v>
      </c>
      <c r="H1211" t="str">
        <f t="shared" si="111"/>
        <v>1696.42</v>
      </c>
      <c r="I1211" s="1">
        <v>45761</v>
      </c>
      <c r="J1211" s="2">
        <f t="shared" si="112"/>
        <v>-0.58267034691778963</v>
      </c>
      <c r="K1211" s="3" t="str">
        <f t="shared" si="113"/>
        <v>Check!</v>
      </c>
      <c r="L1211" t="str">
        <f t="shared" si="114"/>
        <v/>
      </c>
      <c r="M1211" t="str">
        <f t="shared" si="115"/>
        <v/>
      </c>
      <c r="N1211">
        <v>4064.94</v>
      </c>
      <c r="O1211" t="s">
        <v>48</v>
      </c>
      <c r="Q1211" t="s">
        <v>19</v>
      </c>
    </row>
    <row r="1212" spans="1:17" x14ac:dyDescent="0.3">
      <c r="A1212">
        <v>34209</v>
      </c>
      <c r="B1212" t="s">
        <v>51</v>
      </c>
      <c r="C1212" t="s">
        <v>19</v>
      </c>
      <c r="D1212" t="s">
        <v>54</v>
      </c>
      <c r="E1212" s="6">
        <v>79228.55</v>
      </c>
      <c r="F1212" t="s">
        <v>642</v>
      </c>
      <c r="G1212" s="4" t="str">
        <f t="shared" si="110"/>
        <v>79228.55</v>
      </c>
      <c r="H1212" t="str">
        <f t="shared" si="111"/>
        <v>79228.55</v>
      </c>
      <c r="I1212" s="1">
        <v>45761</v>
      </c>
      <c r="J1212" s="2">
        <f t="shared" si="112"/>
        <v>-2.9973426931652832E-2</v>
      </c>
      <c r="K1212" s="3" t="str">
        <f t="shared" si="113"/>
        <v/>
      </c>
      <c r="L1212" t="str">
        <f t="shared" si="114"/>
        <v/>
      </c>
      <c r="M1212" t="str">
        <f t="shared" si="115"/>
        <v/>
      </c>
      <c r="N1212">
        <v>81676.679999999993</v>
      </c>
      <c r="O1212" t="s">
        <v>55</v>
      </c>
      <c r="Q1212" t="s">
        <v>19</v>
      </c>
    </row>
    <row r="1213" spans="1:17" x14ac:dyDescent="0.3">
      <c r="A1213">
        <v>34209</v>
      </c>
      <c r="B1213" t="s">
        <v>51</v>
      </c>
      <c r="C1213" t="s">
        <v>19</v>
      </c>
      <c r="D1213" t="s">
        <v>52</v>
      </c>
      <c r="E1213" s="6">
        <v>62773.94</v>
      </c>
      <c r="F1213" t="s">
        <v>642</v>
      </c>
      <c r="G1213" s="4" t="str">
        <f t="shared" si="110"/>
        <v>62773.94</v>
      </c>
      <c r="H1213" t="str">
        <f t="shared" si="111"/>
        <v>62773.94</v>
      </c>
      <c r="I1213" s="1">
        <v>45761</v>
      </c>
      <c r="J1213" s="2">
        <f t="shared" si="112"/>
        <v>-2.9813323812901804E-2</v>
      </c>
      <c r="K1213" s="3" t="str">
        <f t="shared" si="113"/>
        <v/>
      </c>
      <c r="L1213" t="str">
        <f t="shared" si="114"/>
        <v/>
      </c>
      <c r="M1213" t="str">
        <f t="shared" si="115"/>
        <v/>
      </c>
      <c r="N1213">
        <v>64702.95</v>
      </c>
      <c r="O1213" t="s">
        <v>53</v>
      </c>
      <c r="Q1213" t="s">
        <v>19</v>
      </c>
    </row>
    <row r="1214" spans="1:17" x14ac:dyDescent="0.3">
      <c r="A1214">
        <v>34216</v>
      </c>
      <c r="B1214" t="s">
        <v>59</v>
      </c>
      <c r="C1214" t="s">
        <v>19</v>
      </c>
      <c r="D1214" t="s">
        <v>60</v>
      </c>
      <c r="E1214" s="6">
        <v>4668.17</v>
      </c>
      <c r="F1214" t="s">
        <v>642</v>
      </c>
      <c r="G1214" s="4" t="str">
        <f t="shared" si="110"/>
        <v>4668.17</v>
      </c>
      <c r="H1214" t="str">
        <f t="shared" si="111"/>
        <v>4668.17</v>
      </c>
      <c r="I1214" s="1">
        <v>45761</v>
      </c>
      <c r="J1214" s="2">
        <f t="shared" si="112"/>
        <v>-2.1770472290792722E-2</v>
      </c>
      <c r="K1214" s="3" t="str">
        <f t="shared" si="113"/>
        <v/>
      </c>
      <c r="L1214" t="str">
        <f t="shared" si="114"/>
        <v/>
      </c>
      <c r="M1214" t="str">
        <f t="shared" si="115"/>
        <v/>
      </c>
      <c r="N1214">
        <v>4772.0600000000004</v>
      </c>
      <c r="O1214" t="s">
        <v>61</v>
      </c>
      <c r="Q1214" t="s">
        <v>19</v>
      </c>
    </row>
    <row r="1215" spans="1:17" x14ac:dyDescent="0.3">
      <c r="A1215">
        <v>34216</v>
      </c>
      <c r="B1215" t="s">
        <v>59</v>
      </c>
      <c r="C1215" t="s">
        <v>590</v>
      </c>
      <c r="D1215" t="s">
        <v>62</v>
      </c>
      <c r="E1215" s="6">
        <v>14834.97</v>
      </c>
      <c r="F1215" t="s">
        <v>642</v>
      </c>
      <c r="G1215" s="4" t="str">
        <f t="shared" si="110"/>
        <v>14834.97</v>
      </c>
      <c r="H1215" t="str">
        <f t="shared" si="111"/>
        <v>14834.97</v>
      </c>
      <c r="I1215" s="1">
        <v>45761</v>
      </c>
      <c r="J1215" s="2">
        <f t="shared" si="112"/>
        <v>-2.1812923568718608E-2</v>
      </c>
      <c r="K1215" s="3" t="str">
        <f t="shared" si="113"/>
        <v/>
      </c>
      <c r="L1215" t="str">
        <f t="shared" si="114"/>
        <v/>
      </c>
      <c r="M1215" t="str">
        <f t="shared" si="115"/>
        <v>Check</v>
      </c>
      <c r="N1215">
        <v>15165.78</v>
      </c>
      <c r="O1215" t="s">
        <v>63</v>
      </c>
      <c r="Q1215" t="s">
        <v>16</v>
      </c>
    </row>
    <row r="1216" spans="1:17" x14ac:dyDescent="0.3">
      <c r="A1216">
        <v>34337</v>
      </c>
      <c r="B1216" t="s">
        <v>64</v>
      </c>
      <c r="C1216" t="s">
        <v>590</v>
      </c>
      <c r="D1216" t="s">
        <v>65</v>
      </c>
      <c r="E1216" s="6">
        <v>2428.67</v>
      </c>
      <c r="F1216" t="s">
        <v>642</v>
      </c>
      <c r="G1216" s="4" t="str">
        <f t="shared" si="110"/>
        <v>2428.67</v>
      </c>
      <c r="H1216" t="str">
        <f t="shared" si="111"/>
        <v>2428.67</v>
      </c>
      <c r="I1216" s="1">
        <v>45761</v>
      </c>
      <c r="J1216" s="2">
        <f t="shared" si="112"/>
        <v>-0.3328306219885393</v>
      </c>
      <c r="K1216" s="3" t="str">
        <f t="shared" si="113"/>
        <v>Check!</v>
      </c>
      <c r="L1216" t="str">
        <f t="shared" si="114"/>
        <v/>
      </c>
      <c r="M1216" t="str">
        <f t="shared" si="115"/>
        <v>Check</v>
      </c>
      <c r="N1216">
        <v>3640.26</v>
      </c>
      <c r="O1216" t="s">
        <v>66</v>
      </c>
      <c r="Q1216" t="s">
        <v>16</v>
      </c>
    </row>
    <row r="1217" spans="1:17" x14ac:dyDescent="0.3">
      <c r="A1217">
        <v>34337</v>
      </c>
      <c r="B1217" t="s">
        <v>64</v>
      </c>
      <c r="C1217" t="s">
        <v>19</v>
      </c>
      <c r="D1217" t="s">
        <v>67</v>
      </c>
      <c r="E1217" s="6">
        <v>59549.29</v>
      </c>
      <c r="F1217" t="s">
        <v>642</v>
      </c>
      <c r="G1217" s="4" t="str">
        <f t="shared" si="110"/>
        <v>59549.29</v>
      </c>
      <c r="H1217" t="str">
        <f t="shared" si="111"/>
        <v>59549.29</v>
      </c>
      <c r="I1217" s="1">
        <v>45761</v>
      </c>
      <c r="J1217" s="2">
        <f t="shared" si="112"/>
        <v>-4.706453170304483E-2</v>
      </c>
      <c r="K1217" s="3" t="str">
        <f t="shared" si="113"/>
        <v/>
      </c>
      <c r="L1217" t="str">
        <f t="shared" si="114"/>
        <v/>
      </c>
      <c r="M1217" t="str">
        <f t="shared" si="115"/>
        <v/>
      </c>
      <c r="N1217">
        <v>62490.37</v>
      </c>
      <c r="O1217" t="s">
        <v>68</v>
      </c>
      <c r="Q1217" t="s">
        <v>19</v>
      </c>
    </row>
    <row r="1218" spans="1:17" x14ac:dyDescent="0.3">
      <c r="A1218">
        <v>34395</v>
      </c>
      <c r="B1218" t="s">
        <v>69</v>
      </c>
      <c r="C1218" t="s">
        <v>19</v>
      </c>
      <c r="D1218" t="s">
        <v>74</v>
      </c>
      <c r="E1218" s="6">
        <v>12927.62</v>
      </c>
      <c r="F1218" t="s">
        <v>642</v>
      </c>
      <c r="G1218" s="4" t="str">
        <f t="shared" si="110"/>
        <v>12927.62</v>
      </c>
      <c r="H1218" t="str">
        <f t="shared" si="111"/>
        <v>12927.62</v>
      </c>
      <c r="I1218" s="1">
        <v>45761</v>
      </c>
      <c r="J1218" s="2">
        <f t="shared" si="112"/>
        <v>-5.8736756725664752E-2</v>
      </c>
      <c r="K1218" s="3" t="str">
        <f t="shared" si="113"/>
        <v/>
      </c>
      <c r="L1218" t="str">
        <f t="shared" si="114"/>
        <v/>
      </c>
      <c r="M1218" t="str">
        <f t="shared" si="115"/>
        <v/>
      </c>
      <c r="N1218">
        <v>13734.33</v>
      </c>
      <c r="O1218" t="s">
        <v>75</v>
      </c>
      <c r="Q1218" t="s">
        <v>19</v>
      </c>
    </row>
    <row r="1219" spans="1:17" x14ac:dyDescent="0.3">
      <c r="A1219">
        <v>34395</v>
      </c>
      <c r="B1219" t="s">
        <v>69</v>
      </c>
      <c r="C1219" t="s">
        <v>19</v>
      </c>
      <c r="D1219" t="s">
        <v>72</v>
      </c>
      <c r="E1219" s="6">
        <v>8158.77</v>
      </c>
      <c r="F1219" t="s">
        <v>642</v>
      </c>
      <c r="G1219" s="4" t="str">
        <f t="shared" ref="G1219:G1282" si="116">SUBSTITUTE(E1219,"R","")</f>
        <v>8158.77</v>
      </c>
      <c r="H1219" t="str">
        <f t="shared" ref="H1219:H1282" si="117">SUBSTITUTE(G1219,",","")</f>
        <v>8158.77</v>
      </c>
      <c r="I1219" s="1">
        <v>45761</v>
      </c>
      <c r="J1219" s="2">
        <f t="shared" ref="J1219:J1282" si="118">(H1219-N1219)/N1219</f>
        <v>-5.1209831692275706E-2</v>
      </c>
      <c r="K1219" s="3" t="str">
        <f t="shared" ref="K1219:K1282" si="119">IF(ABS(J1219)&gt;0.1,"Check!","")</f>
        <v/>
      </c>
      <c r="L1219" t="str">
        <f t="shared" ref="L1219:L1282" si="120">IF(LEFT(O1219,10)&lt;&gt;LEFT(D1219,10),"Check","")</f>
        <v/>
      </c>
      <c r="M1219" t="str">
        <f t="shared" ref="M1219:M1282" si="121">IF(Q1219&lt;&gt;C1219,"Check","")</f>
        <v/>
      </c>
      <c r="N1219">
        <v>8599.1299999999992</v>
      </c>
      <c r="O1219" t="s">
        <v>73</v>
      </c>
      <c r="Q1219" t="s">
        <v>19</v>
      </c>
    </row>
    <row r="1220" spans="1:17" x14ac:dyDescent="0.3">
      <c r="A1220">
        <v>34395</v>
      </c>
      <c r="B1220" t="s">
        <v>69</v>
      </c>
      <c r="C1220" t="s">
        <v>19</v>
      </c>
      <c r="D1220" t="s">
        <v>70</v>
      </c>
      <c r="E1220" s="6">
        <v>143938.16</v>
      </c>
      <c r="F1220" t="s">
        <v>642</v>
      </c>
      <c r="G1220" s="4" t="str">
        <f t="shared" si="116"/>
        <v>143938.16</v>
      </c>
      <c r="H1220" t="str">
        <f t="shared" si="117"/>
        <v>143938.16</v>
      </c>
      <c r="I1220" s="1">
        <v>45761</v>
      </c>
      <c r="J1220" s="2">
        <f t="shared" si="118"/>
        <v>-5.7221072170931149E-2</v>
      </c>
      <c r="K1220" s="3" t="str">
        <f t="shared" si="119"/>
        <v/>
      </c>
      <c r="L1220" t="str">
        <f t="shared" si="120"/>
        <v/>
      </c>
      <c r="M1220" t="str">
        <f t="shared" si="121"/>
        <v/>
      </c>
      <c r="N1220">
        <v>152674.35</v>
      </c>
      <c r="O1220" t="s">
        <v>71</v>
      </c>
      <c r="Q1220" t="s">
        <v>19</v>
      </c>
    </row>
    <row r="1221" spans="1:17" x14ac:dyDescent="0.3">
      <c r="A1221">
        <v>36048</v>
      </c>
      <c r="B1221" t="s">
        <v>76</v>
      </c>
      <c r="C1221" t="s">
        <v>19</v>
      </c>
      <c r="D1221" t="s">
        <v>77</v>
      </c>
      <c r="E1221" s="6">
        <v>1663.39</v>
      </c>
      <c r="F1221" t="s">
        <v>642</v>
      </c>
      <c r="G1221" s="4" t="str">
        <f t="shared" si="116"/>
        <v>1663.39</v>
      </c>
      <c r="H1221" t="str">
        <f t="shared" si="117"/>
        <v>1663.39</v>
      </c>
      <c r="I1221" s="1">
        <v>45761</v>
      </c>
      <c r="J1221" s="2">
        <f t="shared" si="118"/>
        <v>-0.11280661798825531</v>
      </c>
      <c r="K1221" s="3" t="str">
        <f t="shared" si="119"/>
        <v>Check!</v>
      </c>
      <c r="L1221" t="str">
        <f t="shared" si="120"/>
        <v/>
      </c>
      <c r="M1221" t="str">
        <f t="shared" si="121"/>
        <v/>
      </c>
      <c r="N1221">
        <v>1874.89</v>
      </c>
      <c r="O1221" t="s">
        <v>78</v>
      </c>
      <c r="Q1221" t="s">
        <v>19</v>
      </c>
    </row>
    <row r="1222" spans="1:17" x14ac:dyDescent="0.3">
      <c r="A1222">
        <v>36048</v>
      </c>
      <c r="B1222" t="s">
        <v>76</v>
      </c>
      <c r="C1222" t="s">
        <v>19</v>
      </c>
      <c r="D1222" t="s">
        <v>79</v>
      </c>
      <c r="E1222" s="6">
        <v>4234.9399999999996</v>
      </c>
      <c r="F1222" t="s">
        <v>642</v>
      </c>
      <c r="G1222" s="4" t="str">
        <f t="shared" si="116"/>
        <v>4234.94</v>
      </c>
      <c r="H1222" t="str">
        <f t="shared" si="117"/>
        <v>4234.94</v>
      </c>
      <c r="I1222" s="1">
        <v>45761</v>
      </c>
      <c r="J1222" s="2">
        <f t="shared" si="118"/>
        <v>-0.1617748061762338</v>
      </c>
      <c r="K1222" s="3" t="str">
        <f t="shared" si="119"/>
        <v>Check!</v>
      </c>
      <c r="L1222" t="str">
        <f t="shared" si="120"/>
        <v/>
      </c>
      <c r="M1222" t="str">
        <f t="shared" si="121"/>
        <v/>
      </c>
      <c r="N1222">
        <v>5052.2700000000004</v>
      </c>
      <c r="O1222" t="s">
        <v>80</v>
      </c>
      <c r="Q1222" t="s">
        <v>19</v>
      </c>
    </row>
    <row r="1223" spans="1:17" x14ac:dyDescent="0.3">
      <c r="A1223">
        <v>36059</v>
      </c>
      <c r="B1223" t="s">
        <v>81</v>
      </c>
      <c r="C1223" t="s">
        <v>19</v>
      </c>
      <c r="D1223" t="s">
        <v>82</v>
      </c>
      <c r="E1223" s="6">
        <v>20122.990000000002</v>
      </c>
      <c r="F1223" t="s">
        <v>642</v>
      </c>
      <c r="G1223" s="4" t="str">
        <f t="shared" si="116"/>
        <v>20122.99</v>
      </c>
      <c r="H1223" t="str">
        <f t="shared" si="117"/>
        <v>20122.99</v>
      </c>
      <c r="I1223" s="1">
        <v>45761</v>
      </c>
      <c r="J1223" s="2">
        <f t="shared" si="118"/>
        <v>-9.1217871625146024E-2</v>
      </c>
      <c r="K1223" s="3" t="str">
        <f t="shared" si="119"/>
        <v/>
      </c>
      <c r="L1223" t="str">
        <f t="shared" si="120"/>
        <v/>
      </c>
      <c r="M1223" t="str">
        <f t="shared" si="121"/>
        <v/>
      </c>
      <c r="N1223">
        <v>22142.81</v>
      </c>
      <c r="O1223" t="s">
        <v>83</v>
      </c>
      <c r="Q1223" t="s">
        <v>19</v>
      </c>
    </row>
    <row r="1224" spans="1:17" x14ac:dyDescent="0.3">
      <c r="A1224">
        <v>36059</v>
      </c>
      <c r="B1224" t="s">
        <v>81</v>
      </c>
      <c r="C1224" t="s">
        <v>19</v>
      </c>
      <c r="D1224" t="s">
        <v>84</v>
      </c>
      <c r="E1224" s="6">
        <v>13330.54</v>
      </c>
      <c r="F1224" t="s">
        <v>642</v>
      </c>
      <c r="G1224" s="4" t="str">
        <f t="shared" si="116"/>
        <v>13330.54</v>
      </c>
      <c r="H1224" t="str">
        <f t="shared" si="117"/>
        <v>13330.54</v>
      </c>
      <c r="I1224" s="1">
        <v>45761</v>
      </c>
      <c r="J1224" s="2">
        <f t="shared" si="118"/>
        <v>-8.3777679721446591E-2</v>
      </c>
      <c r="K1224" s="3" t="str">
        <f t="shared" si="119"/>
        <v/>
      </c>
      <c r="L1224" t="str">
        <f t="shared" si="120"/>
        <v/>
      </c>
      <c r="M1224" t="str">
        <f t="shared" si="121"/>
        <v/>
      </c>
      <c r="N1224">
        <v>14549.46</v>
      </c>
      <c r="O1224" t="s">
        <v>85</v>
      </c>
      <c r="Q1224" t="s">
        <v>19</v>
      </c>
    </row>
    <row r="1225" spans="1:17" x14ac:dyDescent="0.3">
      <c r="A1225">
        <v>36060</v>
      </c>
      <c r="B1225" t="s">
        <v>86</v>
      </c>
      <c r="C1225" t="s">
        <v>19</v>
      </c>
      <c r="D1225" t="s">
        <v>87</v>
      </c>
      <c r="E1225" s="6">
        <v>814.95</v>
      </c>
      <c r="F1225" t="s">
        <v>642</v>
      </c>
      <c r="G1225" s="4" t="str">
        <f t="shared" si="116"/>
        <v>814.95</v>
      </c>
      <c r="H1225" t="str">
        <f t="shared" si="117"/>
        <v>814.95</v>
      </c>
      <c r="I1225" s="1">
        <v>45761</v>
      </c>
      <c r="J1225" s="2">
        <f t="shared" si="118"/>
        <v>-0.69219757973138341</v>
      </c>
      <c r="K1225" s="3" t="str">
        <f t="shared" si="119"/>
        <v>Check!</v>
      </c>
      <c r="L1225" t="str">
        <f t="shared" si="120"/>
        <v/>
      </c>
      <c r="M1225" t="str">
        <f t="shared" si="121"/>
        <v/>
      </c>
      <c r="N1225">
        <v>2647.64</v>
      </c>
      <c r="O1225" t="s">
        <v>88</v>
      </c>
      <c r="Q1225" t="s">
        <v>19</v>
      </c>
    </row>
    <row r="1226" spans="1:17" x14ac:dyDescent="0.3">
      <c r="A1226">
        <v>36060</v>
      </c>
      <c r="B1226" t="s">
        <v>86</v>
      </c>
      <c r="C1226" t="s">
        <v>19</v>
      </c>
      <c r="D1226" t="s">
        <v>89</v>
      </c>
      <c r="E1226" s="6">
        <v>1799.11</v>
      </c>
      <c r="F1226" t="s">
        <v>642</v>
      </c>
      <c r="G1226" s="4" t="str">
        <f t="shared" si="116"/>
        <v>1799.11</v>
      </c>
      <c r="H1226" t="str">
        <f t="shared" si="117"/>
        <v>1799.11</v>
      </c>
      <c r="I1226" s="1">
        <v>45761</v>
      </c>
      <c r="J1226" s="2">
        <f t="shared" si="118"/>
        <v>4.0621674147424798E-2</v>
      </c>
      <c r="K1226" s="3" t="str">
        <f t="shared" si="119"/>
        <v/>
      </c>
      <c r="L1226" t="str">
        <f t="shared" si="120"/>
        <v/>
      </c>
      <c r="M1226" t="str">
        <f t="shared" si="121"/>
        <v/>
      </c>
      <c r="N1226">
        <v>1728.88</v>
      </c>
      <c r="O1226" t="s">
        <v>90</v>
      </c>
      <c r="Q1226" t="s">
        <v>19</v>
      </c>
    </row>
    <row r="1227" spans="1:17" x14ac:dyDescent="0.3">
      <c r="A1227">
        <v>36355</v>
      </c>
      <c r="B1227" t="s">
        <v>94</v>
      </c>
      <c r="C1227" t="s">
        <v>19</v>
      </c>
      <c r="D1227" t="s">
        <v>95</v>
      </c>
      <c r="E1227" s="6">
        <v>610.12</v>
      </c>
      <c r="F1227" t="s">
        <v>642</v>
      </c>
      <c r="G1227" s="4" t="str">
        <f t="shared" si="116"/>
        <v>610.12</v>
      </c>
      <c r="H1227" t="str">
        <f t="shared" si="117"/>
        <v>610.12</v>
      </c>
      <c r="I1227" s="1">
        <v>45761</v>
      </c>
      <c r="J1227" s="2">
        <f t="shared" si="118"/>
        <v>-3.0601544377005928E-2</v>
      </c>
      <c r="K1227" s="3" t="str">
        <f t="shared" si="119"/>
        <v/>
      </c>
      <c r="L1227" t="str">
        <f t="shared" si="120"/>
        <v/>
      </c>
      <c r="M1227" t="str">
        <f t="shared" si="121"/>
        <v/>
      </c>
      <c r="N1227">
        <v>629.38</v>
      </c>
      <c r="O1227" t="s">
        <v>96</v>
      </c>
      <c r="Q1227" t="s">
        <v>19</v>
      </c>
    </row>
    <row r="1228" spans="1:17" x14ac:dyDescent="0.3">
      <c r="A1228">
        <v>37040</v>
      </c>
      <c r="B1228" t="s">
        <v>596</v>
      </c>
      <c r="C1228" t="s">
        <v>19</v>
      </c>
      <c r="D1228" t="s">
        <v>97</v>
      </c>
      <c r="E1228" s="6">
        <v>547.4</v>
      </c>
      <c r="F1228" t="s">
        <v>642</v>
      </c>
      <c r="G1228" s="4" t="str">
        <f t="shared" si="116"/>
        <v>547.4</v>
      </c>
      <c r="H1228" t="str">
        <f t="shared" si="117"/>
        <v>547.4</v>
      </c>
      <c r="I1228" s="1">
        <v>45761</v>
      </c>
      <c r="J1228" s="2">
        <f t="shared" si="118"/>
        <v>-0.65511592741935498</v>
      </c>
      <c r="K1228" s="3" t="str">
        <f t="shared" si="119"/>
        <v>Check!</v>
      </c>
      <c r="L1228" t="str">
        <f t="shared" si="120"/>
        <v/>
      </c>
      <c r="M1228" t="str">
        <f t="shared" si="121"/>
        <v/>
      </c>
      <c r="N1228">
        <v>1587.2</v>
      </c>
      <c r="O1228" t="s">
        <v>98</v>
      </c>
      <c r="Q1228" t="s">
        <v>19</v>
      </c>
    </row>
    <row r="1229" spans="1:17" x14ac:dyDescent="0.3">
      <c r="A1229">
        <v>37041</v>
      </c>
      <c r="B1229" t="s">
        <v>99</v>
      </c>
      <c r="C1229" t="s">
        <v>19</v>
      </c>
      <c r="D1229" t="s">
        <v>100</v>
      </c>
      <c r="E1229" s="6">
        <v>3106.41</v>
      </c>
      <c r="F1229" t="s">
        <v>642</v>
      </c>
      <c r="G1229" s="4" t="str">
        <f t="shared" si="116"/>
        <v>3106.41</v>
      </c>
      <c r="H1229" t="str">
        <f t="shared" si="117"/>
        <v>3106.41</v>
      </c>
      <c r="I1229" s="1">
        <v>45761</v>
      </c>
      <c r="J1229" s="2">
        <f t="shared" si="118"/>
        <v>-5.1619757654579906E-2</v>
      </c>
      <c r="K1229" s="3" t="str">
        <f t="shared" si="119"/>
        <v/>
      </c>
      <c r="L1229" t="str">
        <f t="shared" si="120"/>
        <v/>
      </c>
      <c r="M1229" t="str">
        <f t="shared" si="121"/>
        <v/>
      </c>
      <c r="N1229">
        <v>3275.49</v>
      </c>
      <c r="O1229" t="s">
        <v>101</v>
      </c>
      <c r="Q1229" t="s">
        <v>19</v>
      </c>
    </row>
    <row r="1230" spans="1:17" x14ac:dyDescent="0.3">
      <c r="A1230">
        <v>38586</v>
      </c>
      <c r="B1230" t="s">
        <v>102</v>
      </c>
      <c r="C1230" t="s">
        <v>19</v>
      </c>
      <c r="D1230" t="s">
        <v>103</v>
      </c>
      <c r="E1230" s="6">
        <v>2889.46</v>
      </c>
      <c r="F1230" t="s">
        <v>642</v>
      </c>
      <c r="G1230" s="4" t="str">
        <f t="shared" si="116"/>
        <v>2889.46</v>
      </c>
      <c r="H1230" t="str">
        <f t="shared" si="117"/>
        <v>2889.46</v>
      </c>
      <c r="I1230" s="1">
        <v>45761</v>
      </c>
      <c r="J1230" s="2">
        <f t="shared" si="118"/>
        <v>2.1584565179730019E-2</v>
      </c>
      <c r="K1230" s="3" t="str">
        <f t="shared" si="119"/>
        <v/>
      </c>
      <c r="L1230" t="str">
        <f t="shared" si="120"/>
        <v/>
      </c>
      <c r="M1230" t="str">
        <f t="shared" si="121"/>
        <v/>
      </c>
      <c r="N1230">
        <v>2828.41</v>
      </c>
      <c r="O1230" t="s">
        <v>104</v>
      </c>
      <c r="Q1230" t="s">
        <v>19</v>
      </c>
    </row>
    <row r="1231" spans="1:17" x14ac:dyDescent="0.3">
      <c r="A1231">
        <v>38842</v>
      </c>
      <c r="B1231" t="s">
        <v>105</v>
      </c>
      <c r="C1231" t="s">
        <v>19</v>
      </c>
      <c r="D1231" t="s">
        <v>106</v>
      </c>
      <c r="E1231" s="6">
        <v>2275.1799999999998</v>
      </c>
      <c r="F1231" t="s">
        <v>642</v>
      </c>
      <c r="G1231" s="4" t="str">
        <f t="shared" si="116"/>
        <v>2275.18</v>
      </c>
      <c r="H1231" t="str">
        <f t="shared" si="117"/>
        <v>2275.18</v>
      </c>
      <c r="I1231" s="1">
        <v>45761</v>
      </c>
      <c r="J1231" s="2">
        <f t="shared" si="118"/>
        <v>3.1846382700819881E-2</v>
      </c>
      <c r="K1231" s="3" t="str">
        <f t="shared" si="119"/>
        <v/>
      </c>
      <c r="L1231" t="str">
        <f t="shared" si="120"/>
        <v/>
      </c>
      <c r="M1231" t="str">
        <f t="shared" si="121"/>
        <v/>
      </c>
      <c r="N1231">
        <v>2204.96</v>
      </c>
      <c r="O1231" t="s">
        <v>107</v>
      </c>
      <c r="Q1231" t="s">
        <v>19</v>
      </c>
    </row>
    <row r="1232" spans="1:17" x14ac:dyDescent="0.3">
      <c r="A1232">
        <v>38851</v>
      </c>
      <c r="B1232" t="s">
        <v>108</v>
      </c>
      <c r="C1232" t="s">
        <v>19</v>
      </c>
      <c r="D1232" t="s">
        <v>109</v>
      </c>
      <c r="E1232" s="6">
        <v>201.63</v>
      </c>
      <c r="F1232" t="s">
        <v>642</v>
      </c>
      <c r="G1232" s="4" t="str">
        <f t="shared" si="116"/>
        <v>201.63</v>
      </c>
      <c r="H1232" t="str">
        <f t="shared" si="117"/>
        <v>201.63</v>
      </c>
      <c r="I1232" s="1">
        <v>45761</v>
      </c>
      <c r="J1232" s="2">
        <f t="shared" si="118"/>
        <v>-3.7887102161568917E-2</v>
      </c>
      <c r="K1232" s="3" t="str">
        <f t="shared" si="119"/>
        <v/>
      </c>
      <c r="L1232" t="str">
        <f t="shared" si="120"/>
        <v/>
      </c>
      <c r="M1232" t="str">
        <f t="shared" si="121"/>
        <v/>
      </c>
      <c r="N1232">
        <v>209.57</v>
      </c>
      <c r="O1232" t="s">
        <v>110</v>
      </c>
      <c r="Q1232" t="s">
        <v>19</v>
      </c>
    </row>
    <row r="1233" spans="1:17" x14ac:dyDescent="0.3">
      <c r="A1233">
        <v>38887</v>
      </c>
      <c r="B1233" t="s">
        <v>111</v>
      </c>
      <c r="C1233" t="s">
        <v>19</v>
      </c>
      <c r="D1233" t="s">
        <v>112</v>
      </c>
      <c r="E1233" s="6">
        <v>585.72</v>
      </c>
      <c r="F1233" t="s">
        <v>642</v>
      </c>
      <c r="G1233" s="4" t="str">
        <f t="shared" si="116"/>
        <v>585.72</v>
      </c>
      <c r="H1233" t="str">
        <f t="shared" si="117"/>
        <v>585.72</v>
      </c>
      <c r="I1233" s="1">
        <v>45761</v>
      </c>
      <c r="J1233" s="2">
        <f t="shared" si="118"/>
        <v>-0.10171155143856196</v>
      </c>
      <c r="K1233" s="3" t="str">
        <f t="shared" si="119"/>
        <v>Check!</v>
      </c>
      <c r="L1233" t="str">
        <f t="shared" si="120"/>
        <v/>
      </c>
      <c r="M1233" t="str">
        <f t="shared" si="121"/>
        <v/>
      </c>
      <c r="N1233">
        <v>652.04</v>
      </c>
      <c r="O1233" t="s">
        <v>113</v>
      </c>
      <c r="Q1233" t="s">
        <v>19</v>
      </c>
    </row>
    <row r="1234" spans="1:17" x14ac:dyDescent="0.3">
      <c r="A1234">
        <v>46589</v>
      </c>
      <c r="B1234" t="s">
        <v>638</v>
      </c>
      <c r="C1234" t="s">
        <v>19</v>
      </c>
      <c r="D1234" t="s">
        <v>120</v>
      </c>
      <c r="E1234" s="6">
        <v>2834.86</v>
      </c>
      <c r="F1234" t="s">
        <v>642</v>
      </c>
      <c r="G1234" s="4" t="str">
        <f t="shared" si="116"/>
        <v>2834.86</v>
      </c>
      <c r="H1234" t="str">
        <f t="shared" si="117"/>
        <v>2834.86</v>
      </c>
      <c r="I1234" s="1">
        <v>45761</v>
      </c>
      <c r="J1234" s="2">
        <f t="shared" si="118"/>
        <v>2.3344969117641775E-2</v>
      </c>
      <c r="K1234" s="3" t="str">
        <f t="shared" si="119"/>
        <v/>
      </c>
      <c r="L1234" t="str">
        <f t="shared" si="120"/>
        <v/>
      </c>
      <c r="M1234" t="str">
        <f t="shared" si="121"/>
        <v/>
      </c>
      <c r="N1234">
        <v>2770.19</v>
      </c>
      <c r="O1234" t="s">
        <v>121</v>
      </c>
      <c r="Q1234" t="s">
        <v>19</v>
      </c>
    </row>
    <row r="1235" spans="1:17" x14ac:dyDescent="0.3">
      <c r="A1235">
        <v>46589</v>
      </c>
      <c r="B1235" t="s">
        <v>638</v>
      </c>
      <c r="C1235" t="s">
        <v>19</v>
      </c>
      <c r="D1235" t="s">
        <v>118</v>
      </c>
      <c r="E1235" s="6">
        <v>65900.45</v>
      </c>
      <c r="F1235" t="s">
        <v>642</v>
      </c>
      <c r="G1235" s="4" t="str">
        <f t="shared" si="116"/>
        <v>65900.45</v>
      </c>
      <c r="H1235" t="str">
        <f t="shared" si="117"/>
        <v>65900.45</v>
      </c>
      <c r="I1235" s="1">
        <v>45761</v>
      </c>
      <c r="J1235" s="2">
        <f t="shared" si="118"/>
        <v>-1.9532446633693971E-2</v>
      </c>
      <c r="K1235" s="3" t="str">
        <f t="shared" si="119"/>
        <v/>
      </c>
      <c r="L1235" t="str">
        <f t="shared" si="120"/>
        <v/>
      </c>
      <c r="M1235" t="str">
        <f t="shared" si="121"/>
        <v/>
      </c>
      <c r="N1235">
        <v>67213.289999999994</v>
      </c>
      <c r="O1235" t="s">
        <v>119</v>
      </c>
      <c r="Q1235" t="s">
        <v>19</v>
      </c>
    </row>
    <row r="1236" spans="1:17" x14ac:dyDescent="0.3">
      <c r="A1236">
        <v>54985</v>
      </c>
      <c r="B1236" t="s">
        <v>122</v>
      </c>
      <c r="C1236" t="s">
        <v>19</v>
      </c>
      <c r="D1236" t="s">
        <v>123</v>
      </c>
      <c r="E1236" s="6">
        <v>804.26</v>
      </c>
      <c r="F1236" t="s">
        <v>642</v>
      </c>
      <c r="G1236" s="4" t="str">
        <f t="shared" si="116"/>
        <v>804.26</v>
      </c>
      <c r="H1236" t="str">
        <f t="shared" si="117"/>
        <v>804.26</v>
      </c>
      <c r="I1236" s="1">
        <v>45761</v>
      </c>
      <c r="J1236" s="2">
        <f t="shared" si="118"/>
        <v>-2.2116846008875986E-2</v>
      </c>
      <c r="K1236" s="3" t="str">
        <f t="shared" si="119"/>
        <v/>
      </c>
      <c r="L1236" t="str">
        <f t="shared" si="120"/>
        <v/>
      </c>
      <c r="M1236" t="str">
        <f t="shared" si="121"/>
        <v/>
      </c>
      <c r="N1236">
        <v>822.45</v>
      </c>
      <c r="O1236" t="s">
        <v>124</v>
      </c>
      <c r="Q1236" t="s">
        <v>19</v>
      </c>
    </row>
    <row r="1237" spans="1:17" x14ac:dyDescent="0.3">
      <c r="A1237">
        <v>69046</v>
      </c>
      <c r="B1237" t="s">
        <v>131</v>
      </c>
      <c r="C1237" t="s">
        <v>19</v>
      </c>
      <c r="D1237" t="s">
        <v>132</v>
      </c>
      <c r="E1237" s="6">
        <v>14443.91</v>
      </c>
      <c r="F1237" t="s">
        <v>642</v>
      </c>
      <c r="G1237" s="4" t="str">
        <f t="shared" si="116"/>
        <v>14443.91</v>
      </c>
      <c r="H1237" t="str">
        <f t="shared" si="117"/>
        <v>14443.91</v>
      </c>
      <c r="I1237" s="1">
        <v>45761</v>
      </c>
      <c r="J1237" s="2">
        <f t="shared" si="118"/>
        <v>-6.7102030376855942E-2</v>
      </c>
      <c r="K1237" s="3" t="str">
        <f t="shared" si="119"/>
        <v/>
      </c>
      <c r="L1237" t="str">
        <f t="shared" si="120"/>
        <v/>
      </c>
      <c r="M1237" t="str">
        <f t="shared" si="121"/>
        <v/>
      </c>
      <c r="N1237">
        <v>15482.84</v>
      </c>
      <c r="O1237" t="s">
        <v>133</v>
      </c>
      <c r="Q1237" t="s">
        <v>19</v>
      </c>
    </row>
    <row r="1238" spans="1:17" x14ac:dyDescent="0.3">
      <c r="A1238">
        <v>72002</v>
      </c>
      <c r="B1238" t="s">
        <v>134</v>
      </c>
      <c r="C1238" t="s">
        <v>590</v>
      </c>
      <c r="D1238" t="s">
        <v>135</v>
      </c>
      <c r="E1238" s="6">
        <v>16678.759999999998</v>
      </c>
      <c r="F1238" t="s">
        <v>642</v>
      </c>
      <c r="G1238" s="4" t="str">
        <f t="shared" si="116"/>
        <v>16678.76</v>
      </c>
      <c r="H1238" t="str">
        <f t="shared" si="117"/>
        <v>16678.76</v>
      </c>
      <c r="I1238" s="1">
        <v>45761</v>
      </c>
      <c r="J1238" s="2">
        <f t="shared" si="118"/>
        <v>-0.13956445724302774</v>
      </c>
      <c r="K1238" s="3" t="str">
        <f t="shared" si="119"/>
        <v>Check!</v>
      </c>
      <c r="L1238" t="str">
        <f t="shared" si="120"/>
        <v/>
      </c>
      <c r="M1238" t="str">
        <f t="shared" si="121"/>
        <v>Check</v>
      </c>
      <c r="N1238">
        <v>19384.09</v>
      </c>
      <c r="O1238" t="s">
        <v>136</v>
      </c>
      <c r="Q1238" t="s">
        <v>16</v>
      </c>
    </row>
    <row r="1239" spans="1:17" x14ac:dyDescent="0.3">
      <c r="A1239">
        <v>72002</v>
      </c>
      <c r="B1239" t="s">
        <v>134</v>
      </c>
      <c r="C1239" t="s">
        <v>19</v>
      </c>
      <c r="D1239" t="s">
        <v>137</v>
      </c>
      <c r="E1239" s="6">
        <v>13848.96</v>
      </c>
      <c r="F1239" t="s">
        <v>642</v>
      </c>
      <c r="G1239" s="4" t="str">
        <f t="shared" si="116"/>
        <v>13848.96</v>
      </c>
      <c r="H1239" t="str">
        <f t="shared" si="117"/>
        <v>13848.96</v>
      </c>
      <c r="I1239" s="1">
        <v>45761</v>
      </c>
      <c r="J1239" s="2">
        <f t="shared" si="118"/>
        <v>-0.14248828340506639</v>
      </c>
      <c r="K1239" s="3" t="str">
        <f t="shared" si="119"/>
        <v>Check!</v>
      </c>
      <c r="L1239" t="str">
        <f t="shared" si="120"/>
        <v/>
      </c>
      <c r="M1239" t="str">
        <f t="shared" si="121"/>
        <v/>
      </c>
      <c r="N1239">
        <v>16150.17</v>
      </c>
      <c r="O1239" t="s">
        <v>138</v>
      </c>
      <c r="Q1239" t="s">
        <v>19</v>
      </c>
    </row>
    <row r="1240" spans="1:17" x14ac:dyDescent="0.3">
      <c r="A1240">
        <v>72002</v>
      </c>
      <c r="B1240" t="s">
        <v>134</v>
      </c>
      <c r="C1240" t="s">
        <v>19</v>
      </c>
      <c r="D1240" t="s">
        <v>139</v>
      </c>
      <c r="E1240" s="6">
        <v>5633.85</v>
      </c>
      <c r="F1240" t="s">
        <v>642</v>
      </c>
      <c r="G1240" s="4" t="str">
        <f t="shared" si="116"/>
        <v>5633.85</v>
      </c>
      <c r="H1240" t="str">
        <f t="shared" si="117"/>
        <v>5633.85</v>
      </c>
      <c r="I1240" s="1">
        <v>45761</v>
      </c>
      <c r="J1240" s="2">
        <f t="shared" si="118"/>
        <v>-3.3636652115369682E-2</v>
      </c>
      <c r="K1240" s="3" t="str">
        <f t="shared" si="119"/>
        <v/>
      </c>
      <c r="L1240" t="str">
        <f t="shared" si="120"/>
        <v/>
      </c>
      <c r="M1240" t="str">
        <f t="shared" si="121"/>
        <v/>
      </c>
      <c r="N1240">
        <v>5829.95</v>
      </c>
      <c r="O1240" t="s">
        <v>140</v>
      </c>
      <c r="Q1240" t="s">
        <v>19</v>
      </c>
    </row>
    <row r="1241" spans="1:17" x14ac:dyDescent="0.3">
      <c r="A1241">
        <v>80212</v>
      </c>
      <c r="B1241" t="s">
        <v>141</v>
      </c>
      <c r="C1241" t="s">
        <v>590</v>
      </c>
      <c r="D1241" t="s">
        <v>142</v>
      </c>
      <c r="E1241" s="6">
        <v>465.26</v>
      </c>
      <c r="F1241" t="s">
        <v>642</v>
      </c>
      <c r="G1241" s="4" t="str">
        <f t="shared" si="116"/>
        <v>465.26</v>
      </c>
      <c r="H1241" t="str">
        <f t="shared" si="117"/>
        <v>465.26</v>
      </c>
      <c r="I1241" s="1">
        <v>45761</v>
      </c>
      <c r="J1241" s="2">
        <f t="shared" si="118"/>
        <v>-7.5088527667562226E-3</v>
      </c>
      <c r="K1241" s="3" t="str">
        <f t="shared" si="119"/>
        <v/>
      </c>
      <c r="L1241" t="str">
        <f t="shared" si="120"/>
        <v/>
      </c>
      <c r="M1241" t="str">
        <f t="shared" si="121"/>
        <v>Check</v>
      </c>
      <c r="N1241">
        <v>468.78</v>
      </c>
      <c r="O1241" t="s">
        <v>143</v>
      </c>
      <c r="Q1241" t="s">
        <v>16</v>
      </c>
    </row>
    <row r="1242" spans="1:17" x14ac:dyDescent="0.3">
      <c r="A1242">
        <v>81381</v>
      </c>
      <c r="B1242" t="s">
        <v>593</v>
      </c>
      <c r="C1242" t="s">
        <v>19</v>
      </c>
      <c r="D1242" t="s">
        <v>146</v>
      </c>
      <c r="E1242" s="6">
        <v>4796.01</v>
      </c>
      <c r="F1242" t="s">
        <v>642</v>
      </c>
      <c r="G1242" s="4" t="str">
        <f t="shared" si="116"/>
        <v>4796.01</v>
      </c>
      <c r="H1242" t="str">
        <f t="shared" si="117"/>
        <v>4796.01</v>
      </c>
      <c r="I1242" s="1">
        <v>45761</v>
      </c>
      <c r="J1242" s="2">
        <f t="shared" si="118"/>
        <v>-0.10227761950576703</v>
      </c>
      <c r="K1242" s="3" t="str">
        <f t="shared" si="119"/>
        <v>Check!</v>
      </c>
      <c r="L1242" t="str">
        <f t="shared" si="120"/>
        <v/>
      </c>
      <c r="M1242" t="str">
        <f t="shared" si="121"/>
        <v/>
      </c>
      <c r="N1242">
        <v>5342.42</v>
      </c>
      <c r="O1242" t="s">
        <v>147</v>
      </c>
      <c r="Q1242" t="s">
        <v>19</v>
      </c>
    </row>
    <row r="1243" spans="1:17" x14ac:dyDescent="0.3">
      <c r="A1243">
        <v>81381</v>
      </c>
      <c r="B1243" t="s">
        <v>593</v>
      </c>
      <c r="C1243" t="s">
        <v>19</v>
      </c>
      <c r="D1243" t="s">
        <v>148</v>
      </c>
      <c r="E1243" s="6">
        <v>321336.71000000002</v>
      </c>
      <c r="F1243" t="s">
        <v>642</v>
      </c>
      <c r="G1243" s="4" t="str">
        <f t="shared" si="116"/>
        <v>321336.71</v>
      </c>
      <c r="H1243" t="str">
        <f t="shared" si="117"/>
        <v>321336.71</v>
      </c>
      <c r="I1243" s="1">
        <v>45761</v>
      </c>
      <c r="J1243" s="2">
        <f t="shared" si="118"/>
        <v>-3.0496703099895803E-2</v>
      </c>
      <c r="K1243" s="3" t="str">
        <f t="shared" si="119"/>
        <v/>
      </c>
      <c r="L1243" t="str">
        <f t="shared" si="120"/>
        <v/>
      </c>
      <c r="M1243" t="str">
        <f t="shared" si="121"/>
        <v/>
      </c>
      <c r="N1243">
        <v>331444.68</v>
      </c>
      <c r="O1243" t="s">
        <v>149</v>
      </c>
      <c r="Q1243" t="s">
        <v>19</v>
      </c>
    </row>
    <row r="1244" spans="1:17" x14ac:dyDescent="0.3">
      <c r="A1244">
        <v>113590</v>
      </c>
      <c r="B1244" t="s">
        <v>150</v>
      </c>
      <c r="C1244" t="s">
        <v>19</v>
      </c>
      <c r="D1244" t="s">
        <v>151</v>
      </c>
      <c r="E1244" s="6">
        <v>8505.36</v>
      </c>
      <c r="F1244" t="s">
        <v>642</v>
      </c>
      <c r="G1244" s="4" t="str">
        <f t="shared" si="116"/>
        <v>8505.36</v>
      </c>
      <c r="H1244" t="str">
        <f t="shared" si="117"/>
        <v>8505.36</v>
      </c>
      <c r="I1244" s="1">
        <v>45761</v>
      </c>
      <c r="J1244" s="2">
        <f t="shared" si="118"/>
        <v>-5.5126927576128165E-2</v>
      </c>
      <c r="K1244" s="3" t="str">
        <f t="shared" si="119"/>
        <v/>
      </c>
      <c r="L1244" t="str">
        <f t="shared" si="120"/>
        <v/>
      </c>
      <c r="M1244" t="str">
        <f t="shared" si="121"/>
        <v/>
      </c>
      <c r="N1244">
        <v>9001.59</v>
      </c>
      <c r="O1244" t="s">
        <v>152</v>
      </c>
      <c r="Q1244" t="s">
        <v>19</v>
      </c>
    </row>
    <row r="1245" spans="1:17" x14ac:dyDescent="0.3">
      <c r="A1245">
        <v>113590</v>
      </c>
      <c r="B1245" t="s">
        <v>150</v>
      </c>
      <c r="C1245" t="s">
        <v>19</v>
      </c>
      <c r="D1245" t="s">
        <v>153</v>
      </c>
      <c r="E1245" s="6">
        <v>2337.61</v>
      </c>
      <c r="F1245" t="s">
        <v>642</v>
      </c>
      <c r="G1245" s="4" t="str">
        <f t="shared" si="116"/>
        <v>2337.61</v>
      </c>
      <c r="H1245" t="str">
        <f t="shared" si="117"/>
        <v>2337.61</v>
      </c>
      <c r="I1245" s="1">
        <v>45761</v>
      </c>
      <c r="J1245" s="2">
        <f t="shared" si="118"/>
        <v>-5.0805407007670306E-2</v>
      </c>
      <c r="K1245" s="3" t="str">
        <f t="shared" si="119"/>
        <v/>
      </c>
      <c r="L1245" t="str">
        <f t="shared" si="120"/>
        <v/>
      </c>
      <c r="M1245" t="str">
        <f t="shared" si="121"/>
        <v/>
      </c>
      <c r="N1245">
        <v>2462.73</v>
      </c>
      <c r="O1245" t="s">
        <v>154</v>
      </c>
      <c r="Q1245" t="s">
        <v>19</v>
      </c>
    </row>
    <row r="1246" spans="1:17" x14ac:dyDescent="0.3">
      <c r="A1246">
        <v>130912</v>
      </c>
      <c r="B1246" t="s">
        <v>604</v>
      </c>
      <c r="C1246" t="s">
        <v>590</v>
      </c>
      <c r="D1246" t="s">
        <v>605</v>
      </c>
      <c r="E1246" s="6">
        <v>9276.5</v>
      </c>
      <c r="F1246" t="s">
        <v>642</v>
      </c>
      <c r="G1246" s="4" t="str">
        <f t="shared" si="116"/>
        <v>9276.5</v>
      </c>
      <c r="H1246" t="str">
        <f t="shared" si="117"/>
        <v>9276.5</v>
      </c>
      <c r="I1246" s="1">
        <v>45761</v>
      </c>
      <c r="J1246" s="2">
        <f t="shared" si="118"/>
        <v>-1.1630508669608729E-2</v>
      </c>
      <c r="K1246" s="3" t="str">
        <f t="shared" si="119"/>
        <v/>
      </c>
      <c r="L1246" t="str">
        <f t="shared" si="120"/>
        <v/>
      </c>
      <c r="M1246" t="str">
        <f t="shared" si="121"/>
        <v/>
      </c>
      <c r="N1246">
        <v>9385.66</v>
      </c>
      <c r="O1246" t="s">
        <v>652</v>
      </c>
      <c r="Q1246" t="s">
        <v>590</v>
      </c>
    </row>
    <row r="1247" spans="1:17" x14ac:dyDescent="0.3">
      <c r="A1247">
        <v>135931</v>
      </c>
      <c r="B1247" t="s">
        <v>161</v>
      </c>
      <c r="C1247" t="s">
        <v>590</v>
      </c>
      <c r="D1247" t="s">
        <v>162</v>
      </c>
      <c r="E1247" s="6">
        <v>596.36</v>
      </c>
      <c r="F1247" t="s">
        <v>642</v>
      </c>
      <c r="G1247" s="4" t="str">
        <f t="shared" si="116"/>
        <v>596.36</v>
      </c>
      <c r="H1247" t="str">
        <f t="shared" si="117"/>
        <v>596.36</v>
      </c>
      <c r="I1247" s="1">
        <v>45761</v>
      </c>
      <c r="J1247" s="2">
        <f t="shared" si="118"/>
        <v>-0.31932475774143104</v>
      </c>
      <c r="K1247" s="3" t="str">
        <f t="shared" si="119"/>
        <v>Check!</v>
      </c>
      <c r="L1247" t="str">
        <f t="shared" si="120"/>
        <v/>
      </c>
      <c r="M1247" t="str">
        <f t="shared" si="121"/>
        <v>Check</v>
      </c>
      <c r="N1247">
        <v>876.13</v>
      </c>
      <c r="O1247" t="s">
        <v>163</v>
      </c>
      <c r="Q1247" t="s">
        <v>16</v>
      </c>
    </row>
    <row r="1248" spans="1:17" x14ac:dyDescent="0.3">
      <c r="A1248">
        <v>100202693</v>
      </c>
      <c r="B1248" t="s">
        <v>594</v>
      </c>
      <c r="C1248" t="s">
        <v>590</v>
      </c>
      <c r="D1248" t="s">
        <v>599</v>
      </c>
      <c r="E1248" s="6">
        <v>64713.86</v>
      </c>
      <c r="F1248" t="s">
        <v>642</v>
      </c>
      <c r="G1248" s="4" t="str">
        <f t="shared" si="116"/>
        <v>64713.86</v>
      </c>
      <c r="H1248" t="str">
        <f t="shared" si="117"/>
        <v>64713.86</v>
      </c>
      <c r="I1248" s="1">
        <v>45761</v>
      </c>
      <c r="J1248" s="2">
        <f t="shared" si="118"/>
        <v>-2.1587591489181508E-2</v>
      </c>
      <c r="K1248" s="3" t="str">
        <f t="shared" si="119"/>
        <v/>
      </c>
      <c r="L1248" t="str">
        <f t="shared" si="120"/>
        <v/>
      </c>
      <c r="M1248" t="str">
        <f t="shared" si="121"/>
        <v/>
      </c>
      <c r="N1248">
        <v>66141.7</v>
      </c>
      <c r="O1248" t="s">
        <v>655</v>
      </c>
      <c r="Q1248" t="s">
        <v>590</v>
      </c>
    </row>
    <row r="1249" spans="1:17" x14ac:dyDescent="0.3">
      <c r="A1249">
        <v>100202693</v>
      </c>
      <c r="B1249" t="s">
        <v>594</v>
      </c>
      <c r="C1249" t="s">
        <v>19</v>
      </c>
      <c r="D1249" t="s">
        <v>597</v>
      </c>
      <c r="E1249" s="6">
        <v>41562.620000000003</v>
      </c>
      <c r="F1249" t="s">
        <v>642</v>
      </c>
      <c r="G1249" s="4" t="str">
        <f t="shared" si="116"/>
        <v>41562.62</v>
      </c>
      <c r="H1249" t="str">
        <f t="shared" si="117"/>
        <v>41562.62</v>
      </c>
      <c r="I1249" s="1">
        <v>45761</v>
      </c>
      <c r="J1249" s="2">
        <f t="shared" si="118"/>
        <v>-0.10978129330600295</v>
      </c>
      <c r="K1249" s="3" t="str">
        <f t="shared" si="119"/>
        <v>Check!</v>
      </c>
      <c r="L1249" t="str">
        <f t="shared" si="120"/>
        <v/>
      </c>
      <c r="M1249" t="str">
        <f t="shared" si="121"/>
        <v/>
      </c>
      <c r="N1249">
        <v>46688.1</v>
      </c>
      <c r="O1249" t="s">
        <v>657</v>
      </c>
      <c r="Q1249" t="s">
        <v>19</v>
      </c>
    </row>
    <row r="1250" spans="1:17" x14ac:dyDescent="0.3">
      <c r="A1250">
        <v>100202693</v>
      </c>
      <c r="B1250" t="s">
        <v>594</v>
      </c>
      <c r="C1250" t="s">
        <v>19</v>
      </c>
      <c r="D1250" t="s">
        <v>598</v>
      </c>
      <c r="E1250" s="6">
        <v>161975.70000000001</v>
      </c>
      <c r="F1250" t="s">
        <v>642</v>
      </c>
      <c r="G1250" s="4" t="str">
        <f t="shared" si="116"/>
        <v>161975.7</v>
      </c>
      <c r="H1250" t="str">
        <f t="shared" si="117"/>
        <v>161975.7</v>
      </c>
      <c r="I1250" s="1">
        <v>45761</v>
      </c>
      <c r="J1250" s="2">
        <f t="shared" si="118"/>
        <v>-0.10975391115747912</v>
      </c>
      <c r="K1250" s="3" t="str">
        <f t="shared" si="119"/>
        <v>Check!</v>
      </c>
      <c r="L1250" t="str">
        <f t="shared" si="120"/>
        <v/>
      </c>
      <c r="M1250" t="str">
        <f t="shared" si="121"/>
        <v/>
      </c>
      <c r="N1250">
        <v>181944.86</v>
      </c>
      <c r="O1250" t="s">
        <v>656</v>
      </c>
      <c r="Q1250" t="s">
        <v>19</v>
      </c>
    </row>
    <row r="1251" spans="1:17" x14ac:dyDescent="0.3">
      <c r="A1251">
        <v>100205932</v>
      </c>
      <c r="B1251" t="s">
        <v>165</v>
      </c>
      <c r="C1251" t="s">
        <v>19</v>
      </c>
      <c r="D1251" t="s">
        <v>586</v>
      </c>
      <c r="E1251" s="6">
        <v>79199.98</v>
      </c>
      <c r="F1251" t="s">
        <v>642</v>
      </c>
      <c r="G1251" s="4" t="str">
        <f t="shared" si="116"/>
        <v>79199.98</v>
      </c>
      <c r="H1251" t="str">
        <f t="shared" si="117"/>
        <v>79199.98</v>
      </c>
      <c r="I1251" s="1">
        <v>45761</v>
      </c>
      <c r="J1251" s="2">
        <f t="shared" si="118"/>
        <v>-2.021839238580854E-2</v>
      </c>
      <c r="K1251" s="3" t="str">
        <f t="shared" si="119"/>
        <v/>
      </c>
      <c r="L1251" t="str">
        <f t="shared" si="120"/>
        <v/>
      </c>
      <c r="M1251" t="str">
        <f t="shared" si="121"/>
        <v/>
      </c>
      <c r="N1251">
        <v>80834.320000000007</v>
      </c>
      <c r="O1251" t="s">
        <v>587</v>
      </c>
      <c r="Q1251" t="s">
        <v>19</v>
      </c>
    </row>
    <row r="1252" spans="1:17" x14ac:dyDescent="0.3">
      <c r="A1252">
        <v>100220898</v>
      </c>
      <c r="B1252" t="s">
        <v>166</v>
      </c>
      <c r="C1252" t="s">
        <v>19</v>
      </c>
      <c r="D1252" t="s">
        <v>167</v>
      </c>
      <c r="E1252" s="6">
        <v>71142.850000000006</v>
      </c>
      <c r="F1252" t="s">
        <v>642</v>
      </c>
      <c r="G1252" s="4" t="str">
        <f t="shared" si="116"/>
        <v>71142.85</v>
      </c>
      <c r="H1252" t="str">
        <f t="shared" si="117"/>
        <v>71142.85</v>
      </c>
      <c r="I1252" s="1">
        <v>45761</v>
      </c>
      <c r="J1252" s="2">
        <f t="shared" si="118"/>
        <v>-2.1610754204195837E-2</v>
      </c>
      <c r="K1252" s="3" t="str">
        <f t="shared" si="119"/>
        <v/>
      </c>
      <c r="L1252" t="str">
        <f t="shared" si="120"/>
        <v/>
      </c>
      <c r="M1252" t="str">
        <f t="shared" si="121"/>
        <v/>
      </c>
      <c r="N1252">
        <v>72714.259999999995</v>
      </c>
      <c r="O1252" t="s">
        <v>168</v>
      </c>
      <c r="Q1252" t="s">
        <v>19</v>
      </c>
    </row>
    <row r="1253" spans="1:17" x14ac:dyDescent="0.3">
      <c r="A1253">
        <v>100220898</v>
      </c>
      <c r="B1253" t="s">
        <v>166</v>
      </c>
      <c r="C1253" t="s">
        <v>19</v>
      </c>
      <c r="D1253" t="s">
        <v>169</v>
      </c>
      <c r="E1253" s="6">
        <v>53038.76</v>
      </c>
      <c r="F1253" t="s">
        <v>642</v>
      </c>
      <c r="G1253" s="4" t="str">
        <f t="shared" si="116"/>
        <v>53038.76</v>
      </c>
      <c r="H1253" t="str">
        <f t="shared" si="117"/>
        <v>53038.76</v>
      </c>
      <c r="I1253" s="1">
        <v>45761</v>
      </c>
      <c r="J1253" s="2">
        <f t="shared" si="118"/>
        <v>-2.0390899765398023E-2</v>
      </c>
      <c r="K1253" s="3" t="str">
        <f t="shared" si="119"/>
        <v/>
      </c>
      <c r="L1253" t="str">
        <f t="shared" si="120"/>
        <v/>
      </c>
      <c r="M1253" t="str">
        <f t="shared" si="121"/>
        <v/>
      </c>
      <c r="N1253">
        <v>54142.78</v>
      </c>
      <c r="O1253" t="s">
        <v>170</v>
      </c>
      <c r="Q1253" t="s">
        <v>19</v>
      </c>
    </row>
    <row r="1254" spans="1:17" x14ac:dyDescent="0.3">
      <c r="A1254">
        <v>100247003</v>
      </c>
      <c r="B1254" t="s">
        <v>105</v>
      </c>
      <c r="C1254" t="s">
        <v>19</v>
      </c>
      <c r="D1254" t="s">
        <v>171</v>
      </c>
      <c r="E1254" s="6">
        <v>7126.06</v>
      </c>
      <c r="F1254" t="s">
        <v>642</v>
      </c>
      <c r="G1254" s="4" t="str">
        <f t="shared" si="116"/>
        <v>7126.06</v>
      </c>
      <c r="H1254" t="str">
        <f t="shared" si="117"/>
        <v>7126.06</v>
      </c>
      <c r="I1254" s="1">
        <v>45761</v>
      </c>
      <c r="J1254" s="2">
        <f t="shared" si="118"/>
        <v>-1.2294241249882161E-2</v>
      </c>
      <c r="K1254" s="3" t="str">
        <f t="shared" si="119"/>
        <v/>
      </c>
      <c r="L1254" t="str">
        <f t="shared" si="120"/>
        <v/>
      </c>
      <c r="M1254" t="str">
        <f t="shared" si="121"/>
        <v/>
      </c>
      <c r="N1254">
        <v>7214.76</v>
      </c>
      <c r="O1254" t="s">
        <v>172</v>
      </c>
      <c r="Q1254" t="s">
        <v>19</v>
      </c>
    </row>
    <row r="1255" spans="1:17" x14ac:dyDescent="0.3">
      <c r="A1255">
        <v>100249944</v>
      </c>
      <c r="B1255" t="s">
        <v>173</v>
      </c>
      <c r="C1255" t="s">
        <v>19</v>
      </c>
      <c r="D1255" t="s">
        <v>174</v>
      </c>
      <c r="E1255" s="6">
        <v>6368.97</v>
      </c>
      <c r="F1255" t="s">
        <v>642</v>
      </c>
      <c r="G1255" s="4" t="str">
        <f t="shared" si="116"/>
        <v>6368.97</v>
      </c>
      <c r="H1255" t="str">
        <f t="shared" si="117"/>
        <v>6368.97</v>
      </c>
      <c r="I1255" s="1">
        <v>45761</v>
      </c>
      <c r="J1255" s="2">
        <f t="shared" si="118"/>
        <v>-0.14757387326375407</v>
      </c>
      <c r="K1255" s="3" t="str">
        <f t="shared" si="119"/>
        <v>Check!</v>
      </c>
      <c r="L1255" t="str">
        <f t="shared" si="120"/>
        <v/>
      </c>
      <c r="M1255" t="str">
        <f t="shared" si="121"/>
        <v/>
      </c>
      <c r="N1255">
        <v>7471.58</v>
      </c>
      <c r="O1255" t="s">
        <v>175</v>
      </c>
      <c r="Q1255" t="s">
        <v>19</v>
      </c>
    </row>
    <row r="1256" spans="1:17" x14ac:dyDescent="0.3">
      <c r="A1256">
        <v>100250182</v>
      </c>
      <c r="B1256" t="s">
        <v>176</v>
      </c>
      <c r="C1256" t="s">
        <v>19</v>
      </c>
      <c r="D1256" t="s">
        <v>177</v>
      </c>
      <c r="E1256" s="6">
        <v>98385.05</v>
      </c>
      <c r="F1256" t="s">
        <v>642</v>
      </c>
      <c r="G1256" s="4" t="str">
        <f t="shared" si="116"/>
        <v>98385.05</v>
      </c>
      <c r="H1256" t="str">
        <f t="shared" si="117"/>
        <v>98385.05</v>
      </c>
      <c r="I1256" s="1">
        <v>45761</v>
      </c>
      <c r="J1256" s="2">
        <f t="shared" si="118"/>
        <v>-4.1014273708433045E-2</v>
      </c>
      <c r="K1256" s="3" t="str">
        <f t="shared" si="119"/>
        <v/>
      </c>
      <c r="L1256" t="str">
        <f t="shared" si="120"/>
        <v/>
      </c>
      <c r="M1256" t="str">
        <f t="shared" si="121"/>
        <v/>
      </c>
      <c r="N1256">
        <v>102592.82</v>
      </c>
      <c r="O1256" t="s">
        <v>178</v>
      </c>
      <c r="Q1256" t="s">
        <v>19</v>
      </c>
    </row>
    <row r="1257" spans="1:17" x14ac:dyDescent="0.3">
      <c r="A1257">
        <v>100273792</v>
      </c>
      <c r="B1257" t="s">
        <v>182</v>
      </c>
      <c r="C1257" t="s">
        <v>19</v>
      </c>
      <c r="D1257" t="s">
        <v>183</v>
      </c>
      <c r="E1257" s="6">
        <v>6747.34</v>
      </c>
      <c r="F1257" t="s">
        <v>642</v>
      </c>
      <c r="G1257" s="4" t="str">
        <f t="shared" si="116"/>
        <v>6747.34</v>
      </c>
      <c r="H1257" t="str">
        <f t="shared" si="117"/>
        <v>6747.34</v>
      </c>
      <c r="I1257" s="1">
        <v>45761</v>
      </c>
      <c r="J1257" s="2">
        <f t="shared" si="118"/>
        <v>-2.516780947592585E-2</v>
      </c>
      <c r="K1257" s="3" t="str">
        <f t="shared" si="119"/>
        <v/>
      </c>
      <c r="L1257" t="str">
        <f t="shared" si="120"/>
        <v/>
      </c>
      <c r="M1257" t="str">
        <f t="shared" si="121"/>
        <v/>
      </c>
      <c r="N1257">
        <v>6921.54</v>
      </c>
      <c r="O1257" t="s">
        <v>184</v>
      </c>
      <c r="Q1257" t="s">
        <v>19</v>
      </c>
    </row>
    <row r="1258" spans="1:17" x14ac:dyDescent="0.3">
      <c r="A1258">
        <v>100273792</v>
      </c>
      <c r="B1258" t="s">
        <v>182</v>
      </c>
      <c r="C1258" t="s">
        <v>19</v>
      </c>
      <c r="D1258" t="s">
        <v>185</v>
      </c>
      <c r="E1258" s="6">
        <v>5848.19</v>
      </c>
      <c r="F1258" t="s">
        <v>642</v>
      </c>
      <c r="G1258" s="4" t="str">
        <f t="shared" si="116"/>
        <v>5848.19</v>
      </c>
      <c r="H1258" t="str">
        <f t="shared" si="117"/>
        <v>5848.19</v>
      </c>
      <c r="I1258" s="1">
        <v>45761</v>
      </c>
      <c r="J1258" s="2">
        <f t="shared" si="118"/>
        <v>-2.2971453583463228E-2</v>
      </c>
      <c r="K1258" s="3" t="str">
        <f t="shared" si="119"/>
        <v/>
      </c>
      <c r="L1258" t="str">
        <f t="shared" si="120"/>
        <v/>
      </c>
      <c r="M1258" t="str">
        <f t="shared" si="121"/>
        <v/>
      </c>
      <c r="N1258">
        <v>5985.69</v>
      </c>
      <c r="O1258" t="s">
        <v>186</v>
      </c>
      <c r="Q1258" t="s">
        <v>19</v>
      </c>
    </row>
    <row r="1259" spans="1:17" x14ac:dyDescent="0.3">
      <c r="A1259">
        <v>100278188</v>
      </c>
      <c r="B1259" t="s">
        <v>187</v>
      </c>
      <c r="C1259" t="s">
        <v>590</v>
      </c>
      <c r="D1259" t="s">
        <v>188</v>
      </c>
      <c r="E1259" s="6">
        <v>1713.35</v>
      </c>
      <c r="F1259" t="s">
        <v>642</v>
      </c>
      <c r="G1259" s="4" t="str">
        <f t="shared" si="116"/>
        <v>1713.35</v>
      </c>
      <c r="H1259" t="str">
        <f t="shared" si="117"/>
        <v>1713.35</v>
      </c>
      <c r="I1259" s="1">
        <v>45761</v>
      </c>
      <c r="J1259" s="2">
        <f t="shared" si="118"/>
        <v>-0.82417874485368658</v>
      </c>
      <c r="K1259" s="3" t="str">
        <f t="shared" si="119"/>
        <v>Check!</v>
      </c>
      <c r="L1259" t="str">
        <f t="shared" si="120"/>
        <v/>
      </c>
      <c r="M1259" t="str">
        <f t="shared" si="121"/>
        <v>Check</v>
      </c>
      <c r="N1259">
        <v>9744.84</v>
      </c>
      <c r="O1259" t="s">
        <v>189</v>
      </c>
      <c r="Q1259" t="s">
        <v>16</v>
      </c>
    </row>
    <row r="1260" spans="1:17" x14ac:dyDescent="0.3">
      <c r="A1260">
        <v>100278188</v>
      </c>
      <c r="B1260" t="s">
        <v>187</v>
      </c>
      <c r="C1260" t="s">
        <v>19</v>
      </c>
      <c r="D1260" t="s">
        <v>190</v>
      </c>
      <c r="E1260" s="6">
        <v>4857.0200000000004</v>
      </c>
      <c r="F1260" t="s">
        <v>642</v>
      </c>
      <c r="G1260" s="4" t="str">
        <f t="shared" si="116"/>
        <v>4857.02</v>
      </c>
      <c r="H1260" t="str">
        <f t="shared" si="117"/>
        <v>4857.02</v>
      </c>
      <c r="I1260" s="1">
        <v>45761</v>
      </c>
      <c r="J1260" s="2">
        <f t="shared" si="118"/>
        <v>-1.7145747963777925E-2</v>
      </c>
      <c r="K1260" s="3" t="str">
        <f t="shared" si="119"/>
        <v/>
      </c>
      <c r="L1260" t="str">
        <f t="shared" si="120"/>
        <v/>
      </c>
      <c r="M1260" t="str">
        <f t="shared" si="121"/>
        <v/>
      </c>
      <c r="N1260">
        <v>4941.75</v>
      </c>
      <c r="O1260" t="s">
        <v>191</v>
      </c>
      <c r="Q1260" t="s">
        <v>19</v>
      </c>
    </row>
    <row r="1261" spans="1:17" x14ac:dyDescent="0.3">
      <c r="A1261">
        <v>100278188</v>
      </c>
      <c r="B1261" t="s">
        <v>187</v>
      </c>
      <c r="C1261" t="s">
        <v>19</v>
      </c>
      <c r="D1261" t="s">
        <v>192</v>
      </c>
      <c r="E1261" s="6">
        <v>15872.69</v>
      </c>
      <c r="F1261" t="s">
        <v>642</v>
      </c>
      <c r="G1261" s="4" t="str">
        <f t="shared" si="116"/>
        <v>15872.69</v>
      </c>
      <c r="H1261" t="str">
        <f t="shared" si="117"/>
        <v>15872.69</v>
      </c>
      <c r="I1261" s="1">
        <v>45761</v>
      </c>
      <c r="J1261" s="2">
        <f t="shared" si="118"/>
        <v>-1.5390675400724453E-2</v>
      </c>
      <c r="K1261" s="3" t="str">
        <f t="shared" si="119"/>
        <v/>
      </c>
      <c r="L1261" t="str">
        <f t="shared" si="120"/>
        <v/>
      </c>
      <c r="M1261" t="str">
        <f t="shared" si="121"/>
        <v/>
      </c>
      <c r="N1261">
        <v>16120.8</v>
      </c>
      <c r="O1261" t="s">
        <v>193</v>
      </c>
      <c r="Q1261" t="s">
        <v>19</v>
      </c>
    </row>
    <row r="1262" spans="1:17" x14ac:dyDescent="0.3">
      <c r="A1262">
        <v>100278188</v>
      </c>
      <c r="B1262" t="s">
        <v>187</v>
      </c>
      <c r="C1262" t="s">
        <v>19</v>
      </c>
      <c r="D1262" t="s">
        <v>194</v>
      </c>
      <c r="E1262" s="6">
        <v>2021.18</v>
      </c>
      <c r="F1262" t="s">
        <v>642</v>
      </c>
      <c r="G1262" s="4" t="str">
        <f t="shared" si="116"/>
        <v>2021.18</v>
      </c>
      <c r="H1262" t="str">
        <f t="shared" si="117"/>
        <v>2021.18</v>
      </c>
      <c r="I1262" s="1">
        <v>45761</v>
      </c>
      <c r="J1262" s="2">
        <f t="shared" si="118"/>
        <v>-6.1367190189117243E-3</v>
      </c>
      <c r="K1262" s="3" t="str">
        <f t="shared" si="119"/>
        <v/>
      </c>
      <c r="L1262" t="str">
        <f t="shared" si="120"/>
        <v/>
      </c>
      <c r="M1262" t="str">
        <f t="shared" si="121"/>
        <v/>
      </c>
      <c r="N1262">
        <v>2033.66</v>
      </c>
      <c r="O1262" t="s">
        <v>195</v>
      </c>
      <c r="Q1262" t="s">
        <v>19</v>
      </c>
    </row>
    <row r="1263" spans="1:17" x14ac:dyDescent="0.3">
      <c r="A1263">
        <v>100309343</v>
      </c>
      <c r="B1263" t="s">
        <v>196</v>
      </c>
      <c r="C1263" t="s">
        <v>590</v>
      </c>
      <c r="D1263" t="s">
        <v>197</v>
      </c>
      <c r="E1263" s="6">
        <v>46422.32</v>
      </c>
      <c r="F1263" t="s">
        <v>642</v>
      </c>
      <c r="G1263" s="4" t="str">
        <f t="shared" si="116"/>
        <v>46422.32</v>
      </c>
      <c r="H1263" t="str">
        <f t="shared" si="117"/>
        <v>46422.32</v>
      </c>
      <c r="I1263" s="1">
        <v>45761</v>
      </c>
      <c r="J1263" s="2">
        <f t="shared" si="118"/>
        <v>-0.29141222941221906</v>
      </c>
      <c r="K1263" s="3" t="str">
        <f t="shared" si="119"/>
        <v>Check!</v>
      </c>
      <c r="L1263" t="str">
        <f t="shared" si="120"/>
        <v/>
      </c>
      <c r="M1263" t="str">
        <f t="shared" si="121"/>
        <v>Check</v>
      </c>
      <c r="N1263">
        <v>65513.86</v>
      </c>
      <c r="O1263" t="s">
        <v>198</v>
      </c>
      <c r="Q1263" t="s">
        <v>16</v>
      </c>
    </row>
    <row r="1264" spans="1:17" x14ac:dyDescent="0.3">
      <c r="A1264">
        <v>100325823</v>
      </c>
      <c r="B1264" t="s">
        <v>202</v>
      </c>
      <c r="C1264" t="s">
        <v>19</v>
      </c>
      <c r="D1264" t="s">
        <v>203</v>
      </c>
      <c r="E1264" s="6">
        <v>55220.800000000003</v>
      </c>
      <c r="F1264" t="s">
        <v>642</v>
      </c>
      <c r="G1264" s="4" t="str">
        <f t="shared" si="116"/>
        <v>55220.8</v>
      </c>
      <c r="H1264" t="str">
        <f t="shared" si="117"/>
        <v>55220.8</v>
      </c>
      <c r="I1264" s="1">
        <v>45761</v>
      </c>
      <c r="J1264" s="2">
        <f t="shared" si="118"/>
        <v>3.8807236305976818</v>
      </c>
      <c r="K1264" s="3" t="str">
        <f t="shared" si="119"/>
        <v>Check!</v>
      </c>
      <c r="L1264" t="str">
        <f t="shared" si="120"/>
        <v/>
      </c>
      <c r="M1264" t="str">
        <f t="shared" si="121"/>
        <v/>
      </c>
      <c r="N1264">
        <v>11314.06</v>
      </c>
      <c r="O1264" t="s">
        <v>204</v>
      </c>
      <c r="Q1264" t="s">
        <v>19</v>
      </c>
    </row>
    <row r="1265" spans="1:17" x14ac:dyDescent="0.3">
      <c r="A1265">
        <v>100376880</v>
      </c>
      <c r="B1265" t="s">
        <v>205</v>
      </c>
      <c r="C1265" t="s">
        <v>590</v>
      </c>
      <c r="D1265" t="s">
        <v>206</v>
      </c>
      <c r="E1265" s="6">
        <v>128659.05</v>
      </c>
      <c r="F1265" t="s">
        <v>642</v>
      </c>
      <c r="G1265" s="4" t="str">
        <f t="shared" si="116"/>
        <v>128659.05</v>
      </c>
      <c r="H1265" t="str">
        <f t="shared" si="117"/>
        <v>128659.05</v>
      </c>
      <c r="I1265" s="1">
        <v>45761</v>
      </c>
      <c r="J1265" s="2">
        <f t="shared" si="118"/>
        <v>-1.987558590024311E-2</v>
      </c>
      <c r="K1265" s="3" t="str">
        <f t="shared" si="119"/>
        <v/>
      </c>
      <c r="L1265" t="str">
        <f t="shared" si="120"/>
        <v/>
      </c>
      <c r="M1265" t="str">
        <f t="shared" si="121"/>
        <v>Check</v>
      </c>
      <c r="N1265">
        <v>131268.07999999999</v>
      </c>
      <c r="O1265" t="s">
        <v>207</v>
      </c>
      <c r="Q1265" t="s">
        <v>16</v>
      </c>
    </row>
    <row r="1266" spans="1:17" x14ac:dyDescent="0.3">
      <c r="A1266">
        <v>100376880</v>
      </c>
      <c r="B1266" t="s">
        <v>205</v>
      </c>
      <c r="C1266" t="s">
        <v>19</v>
      </c>
      <c r="D1266" t="s">
        <v>208</v>
      </c>
      <c r="E1266" s="6">
        <v>90.86</v>
      </c>
      <c r="F1266" t="s">
        <v>642</v>
      </c>
      <c r="G1266" s="4" t="str">
        <f t="shared" si="116"/>
        <v>90.86</v>
      </c>
      <c r="H1266" t="str">
        <f t="shared" si="117"/>
        <v>90.86</v>
      </c>
      <c r="I1266" s="1">
        <v>45761</v>
      </c>
      <c r="J1266" s="2">
        <f t="shared" si="118"/>
        <v>0.14088397790055246</v>
      </c>
      <c r="K1266" s="3" t="str">
        <f t="shared" si="119"/>
        <v>Check!</v>
      </c>
      <c r="L1266" t="str">
        <f t="shared" si="120"/>
        <v/>
      </c>
      <c r="M1266" t="str">
        <f t="shared" si="121"/>
        <v/>
      </c>
      <c r="N1266">
        <v>79.64</v>
      </c>
      <c r="O1266" t="s">
        <v>209</v>
      </c>
      <c r="Q1266" t="s">
        <v>19</v>
      </c>
    </row>
    <row r="1267" spans="1:17" x14ac:dyDescent="0.3">
      <c r="A1267">
        <v>100388471</v>
      </c>
      <c r="B1267" t="s">
        <v>210</v>
      </c>
      <c r="C1267" t="s">
        <v>19</v>
      </c>
      <c r="D1267" t="s">
        <v>211</v>
      </c>
      <c r="E1267" s="6">
        <v>52428.63</v>
      </c>
      <c r="F1267" t="s">
        <v>642</v>
      </c>
      <c r="G1267" s="4" t="str">
        <f t="shared" si="116"/>
        <v>52428.63</v>
      </c>
      <c r="H1267" t="str">
        <f t="shared" si="117"/>
        <v>52428.63</v>
      </c>
      <c r="I1267" s="1">
        <v>45761</v>
      </c>
      <c r="J1267" s="2">
        <f t="shared" si="118"/>
        <v>-2.2404544902787121E-2</v>
      </c>
      <c r="K1267" s="3" t="str">
        <f t="shared" si="119"/>
        <v/>
      </c>
      <c r="L1267" t="str">
        <f t="shared" si="120"/>
        <v/>
      </c>
      <c r="M1267" t="str">
        <f t="shared" si="121"/>
        <v/>
      </c>
      <c r="N1267">
        <v>53630.19</v>
      </c>
      <c r="O1267" t="s">
        <v>212</v>
      </c>
      <c r="Q1267" t="s">
        <v>19</v>
      </c>
    </row>
    <row r="1268" spans="1:17" x14ac:dyDescent="0.3">
      <c r="A1268">
        <v>100388471</v>
      </c>
      <c r="B1268" t="s">
        <v>210</v>
      </c>
      <c r="C1268" t="s">
        <v>19</v>
      </c>
      <c r="D1268" t="s">
        <v>213</v>
      </c>
      <c r="E1268" s="6">
        <v>9020.26</v>
      </c>
      <c r="F1268" t="s">
        <v>642</v>
      </c>
      <c r="G1268" s="4" t="str">
        <f t="shared" si="116"/>
        <v>9020.26</v>
      </c>
      <c r="H1268" t="str">
        <f t="shared" si="117"/>
        <v>9020.26</v>
      </c>
      <c r="I1268" s="1">
        <v>45761</v>
      </c>
      <c r="J1268" s="2">
        <f t="shared" si="118"/>
        <v>-5.5973308467005538E-2</v>
      </c>
      <c r="K1268" s="3" t="str">
        <f t="shared" si="119"/>
        <v/>
      </c>
      <c r="L1268" t="str">
        <f t="shared" si="120"/>
        <v/>
      </c>
      <c r="M1268" t="str">
        <f t="shared" si="121"/>
        <v/>
      </c>
      <c r="N1268">
        <v>9555.09</v>
      </c>
      <c r="O1268" t="s">
        <v>214</v>
      </c>
      <c r="Q1268" t="s">
        <v>19</v>
      </c>
    </row>
    <row r="1269" spans="1:17" x14ac:dyDescent="0.3">
      <c r="A1269">
        <v>100408912</v>
      </c>
      <c r="B1269" t="s">
        <v>215</v>
      </c>
      <c r="C1269" t="s">
        <v>19</v>
      </c>
      <c r="D1269" t="s">
        <v>216</v>
      </c>
      <c r="E1269" s="6">
        <v>20708.98</v>
      </c>
      <c r="F1269" t="s">
        <v>642</v>
      </c>
      <c r="G1269" s="4" t="str">
        <f t="shared" si="116"/>
        <v>20708.98</v>
      </c>
      <c r="H1269" t="str">
        <f t="shared" si="117"/>
        <v>20708.98</v>
      </c>
      <c r="I1269" s="1">
        <v>45761</v>
      </c>
      <c r="J1269" s="2">
        <f t="shared" si="118"/>
        <v>-0.20364870679792954</v>
      </c>
      <c r="K1269" s="3" t="str">
        <f t="shared" si="119"/>
        <v>Check!</v>
      </c>
      <c r="L1269" t="str">
        <f t="shared" si="120"/>
        <v/>
      </c>
      <c r="M1269" t="str">
        <f t="shared" si="121"/>
        <v/>
      </c>
      <c r="N1269">
        <v>26004.83</v>
      </c>
      <c r="O1269" t="s">
        <v>217</v>
      </c>
      <c r="Q1269" t="s">
        <v>19</v>
      </c>
    </row>
    <row r="1270" spans="1:17" x14ac:dyDescent="0.3">
      <c r="A1270">
        <v>100421069</v>
      </c>
      <c r="B1270" t="s">
        <v>218</v>
      </c>
      <c r="C1270" t="s">
        <v>19</v>
      </c>
      <c r="D1270" t="s">
        <v>222</v>
      </c>
      <c r="E1270" s="6">
        <v>9574.81</v>
      </c>
      <c r="F1270" t="s">
        <v>642</v>
      </c>
      <c r="G1270" s="4" t="str">
        <f t="shared" si="116"/>
        <v>9574.81</v>
      </c>
      <c r="H1270" t="str">
        <f t="shared" si="117"/>
        <v>9574.81</v>
      </c>
      <c r="I1270" s="1">
        <v>45761</v>
      </c>
      <c r="J1270" s="2">
        <f t="shared" si="118"/>
        <v>-4.225083023246521E-2</v>
      </c>
      <c r="K1270" s="3" t="str">
        <f t="shared" si="119"/>
        <v/>
      </c>
      <c r="L1270" t="str">
        <f t="shared" si="120"/>
        <v/>
      </c>
      <c r="M1270" t="str">
        <f t="shared" si="121"/>
        <v/>
      </c>
      <c r="N1270">
        <v>9997.2000000000007</v>
      </c>
      <c r="O1270" t="s">
        <v>223</v>
      </c>
      <c r="Q1270" t="s">
        <v>19</v>
      </c>
    </row>
    <row r="1271" spans="1:17" x14ac:dyDescent="0.3">
      <c r="A1271">
        <v>100421069</v>
      </c>
      <c r="B1271" t="s">
        <v>218</v>
      </c>
      <c r="C1271" t="s">
        <v>19</v>
      </c>
      <c r="D1271" t="s">
        <v>220</v>
      </c>
      <c r="E1271" s="6">
        <v>20771.03</v>
      </c>
      <c r="F1271" t="s">
        <v>642</v>
      </c>
      <c r="G1271" s="4" t="str">
        <f t="shared" si="116"/>
        <v>20771.03</v>
      </c>
      <c r="H1271" t="str">
        <f t="shared" si="117"/>
        <v>20771.03</v>
      </c>
      <c r="I1271" s="1">
        <v>45761</v>
      </c>
      <c r="J1271" s="2">
        <f t="shared" si="118"/>
        <v>-5.2022100435947898E-2</v>
      </c>
      <c r="K1271" s="3" t="str">
        <f t="shared" si="119"/>
        <v/>
      </c>
      <c r="L1271" t="str">
        <f t="shared" si="120"/>
        <v/>
      </c>
      <c r="M1271" t="str">
        <f t="shared" si="121"/>
        <v/>
      </c>
      <c r="N1271">
        <v>21910.880000000001</v>
      </c>
      <c r="O1271" t="s">
        <v>221</v>
      </c>
      <c r="Q1271" t="s">
        <v>19</v>
      </c>
    </row>
    <row r="1272" spans="1:17" x14ac:dyDescent="0.3">
      <c r="A1272">
        <v>100421069</v>
      </c>
      <c r="B1272" t="s">
        <v>218</v>
      </c>
      <c r="C1272" t="s">
        <v>19</v>
      </c>
      <c r="D1272" t="s">
        <v>224</v>
      </c>
      <c r="E1272" s="6">
        <v>11333.78</v>
      </c>
      <c r="F1272" t="s">
        <v>642</v>
      </c>
      <c r="G1272" s="4" t="str">
        <f t="shared" si="116"/>
        <v>11333.78</v>
      </c>
      <c r="H1272" t="str">
        <f t="shared" si="117"/>
        <v>11333.78</v>
      </c>
      <c r="I1272" s="1">
        <v>45761</v>
      </c>
      <c r="J1272" s="2">
        <f t="shared" si="118"/>
        <v>-4.5588476777135366E-2</v>
      </c>
      <c r="K1272" s="3" t="str">
        <f t="shared" si="119"/>
        <v/>
      </c>
      <c r="L1272" t="str">
        <f t="shared" si="120"/>
        <v/>
      </c>
      <c r="M1272" t="str">
        <f t="shared" si="121"/>
        <v/>
      </c>
      <c r="N1272">
        <v>11875.15</v>
      </c>
      <c r="O1272" t="s">
        <v>225</v>
      </c>
      <c r="Q1272" t="s">
        <v>19</v>
      </c>
    </row>
    <row r="1273" spans="1:17" x14ac:dyDescent="0.3">
      <c r="A1273">
        <v>100489695</v>
      </c>
      <c r="B1273" t="s">
        <v>229</v>
      </c>
      <c r="C1273" t="s">
        <v>590</v>
      </c>
      <c r="D1273" t="s">
        <v>230</v>
      </c>
      <c r="E1273" s="6">
        <v>154424.04999999999</v>
      </c>
      <c r="F1273" t="s">
        <v>642</v>
      </c>
      <c r="G1273" s="4" t="str">
        <f t="shared" si="116"/>
        <v>154424.05</v>
      </c>
      <c r="H1273" t="str">
        <f t="shared" si="117"/>
        <v>154424.05</v>
      </c>
      <c r="I1273" s="1">
        <v>45761</v>
      </c>
      <c r="J1273" s="2">
        <f t="shared" si="118"/>
        <v>-2.1346470767025717E-2</v>
      </c>
      <c r="K1273" s="3" t="str">
        <f t="shared" si="119"/>
        <v/>
      </c>
      <c r="L1273" t="str">
        <f t="shared" si="120"/>
        <v/>
      </c>
      <c r="M1273" t="str">
        <f t="shared" si="121"/>
        <v>Check</v>
      </c>
      <c r="N1273">
        <v>157792.35999999999</v>
      </c>
      <c r="O1273" t="s">
        <v>231</v>
      </c>
      <c r="Q1273" t="s">
        <v>16</v>
      </c>
    </row>
    <row r="1274" spans="1:17" x14ac:dyDescent="0.3">
      <c r="A1274">
        <v>100492707</v>
      </c>
      <c r="B1274" t="s">
        <v>232</v>
      </c>
      <c r="C1274" t="s">
        <v>19</v>
      </c>
      <c r="D1274" t="s">
        <v>233</v>
      </c>
      <c r="E1274" s="6">
        <v>15831.41</v>
      </c>
      <c r="F1274" t="s">
        <v>642</v>
      </c>
      <c r="G1274" s="4" t="str">
        <f t="shared" si="116"/>
        <v>15831.41</v>
      </c>
      <c r="H1274" t="str">
        <f t="shared" si="117"/>
        <v>15831.41</v>
      </c>
      <c r="I1274" s="1">
        <v>45761</v>
      </c>
      <c r="J1274" s="2">
        <f t="shared" si="118"/>
        <v>-3.175475914674801E-2</v>
      </c>
      <c r="K1274" s="3" t="str">
        <f t="shared" si="119"/>
        <v/>
      </c>
      <c r="L1274" t="str">
        <f t="shared" si="120"/>
        <v/>
      </c>
      <c r="M1274" t="str">
        <f t="shared" si="121"/>
        <v/>
      </c>
      <c r="N1274">
        <v>16350.62</v>
      </c>
      <c r="O1274" t="s">
        <v>234</v>
      </c>
      <c r="Q1274" t="s">
        <v>19</v>
      </c>
    </row>
    <row r="1275" spans="1:17" x14ac:dyDescent="0.3">
      <c r="A1275">
        <v>100492707</v>
      </c>
      <c r="B1275" t="s">
        <v>232</v>
      </c>
      <c r="C1275" t="s">
        <v>19</v>
      </c>
      <c r="D1275" t="s">
        <v>624</v>
      </c>
      <c r="E1275" s="6">
        <v>51796.37</v>
      </c>
      <c r="F1275" t="s">
        <v>642</v>
      </c>
      <c r="G1275" s="4" t="str">
        <f t="shared" si="116"/>
        <v>51796.37</v>
      </c>
      <c r="H1275" t="str">
        <f t="shared" si="117"/>
        <v>51796.37</v>
      </c>
      <c r="I1275" s="1">
        <v>45761</v>
      </c>
      <c r="J1275" s="2">
        <f t="shared" si="118"/>
        <v>-5.3619155506020304E-2</v>
      </c>
      <c r="K1275" s="3" t="str">
        <f t="shared" si="119"/>
        <v/>
      </c>
      <c r="L1275" t="str">
        <f t="shared" si="120"/>
        <v/>
      </c>
      <c r="M1275" t="str">
        <f t="shared" si="121"/>
        <v/>
      </c>
      <c r="N1275">
        <v>54731</v>
      </c>
      <c r="O1275" t="s">
        <v>672</v>
      </c>
      <c r="Q1275" t="s">
        <v>19</v>
      </c>
    </row>
    <row r="1276" spans="1:17" x14ac:dyDescent="0.3">
      <c r="A1276">
        <v>100564770</v>
      </c>
      <c r="B1276" t="s">
        <v>241</v>
      </c>
      <c r="C1276" t="s">
        <v>19</v>
      </c>
      <c r="D1276" t="s">
        <v>242</v>
      </c>
      <c r="E1276" s="6">
        <v>55219.3</v>
      </c>
      <c r="F1276" t="s">
        <v>642</v>
      </c>
      <c r="G1276" s="4" t="str">
        <f t="shared" si="116"/>
        <v>55219.3</v>
      </c>
      <c r="H1276" t="str">
        <f t="shared" si="117"/>
        <v>55219.3</v>
      </c>
      <c r="I1276" s="1">
        <v>45761</v>
      </c>
      <c r="J1276" s="2">
        <f t="shared" si="118"/>
        <v>-2.9694501011172349E-2</v>
      </c>
      <c r="K1276" s="3" t="str">
        <f t="shared" si="119"/>
        <v/>
      </c>
      <c r="L1276" t="str">
        <f t="shared" si="120"/>
        <v/>
      </c>
      <c r="M1276" t="str">
        <f t="shared" si="121"/>
        <v/>
      </c>
      <c r="N1276">
        <v>56909.19</v>
      </c>
      <c r="O1276" t="s">
        <v>243</v>
      </c>
      <c r="Q1276" t="s">
        <v>19</v>
      </c>
    </row>
    <row r="1277" spans="1:17" x14ac:dyDescent="0.3">
      <c r="A1277">
        <v>100596195</v>
      </c>
      <c r="B1277" t="s">
        <v>244</v>
      </c>
      <c r="C1277" t="s">
        <v>590</v>
      </c>
      <c r="D1277" t="s">
        <v>245</v>
      </c>
      <c r="E1277" s="6">
        <v>128655.94</v>
      </c>
      <c r="F1277" t="s">
        <v>642</v>
      </c>
      <c r="G1277" s="4" t="str">
        <f t="shared" si="116"/>
        <v>128655.94</v>
      </c>
      <c r="H1277" t="str">
        <f t="shared" si="117"/>
        <v>128655.94</v>
      </c>
      <c r="I1277" s="1">
        <v>45761</v>
      </c>
      <c r="J1277" s="2">
        <f t="shared" si="118"/>
        <v>-0.19970876093390574</v>
      </c>
      <c r="K1277" s="3" t="str">
        <f t="shared" si="119"/>
        <v>Check!</v>
      </c>
      <c r="L1277" t="str">
        <f t="shared" si="120"/>
        <v/>
      </c>
      <c r="M1277" t="str">
        <f t="shared" si="121"/>
        <v>Check</v>
      </c>
      <c r="N1277">
        <v>160761.4</v>
      </c>
      <c r="O1277" t="s">
        <v>246</v>
      </c>
      <c r="Q1277" t="s">
        <v>16</v>
      </c>
    </row>
    <row r="1278" spans="1:17" x14ac:dyDescent="0.3">
      <c r="A1278">
        <v>100596197</v>
      </c>
      <c r="B1278" t="s">
        <v>247</v>
      </c>
      <c r="C1278" t="s">
        <v>590</v>
      </c>
      <c r="D1278" t="s">
        <v>248</v>
      </c>
      <c r="E1278" s="6">
        <v>7455.7</v>
      </c>
      <c r="F1278" t="s">
        <v>642</v>
      </c>
      <c r="G1278" s="4" t="str">
        <f t="shared" si="116"/>
        <v>7455.7</v>
      </c>
      <c r="H1278" t="str">
        <f t="shared" si="117"/>
        <v>7455.7</v>
      </c>
      <c r="I1278" s="1">
        <v>45761</v>
      </c>
      <c r="J1278" s="2">
        <f t="shared" si="118"/>
        <v>-6.9866375239684947E-2</v>
      </c>
      <c r="K1278" s="3" t="str">
        <f t="shared" si="119"/>
        <v/>
      </c>
      <c r="L1278" t="str">
        <f t="shared" si="120"/>
        <v/>
      </c>
      <c r="M1278" t="str">
        <f t="shared" si="121"/>
        <v>Check</v>
      </c>
      <c r="N1278">
        <v>8015.73</v>
      </c>
      <c r="O1278" t="s">
        <v>249</v>
      </c>
      <c r="Q1278" t="s">
        <v>16</v>
      </c>
    </row>
    <row r="1279" spans="1:17" x14ac:dyDescent="0.3">
      <c r="A1279">
        <v>100596689</v>
      </c>
      <c r="B1279" t="s">
        <v>250</v>
      </c>
      <c r="C1279" t="s">
        <v>590</v>
      </c>
      <c r="D1279" t="s">
        <v>251</v>
      </c>
      <c r="E1279" s="6">
        <v>2689.19</v>
      </c>
      <c r="F1279" t="s">
        <v>642</v>
      </c>
      <c r="G1279" s="4" t="str">
        <f t="shared" si="116"/>
        <v>2689.19</v>
      </c>
      <c r="H1279" t="str">
        <f t="shared" si="117"/>
        <v>2689.19</v>
      </c>
      <c r="I1279" s="1">
        <v>45761</v>
      </c>
      <c r="J1279" s="2">
        <f t="shared" si="118"/>
        <v>2.4863278644791341E-2</v>
      </c>
      <c r="K1279" s="3" t="str">
        <f t="shared" si="119"/>
        <v/>
      </c>
      <c r="L1279" t="str">
        <f t="shared" si="120"/>
        <v/>
      </c>
      <c r="M1279" t="str">
        <f t="shared" si="121"/>
        <v>Check</v>
      </c>
      <c r="N1279">
        <v>2623.95</v>
      </c>
      <c r="O1279" t="s">
        <v>252</v>
      </c>
      <c r="Q1279" t="s">
        <v>16</v>
      </c>
    </row>
    <row r="1280" spans="1:17" x14ac:dyDescent="0.3">
      <c r="A1280">
        <v>100628018</v>
      </c>
      <c r="B1280" t="s">
        <v>253</v>
      </c>
      <c r="C1280" t="s">
        <v>590</v>
      </c>
      <c r="D1280" t="s">
        <v>254</v>
      </c>
      <c r="E1280" s="6">
        <v>58776.68</v>
      </c>
      <c r="F1280" t="s">
        <v>642</v>
      </c>
      <c r="G1280" s="4" t="str">
        <f t="shared" si="116"/>
        <v>58776.68</v>
      </c>
      <c r="H1280" t="str">
        <f t="shared" si="117"/>
        <v>58776.68</v>
      </c>
      <c r="I1280" s="1">
        <v>45761</v>
      </c>
      <c r="J1280" s="2">
        <f t="shared" si="118"/>
        <v>-2.1632335030120822E-2</v>
      </c>
      <c r="K1280" s="3" t="str">
        <f t="shared" si="119"/>
        <v/>
      </c>
      <c r="L1280" t="str">
        <f t="shared" si="120"/>
        <v/>
      </c>
      <c r="M1280" t="str">
        <f t="shared" si="121"/>
        <v>Check</v>
      </c>
      <c r="N1280">
        <v>60076.27</v>
      </c>
      <c r="O1280" t="s">
        <v>255</v>
      </c>
      <c r="Q1280" t="s">
        <v>16</v>
      </c>
    </row>
    <row r="1281" spans="1:17" x14ac:dyDescent="0.3">
      <c r="A1281">
        <v>100628990</v>
      </c>
      <c r="B1281" t="s">
        <v>256</v>
      </c>
      <c r="C1281" t="s">
        <v>19</v>
      </c>
      <c r="D1281" t="s">
        <v>257</v>
      </c>
      <c r="E1281" s="6">
        <v>789.36</v>
      </c>
      <c r="F1281" t="s">
        <v>642</v>
      </c>
      <c r="G1281" s="4" t="str">
        <f t="shared" si="116"/>
        <v>789.36</v>
      </c>
      <c r="H1281" t="str">
        <f t="shared" si="117"/>
        <v>789.36</v>
      </c>
      <c r="I1281" s="1">
        <v>45761</v>
      </c>
      <c r="J1281" s="2">
        <f t="shared" si="118"/>
        <v>1.8910301919427885E-2</v>
      </c>
      <c r="K1281" s="3" t="str">
        <f t="shared" si="119"/>
        <v/>
      </c>
      <c r="L1281" t="str">
        <f t="shared" si="120"/>
        <v/>
      </c>
      <c r="M1281" t="str">
        <f t="shared" si="121"/>
        <v/>
      </c>
      <c r="N1281">
        <v>774.71</v>
      </c>
      <c r="O1281" t="s">
        <v>258</v>
      </c>
      <c r="Q1281" t="s">
        <v>19</v>
      </c>
    </row>
    <row r="1282" spans="1:17" x14ac:dyDescent="0.3">
      <c r="A1282">
        <v>100630705</v>
      </c>
      <c r="B1282" t="s">
        <v>259</v>
      </c>
      <c r="C1282" t="s">
        <v>590</v>
      </c>
      <c r="D1282" t="s">
        <v>260</v>
      </c>
      <c r="E1282" s="6">
        <v>5111.3599999999997</v>
      </c>
      <c r="F1282" t="s">
        <v>642</v>
      </c>
      <c r="G1282" s="4" t="str">
        <f t="shared" si="116"/>
        <v>5111.36</v>
      </c>
      <c r="H1282" t="str">
        <f t="shared" si="117"/>
        <v>5111.36</v>
      </c>
      <c r="I1282" s="1">
        <v>45761</v>
      </c>
      <c r="J1282" s="2">
        <f t="shared" si="118"/>
        <v>-2.1451503902623036E-2</v>
      </c>
      <c r="K1282" s="3" t="str">
        <f t="shared" si="119"/>
        <v/>
      </c>
      <c r="L1282" t="str">
        <f t="shared" si="120"/>
        <v/>
      </c>
      <c r="M1282" t="str">
        <f t="shared" si="121"/>
        <v>Check</v>
      </c>
      <c r="N1282">
        <v>5223.41</v>
      </c>
      <c r="O1282" t="s">
        <v>261</v>
      </c>
      <c r="Q1282" t="s">
        <v>16</v>
      </c>
    </row>
    <row r="1283" spans="1:17" x14ac:dyDescent="0.3">
      <c r="A1283">
        <v>100630706</v>
      </c>
      <c r="B1283" t="s">
        <v>262</v>
      </c>
      <c r="C1283" t="s">
        <v>590</v>
      </c>
      <c r="D1283" t="s">
        <v>263</v>
      </c>
      <c r="E1283" s="6">
        <v>956.17</v>
      </c>
      <c r="F1283" t="s">
        <v>642</v>
      </c>
      <c r="G1283" s="4" t="str">
        <f t="shared" ref="G1283:G1317" si="122">SUBSTITUTE(E1283,"R","")</f>
        <v>956.17</v>
      </c>
      <c r="H1283" t="str">
        <f t="shared" ref="H1283:H1317" si="123">SUBSTITUTE(G1283,",","")</f>
        <v>956.17</v>
      </c>
      <c r="I1283" s="1">
        <v>45761</v>
      </c>
      <c r="J1283" s="2">
        <f t="shared" ref="J1283:J1317" si="124">(H1283-N1283)/N1283</f>
        <v>8.9938103434518427E-2</v>
      </c>
      <c r="K1283" s="3" t="str">
        <f t="shared" ref="K1283:K1317" si="125">IF(ABS(J1283)&gt;0.1,"Check!","")</f>
        <v/>
      </c>
      <c r="L1283" t="str">
        <f t="shared" ref="L1283:L1317" si="126">IF(LEFT(O1283,10)&lt;&gt;LEFT(D1283,10),"Check","")</f>
        <v/>
      </c>
      <c r="M1283" t="str">
        <f t="shared" ref="M1283:M1317" si="127">IF(Q1283&lt;&gt;C1283,"Check","")</f>
        <v>Check</v>
      </c>
      <c r="N1283">
        <v>877.27</v>
      </c>
      <c r="O1283" t="s">
        <v>264</v>
      </c>
      <c r="Q1283" t="s">
        <v>16</v>
      </c>
    </row>
    <row r="1284" spans="1:17" x14ac:dyDescent="0.3">
      <c r="A1284">
        <v>100633203</v>
      </c>
      <c r="B1284" t="s">
        <v>265</v>
      </c>
      <c r="C1284" t="s">
        <v>590</v>
      </c>
      <c r="D1284" t="s">
        <v>266</v>
      </c>
      <c r="E1284" s="6">
        <v>59579.96</v>
      </c>
      <c r="F1284" t="s">
        <v>642</v>
      </c>
      <c r="G1284" s="4" t="str">
        <f t="shared" si="122"/>
        <v>59579.96</v>
      </c>
      <c r="H1284" t="str">
        <f t="shared" si="123"/>
        <v>59579.96</v>
      </c>
      <c r="I1284" s="1">
        <v>45761</v>
      </c>
      <c r="J1284" s="2">
        <f t="shared" si="124"/>
        <v>-2.1493650379676505E-2</v>
      </c>
      <c r="K1284" s="3" t="str">
        <f t="shared" si="125"/>
        <v/>
      </c>
      <c r="L1284" t="str">
        <f t="shared" si="126"/>
        <v/>
      </c>
      <c r="M1284" t="str">
        <f t="shared" si="127"/>
        <v>Check</v>
      </c>
      <c r="N1284">
        <v>60888.68</v>
      </c>
      <c r="O1284" t="s">
        <v>267</v>
      </c>
      <c r="Q1284" t="s">
        <v>16</v>
      </c>
    </row>
    <row r="1285" spans="1:17" x14ac:dyDescent="0.3">
      <c r="A1285">
        <v>100641153</v>
      </c>
      <c r="B1285" t="s">
        <v>273</v>
      </c>
      <c r="C1285" t="s">
        <v>19</v>
      </c>
      <c r="D1285" t="s">
        <v>274</v>
      </c>
      <c r="E1285" s="6">
        <v>9515.2199999999993</v>
      </c>
      <c r="F1285" t="s">
        <v>642</v>
      </c>
      <c r="G1285" s="4" t="str">
        <f t="shared" si="122"/>
        <v>9515.22</v>
      </c>
      <c r="H1285" t="str">
        <f t="shared" si="123"/>
        <v>9515.22</v>
      </c>
      <c r="I1285" s="1">
        <v>45761</v>
      </c>
      <c r="J1285" s="2">
        <f t="shared" si="124"/>
        <v>-0.21678212312575315</v>
      </c>
      <c r="K1285" s="3" t="str">
        <f t="shared" si="125"/>
        <v>Check!</v>
      </c>
      <c r="L1285" t="str">
        <f t="shared" si="126"/>
        <v/>
      </c>
      <c r="M1285" t="str">
        <f t="shared" si="127"/>
        <v/>
      </c>
      <c r="N1285">
        <v>12148.88</v>
      </c>
      <c r="O1285" t="s">
        <v>275</v>
      </c>
      <c r="Q1285" t="s">
        <v>19</v>
      </c>
    </row>
    <row r="1286" spans="1:17" x14ac:dyDescent="0.3">
      <c r="A1286">
        <v>100651305</v>
      </c>
      <c r="B1286" t="s">
        <v>276</v>
      </c>
      <c r="C1286" t="s">
        <v>590</v>
      </c>
      <c r="D1286" t="s">
        <v>277</v>
      </c>
      <c r="E1286" s="6">
        <v>5202.8</v>
      </c>
      <c r="F1286" t="s">
        <v>642</v>
      </c>
      <c r="G1286" s="4" t="str">
        <f t="shared" si="122"/>
        <v>5202.8</v>
      </c>
      <c r="H1286" t="str">
        <f t="shared" si="123"/>
        <v>5202.8</v>
      </c>
      <c r="I1286" s="1">
        <v>45761</v>
      </c>
      <c r="J1286" s="2">
        <f t="shared" si="124"/>
        <v>-0.34313803469142201</v>
      </c>
      <c r="K1286" s="3" t="str">
        <f t="shared" si="125"/>
        <v>Check!</v>
      </c>
      <c r="L1286" t="str">
        <f t="shared" si="126"/>
        <v/>
      </c>
      <c r="M1286" t="str">
        <f t="shared" si="127"/>
        <v>Check</v>
      </c>
      <c r="N1286">
        <v>7920.69</v>
      </c>
      <c r="O1286" t="s">
        <v>278</v>
      </c>
      <c r="Q1286" t="s">
        <v>16</v>
      </c>
    </row>
    <row r="1287" spans="1:17" x14ac:dyDescent="0.3">
      <c r="A1287">
        <v>100651921</v>
      </c>
      <c r="B1287" t="s">
        <v>279</v>
      </c>
      <c r="C1287" t="s">
        <v>590</v>
      </c>
      <c r="D1287" t="s">
        <v>280</v>
      </c>
      <c r="E1287" s="6">
        <v>31539.72</v>
      </c>
      <c r="F1287" t="s">
        <v>642</v>
      </c>
      <c r="G1287" s="4" t="str">
        <f t="shared" si="122"/>
        <v>31539.72</v>
      </c>
      <c r="H1287" t="str">
        <f t="shared" si="123"/>
        <v>31539.72</v>
      </c>
      <c r="I1287" s="1">
        <v>45761</v>
      </c>
      <c r="J1287" s="2">
        <f t="shared" si="124"/>
        <v>-8.622608131504195E-3</v>
      </c>
      <c r="K1287" s="3" t="str">
        <f t="shared" si="125"/>
        <v/>
      </c>
      <c r="L1287" t="str">
        <f t="shared" si="126"/>
        <v/>
      </c>
      <c r="M1287" t="str">
        <f t="shared" si="127"/>
        <v>Check</v>
      </c>
      <c r="N1287">
        <v>31814.04</v>
      </c>
      <c r="O1287" t="s">
        <v>281</v>
      </c>
      <c r="Q1287" t="s">
        <v>16</v>
      </c>
    </row>
    <row r="1288" spans="1:17" x14ac:dyDescent="0.3">
      <c r="A1288">
        <v>100651921</v>
      </c>
      <c r="B1288" t="s">
        <v>279</v>
      </c>
      <c r="C1288" t="s">
        <v>590</v>
      </c>
      <c r="D1288" t="s">
        <v>282</v>
      </c>
      <c r="E1288" s="6">
        <v>4175.5600000000004</v>
      </c>
      <c r="F1288" t="s">
        <v>642</v>
      </c>
      <c r="G1288" s="4" t="str">
        <f t="shared" si="122"/>
        <v>4175.56</v>
      </c>
      <c r="H1288" t="str">
        <f t="shared" si="123"/>
        <v>4175.56</v>
      </c>
      <c r="I1288" s="1">
        <v>45761</v>
      </c>
      <c r="J1288" s="2">
        <f t="shared" si="124"/>
        <v>4.0517371973521508E-3</v>
      </c>
      <c r="K1288" s="3" t="str">
        <f t="shared" si="125"/>
        <v/>
      </c>
      <c r="L1288" t="str">
        <f t="shared" si="126"/>
        <v/>
      </c>
      <c r="M1288" t="str">
        <f t="shared" si="127"/>
        <v>Check</v>
      </c>
      <c r="N1288">
        <v>4158.71</v>
      </c>
      <c r="O1288" t="s">
        <v>283</v>
      </c>
      <c r="Q1288" t="s">
        <v>16</v>
      </c>
    </row>
    <row r="1289" spans="1:17" x14ac:dyDescent="0.3">
      <c r="A1289">
        <v>100655835</v>
      </c>
      <c r="B1289" t="s">
        <v>284</v>
      </c>
      <c r="C1289" t="s">
        <v>19</v>
      </c>
      <c r="D1289" t="s">
        <v>285</v>
      </c>
      <c r="E1289" s="6">
        <v>633454.41</v>
      </c>
      <c r="F1289" t="s">
        <v>642</v>
      </c>
      <c r="G1289" s="4" t="str">
        <f t="shared" si="122"/>
        <v>633454.41</v>
      </c>
      <c r="H1289" t="str">
        <f t="shared" si="123"/>
        <v>633454.41</v>
      </c>
      <c r="I1289" s="1">
        <v>45761</v>
      </c>
      <c r="J1289" s="2">
        <f t="shared" si="124"/>
        <v>-0.45939749726466172</v>
      </c>
      <c r="K1289" s="3" t="str">
        <f t="shared" si="125"/>
        <v>Check!</v>
      </c>
      <c r="L1289" t="str">
        <f t="shared" si="126"/>
        <v/>
      </c>
      <c r="M1289" t="str">
        <f t="shared" si="127"/>
        <v/>
      </c>
      <c r="N1289">
        <v>1171756.3400000001</v>
      </c>
      <c r="O1289" t="s">
        <v>286</v>
      </c>
      <c r="Q1289" t="s">
        <v>19</v>
      </c>
    </row>
    <row r="1290" spans="1:17" x14ac:dyDescent="0.3">
      <c r="A1290">
        <v>100663638</v>
      </c>
      <c r="B1290" t="s">
        <v>287</v>
      </c>
      <c r="C1290" t="s">
        <v>19</v>
      </c>
      <c r="D1290" t="s">
        <v>288</v>
      </c>
      <c r="E1290" s="6">
        <v>118460.34</v>
      </c>
      <c r="F1290" t="s">
        <v>642</v>
      </c>
      <c r="G1290" s="4" t="str">
        <f t="shared" si="122"/>
        <v>118460.34</v>
      </c>
      <c r="H1290" t="str">
        <f t="shared" si="123"/>
        <v>118460.34</v>
      </c>
      <c r="I1290" s="1">
        <v>45761</v>
      </c>
      <c r="J1290" s="2">
        <f t="shared" si="124"/>
        <v>-9.0523933025103309E-2</v>
      </c>
      <c r="K1290" s="3" t="str">
        <f t="shared" si="125"/>
        <v/>
      </c>
      <c r="L1290" t="str">
        <f t="shared" si="126"/>
        <v/>
      </c>
      <c r="M1290" t="str">
        <f t="shared" si="127"/>
        <v/>
      </c>
      <c r="N1290">
        <v>130251.19</v>
      </c>
      <c r="O1290" t="s">
        <v>289</v>
      </c>
      <c r="Q1290" t="s">
        <v>19</v>
      </c>
    </row>
    <row r="1291" spans="1:17" x14ac:dyDescent="0.3">
      <c r="A1291">
        <v>100663638</v>
      </c>
      <c r="B1291" t="s">
        <v>287</v>
      </c>
      <c r="C1291" t="s">
        <v>19</v>
      </c>
      <c r="D1291" t="s">
        <v>290</v>
      </c>
      <c r="E1291" s="6">
        <v>5113.5200000000004</v>
      </c>
      <c r="F1291" t="s">
        <v>642</v>
      </c>
      <c r="G1291" s="4" t="str">
        <f t="shared" si="122"/>
        <v>5113.52</v>
      </c>
      <c r="H1291" t="str">
        <f t="shared" si="123"/>
        <v>5113.52</v>
      </c>
      <c r="I1291" s="1">
        <v>45761</v>
      </c>
      <c r="J1291" s="2">
        <f t="shared" si="124"/>
        <v>-3.4519999622381434E-2</v>
      </c>
      <c r="K1291" s="3" t="str">
        <f t="shared" si="125"/>
        <v/>
      </c>
      <c r="L1291" t="str">
        <f t="shared" si="126"/>
        <v/>
      </c>
      <c r="M1291" t="str">
        <f t="shared" si="127"/>
        <v/>
      </c>
      <c r="N1291">
        <v>5296.35</v>
      </c>
      <c r="O1291" t="s">
        <v>291</v>
      </c>
      <c r="Q1291" t="s">
        <v>19</v>
      </c>
    </row>
    <row r="1292" spans="1:17" x14ac:dyDescent="0.3">
      <c r="A1292">
        <v>100663638</v>
      </c>
      <c r="B1292" t="s">
        <v>287</v>
      </c>
      <c r="C1292" t="s">
        <v>590</v>
      </c>
      <c r="D1292" t="s">
        <v>600</v>
      </c>
      <c r="E1292" s="6">
        <v>125784.28</v>
      </c>
      <c r="F1292" t="s">
        <v>642</v>
      </c>
      <c r="G1292" s="4" t="str">
        <f t="shared" si="122"/>
        <v>125784.28</v>
      </c>
      <c r="H1292" t="str">
        <f t="shared" si="123"/>
        <v>125784.28</v>
      </c>
      <c r="I1292" s="1">
        <v>45761</v>
      </c>
      <c r="J1292" s="2">
        <f t="shared" si="124"/>
        <v>-0.21565538000446977</v>
      </c>
      <c r="K1292" s="3" t="str">
        <f t="shared" si="125"/>
        <v>Check!</v>
      </c>
      <c r="L1292" t="str">
        <f t="shared" si="126"/>
        <v/>
      </c>
      <c r="M1292" t="str">
        <f t="shared" si="127"/>
        <v/>
      </c>
      <c r="N1292">
        <v>160368.64000000001</v>
      </c>
      <c r="O1292" t="s">
        <v>666</v>
      </c>
      <c r="Q1292" t="s">
        <v>590</v>
      </c>
    </row>
    <row r="1293" spans="1:17" x14ac:dyDescent="0.3">
      <c r="A1293">
        <v>100664029</v>
      </c>
      <c r="B1293" t="s">
        <v>292</v>
      </c>
      <c r="C1293" t="s">
        <v>19</v>
      </c>
      <c r="D1293" t="s">
        <v>293</v>
      </c>
      <c r="E1293" s="6">
        <v>20436.71</v>
      </c>
      <c r="F1293" t="s">
        <v>642</v>
      </c>
      <c r="G1293" s="4" t="str">
        <f t="shared" si="122"/>
        <v>20436.71</v>
      </c>
      <c r="H1293" t="str">
        <f t="shared" si="123"/>
        <v>20436.71</v>
      </c>
      <c r="I1293" s="1">
        <v>45761</v>
      </c>
      <c r="J1293" s="2">
        <f t="shared" si="124"/>
        <v>-3.8348045118336546E-2</v>
      </c>
      <c r="K1293" s="3" t="str">
        <f t="shared" si="125"/>
        <v/>
      </c>
      <c r="L1293" t="str">
        <f t="shared" si="126"/>
        <v/>
      </c>
      <c r="M1293" t="str">
        <f t="shared" si="127"/>
        <v/>
      </c>
      <c r="N1293">
        <v>21251.67</v>
      </c>
      <c r="O1293" t="s">
        <v>294</v>
      </c>
      <c r="Q1293" t="s">
        <v>19</v>
      </c>
    </row>
    <row r="1294" spans="1:17" x14ac:dyDescent="0.3">
      <c r="A1294">
        <v>100664029</v>
      </c>
      <c r="B1294" t="s">
        <v>292</v>
      </c>
      <c r="C1294" t="s">
        <v>19</v>
      </c>
      <c r="D1294" t="s">
        <v>295</v>
      </c>
      <c r="E1294" s="6">
        <v>15075.75</v>
      </c>
      <c r="F1294" t="s">
        <v>642</v>
      </c>
      <c r="G1294" s="4" t="str">
        <f t="shared" si="122"/>
        <v>15075.75</v>
      </c>
      <c r="H1294" t="str">
        <f t="shared" si="123"/>
        <v>15075.75</v>
      </c>
      <c r="I1294" s="1">
        <v>45761</v>
      </c>
      <c r="J1294" s="2">
        <f t="shared" si="124"/>
        <v>-2.7433086531892466E-2</v>
      </c>
      <c r="K1294" s="3" t="str">
        <f t="shared" si="125"/>
        <v/>
      </c>
      <c r="L1294" t="str">
        <f t="shared" si="126"/>
        <v/>
      </c>
      <c r="M1294" t="str">
        <f t="shared" si="127"/>
        <v/>
      </c>
      <c r="N1294">
        <v>15500.99</v>
      </c>
      <c r="O1294" t="s">
        <v>296</v>
      </c>
      <c r="Q1294" t="s">
        <v>19</v>
      </c>
    </row>
    <row r="1295" spans="1:17" x14ac:dyDescent="0.3">
      <c r="A1295">
        <v>100664292</v>
      </c>
      <c r="B1295" t="s">
        <v>297</v>
      </c>
      <c r="C1295" t="s">
        <v>590</v>
      </c>
      <c r="D1295" t="s">
        <v>298</v>
      </c>
      <c r="E1295" s="6">
        <v>25655.040000000001</v>
      </c>
      <c r="F1295" t="s">
        <v>642</v>
      </c>
      <c r="G1295" s="4" t="str">
        <f t="shared" si="122"/>
        <v>25655.04</v>
      </c>
      <c r="H1295" t="str">
        <f t="shared" si="123"/>
        <v>25655.04</v>
      </c>
      <c r="I1295" s="1">
        <v>45761</v>
      </c>
      <c r="J1295" s="2">
        <f t="shared" si="124"/>
        <v>-2.1829319300262998E-2</v>
      </c>
      <c r="K1295" s="3" t="str">
        <f t="shared" si="125"/>
        <v/>
      </c>
      <c r="L1295" t="str">
        <f t="shared" si="126"/>
        <v/>
      </c>
      <c r="M1295" t="str">
        <f t="shared" si="127"/>
        <v>Check</v>
      </c>
      <c r="N1295">
        <v>26227.57</v>
      </c>
      <c r="O1295" t="s">
        <v>299</v>
      </c>
      <c r="Q1295" t="s">
        <v>16</v>
      </c>
    </row>
    <row r="1296" spans="1:17" x14ac:dyDescent="0.3">
      <c r="A1296">
        <v>100664292</v>
      </c>
      <c r="B1296" t="s">
        <v>297</v>
      </c>
      <c r="C1296" t="s">
        <v>19</v>
      </c>
      <c r="D1296" t="s">
        <v>300</v>
      </c>
      <c r="E1296" s="6">
        <v>45826.35</v>
      </c>
      <c r="F1296" t="s">
        <v>642</v>
      </c>
      <c r="G1296" s="4" t="str">
        <f t="shared" si="122"/>
        <v>45826.35</v>
      </c>
      <c r="H1296" t="str">
        <f t="shared" si="123"/>
        <v>45826.35</v>
      </c>
      <c r="I1296" s="1">
        <v>45761</v>
      </c>
      <c r="J1296" s="2">
        <f t="shared" si="124"/>
        <v>-8.3511125937161076E-2</v>
      </c>
      <c r="K1296" s="3" t="str">
        <f t="shared" si="125"/>
        <v/>
      </c>
      <c r="L1296" t="str">
        <f t="shared" si="126"/>
        <v/>
      </c>
      <c r="M1296" t="str">
        <f t="shared" si="127"/>
        <v/>
      </c>
      <c r="N1296">
        <v>50002.080000000002</v>
      </c>
      <c r="O1296" t="s">
        <v>301</v>
      </c>
      <c r="Q1296" t="s">
        <v>19</v>
      </c>
    </row>
    <row r="1297" spans="1:17" x14ac:dyDescent="0.3">
      <c r="A1297">
        <v>100664348</v>
      </c>
      <c r="B1297" t="s">
        <v>302</v>
      </c>
      <c r="C1297" t="s">
        <v>19</v>
      </c>
      <c r="D1297" t="s">
        <v>303</v>
      </c>
      <c r="E1297" s="6">
        <v>54937.86</v>
      </c>
      <c r="F1297" t="s">
        <v>642</v>
      </c>
      <c r="G1297" s="4" t="str">
        <f t="shared" si="122"/>
        <v>54937.86</v>
      </c>
      <c r="H1297" t="str">
        <f t="shared" si="123"/>
        <v>54937.86</v>
      </c>
      <c r="I1297" s="1">
        <v>45761</v>
      </c>
      <c r="J1297" s="2">
        <f t="shared" si="124"/>
        <v>-3.6176203817901452E-2</v>
      </c>
      <c r="K1297" s="3" t="str">
        <f t="shared" si="125"/>
        <v/>
      </c>
      <c r="L1297" t="str">
        <f t="shared" si="126"/>
        <v/>
      </c>
      <c r="M1297" t="str">
        <f t="shared" si="127"/>
        <v/>
      </c>
      <c r="N1297">
        <v>56999.9</v>
      </c>
      <c r="O1297" t="s">
        <v>304</v>
      </c>
      <c r="Q1297" t="s">
        <v>19</v>
      </c>
    </row>
    <row r="1298" spans="1:17" x14ac:dyDescent="0.3">
      <c r="A1298">
        <v>100664351</v>
      </c>
      <c r="B1298" t="s">
        <v>305</v>
      </c>
      <c r="C1298" t="s">
        <v>19</v>
      </c>
      <c r="D1298" t="s">
        <v>306</v>
      </c>
      <c r="E1298" s="6">
        <v>481.55</v>
      </c>
      <c r="F1298" t="s">
        <v>642</v>
      </c>
      <c r="G1298" s="4" t="str">
        <f t="shared" si="122"/>
        <v>481.55</v>
      </c>
      <c r="H1298" t="str">
        <f t="shared" si="123"/>
        <v>481.55</v>
      </c>
      <c r="I1298" s="1">
        <v>45761</v>
      </c>
      <c r="J1298" s="2">
        <f t="shared" si="124"/>
        <v>-3.5066626590521989E-2</v>
      </c>
      <c r="K1298" s="3" t="str">
        <f t="shared" si="125"/>
        <v/>
      </c>
      <c r="L1298" t="str">
        <f t="shared" si="126"/>
        <v/>
      </c>
      <c r="M1298" t="str">
        <f t="shared" si="127"/>
        <v/>
      </c>
      <c r="N1298">
        <v>499.05</v>
      </c>
      <c r="O1298" t="s">
        <v>307</v>
      </c>
      <c r="Q1298" t="s">
        <v>19</v>
      </c>
    </row>
    <row r="1299" spans="1:17" x14ac:dyDescent="0.3">
      <c r="A1299">
        <v>100664737</v>
      </c>
      <c r="B1299" t="s">
        <v>313</v>
      </c>
      <c r="C1299" t="s">
        <v>19</v>
      </c>
      <c r="D1299" t="s">
        <v>314</v>
      </c>
      <c r="E1299" s="6">
        <v>26798.9</v>
      </c>
      <c r="F1299" t="s">
        <v>642</v>
      </c>
      <c r="G1299" s="4" t="str">
        <f t="shared" si="122"/>
        <v>26798.9</v>
      </c>
      <c r="H1299" t="str">
        <f t="shared" si="123"/>
        <v>26798.9</v>
      </c>
      <c r="I1299" s="1">
        <v>45761</v>
      </c>
      <c r="J1299" s="2">
        <f t="shared" si="124"/>
        <v>-2.4127259028740983E-2</v>
      </c>
      <c r="K1299" s="3" t="str">
        <f t="shared" si="125"/>
        <v/>
      </c>
      <c r="L1299" t="str">
        <f t="shared" si="126"/>
        <v/>
      </c>
      <c r="M1299" t="str">
        <f t="shared" si="127"/>
        <v/>
      </c>
      <c r="N1299">
        <v>27461.47</v>
      </c>
      <c r="O1299" t="s">
        <v>315</v>
      </c>
      <c r="Q1299" t="s">
        <v>19</v>
      </c>
    </row>
    <row r="1300" spans="1:17" x14ac:dyDescent="0.3">
      <c r="A1300">
        <v>100664737</v>
      </c>
      <c r="B1300" t="s">
        <v>313</v>
      </c>
      <c r="C1300" t="s">
        <v>19</v>
      </c>
      <c r="D1300" t="s">
        <v>316</v>
      </c>
      <c r="E1300" s="6">
        <v>8295.19</v>
      </c>
      <c r="F1300" t="s">
        <v>642</v>
      </c>
      <c r="G1300" s="4" t="str">
        <f t="shared" si="122"/>
        <v>8295.19</v>
      </c>
      <c r="H1300" t="str">
        <f t="shared" si="123"/>
        <v>8295.19</v>
      </c>
      <c r="I1300" s="1">
        <v>45761</v>
      </c>
      <c r="J1300" s="2">
        <f t="shared" si="124"/>
        <v>-7.7001660374468256E-3</v>
      </c>
      <c r="K1300" s="3" t="str">
        <f t="shared" si="125"/>
        <v/>
      </c>
      <c r="L1300" t="str">
        <f t="shared" si="126"/>
        <v/>
      </c>
      <c r="M1300" t="str">
        <f t="shared" si="127"/>
        <v/>
      </c>
      <c r="N1300">
        <v>8359.56</v>
      </c>
      <c r="O1300" t="s">
        <v>317</v>
      </c>
      <c r="Q1300" t="s">
        <v>19</v>
      </c>
    </row>
    <row r="1301" spans="1:17" x14ac:dyDescent="0.3">
      <c r="A1301">
        <v>100665510</v>
      </c>
      <c r="B1301" t="s">
        <v>318</v>
      </c>
      <c r="C1301" t="s">
        <v>19</v>
      </c>
      <c r="D1301" t="s">
        <v>319</v>
      </c>
      <c r="E1301" s="6">
        <v>4938.1099999999997</v>
      </c>
      <c r="F1301" t="s">
        <v>642</v>
      </c>
      <c r="G1301" s="4" t="str">
        <f t="shared" si="122"/>
        <v>4938.11</v>
      </c>
      <c r="H1301" t="str">
        <f t="shared" si="123"/>
        <v>4938.11</v>
      </c>
      <c r="I1301" s="1">
        <v>45761</v>
      </c>
      <c r="J1301" s="2">
        <f t="shared" si="124"/>
        <v>-8.1626914386141759E-3</v>
      </c>
      <c r="K1301" s="3" t="str">
        <f t="shared" si="125"/>
        <v/>
      </c>
      <c r="L1301" t="str">
        <f t="shared" si="126"/>
        <v/>
      </c>
      <c r="M1301" t="str">
        <f t="shared" si="127"/>
        <v/>
      </c>
      <c r="N1301">
        <v>4978.75</v>
      </c>
      <c r="O1301" t="s">
        <v>320</v>
      </c>
      <c r="Q1301" t="s">
        <v>19</v>
      </c>
    </row>
    <row r="1302" spans="1:17" x14ac:dyDescent="0.3">
      <c r="A1302">
        <v>100665581</v>
      </c>
      <c r="B1302" t="s">
        <v>321</v>
      </c>
      <c r="C1302" t="s">
        <v>590</v>
      </c>
      <c r="D1302" t="s">
        <v>639</v>
      </c>
      <c r="E1302" s="6">
        <v>140010.53</v>
      </c>
      <c r="F1302" t="s">
        <v>642</v>
      </c>
      <c r="G1302" s="4" t="str">
        <f t="shared" si="122"/>
        <v>140010.53</v>
      </c>
      <c r="H1302" t="str">
        <f t="shared" si="123"/>
        <v>140010.53</v>
      </c>
      <c r="I1302" s="1">
        <v>45761</v>
      </c>
      <c r="J1302" s="2">
        <f t="shared" si="124"/>
        <v>0.20501650232051508</v>
      </c>
      <c r="K1302" s="3" t="str">
        <f t="shared" si="125"/>
        <v>Check!</v>
      </c>
      <c r="L1302" t="str">
        <f t="shared" si="126"/>
        <v/>
      </c>
      <c r="M1302" t="str">
        <f t="shared" si="127"/>
        <v/>
      </c>
      <c r="N1302">
        <v>116189.72</v>
      </c>
      <c r="O1302" t="s">
        <v>673</v>
      </c>
      <c r="Q1302" t="s">
        <v>590</v>
      </c>
    </row>
    <row r="1303" spans="1:17" x14ac:dyDescent="0.3">
      <c r="A1303">
        <v>100665581</v>
      </c>
      <c r="B1303" t="s">
        <v>321</v>
      </c>
      <c r="C1303" t="s">
        <v>19</v>
      </c>
      <c r="D1303" t="s">
        <v>695</v>
      </c>
      <c r="E1303" s="6">
        <v>91407.19</v>
      </c>
      <c r="F1303" t="s">
        <v>642</v>
      </c>
      <c r="G1303" s="4" t="str">
        <f t="shared" si="122"/>
        <v>91407.19</v>
      </c>
      <c r="H1303" t="str">
        <f t="shared" si="123"/>
        <v>91407.19</v>
      </c>
      <c r="I1303" s="1">
        <v>45761</v>
      </c>
      <c r="J1303" s="2">
        <f t="shared" si="124"/>
        <v>-0.2142574577778267</v>
      </c>
      <c r="K1303" s="3" t="str">
        <f t="shared" si="125"/>
        <v>Check!</v>
      </c>
      <c r="L1303" t="str">
        <f t="shared" si="126"/>
        <v/>
      </c>
      <c r="M1303" t="str">
        <f t="shared" si="127"/>
        <v/>
      </c>
      <c r="N1303">
        <v>116332.24</v>
      </c>
      <c r="O1303" t="s">
        <v>696</v>
      </c>
      <c r="Q1303" t="s">
        <v>19</v>
      </c>
    </row>
    <row r="1304" spans="1:17" x14ac:dyDescent="0.3">
      <c r="A1304">
        <v>100666150</v>
      </c>
      <c r="B1304" t="s">
        <v>324</v>
      </c>
      <c r="C1304" t="s">
        <v>19</v>
      </c>
      <c r="D1304" t="s">
        <v>325</v>
      </c>
      <c r="E1304" s="6">
        <v>79658.25</v>
      </c>
      <c r="F1304" t="s">
        <v>642</v>
      </c>
      <c r="G1304" s="4" t="str">
        <f t="shared" si="122"/>
        <v>79658.25</v>
      </c>
      <c r="H1304" t="str">
        <f t="shared" si="123"/>
        <v>79658.25</v>
      </c>
      <c r="I1304" s="1">
        <v>45761</v>
      </c>
      <c r="J1304" s="2">
        <f t="shared" si="124"/>
        <v>-5.0196081704486036E-2</v>
      </c>
      <c r="K1304" s="3" t="str">
        <f t="shared" si="125"/>
        <v/>
      </c>
      <c r="L1304" t="str">
        <f t="shared" si="126"/>
        <v/>
      </c>
      <c r="M1304" t="str">
        <f t="shared" si="127"/>
        <v/>
      </c>
      <c r="N1304">
        <v>83868.100000000006</v>
      </c>
      <c r="O1304" t="s">
        <v>326</v>
      </c>
      <c r="Q1304" t="s">
        <v>19</v>
      </c>
    </row>
    <row r="1305" spans="1:17" x14ac:dyDescent="0.3">
      <c r="A1305">
        <v>100668409</v>
      </c>
      <c r="B1305" t="s">
        <v>327</v>
      </c>
      <c r="C1305" t="s">
        <v>590</v>
      </c>
      <c r="D1305" t="s">
        <v>328</v>
      </c>
      <c r="E1305" s="6">
        <v>4351.3</v>
      </c>
      <c r="F1305" t="s">
        <v>642</v>
      </c>
      <c r="G1305" s="4" t="str">
        <f t="shared" si="122"/>
        <v>4351.3</v>
      </c>
      <c r="H1305" t="str">
        <f t="shared" si="123"/>
        <v>4351.3</v>
      </c>
      <c r="I1305" s="1">
        <v>45761</v>
      </c>
      <c r="J1305" s="2">
        <f t="shared" si="124"/>
        <v>-4.6982506221636576E-3</v>
      </c>
      <c r="K1305" s="3" t="str">
        <f t="shared" si="125"/>
        <v/>
      </c>
      <c r="L1305" t="str">
        <f t="shared" si="126"/>
        <v/>
      </c>
      <c r="M1305" t="str">
        <f t="shared" si="127"/>
        <v>Check</v>
      </c>
      <c r="N1305">
        <v>4371.84</v>
      </c>
      <c r="O1305" t="s">
        <v>329</v>
      </c>
      <c r="Q1305" t="s">
        <v>16</v>
      </c>
    </row>
    <row r="1306" spans="1:17" x14ac:dyDescent="0.3">
      <c r="A1306">
        <v>100668534</v>
      </c>
      <c r="B1306" t="s">
        <v>330</v>
      </c>
      <c r="C1306" t="s">
        <v>590</v>
      </c>
      <c r="D1306" t="s">
        <v>331</v>
      </c>
      <c r="E1306" s="6">
        <v>4045.68</v>
      </c>
      <c r="F1306" t="s">
        <v>642</v>
      </c>
      <c r="G1306" s="4" t="str">
        <f t="shared" si="122"/>
        <v>4045.68</v>
      </c>
      <c r="H1306" t="str">
        <f t="shared" si="123"/>
        <v>4045.68</v>
      </c>
      <c r="I1306" s="1">
        <v>45761</v>
      </c>
      <c r="J1306" s="2">
        <f t="shared" si="124"/>
        <v>-8.749470156000784E-3</v>
      </c>
      <c r="K1306" s="3" t="str">
        <f t="shared" si="125"/>
        <v/>
      </c>
      <c r="L1306" t="str">
        <f t="shared" si="126"/>
        <v/>
      </c>
      <c r="M1306" t="str">
        <f t="shared" si="127"/>
        <v>Check</v>
      </c>
      <c r="N1306">
        <v>4081.39</v>
      </c>
      <c r="O1306" t="s">
        <v>332</v>
      </c>
      <c r="Q1306" t="s">
        <v>16</v>
      </c>
    </row>
    <row r="1307" spans="1:17" x14ac:dyDescent="0.3">
      <c r="A1307">
        <v>100669580</v>
      </c>
      <c r="B1307" t="s">
        <v>333</v>
      </c>
      <c r="C1307" t="s">
        <v>19</v>
      </c>
      <c r="D1307" t="s">
        <v>334</v>
      </c>
      <c r="E1307" s="6">
        <v>13674.02</v>
      </c>
      <c r="F1307" t="s">
        <v>642</v>
      </c>
      <c r="G1307" s="4" t="str">
        <f t="shared" si="122"/>
        <v>13674.02</v>
      </c>
      <c r="H1307" t="str">
        <f t="shared" si="123"/>
        <v>13674.02</v>
      </c>
      <c r="I1307" s="1">
        <v>45761</v>
      </c>
      <c r="J1307" s="2">
        <f t="shared" si="124"/>
        <v>-2.1733033810756974E-2</v>
      </c>
      <c r="K1307" s="3" t="str">
        <f t="shared" si="125"/>
        <v/>
      </c>
      <c r="L1307" t="str">
        <f t="shared" si="126"/>
        <v/>
      </c>
      <c r="M1307" t="str">
        <f t="shared" si="127"/>
        <v/>
      </c>
      <c r="N1307">
        <v>13977.8</v>
      </c>
      <c r="O1307" t="s">
        <v>335</v>
      </c>
      <c r="Q1307" t="s">
        <v>19</v>
      </c>
    </row>
    <row r="1308" spans="1:17" x14ac:dyDescent="0.3">
      <c r="A1308">
        <v>100670671</v>
      </c>
      <c r="B1308" t="s">
        <v>336</v>
      </c>
      <c r="C1308" t="s">
        <v>590</v>
      </c>
      <c r="D1308" t="s">
        <v>337</v>
      </c>
      <c r="E1308" s="6">
        <v>61515.92</v>
      </c>
      <c r="F1308" t="s">
        <v>642</v>
      </c>
      <c r="G1308" s="4" t="str">
        <f t="shared" si="122"/>
        <v>61515.92</v>
      </c>
      <c r="H1308" t="str">
        <f t="shared" si="123"/>
        <v>61515.92</v>
      </c>
      <c r="I1308" s="1">
        <v>45761</v>
      </c>
      <c r="J1308" s="2">
        <f t="shared" si="124"/>
        <v>-2.0229649702497649E-2</v>
      </c>
      <c r="K1308" s="3" t="str">
        <f t="shared" si="125"/>
        <v/>
      </c>
      <c r="L1308" t="str">
        <f t="shared" si="126"/>
        <v/>
      </c>
      <c r="M1308" t="str">
        <f t="shared" si="127"/>
        <v>Check</v>
      </c>
      <c r="N1308">
        <v>62786.06</v>
      </c>
      <c r="O1308" t="s">
        <v>338</v>
      </c>
      <c r="Q1308" t="s">
        <v>16</v>
      </c>
    </row>
    <row r="1309" spans="1:17" x14ac:dyDescent="0.3">
      <c r="A1309">
        <v>100672294</v>
      </c>
      <c r="B1309" t="s">
        <v>341</v>
      </c>
      <c r="C1309" t="s">
        <v>590</v>
      </c>
      <c r="D1309" t="s">
        <v>342</v>
      </c>
      <c r="E1309" s="6">
        <v>16381.42</v>
      </c>
      <c r="F1309" t="s">
        <v>642</v>
      </c>
      <c r="G1309" s="4" t="str">
        <f t="shared" si="122"/>
        <v>16381.42</v>
      </c>
      <c r="H1309" t="str">
        <f t="shared" si="123"/>
        <v>16381.42</v>
      </c>
      <c r="I1309" s="1">
        <v>45761</v>
      </c>
      <c r="J1309" s="2">
        <f t="shared" si="124"/>
        <v>-0.14353711514140091</v>
      </c>
      <c r="K1309" s="3" t="str">
        <f t="shared" si="125"/>
        <v>Check!</v>
      </c>
      <c r="L1309" t="str">
        <f t="shared" si="126"/>
        <v/>
      </c>
      <c r="M1309" t="str">
        <f t="shared" si="127"/>
        <v>Check</v>
      </c>
      <c r="N1309">
        <v>19126.830000000002</v>
      </c>
      <c r="O1309" t="s">
        <v>343</v>
      </c>
      <c r="Q1309" t="s">
        <v>16</v>
      </c>
    </row>
    <row r="1310" spans="1:17" x14ac:dyDescent="0.3">
      <c r="A1310">
        <v>100672395</v>
      </c>
      <c r="B1310" t="s">
        <v>344</v>
      </c>
      <c r="C1310" t="s">
        <v>590</v>
      </c>
      <c r="D1310" t="s">
        <v>345</v>
      </c>
      <c r="E1310" s="6">
        <v>967.57</v>
      </c>
      <c r="F1310" t="s">
        <v>642</v>
      </c>
      <c r="G1310" s="4" t="str">
        <f t="shared" si="122"/>
        <v>967.57</v>
      </c>
      <c r="H1310" t="str">
        <f t="shared" si="123"/>
        <v>967.57</v>
      </c>
      <c r="I1310" s="1">
        <v>45761</v>
      </c>
      <c r="J1310" s="2">
        <f t="shared" si="124"/>
        <v>-0.67634062225076674</v>
      </c>
      <c r="K1310" s="3" t="str">
        <f t="shared" si="125"/>
        <v>Check!</v>
      </c>
      <c r="L1310" t="str">
        <f t="shared" si="126"/>
        <v/>
      </c>
      <c r="M1310" t="str">
        <f t="shared" si="127"/>
        <v>Check</v>
      </c>
      <c r="N1310">
        <v>2989.47</v>
      </c>
      <c r="O1310" t="s">
        <v>346</v>
      </c>
      <c r="Q1310" t="s">
        <v>16</v>
      </c>
    </row>
    <row r="1311" spans="1:17" x14ac:dyDescent="0.3">
      <c r="A1311">
        <v>100675336</v>
      </c>
      <c r="B1311" t="s">
        <v>347</v>
      </c>
      <c r="C1311" t="s">
        <v>19</v>
      </c>
      <c r="D1311" t="s">
        <v>348</v>
      </c>
      <c r="E1311" s="6">
        <v>703.07</v>
      </c>
      <c r="F1311" t="s">
        <v>642</v>
      </c>
      <c r="G1311" s="4" t="str">
        <f t="shared" si="122"/>
        <v>703.07</v>
      </c>
      <c r="H1311" t="str">
        <f t="shared" si="123"/>
        <v>703.07</v>
      </c>
      <c r="I1311" s="1">
        <v>45761</v>
      </c>
      <c r="J1311" s="2">
        <f t="shared" si="124"/>
        <v>-0.79291687161829805</v>
      </c>
      <c r="K1311" s="3" t="str">
        <f t="shared" si="125"/>
        <v>Check!</v>
      </c>
      <c r="L1311" t="str">
        <f t="shared" si="126"/>
        <v/>
      </c>
      <c r="M1311" t="str">
        <f t="shared" si="127"/>
        <v/>
      </c>
      <c r="N1311">
        <v>3395.11</v>
      </c>
      <c r="O1311" t="s">
        <v>349</v>
      </c>
      <c r="Q1311" t="s">
        <v>19</v>
      </c>
    </row>
    <row r="1312" spans="1:17" x14ac:dyDescent="0.3">
      <c r="A1312">
        <v>100677278</v>
      </c>
      <c r="B1312" t="s">
        <v>350</v>
      </c>
      <c r="C1312" t="s">
        <v>19</v>
      </c>
      <c r="D1312" t="s">
        <v>351</v>
      </c>
      <c r="E1312" s="6">
        <v>42572.37</v>
      </c>
      <c r="F1312" t="s">
        <v>642</v>
      </c>
      <c r="G1312" s="4" t="str">
        <f t="shared" si="122"/>
        <v>42572.37</v>
      </c>
      <c r="H1312" t="str">
        <f t="shared" si="123"/>
        <v>42572.37</v>
      </c>
      <c r="I1312" s="1">
        <v>45761</v>
      </c>
      <c r="J1312" s="2">
        <f t="shared" si="124"/>
        <v>-7.6728343360729812E-2</v>
      </c>
      <c r="K1312" s="3" t="str">
        <f t="shared" si="125"/>
        <v/>
      </c>
      <c r="L1312" t="str">
        <f t="shared" si="126"/>
        <v/>
      </c>
      <c r="M1312" t="str">
        <f t="shared" si="127"/>
        <v/>
      </c>
      <c r="N1312">
        <v>46110.34</v>
      </c>
      <c r="O1312" t="s">
        <v>352</v>
      </c>
      <c r="Q1312" t="s">
        <v>19</v>
      </c>
    </row>
    <row r="1313" spans="1:17" x14ac:dyDescent="0.3">
      <c r="A1313">
        <v>100677585</v>
      </c>
      <c r="B1313" t="s">
        <v>353</v>
      </c>
      <c r="C1313" t="s">
        <v>19</v>
      </c>
      <c r="D1313" t="s">
        <v>354</v>
      </c>
      <c r="E1313" s="6">
        <v>4117.57</v>
      </c>
      <c r="F1313" t="s">
        <v>642</v>
      </c>
      <c r="G1313" s="4" t="str">
        <f t="shared" si="122"/>
        <v>4117.57</v>
      </c>
      <c r="H1313" t="str">
        <f t="shared" si="123"/>
        <v>4117.57</v>
      </c>
      <c r="I1313" s="1">
        <v>45761</v>
      </c>
      <c r="J1313" s="2">
        <f t="shared" si="124"/>
        <v>-0.13263004008687243</v>
      </c>
      <c r="K1313" s="3" t="str">
        <f t="shared" si="125"/>
        <v>Check!</v>
      </c>
      <c r="L1313" t="str">
        <f t="shared" si="126"/>
        <v/>
      </c>
      <c r="M1313" t="str">
        <f t="shared" si="127"/>
        <v/>
      </c>
      <c r="N1313">
        <v>4747.1899999999996</v>
      </c>
      <c r="O1313" t="s">
        <v>355</v>
      </c>
      <c r="Q1313" t="s">
        <v>19</v>
      </c>
    </row>
    <row r="1314" spans="1:17" x14ac:dyDescent="0.3">
      <c r="A1314">
        <v>100706842</v>
      </c>
      <c r="B1314" t="s">
        <v>356</v>
      </c>
      <c r="C1314" t="s">
        <v>19</v>
      </c>
      <c r="D1314" t="s">
        <v>357</v>
      </c>
      <c r="E1314" s="6">
        <v>52155.839999999997</v>
      </c>
      <c r="F1314" t="s">
        <v>642</v>
      </c>
      <c r="G1314" s="4" t="str">
        <f t="shared" si="122"/>
        <v>52155.84</v>
      </c>
      <c r="H1314" t="str">
        <f t="shared" si="123"/>
        <v>52155.84</v>
      </c>
      <c r="I1314" s="1">
        <v>45761</v>
      </c>
      <c r="J1314" s="2">
        <f t="shared" si="124"/>
        <v>-1.9919617978693595E-2</v>
      </c>
      <c r="K1314" s="3" t="str">
        <f t="shared" si="125"/>
        <v/>
      </c>
      <c r="L1314" t="str">
        <f t="shared" si="126"/>
        <v/>
      </c>
      <c r="M1314" t="str">
        <f t="shared" si="127"/>
        <v/>
      </c>
      <c r="N1314">
        <v>53215.88</v>
      </c>
      <c r="O1314" t="s">
        <v>358</v>
      </c>
      <c r="Q1314" t="s">
        <v>19</v>
      </c>
    </row>
    <row r="1315" spans="1:17" x14ac:dyDescent="0.3">
      <c r="A1315">
        <v>100711105</v>
      </c>
      <c r="B1315" t="s">
        <v>359</v>
      </c>
      <c r="C1315" t="s">
        <v>590</v>
      </c>
      <c r="D1315" t="s">
        <v>360</v>
      </c>
      <c r="E1315" s="6">
        <v>176.08</v>
      </c>
      <c r="F1315" t="s">
        <v>642</v>
      </c>
      <c r="G1315" s="4" t="str">
        <f t="shared" si="122"/>
        <v>176.08</v>
      </c>
      <c r="H1315" t="str">
        <f t="shared" si="123"/>
        <v>176.08</v>
      </c>
      <c r="I1315" s="1">
        <v>45761</v>
      </c>
      <c r="J1315" s="2">
        <f t="shared" si="124"/>
        <v>2.1057424164817287E-3</v>
      </c>
      <c r="K1315" s="3" t="str">
        <f t="shared" si="125"/>
        <v/>
      </c>
      <c r="L1315" t="str">
        <f t="shared" si="126"/>
        <v/>
      </c>
      <c r="M1315" t="str">
        <f t="shared" si="127"/>
        <v>Check</v>
      </c>
      <c r="N1315">
        <v>175.71</v>
      </c>
      <c r="O1315" t="s">
        <v>361</v>
      </c>
      <c r="Q1315" t="s">
        <v>16</v>
      </c>
    </row>
    <row r="1316" spans="1:17" x14ac:dyDescent="0.3">
      <c r="A1316">
        <v>100786852</v>
      </c>
      <c r="B1316" t="s">
        <v>636</v>
      </c>
      <c r="C1316" t="s">
        <v>19</v>
      </c>
      <c r="D1316" t="s">
        <v>637</v>
      </c>
      <c r="E1316" s="6">
        <v>71378.460000000006</v>
      </c>
      <c r="F1316" t="s">
        <v>642</v>
      </c>
      <c r="G1316" s="4" t="str">
        <f t="shared" si="122"/>
        <v>71378.46</v>
      </c>
      <c r="H1316" t="str">
        <f t="shared" si="123"/>
        <v>71378.46</v>
      </c>
      <c r="I1316" s="1">
        <v>45761</v>
      </c>
      <c r="J1316" s="2">
        <f t="shared" si="124"/>
        <v>-5.1242768527483093E-2</v>
      </c>
      <c r="K1316" s="3" t="str">
        <f t="shared" si="125"/>
        <v/>
      </c>
      <c r="L1316" t="str">
        <f t="shared" si="126"/>
        <v/>
      </c>
      <c r="M1316" t="str">
        <f t="shared" si="127"/>
        <v/>
      </c>
      <c r="N1316">
        <v>75233.64</v>
      </c>
      <c r="O1316" t="s">
        <v>674</v>
      </c>
      <c r="Q1316" t="s">
        <v>19</v>
      </c>
    </row>
    <row r="1317" spans="1:17" x14ac:dyDescent="0.3">
      <c r="A1317">
        <v>100799345</v>
      </c>
      <c r="B1317" t="s">
        <v>640</v>
      </c>
      <c r="C1317" t="s">
        <v>590</v>
      </c>
      <c r="D1317" t="s">
        <v>641</v>
      </c>
      <c r="E1317" s="6">
        <v>221223.66</v>
      </c>
      <c r="F1317" t="s">
        <v>642</v>
      </c>
      <c r="G1317" s="4" t="str">
        <f t="shared" si="122"/>
        <v>221223.66</v>
      </c>
      <c r="H1317" t="str">
        <f t="shared" si="123"/>
        <v>221223.66</v>
      </c>
      <c r="I1317" s="1">
        <v>45761</v>
      </c>
      <c r="J1317" s="2">
        <f t="shared" si="124"/>
        <v>0.95361766969465633</v>
      </c>
      <c r="K1317" s="3" t="str">
        <f t="shared" si="125"/>
        <v>Check!</v>
      </c>
      <c r="L1317" t="str">
        <f t="shared" si="126"/>
        <v/>
      </c>
      <c r="M1317" t="str">
        <f t="shared" si="127"/>
        <v/>
      </c>
      <c r="N1317">
        <v>113237.95</v>
      </c>
      <c r="O1317" t="s">
        <v>675</v>
      </c>
      <c r="Q1317" t="s">
        <v>590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30C6C-E42F-4816-8EDD-0456F3C58E3D}">
  <dimension ref="A1"/>
  <sheetViews>
    <sheetView tabSelected="1" workbookViewId="0">
      <selection activeCell="F13" sqref="F13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Febold</vt:lpstr>
      <vt:lpstr>Marold</vt:lpstr>
      <vt:lpstr>Mar</vt:lpstr>
    </vt:vector>
  </TitlesOfParts>
  <Manager/>
  <Company>Domino Servite School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Andries van Tonder</dc:creator>
  <cp:keywords/>
  <dc:description/>
  <cp:lastModifiedBy>Johannes Delport</cp:lastModifiedBy>
  <cp:revision/>
  <dcterms:created xsi:type="dcterms:W3CDTF">2014-02-07T16:05:40Z</dcterms:created>
  <dcterms:modified xsi:type="dcterms:W3CDTF">2026-04-09T12:23:27Z</dcterms:modified>
  <cp:category/>
  <cp:contentStatus/>
</cp:coreProperties>
</file>