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079e7a6b60e0749/ExcelGitProjects/aims-vba-project/excel/"/>
    </mc:Choice>
  </mc:AlternateContent>
  <xr:revisionPtr revIDLastSave="7" documentId="8_{771CF6BD-B4C5-41DA-BC84-8FE73524869D}" xr6:coauthVersionLast="47" xr6:coauthVersionMax="47" xr10:uidLastSave="{E97258B8-6A22-430C-9C65-FD2F97EA4336}"/>
  <bookViews>
    <workbookView xWindow="-108" yWindow="-108" windowWidth="23256" windowHeight="12456" activeTab="1" xr2:uid="{B37404D5-8D63-4F25-A0FD-01B9D43274F9}"/>
  </bookViews>
  <sheets>
    <sheet name="aims" sheetId="1" r:id="rId1"/>
    <sheet name="aimswrap" sheetId="2" r:id="rId2"/>
    <sheet name="Concern" sheetId="4" r:id="rId3"/>
    <sheet name="clientlist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5" i="2" l="1"/>
  <c r="J135" i="2" s="1"/>
  <c r="I134" i="2"/>
  <c r="J134" i="2" s="1"/>
  <c r="I133" i="2"/>
  <c r="J133" i="2" s="1"/>
  <c r="I132" i="2"/>
  <c r="J132" i="2" s="1"/>
  <c r="I131" i="2"/>
  <c r="J131" i="2" s="1"/>
  <c r="I130" i="2"/>
  <c r="J130" i="2" s="1"/>
  <c r="I129" i="2"/>
  <c r="J129" i="2" s="1"/>
  <c r="I45" i="2"/>
  <c r="J45" i="2" s="1"/>
  <c r="F434" i="3"/>
  <c r="E434" i="3"/>
  <c r="N441" i="2"/>
  <c r="M441" i="2"/>
  <c r="I441" i="2"/>
  <c r="J441" i="2" s="1"/>
  <c r="N440" i="2"/>
  <c r="I440" i="2"/>
  <c r="J440" i="2" s="1"/>
  <c r="I314" i="2"/>
  <c r="J314" i="2" s="1"/>
  <c r="I261" i="2"/>
  <c r="J261" i="2" s="1"/>
  <c r="I150" i="2"/>
  <c r="J150" i="2" s="1"/>
  <c r="I46" i="2"/>
  <c r="J46" i="2" s="1"/>
  <c r="I44" i="2"/>
  <c r="J44" i="2" s="1"/>
  <c r="I33" i="2"/>
  <c r="J33" i="2" s="1"/>
  <c r="I32" i="2"/>
  <c r="J32" i="2" s="1"/>
  <c r="I31" i="2"/>
  <c r="J31" i="2" s="1"/>
  <c r="I23" i="2"/>
  <c r="J23" i="2" s="1"/>
  <c r="F433" i="3"/>
  <c r="E433" i="3"/>
  <c r="N439" i="2"/>
  <c r="I439" i="2"/>
  <c r="J439" i="2" s="1"/>
  <c r="I416" i="2"/>
  <c r="J416" i="2" s="1"/>
  <c r="I151" i="2"/>
  <c r="J151" i="2" s="1"/>
  <c r="I113" i="2"/>
  <c r="J113" i="2" s="1"/>
  <c r="N438" i="2"/>
  <c r="I438" i="2"/>
  <c r="J438" i="2" s="1"/>
  <c r="I430" i="2"/>
  <c r="J430" i="2" s="1"/>
  <c r="I426" i="2"/>
  <c r="J426" i="2" s="1"/>
  <c r="I422" i="2"/>
  <c r="J422" i="2" s="1"/>
  <c r="I418" i="2"/>
  <c r="J418" i="2" s="1"/>
  <c r="I414" i="2"/>
  <c r="J414" i="2" s="1"/>
  <c r="I407" i="2"/>
  <c r="J407" i="2" s="1"/>
  <c r="I403" i="2"/>
  <c r="J403" i="2" s="1"/>
  <c r="I392" i="2"/>
  <c r="J392" i="2" s="1"/>
  <c r="I384" i="2"/>
  <c r="J384" i="2" s="1"/>
  <c r="I380" i="2"/>
  <c r="J380" i="2" s="1"/>
  <c r="I378" i="2"/>
  <c r="J378" i="2" s="1"/>
  <c r="I376" i="2"/>
  <c r="J376" i="2" s="1"/>
  <c r="I367" i="2"/>
  <c r="J367" i="2" s="1"/>
  <c r="I363" i="2"/>
  <c r="J363" i="2" s="1"/>
  <c r="I359" i="2"/>
  <c r="J359" i="2" s="1"/>
  <c r="I355" i="2"/>
  <c r="J355" i="2" s="1"/>
  <c r="I351" i="2"/>
  <c r="J351" i="2" s="1"/>
  <c r="I347" i="2"/>
  <c r="J347" i="2" s="1"/>
  <c r="I341" i="2"/>
  <c r="J341" i="2" s="1"/>
  <c r="I338" i="2"/>
  <c r="J338" i="2" s="1"/>
  <c r="I336" i="2"/>
  <c r="J336" i="2" s="1"/>
  <c r="I313" i="2"/>
  <c r="J313" i="2" s="1"/>
  <c r="I291" i="2"/>
  <c r="J291" i="2" s="1"/>
  <c r="I286" i="2"/>
  <c r="J286" i="2" s="1"/>
  <c r="I285" i="2"/>
  <c r="J285" i="2" s="1"/>
  <c r="I282" i="2"/>
  <c r="J282" i="2" s="1"/>
  <c r="I275" i="2"/>
  <c r="J275" i="2" s="1"/>
  <c r="I273" i="2"/>
  <c r="J273" i="2" s="1"/>
  <c r="I272" i="2"/>
  <c r="J272" i="2" s="1"/>
  <c r="I269" i="2"/>
  <c r="J269" i="2" s="1"/>
  <c r="I254" i="2"/>
  <c r="J254" i="2" s="1"/>
  <c r="I247" i="2"/>
  <c r="J247" i="2" s="1"/>
  <c r="I243" i="2"/>
  <c r="J243" i="2" s="1"/>
  <c r="I239" i="2"/>
  <c r="J239" i="2" s="1"/>
  <c r="I236" i="2"/>
  <c r="J236" i="2" s="1"/>
  <c r="I225" i="2"/>
  <c r="J225" i="2" s="1"/>
  <c r="I221" i="2"/>
  <c r="J221" i="2" s="1"/>
  <c r="I211" i="2"/>
  <c r="J211" i="2" s="1"/>
  <c r="I205" i="2"/>
  <c r="J205" i="2" s="1"/>
  <c r="I201" i="2"/>
  <c r="J201" i="2" s="1"/>
  <c r="I188" i="2"/>
  <c r="J188" i="2" s="1"/>
  <c r="I181" i="2"/>
  <c r="J181" i="2" s="1"/>
  <c r="I177" i="2"/>
  <c r="J177" i="2" s="1"/>
  <c r="I173" i="2"/>
  <c r="J173" i="2" s="1"/>
  <c r="I164" i="2"/>
  <c r="J164" i="2" s="1"/>
  <c r="I160" i="2"/>
  <c r="J160" i="2" s="1"/>
  <c r="I156" i="2"/>
  <c r="J156" i="2" s="1"/>
  <c r="I153" i="2"/>
  <c r="J153" i="2" s="1"/>
  <c r="I149" i="2"/>
  <c r="J149" i="2" s="1"/>
  <c r="I146" i="2"/>
  <c r="J146" i="2" s="1"/>
  <c r="I104" i="2"/>
  <c r="J104" i="2" s="1"/>
  <c r="I122" i="2"/>
  <c r="J122" i="2" s="1"/>
  <c r="I110" i="2"/>
  <c r="J110" i="2" s="1"/>
  <c r="I105" i="2"/>
  <c r="J105" i="2" s="1"/>
  <c r="I96" i="2"/>
  <c r="J96" i="2" s="1"/>
  <c r="I92" i="2"/>
  <c r="J92" i="2" s="1"/>
  <c r="I88" i="2"/>
  <c r="J88" i="2" s="1"/>
  <c r="I78" i="2"/>
  <c r="J78" i="2" s="1"/>
  <c r="I73" i="2"/>
  <c r="J73" i="2" s="1"/>
  <c r="I65" i="2"/>
  <c r="J65" i="2" s="1"/>
  <c r="I62" i="2"/>
  <c r="J62" i="2" s="1"/>
  <c r="I57" i="2"/>
  <c r="J57" i="2" s="1"/>
  <c r="I42" i="2"/>
  <c r="J42" i="2" s="1"/>
  <c r="I47" i="2"/>
  <c r="J47" i="2" s="1"/>
  <c r="I38" i="2"/>
  <c r="J38" i="2" s="1"/>
  <c r="I29" i="2"/>
  <c r="J29" i="2" s="1"/>
  <c r="I25" i="2"/>
  <c r="J25" i="2" s="1"/>
  <c r="I24" i="2"/>
  <c r="J24" i="2" s="1"/>
  <c r="I16" i="2"/>
  <c r="J16" i="2" s="1"/>
  <c r="I12" i="2"/>
  <c r="J12" i="2" s="1"/>
  <c r="I2" i="2"/>
  <c r="J2" i="2" s="1"/>
  <c r="M993" i="1"/>
  <c r="O993" i="1" s="1"/>
  <c r="I993" i="1"/>
  <c r="J993" i="1" s="1"/>
  <c r="I306" i="2"/>
  <c r="J306" i="2" s="1"/>
  <c r="M557" i="1"/>
  <c r="O557" i="1" s="1"/>
  <c r="I557" i="1"/>
  <c r="J557" i="1" s="1"/>
  <c r="M395" i="1"/>
  <c r="N395" i="1" s="1"/>
  <c r="I395" i="1"/>
  <c r="J395" i="1" s="1"/>
  <c r="M1303" i="1"/>
  <c r="O1303" i="1" s="1"/>
  <c r="I1303" i="1"/>
  <c r="J1303" i="1" s="1"/>
  <c r="M1183" i="1"/>
  <c r="O1183" i="1" s="1"/>
  <c r="I1183" i="1"/>
  <c r="J1183" i="1" s="1"/>
  <c r="M1030" i="1"/>
  <c r="O1030" i="1" s="1"/>
  <c r="I1030" i="1"/>
  <c r="J1030" i="1" s="1"/>
  <c r="M888" i="1"/>
  <c r="O888" i="1" s="1"/>
  <c r="I888" i="1"/>
  <c r="J888" i="1" s="1"/>
  <c r="M792" i="1"/>
  <c r="N792" i="1" s="1"/>
  <c r="I792" i="1"/>
  <c r="J792" i="1" s="1"/>
  <c r="M696" i="1"/>
  <c r="O696" i="1" s="1"/>
  <c r="I696" i="1"/>
  <c r="J696" i="1" s="1"/>
  <c r="M596" i="1"/>
  <c r="O596" i="1" s="1"/>
  <c r="I596" i="1"/>
  <c r="J596" i="1" s="1"/>
  <c r="M434" i="1"/>
  <c r="N434" i="1" s="1"/>
  <c r="I434" i="1"/>
  <c r="J434" i="1" s="1"/>
  <c r="M269" i="1"/>
  <c r="O269" i="1" s="1"/>
  <c r="I269" i="1"/>
  <c r="J269" i="1" s="1"/>
  <c r="G434" i="3" l="1"/>
  <c r="G433" i="3"/>
  <c r="M440" i="2"/>
  <c r="M439" i="2"/>
  <c r="M438" i="2"/>
  <c r="N993" i="1"/>
  <c r="N557" i="1"/>
  <c r="O395" i="1"/>
  <c r="N1303" i="1"/>
  <c r="N1183" i="1"/>
  <c r="N888" i="1"/>
  <c r="O792" i="1"/>
  <c r="N1030" i="1"/>
  <c r="N696" i="1"/>
  <c r="N596" i="1"/>
  <c r="O434" i="1"/>
  <c r="N269" i="1"/>
  <c r="I320" i="2" l="1"/>
  <c r="J320" i="2" s="1"/>
  <c r="M1317" i="1"/>
  <c r="O1317" i="1" s="1"/>
  <c r="I1317" i="1"/>
  <c r="J1317" i="1" s="1"/>
  <c r="M1316" i="1"/>
  <c r="O1316" i="1" s="1"/>
  <c r="I1316" i="1"/>
  <c r="J1316" i="1" s="1"/>
  <c r="M1315" i="1"/>
  <c r="O1315" i="1" s="1"/>
  <c r="I1315" i="1"/>
  <c r="J1315" i="1" s="1"/>
  <c r="M1314" i="1"/>
  <c r="N1314" i="1" s="1"/>
  <c r="I1314" i="1"/>
  <c r="J1314" i="1" s="1"/>
  <c r="M1313" i="1"/>
  <c r="O1313" i="1" s="1"/>
  <c r="I1313" i="1"/>
  <c r="J1313" i="1" s="1"/>
  <c r="M1312" i="1"/>
  <c r="N1312" i="1" s="1"/>
  <c r="I1312" i="1"/>
  <c r="J1312" i="1" s="1"/>
  <c r="M1311" i="1"/>
  <c r="O1311" i="1" s="1"/>
  <c r="I1311" i="1"/>
  <c r="J1311" i="1" s="1"/>
  <c r="M1310" i="1"/>
  <c r="O1310" i="1" s="1"/>
  <c r="I1310" i="1"/>
  <c r="J1310" i="1" s="1"/>
  <c r="M1309" i="1"/>
  <c r="O1309" i="1" s="1"/>
  <c r="I1309" i="1"/>
  <c r="J1309" i="1" s="1"/>
  <c r="M1308" i="1"/>
  <c r="N1308" i="1" s="1"/>
  <c r="I1308" i="1"/>
  <c r="J1308" i="1" s="1"/>
  <c r="M1307" i="1"/>
  <c r="O1307" i="1" s="1"/>
  <c r="I1307" i="1"/>
  <c r="J1307" i="1" s="1"/>
  <c r="M1306" i="1"/>
  <c r="O1306" i="1" s="1"/>
  <c r="I1306" i="1"/>
  <c r="J1306" i="1" s="1"/>
  <c r="M1305" i="1"/>
  <c r="O1305" i="1" s="1"/>
  <c r="I1305" i="1"/>
  <c r="J1305" i="1" s="1"/>
  <c r="M1304" i="1"/>
  <c r="O1304" i="1" s="1"/>
  <c r="I1304" i="1"/>
  <c r="J1304" i="1" s="1"/>
  <c r="M1302" i="1"/>
  <c r="N1302" i="1" s="1"/>
  <c r="I1302" i="1"/>
  <c r="J1302" i="1" s="1"/>
  <c r="M1301" i="1"/>
  <c r="N1301" i="1" s="1"/>
  <c r="I1301" i="1"/>
  <c r="J1301" i="1" s="1"/>
  <c r="M1300" i="1"/>
  <c r="O1300" i="1" s="1"/>
  <c r="I1300" i="1"/>
  <c r="J1300" i="1" s="1"/>
  <c r="M1299" i="1"/>
  <c r="N1299" i="1" s="1"/>
  <c r="I1299" i="1"/>
  <c r="J1299" i="1" s="1"/>
  <c r="M1298" i="1"/>
  <c r="N1298" i="1" s="1"/>
  <c r="I1298" i="1"/>
  <c r="J1298" i="1" s="1"/>
  <c r="M1297" i="1"/>
  <c r="O1297" i="1" s="1"/>
  <c r="I1297" i="1"/>
  <c r="J1297" i="1" s="1"/>
  <c r="M1296" i="1"/>
  <c r="O1296" i="1" s="1"/>
  <c r="I1296" i="1"/>
  <c r="J1296" i="1" s="1"/>
  <c r="M1295" i="1"/>
  <c r="O1295" i="1" s="1"/>
  <c r="I1295" i="1"/>
  <c r="J1295" i="1" s="1"/>
  <c r="M1294" i="1"/>
  <c r="O1294" i="1" s="1"/>
  <c r="I1294" i="1"/>
  <c r="J1294" i="1" s="1"/>
  <c r="M1293" i="1"/>
  <c r="O1293" i="1" s="1"/>
  <c r="I1293" i="1"/>
  <c r="J1293" i="1" s="1"/>
  <c r="M1292" i="1"/>
  <c r="O1292" i="1" s="1"/>
  <c r="I1292" i="1"/>
  <c r="J1292" i="1" s="1"/>
  <c r="M1291" i="1"/>
  <c r="N1291" i="1" s="1"/>
  <c r="I1291" i="1"/>
  <c r="J1291" i="1" s="1"/>
  <c r="M1290" i="1"/>
  <c r="N1290" i="1" s="1"/>
  <c r="I1290" i="1"/>
  <c r="J1290" i="1" s="1"/>
  <c r="M1289" i="1"/>
  <c r="N1289" i="1" s="1"/>
  <c r="I1289" i="1"/>
  <c r="J1289" i="1" s="1"/>
  <c r="M1288" i="1"/>
  <c r="O1288" i="1" s="1"/>
  <c r="I1288" i="1"/>
  <c r="J1288" i="1" s="1"/>
  <c r="M1287" i="1"/>
  <c r="N1287" i="1" s="1"/>
  <c r="I1287" i="1"/>
  <c r="J1287" i="1" s="1"/>
  <c r="M1286" i="1"/>
  <c r="O1286" i="1" s="1"/>
  <c r="I1286" i="1"/>
  <c r="J1286" i="1" s="1"/>
  <c r="M1285" i="1"/>
  <c r="O1285" i="1" s="1"/>
  <c r="I1285" i="1"/>
  <c r="J1285" i="1" s="1"/>
  <c r="M1284" i="1"/>
  <c r="O1284" i="1" s="1"/>
  <c r="I1284" i="1"/>
  <c r="J1284" i="1" s="1"/>
  <c r="M1283" i="1"/>
  <c r="O1283" i="1" s="1"/>
  <c r="I1283" i="1"/>
  <c r="J1283" i="1" s="1"/>
  <c r="M1282" i="1"/>
  <c r="O1282" i="1" s="1"/>
  <c r="I1282" i="1"/>
  <c r="J1282" i="1" s="1"/>
  <c r="M1281" i="1"/>
  <c r="O1281" i="1" s="1"/>
  <c r="I1281" i="1"/>
  <c r="J1281" i="1" s="1"/>
  <c r="M1280" i="1"/>
  <c r="O1280" i="1" s="1"/>
  <c r="I1280" i="1"/>
  <c r="J1280" i="1" s="1"/>
  <c r="M1279" i="1"/>
  <c r="O1279" i="1" s="1"/>
  <c r="I1279" i="1"/>
  <c r="J1279" i="1" s="1"/>
  <c r="M1278" i="1"/>
  <c r="N1278" i="1" s="1"/>
  <c r="I1278" i="1"/>
  <c r="J1278" i="1" s="1"/>
  <c r="M1277" i="1"/>
  <c r="O1277" i="1" s="1"/>
  <c r="I1277" i="1"/>
  <c r="J1277" i="1" s="1"/>
  <c r="M1276" i="1"/>
  <c r="N1276" i="1" s="1"/>
  <c r="I1276" i="1"/>
  <c r="J1276" i="1" s="1"/>
  <c r="M1275" i="1"/>
  <c r="N1275" i="1" s="1"/>
  <c r="I1275" i="1"/>
  <c r="J1275" i="1" s="1"/>
  <c r="M1274" i="1"/>
  <c r="O1274" i="1" s="1"/>
  <c r="I1274" i="1"/>
  <c r="J1274" i="1" s="1"/>
  <c r="M1273" i="1"/>
  <c r="O1273" i="1" s="1"/>
  <c r="I1273" i="1"/>
  <c r="J1273" i="1" s="1"/>
  <c r="M1272" i="1"/>
  <c r="O1272" i="1" s="1"/>
  <c r="I1272" i="1"/>
  <c r="J1272" i="1" s="1"/>
  <c r="M1271" i="1"/>
  <c r="O1271" i="1" s="1"/>
  <c r="I1271" i="1"/>
  <c r="J1271" i="1" s="1"/>
  <c r="M1270" i="1"/>
  <c r="O1270" i="1" s="1"/>
  <c r="I1270" i="1"/>
  <c r="J1270" i="1" s="1"/>
  <c r="M1269" i="1"/>
  <c r="O1269" i="1" s="1"/>
  <c r="I1269" i="1"/>
  <c r="J1269" i="1" s="1"/>
  <c r="M1268" i="1"/>
  <c r="O1268" i="1" s="1"/>
  <c r="I1268" i="1"/>
  <c r="J1268" i="1" s="1"/>
  <c r="M1267" i="1"/>
  <c r="N1267" i="1" s="1"/>
  <c r="I1267" i="1"/>
  <c r="J1267" i="1" s="1"/>
  <c r="M1266" i="1"/>
  <c r="N1266" i="1" s="1"/>
  <c r="I1266" i="1"/>
  <c r="J1266" i="1" s="1"/>
  <c r="M1265" i="1"/>
  <c r="O1265" i="1" s="1"/>
  <c r="I1265" i="1"/>
  <c r="J1265" i="1" s="1"/>
  <c r="M1264" i="1"/>
  <c r="N1264" i="1" s="1"/>
  <c r="I1264" i="1"/>
  <c r="J1264" i="1" s="1"/>
  <c r="M1263" i="1"/>
  <c r="O1263" i="1" s="1"/>
  <c r="I1263" i="1"/>
  <c r="J1263" i="1" s="1"/>
  <c r="M1262" i="1"/>
  <c r="O1262" i="1" s="1"/>
  <c r="I1262" i="1"/>
  <c r="J1262" i="1" s="1"/>
  <c r="M1261" i="1"/>
  <c r="N1261" i="1" s="1"/>
  <c r="I1261" i="1"/>
  <c r="J1261" i="1" s="1"/>
  <c r="M1260" i="1"/>
  <c r="N1260" i="1" s="1"/>
  <c r="I1260" i="1"/>
  <c r="J1260" i="1" s="1"/>
  <c r="M1259" i="1"/>
  <c r="O1259" i="1" s="1"/>
  <c r="I1259" i="1"/>
  <c r="J1259" i="1" s="1"/>
  <c r="M1258" i="1"/>
  <c r="O1258" i="1" s="1"/>
  <c r="I1258" i="1"/>
  <c r="J1258" i="1" s="1"/>
  <c r="M1257" i="1"/>
  <c r="N1257" i="1" s="1"/>
  <c r="I1257" i="1"/>
  <c r="J1257" i="1" s="1"/>
  <c r="M1256" i="1"/>
  <c r="O1256" i="1" s="1"/>
  <c r="I1256" i="1"/>
  <c r="J1256" i="1" s="1"/>
  <c r="M1255" i="1"/>
  <c r="N1255" i="1" s="1"/>
  <c r="I1255" i="1"/>
  <c r="J1255" i="1" s="1"/>
  <c r="M1254" i="1"/>
  <c r="O1254" i="1" s="1"/>
  <c r="I1254" i="1"/>
  <c r="J1254" i="1" s="1"/>
  <c r="M1253" i="1"/>
  <c r="N1253" i="1" s="1"/>
  <c r="I1253" i="1"/>
  <c r="J1253" i="1" s="1"/>
  <c r="M1252" i="1"/>
  <c r="O1252" i="1" s="1"/>
  <c r="I1252" i="1"/>
  <c r="J1252" i="1" s="1"/>
  <c r="M1251" i="1"/>
  <c r="N1251" i="1" s="1"/>
  <c r="I1251" i="1"/>
  <c r="J1251" i="1" s="1"/>
  <c r="M1250" i="1"/>
  <c r="O1250" i="1" s="1"/>
  <c r="I1250" i="1"/>
  <c r="J1250" i="1" s="1"/>
  <c r="M1249" i="1"/>
  <c r="O1249" i="1" s="1"/>
  <c r="I1249" i="1"/>
  <c r="J1249" i="1" s="1"/>
  <c r="M1248" i="1"/>
  <c r="O1248" i="1" s="1"/>
  <c r="I1248" i="1"/>
  <c r="J1248" i="1" s="1"/>
  <c r="M1247" i="1"/>
  <c r="N1247" i="1" s="1"/>
  <c r="I1247" i="1"/>
  <c r="J1247" i="1" s="1"/>
  <c r="M1246" i="1"/>
  <c r="O1246" i="1" s="1"/>
  <c r="I1246" i="1"/>
  <c r="J1246" i="1" s="1"/>
  <c r="M1245" i="1"/>
  <c r="O1245" i="1" s="1"/>
  <c r="I1245" i="1"/>
  <c r="J1245" i="1" s="1"/>
  <c r="M1244" i="1"/>
  <c r="O1244" i="1" s="1"/>
  <c r="I1244" i="1"/>
  <c r="J1244" i="1" s="1"/>
  <c r="M1243" i="1"/>
  <c r="N1243" i="1" s="1"/>
  <c r="I1243" i="1"/>
  <c r="J1243" i="1" s="1"/>
  <c r="M1242" i="1"/>
  <c r="O1242" i="1" s="1"/>
  <c r="I1242" i="1"/>
  <c r="J1242" i="1" s="1"/>
  <c r="M1241" i="1"/>
  <c r="O1241" i="1" s="1"/>
  <c r="I1241" i="1"/>
  <c r="J1241" i="1" s="1"/>
  <c r="M1240" i="1"/>
  <c r="O1240" i="1" s="1"/>
  <c r="I1240" i="1"/>
  <c r="J1240" i="1" s="1"/>
  <c r="M1239" i="1"/>
  <c r="O1239" i="1" s="1"/>
  <c r="I1239" i="1"/>
  <c r="J1239" i="1" s="1"/>
  <c r="M1238" i="1"/>
  <c r="O1238" i="1" s="1"/>
  <c r="I1238" i="1"/>
  <c r="J1238" i="1" s="1"/>
  <c r="M1237" i="1"/>
  <c r="N1237" i="1" s="1"/>
  <c r="I1237" i="1"/>
  <c r="J1237" i="1" s="1"/>
  <c r="M1236" i="1"/>
  <c r="O1236" i="1" s="1"/>
  <c r="I1236" i="1"/>
  <c r="J1236" i="1" s="1"/>
  <c r="M1235" i="1"/>
  <c r="O1235" i="1" s="1"/>
  <c r="I1235" i="1"/>
  <c r="J1235" i="1" s="1"/>
  <c r="M1234" i="1"/>
  <c r="O1234" i="1" s="1"/>
  <c r="I1234" i="1"/>
  <c r="J1234" i="1" s="1"/>
  <c r="M1233" i="1"/>
  <c r="O1233" i="1" s="1"/>
  <c r="I1233" i="1"/>
  <c r="J1233" i="1" s="1"/>
  <c r="M1232" i="1"/>
  <c r="N1232" i="1" s="1"/>
  <c r="I1232" i="1"/>
  <c r="J1232" i="1" s="1"/>
  <c r="M1231" i="1"/>
  <c r="O1231" i="1" s="1"/>
  <c r="I1231" i="1"/>
  <c r="J1231" i="1" s="1"/>
  <c r="M1230" i="1"/>
  <c r="O1230" i="1" s="1"/>
  <c r="I1230" i="1"/>
  <c r="J1230" i="1" s="1"/>
  <c r="M1229" i="1"/>
  <c r="O1229" i="1" s="1"/>
  <c r="I1229" i="1"/>
  <c r="J1229" i="1" s="1"/>
  <c r="M1228" i="1"/>
  <c r="N1228" i="1" s="1"/>
  <c r="I1228" i="1"/>
  <c r="J1228" i="1" s="1"/>
  <c r="M1227" i="1"/>
  <c r="N1227" i="1" s="1"/>
  <c r="I1227" i="1"/>
  <c r="J1227" i="1" s="1"/>
  <c r="M1226" i="1"/>
  <c r="N1226" i="1" s="1"/>
  <c r="I1226" i="1"/>
  <c r="J1226" i="1" s="1"/>
  <c r="M1225" i="1"/>
  <c r="O1225" i="1" s="1"/>
  <c r="I1225" i="1"/>
  <c r="J1225" i="1" s="1"/>
  <c r="M1224" i="1"/>
  <c r="O1224" i="1" s="1"/>
  <c r="I1224" i="1"/>
  <c r="J1224" i="1" s="1"/>
  <c r="M1223" i="1"/>
  <c r="O1223" i="1" s="1"/>
  <c r="I1223" i="1"/>
  <c r="J1223" i="1" s="1"/>
  <c r="M1222" i="1"/>
  <c r="N1222" i="1" s="1"/>
  <c r="I1222" i="1"/>
  <c r="J1222" i="1" s="1"/>
  <c r="M1221" i="1"/>
  <c r="N1221" i="1" s="1"/>
  <c r="I1221" i="1"/>
  <c r="J1221" i="1" s="1"/>
  <c r="M1220" i="1"/>
  <c r="O1220" i="1" s="1"/>
  <c r="I1220" i="1"/>
  <c r="J1220" i="1" s="1"/>
  <c r="M1219" i="1"/>
  <c r="O1219" i="1" s="1"/>
  <c r="I1219" i="1"/>
  <c r="J1219" i="1" s="1"/>
  <c r="M1218" i="1"/>
  <c r="N1218" i="1" s="1"/>
  <c r="I1218" i="1"/>
  <c r="J1218" i="1" s="1"/>
  <c r="M1217" i="1"/>
  <c r="O1217" i="1" s="1"/>
  <c r="I1217" i="1"/>
  <c r="J1217" i="1" s="1"/>
  <c r="M1216" i="1"/>
  <c r="O1216" i="1" s="1"/>
  <c r="I1216" i="1"/>
  <c r="J1216" i="1" s="1"/>
  <c r="M1215" i="1"/>
  <c r="O1215" i="1" s="1"/>
  <c r="I1215" i="1"/>
  <c r="J1215" i="1" s="1"/>
  <c r="M1214" i="1"/>
  <c r="N1214" i="1" s="1"/>
  <c r="I1214" i="1"/>
  <c r="J1214" i="1" s="1"/>
  <c r="M1213" i="1"/>
  <c r="O1213" i="1" s="1"/>
  <c r="I1213" i="1"/>
  <c r="J1213" i="1" s="1"/>
  <c r="M1212" i="1"/>
  <c r="N1212" i="1" s="1"/>
  <c r="I1212" i="1"/>
  <c r="J1212" i="1" s="1"/>
  <c r="M1211" i="1"/>
  <c r="N1211" i="1" s="1"/>
  <c r="I1211" i="1"/>
  <c r="J1211" i="1" s="1"/>
  <c r="M1210" i="1"/>
  <c r="O1210" i="1" s="1"/>
  <c r="I1210" i="1"/>
  <c r="J1210" i="1" s="1"/>
  <c r="M1209" i="1"/>
  <c r="O1209" i="1" s="1"/>
  <c r="I1209" i="1"/>
  <c r="J1209" i="1" s="1"/>
  <c r="M1208" i="1"/>
  <c r="N1208" i="1" s="1"/>
  <c r="I1208" i="1"/>
  <c r="J1208" i="1" s="1"/>
  <c r="M1207" i="1"/>
  <c r="O1207" i="1" s="1"/>
  <c r="I1207" i="1"/>
  <c r="J1207" i="1" s="1"/>
  <c r="M1206" i="1"/>
  <c r="O1206" i="1" s="1"/>
  <c r="I1206" i="1"/>
  <c r="J1206" i="1" s="1"/>
  <c r="M1205" i="1"/>
  <c r="O1205" i="1" s="1"/>
  <c r="I1205" i="1"/>
  <c r="J1205" i="1" s="1"/>
  <c r="M1204" i="1"/>
  <c r="N1204" i="1" s="1"/>
  <c r="I1204" i="1"/>
  <c r="J1204" i="1" s="1"/>
  <c r="M1203" i="1"/>
  <c r="O1203" i="1" s="1"/>
  <c r="I1203" i="1"/>
  <c r="J1203" i="1" s="1"/>
  <c r="M1202" i="1"/>
  <c r="O1202" i="1" s="1"/>
  <c r="I1202" i="1"/>
  <c r="J1202" i="1" s="1"/>
  <c r="M1201" i="1"/>
  <c r="O1201" i="1" s="1"/>
  <c r="I1201" i="1"/>
  <c r="J1201" i="1" s="1"/>
  <c r="M1029" i="1"/>
  <c r="O1029" i="1" s="1"/>
  <c r="I1029" i="1"/>
  <c r="J1029" i="1" s="1"/>
  <c r="M887" i="1"/>
  <c r="O887" i="1" s="1"/>
  <c r="I887" i="1"/>
  <c r="J887" i="1" s="1"/>
  <c r="M791" i="1"/>
  <c r="O791" i="1" s="1"/>
  <c r="I791" i="1"/>
  <c r="J791" i="1" s="1"/>
  <c r="M695" i="1"/>
  <c r="O695" i="1" s="1"/>
  <c r="I695" i="1"/>
  <c r="J695" i="1" s="1"/>
  <c r="M708" i="1"/>
  <c r="O708" i="1" s="1"/>
  <c r="I708" i="1"/>
  <c r="J708" i="1" s="1"/>
  <c r="M804" i="1"/>
  <c r="O804" i="1" s="1"/>
  <c r="I804" i="1"/>
  <c r="J804" i="1" s="1"/>
  <c r="M900" i="1"/>
  <c r="O900" i="1" s="1"/>
  <c r="I900" i="1"/>
  <c r="J900" i="1" s="1"/>
  <c r="M1044" i="1"/>
  <c r="O1044" i="1" s="1"/>
  <c r="I1044" i="1"/>
  <c r="J1044" i="1" s="1"/>
  <c r="M612" i="1"/>
  <c r="O612" i="1" s="1"/>
  <c r="I612" i="1"/>
  <c r="J612" i="1" s="1"/>
  <c r="M450" i="1"/>
  <c r="O450" i="1" s="1"/>
  <c r="I450" i="1"/>
  <c r="J450" i="1" s="1"/>
  <c r="M595" i="1"/>
  <c r="O595" i="1" s="1"/>
  <c r="I595" i="1"/>
  <c r="J595" i="1" s="1"/>
  <c r="M433" i="1"/>
  <c r="O433" i="1" s="1"/>
  <c r="I433" i="1"/>
  <c r="J433" i="1" s="1"/>
  <c r="M1200" i="1"/>
  <c r="O1200" i="1" s="1"/>
  <c r="I1200" i="1"/>
  <c r="J1200" i="1" s="1"/>
  <c r="F432" i="3"/>
  <c r="E432" i="3"/>
  <c r="M286" i="1"/>
  <c r="O286" i="1" s="1"/>
  <c r="I286" i="1"/>
  <c r="J286" i="1" s="1"/>
  <c r="M1182" i="1"/>
  <c r="O1182" i="1" s="1"/>
  <c r="I1182" i="1"/>
  <c r="J1182" i="1" s="1"/>
  <c r="M1152" i="1"/>
  <c r="O1152" i="1" s="1"/>
  <c r="I1152" i="1"/>
  <c r="J1152" i="1" s="1"/>
  <c r="M239" i="1"/>
  <c r="O239" i="1" s="1"/>
  <c r="I239" i="1"/>
  <c r="J239" i="1" s="1"/>
  <c r="N1224" i="1" l="1"/>
  <c r="N1219" i="1"/>
  <c r="O1212" i="1"/>
  <c r="O1291" i="1"/>
  <c r="O1253" i="1"/>
  <c r="O1299" i="1"/>
  <c r="N1213" i="1"/>
  <c r="N1216" i="1"/>
  <c r="N1269" i="1"/>
  <c r="N1296" i="1"/>
  <c r="N1306" i="1"/>
  <c r="N1252" i="1"/>
  <c r="O1287" i="1"/>
  <c r="N1201" i="1"/>
  <c r="O1298" i="1"/>
  <c r="N1265" i="1"/>
  <c r="O1290" i="1"/>
  <c r="N1311" i="1"/>
  <c r="N1206" i="1"/>
  <c r="N1245" i="1"/>
  <c r="N1288" i="1"/>
  <c r="O1222" i="1"/>
  <c r="N1239" i="1"/>
  <c r="N1263" i="1"/>
  <c r="O1264" i="1"/>
  <c r="N1273" i="1"/>
  <c r="O1275" i="1"/>
  <c r="O1276" i="1"/>
  <c r="O1312" i="1"/>
  <c r="O1267" i="1"/>
  <c r="N1283" i="1"/>
  <c r="O1204" i="1"/>
  <c r="O1243" i="1"/>
  <c r="N1295" i="1"/>
  <c r="O1302" i="1"/>
  <c r="N1249" i="1"/>
  <c r="N1209" i="1"/>
  <c r="O1237" i="1"/>
  <c r="N1259" i="1"/>
  <c r="O1261" i="1"/>
  <c r="N1272" i="1"/>
  <c r="N1284" i="1"/>
  <c r="N1292" i="1"/>
  <c r="N1300" i="1"/>
  <c r="N1202" i="1"/>
  <c r="N1230" i="1"/>
  <c r="N1280" i="1"/>
  <c r="N1307" i="1"/>
  <c r="N1313" i="1"/>
  <c r="O1214" i="1"/>
  <c r="N1233" i="1"/>
  <c r="N1235" i="1"/>
  <c r="O1247" i="1"/>
  <c r="N1258" i="1"/>
  <c r="N1316" i="1"/>
  <c r="N1220" i="1"/>
  <c r="O1228" i="1"/>
  <c r="O1255" i="1"/>
  <c r="O1278" i="1"/>
  <c r="N1242" i="1"/>
  <c r="N1274" i="1"/>
  <c r="N1277" i="1"/>
  <c r="N1297" i="1"/>
  <c r="O1314" i="1"/>
  <c r="O1289" i="1"/>
  <c r="N1294" i="1"/>
  <c r="O1301" i="1"/>
  <c r="N1305" i="1"/>
  <c r="O1308" i="1"/>
  <c r="N1310" i="1"/>
  <c r="N1203" i="1"/>
  <c r="N1241" i="1"/>
  <c r="O1266" i="1"/>
  <c r="N1271" i="1"/>
  <c r="N1282" i="1"/>
  <c r="N1286" i="1"/>
  <c r="N1205" i="1"/>
  <c r="O1208" i="1"/>
  <c r="O1211" i="1"/>
  <c r="N1215" i="1"/>
  <c r="O1218" i="1"/>
  <c r="N1223" i="1"/>
  <c r="O1226" i="1"/>
  <c r="N1229" i="1"/>
  <c r="O1232" i="1"/>
  <c r="N1234" i="1"/>
  <c r="N1238" i="1"/>
  <c r="N1244" i="1"/>
  <c r="N1248" i="1"/>
  <c r="O1251" i="1"/>
  <c r="N1256" i="1"/>
  <c r="O1257" i="1"/>
  <c r="N1262" i="1"/>
  <c r="N1268" i="1"/>
  <c r="N1279" i="1"/>
  <c r="N1315" i="1"/>
  <c r="O1221" i="1"/>
  <c r="N1254" i="1"/>
  <c r="O1227" i="1"/>
  <c r="O1260" i="1"/>
  <c r="N1207" i="1"/>
  <c r="N1210" i="1"/>
  <c r="N1217" i="1"/>
  <c r="N1225" i="1"/>
  <c r="N1231" i="1"/>
  <c r="N1236" i="1"/>
  <c r="N1240" i="1"/>
  <c r="N1246" i="1"/>
  <c r="N1250" i="1"/>
  <c r="N1270" i="1"/>
  <c r="N1281" i="1"/>
  <c r="N1285" i="1"/>
  <c r="N1293" i="1"/>
  <c r="N1304" i="1"/>
  <c r="N1309" i="1"/>
  <c r="N1317" i="1"/>
  <c r="N1029" i="1"/>
  <c r="N887" i="1"/>
  <c r="N791" i="1"/>
  <c r="N695" i="1"/>
  <c r="N708" i="1"/>
  <c r="N804" i="1"/>
  <c r="N900" i="1"/>
  <c r="N1044" i="1"/>
  <c r="N612" i="1"/>
  <c r="N450" i="1"/>
  <c r="N595" i="1"/>
  <c r="N433" i="1"/>
  <c r="N1200" i="1"/>
  <c r="G432" i="3"/>
  <c r="N286" i="1"/>
  <c r="N1182" i="1"/>
  <c r="N1152" i="1"/>
  <c r="N239" i="1"/>
  <c r="M119" i="1"/>
  <c r="O119" i="1" s="1"/>
  <c r="I119" i="1"/>
  <c r="J119" i="1" s="1"/>
  <c r="M80" i="1"/>
  <c r="O80" i="1" s="1"/>
  <c r="I80" i="1"/>
  <c r="J80" i="1" s="1"/>
  <c r="M66" i="1"/>
  <c r="O66" i="1" s="1"/>
  <c r="I66" i="1"/>
  <c r="J66" i="1" s="1"/>
  <c r="N119" i="1" l="1"/>
  <c r="N80" i="1"/>
  <c r="N66" i="1"/>
  <c r="M1199" i="1"/>
  <c r="M1198" i="1"/>
  <c r="M1197" i="1"/>
  <c r="M1196" i="1"/>
  <c r="M1195" i="1"/>
  <c r="M1194" i="1"/>
  <c r="M1193" i="1"/>
  <c r="M1192" i="1"/>
  <c r="M1191" i="1"/>
  <c r="M1190" i="1"/>
  <c r="M1189" i="1"/>
  <c r="M1188" i="1"/>
  <c r="M1187" i="1"/>
  <c r="M1186" i="1"/>
  <c r="M1185" i="1"/>
  <c r="M1184" i="1"/>
  <c r="M1181" i="1"/>
  <c r="M1180" i="1"/>
  <c r="M1179" i="1"/>
  <c r="M1178" i="1"/>
  <c r="M1177" i="1"/>
  <c r="M1176" i="1"/>
  <c r="M1175" i="1"/>
  <c r="M1174" i="1"/>
  <c r="M1173" i="1"/>
  <c r="M1172" i="1"/>
  <c r="M1171" i="1"/>
  <c r="M1170" i="1"/>
  <c r="M1169" i="1"/>
  <c r="M1168" i="1"/>
  <c r="M1167" i="1"/>
  <c r="M1166" i="1"/>
  <c r="M1165" i="1"/>
  <c r="M1164" i="1"/>
  <c r="M1163" i="1"/>
  <c r="M1162" i="1"/>
  <c r="M1161" i="1"/>
  <c r="M1160" i="1"/>
  <c r="M1159" i="1"/>
  <c r="M1158" i="1"/>
  <c r="M1157" i="1"/>
  <c r="M1156" i="1"/>
  <c r="M1155" i="1"/>
  <c r="M1154" i="1"/>
  <c r="M1153" i="1"/>
  <c r="M1151" i="1"/>
  <c r="M1150" i="1"/>
  <c r="M1149" i="1"/>
  <c r="M1148" i="1"/>
  <c r="M1147" i="1"/>
  <c r="M1146" i="1"/>
  <c r="M1145" i="1"/>
  <c r="M1144" i="1"/>
  <c r="M1143" i="1"/>
  <c r="M1142" i="1"/>
  <c r="M1141" i="1"/>
  <c r="M1140" i="1"/>
  <c r="M1139" i="1"/>
  <c r="M1138" i="1"/>
  <c r="M1137" i="1"/>
  <c r="M1136" i="1"/>
  <c r="M1135" i="1"/>
  <c r="M1134" i="1"/>
  <c r="M1133" i="1"/>
  <c r="M1132" i="1"/>
  <c r="M1131" i="1"/>
  <c r="M1130" i="1"/>
  <c r="M1129" i="1"/>
  <c r="M1128" i="1"/>
  <c r="M1127" i="1"/>
  <c r="M1126" i="1"/>
  <c r="M1125" i="1"/>
  <c r="M1124" i="1"/>
  <c r="M1123" i="1"/>
  <c r="M1122" i="1"/>
  <c r="M1121" i="1"/>
  <c r="M1120" i="1"/>
  <c r="M1119" i="1"/>
  <c r="M1118" i="1"/>
  <c r="M1117" i="1"/>
  <c r="M1116" i="1"/>
  <c r="M1115" i="1"/>
  <c r="M1114" i="1"/>
  <c r="M1113" i="1"/>
  <c r="M1112" i="1"/>
  <c r="M1111" i="1"/>
  <c r="M1110" i="1"/>
  <c r="M1109" i="1"/>
  <c r="M1108" i="1"/>
  <c r="M1107" i="1"/>
  <c r="M1106" i="1"/>
  <c r="M1105" i="1"/>
  <c r="M1104" i="1"/>
  <c r="M1103" i="1"/>
  <c r="M1102" i="1"/>
  <c r="M1101" i="1"/>
  <c r="M1100" i="1"/>
  <c r="M1099" i="1"/>
  <c r="M1098" i="1"/>
  <c r="M1097" i="1"/>
  <c r="M1096" i="1"/>
  <c r="M1095" i="1"/>
  <c r="M1094" i="1"/>
  <c r="M1093" i="1"/>
  <c r="M1092" i="1"/>
  <c r="M1091" i="1"/>
  <c r="M1090" i="1"/>
  <c r="M1089" i="1"/>
  <c r="M1088" i="1"/>
  <c r="M1087" i="1"/>
  <c r="M1086" i="1"/>
  <c r="M1085" i="1"/>
  <c r="M1084" i="1"/>
  <c r="M1083" i="1"/>
  <c r="M1082" i="1"/>
  <c r="M1081" i="1"/>
  <c r="M1080" i="1"/>
  <c r="M1079" i="1"/>
  <c r="M1078" i="1"/>
  <c r="M1077" i="1"/>
  <c r="M1076" i="1"/>
  <c r="M1075" i="1"/>
  <c r="M1074" i="1"/>
  <c r="M1073" i="1"/>
  <c r="M1072" i="1"/>
  <c r="M1071" i="1"/>
  <c r="M1070" i="1"/>
  <c r="M1069" i="1"/>
  <c r="M1068" i="1"/>
  <c r="M1067" i="1"/>
  <c r="M1066" i="1"/>
  <c r="M1065" i="1"/>
  <c r="M1064" i="1"/>
  <c r="M1063" i="1"/>
  <c r="M1062" i="1"/>
  <c r="M1061" i="1"/>
  <c r="M1060" i="1"/>
  <c r="M1059" i="1"/>
  <c r="M1058" i="1"/>
  <c r="M1057" i="1"/>
  <c r="M1056" i="1"/>
  <c r="M1055" i="1"/>
  <c r="M1054" i="1"/>
  <c r="M1053" i="1"/>
  <c r="M1052" i="1"/>
  <c r="M1051" i="1"/>
  <c r="M1050" i="1"/>
  <c r="M1049" i="1"/>
  <c r="M1048" i="1"/>
  <c r="M1047" i="1"/>
  <c r="M1046" i="1"/>
  <c r="M1045" i="1"/>
  <c r="M1043" i="1"/>
  <c r="M1042" i="1"/>
  <c r="M1041" i="1"/>
  <c r="M1040" i="1"/>
  <c r="M1039" i="1"/>
  <c r="M1038" i="1"/>
  <c r="M1037" i="1"/>
  <c r="M1036" i="1"/>
  <c r="N1036" i="1" s="1"/>
  <c r="M1035" i="1"/>
  <c r="M1034" i="1"/>
  <c r="M1033" i="1"/>
  <c r="M1032" i="1"/>
  <c r="M1031" i="1"/>
  <c r="M1028" i="1"/>
  <c r="M1027" i="1"/>
  <c r="M1026" i="1"/>
  <c r="M1025" i="1"/>
  <c r="M1024" i="1"/>
  <c r="M1023" i="1"/>
  <c r="M1022" i="1"/>
  <c r="M1021" i="1"/>
  <c r="M1020" i="1"/>
  <c r="M1019" i="1"/>
  <c r="M1018" i="1"/>
  <c r="M1017" i="1"/>
  <c r="M1016" i="1"/>
  <c r="M1015" i="1"/>
  <c r="M1014" i="1"/>
  <c r="M1013" i="1"/>
  <c r="M1012" i="1"/>
  <c r="M1011" i="1"/>
  <c r="M1010" i="1"/>
  <c r="M1009" i="1"/>
  <c r="M1008" i="1"/>
  <c r="M1007" i="1"/>
  <c r="M1006" i="1"/>
  <c r="M1005" i="1"/>
  <c r="M1004" i="1"/>
  <c r="M1003" i="1"/>
  <c r="M1002" i="1"/>
  <c r="M1001" i="1"/>
  <c r="M1000" i="1"/>
  <c r="M999" i="1"/>
  <c r="M998" i="1"/>
  <c r="M997" i="1"/>
  <c r="M996" i="1"/>
  <c r="M995" i="1"/>
  <c r="M994" i="1"/>
  <c r="M992" i="1"/>
  <c r="M991" i="1"/>
  <c r="M990" i="1"/>
  <c r="M989" i="1"/>
  <c r="M988" i="1"/>
  <c r="M987" i="1"/>
  <c r="M986" i="1"/>
  <c r="M985" i="1"/>
  <c r="M984" i="1"/>
  <c r="M983" i="1"/>
  <c r="M982" i="1"/>
  <c r="M981" i="1"/>
  <c r="M980" i="1"/>
  <c r="M979" i="1"/>
  <c r="M978" i="1"/>
  <c r="M977" i="1"/>
  <c r="M976" i="1"/>
  <c r="M975" i="1"/>
  <c r="M974" i="1"/>
  <c r="M973" i="1"/>
  <c r="M972" i="1"/>
  <c r="M971" i="1"/>
  <c r="M970" i="1"/>
  <c r="M969" i="1"/>
  <c r="M968" i="1"/>
  <c r="M967" i="1"/>
  <c r="M966" i="1"/>
  <c r="M965" i="1"/>
  <c r="M964" i="1"/>
  <c r="M963" i="1"/>
  <c r="M962" i="1"/>
  <c r="M961" i="1"/>
  <c r="M960" i="1"/>
  <c r="M959" i="1"/>
  <c r="M958" i="1"/>
  <c r="M957" i="1"/>
  <c r="M956" i="1"/>
  <c r="M955" i="1"/>
  <c r="M954" i="1"/>
  <c r="M953" i="1"/>
  <c r="M952" i="1"/>
  <c r="M951" i="1"/>
  <c r="M950" i="1"/>
  <c r="M949" i="1"/>
  <c r="M948" i="1"/>
  <c r="M947" i="1"/>
  <c r="M946" i="1"/>
  <c r="M945" i="1"/>
  <c r="M944" i="1"/>
  <c r="M943" i="1"/>
  <c r="M942" i="1"/>
  <c r="M941" i="1"/>
  <c r="M940" i="1"/>
  <c r="M939" i="1"/>
  <c r="M938" i="1"/>
  <c r="M937" i="1"/>
  <c r="M936" i="1"/>
  <c r="M935" i="1"/>
  <c r="M934" i="1"/>
  <c r="M933" i="1"/>
  <c r="M932" i="1"/>
  <c r="M931" i="1"/>
  <c r="M930" i="1"/>
  <c r="M929" i="1"/>
  <c r="M928" i="1"/>
  <c r="M927" i="1"/>
  <c r="M926" i="1"/>
  <c r="M925" i="1"/>
  <c r="M924" i="1"/>
  <c r="M923" i="1"/>
  <c r="M922" i="1"/>
  <c r="M921" i="1"/>
  <c r="M920" i="1"/>
  <c r="M919" i="1"/>
  <c r="M918" i="1"/>
  <c r="M917" i="1"/>
  <c r="M916" i="1"/>
  <c r="M915" i="1"/>
  <c r="M914" i="1"/>
  <c r="M913" i="1"/>
  <c r="M912" i="1"/>
  <c r="M911" i="1"/>
  <c r="M910" i="1"/>
  <c r="M909" i="1"/>
  <c r="M908" i="1"/>
  <c r="M907" i="1"/>
  <c r="M906" i="1"/>
  <c r="M905" i="1"/>
  <c r="M904" i="1"/>
  <c r="M903" i="1"/>
  <c r="M902" i="1"/>
  <c r="M901" i="1"/>
  <c r="M899" i="1"/>
  <c r="M898" i="1"/>
  <c r="M897" i="1"/>
  <c r="M896" i="1"/>
  <c r="M895" i="1"/>
  <c r="M894" i="1"/>
  <c r="M893" i="1"/>
  <c r="M892" i="1"/>
  <c r="M891" i="1"/>
  <c r="M890" i="1"/>
  <c r="M889" i="1"/>
  <c r="M886" i="1"/>
  <c r="M885" i="1"/>
  <c r="M884" i="1"/>
  <c r="M883" i="1"/>
  <c r="M882" i="1"/>
  <c r="M881" i="1"/>
  <c r="M880" i="1"/>
  <c r="M879" i="1"/>
  <c r="M878" i="1"/>
  <c r="M877" i="1"/>
  <c r="M876" i="1"/>
  <c r="M875" i="1"/>
  <c r="M874" i="1"/>
  <c r="M873" i="1"/>
  <c r="M872" i="1"/>
  <c r="M871" i="1"/>
  <c r="M870" i="1"/>
  <c r="M869" i="1"/>
  <c r="M868" i="1"/>
  <c r="M867" i="1"/>
  <c r="M866" i="1"/>
  <c r="M865" i="1"/>
  <c r="M864" i="1"/>
  <c r="M863" i="1"/>
  <c r="M862" i="1"/>
  <c r="M861" i="1"/>
  <c r="M860" i="1"/>
  <c r="M859" i="1"/>
  <c r="M858" i="1"/>
  <c r="M857" i="1"/>
  <c r="M856" i="1"/>
  <c r="M855" i="1"/>
  <c r="M854" i="1"/>
  <c r="M853" i="1"/>
  <c r="M852" i="1"/>
  <c r="M851" i="1"/>
  <c r="M850" i="1"/>
  <c r="M849" i="1"/>
  <c r="M848" i="1"/>
  <c r="M847" i="1"/>
  <c r="M846" i="1"/>
  <c r="M845" i="1"/>
  <c r="M844" i="1"/>
  <c r="M843" i="1"/>
  <c r="M842" i="1"/>
  <c r="M841" i="1"/>
  <c r="M840" i="1"/>
  <c r="M839" i="1"/>
  <c r="M838" i="1"/>
  <c r="O838" i="1" s="1"/>
  <c r="M837" i="1"/>
  <c r="M836" i="1"/>
  <c r="M835" i="1"/>
  <c r="M834" i="1"/>
  <c r="M833" i="1"/>
  <c r="M832" i="1"/>
  <c r="M831" i="1"/>
  <c r="M830" i="1"/>
  <c r="M829" i="1"/>
  <c r="M828" i="1"/>
  <c r="M827" i="1"/>
  <c r="M826" i="1"/>
  <c r="M825" i="1"/>
  <c r="M824" i="1"/>
  <c r="M823" i="1"/>
  <c r="M822" i="1"/>
  <c r="M821" i="1"/>
  <c r="M820" i="1"/>
  <c r="M819" i="1"/>
  <c r="M818" i="1"/>
  <c r="M817" i="1"/>
  <c r="M816" i="1"/>
  <c r="M815" i="1"/>
  <c r="M814" i="1"/>
  <c r="M813" i="1"/>
  <c r="M812" i="1"/>
  <c r="M811" i="1"/>
  <c r="M810" i="1"/>
  <c r="M809" i="1"/>
  <c r="M808" i="1"/>
  <c r="M807" i="1"/>
  <c r="M806" i="1"/>
  <c r="M805" i="1"/>
  <c r="M803" i="1"/>
  <c r="M802" i="1"/>
  <c r="M801" i="1"/>
  <c r="M800" i="1"/>
  <c r="M799" i="1"/>
  <c r="M798" i="1"/>
  <c r="M797" i="1"/>
  <c r="M796" i="1"/>
  <c r="M795" i="1"/>
  <c r="O795" i="1" s="1"/>
  <c r="M794" i="1"/>
  <c r="M793" i="1"/>
  <c r="M790" i="1"/>
  <c r="M789" i="1"/>
  <c r="M788" i="1"/>
  <c r="M787" i="1"/>
  <c r="M786" i="1"/>
  <c r="M785" i="1"/>
  <c r="M784" i="1"/>
  <c r="M783" i="1"/>
  <c r="M782" i="1"/>
  <c r="M781" i="1"/>
  <c r="M780" i="1"/>
  <c r="M779" i="1"/>
  <c r="M778" i="1"/>
  <c r="M777" i="1"/>
  <c r="M776" i="1"/>
  <c r="M775" i="1"/>
  <c r="M774" i="1"/>
  <c r="M773" i="1"/>
  <c r="M772" i="1"/>
  <c r="M771" i="1"/>
  <c r="M770" i="1"/>
  <c r="M769" i="1"/>
  <c r="M768" i="1"/>
  <c r="M767" i="1"/>
  <c r="M766" i="1"/>
  <c r="M765" i="1"/>
  <c r="M764" i="1"/>
  <c r="M763" i="1"/>
  <c r="M762" i="1"/>
  <c r="M761" i="1"/>
  <c r="M760" i="1"/>
  <c r="M759" i="1"/>
  <c r="M758" i="1"/>
  <c r="M757" i="1"/>
  <c r="M756" i="1"/>
  <c r="M755" i="1"/>
  <c r="M754" i="1"/>
  <c r="M753" i="1"/>
  <c r="M752" i="1"/>
  <c r="M751" i="1"/>
  <c r="M750" i="1"/>
  <c r="M749" i="1"/>
  <c r="M748" i="1"/>
  <c r="M747" i="1"/>
  <c r="M746" i="1"/>
  <c r="M745" i="1"/>
  <c r="M744" i="1"/>
  <c r="M743" i="1"/>
  <c r="M742" i="1"/>
  <c r="M741" i="1"/>
  <c r="M740" i="1"/>
  <c r="M739" i="1"/>
  <c r="M738" i="1"/>
  <c r="M737" i="1"/>
  <c r="M736" i="1"/>
  <c r="M735" i="1"/>
  <c r="M734" i="1"/>
  <c r="M733" i="1"/>
  <c r="M732" i="1"/>
  <c r="M731" i="1"/>
  <c r="M730" i="1"/>
  <c r="M729" i="1"/>
  <c r="M728" i="1"/>
  <c r="M727" i="1"/>
  <c r="M726" i="1"/>
  <c r="M725" i="1"/>
  <c r="M724" i="1"/>
  <c r="M723" i="1"/>
  <c r="M722" i="1"/>
  <c r="M721" i="1"/>
  <c r="M720" i="1"/>
  <c r="M719" i="1"/>
  <c r="M718" i="1"/>
  <c r="M717" i="1"/>
  <c r="M716" i="1"/>
  <c r="M715" i="1"/>
  <c r="M714" i="1"/>
  <c r="M713" i="1"/>
  <c r="M712" i="1"/>
  <c r="M711" i="1"/>
  <c r="M710" i="1"/>
  <c r="M709" i="1"/>
  <c r="M707" i="1"/>
  <c r="M706" i="1"/>
  <c r="M705" i="1"/>
  <c r="M704" i="1"/>
  <c r="M703" i="1"/>
  <c r="M702" i="1"/>
  <c r="M701" i="1"/>
  <c r="M700" i="1"/>
  <c r="M699" i="1"/>
  <c r="M698" i="1"/>
  <c r="M697" i="1"/>
  <c r="M694" i="1"/>
  <c r="M693" i="1"/>
  <c r="M692" i="1"/>
  <c r="M691" i="1"/>
  <c r="M690" i="1"/>
  <c r="M689" i="1"/>
  <c r="M688" i="1"/>
  <c r="M687" i="1"/>
  <c r="M686" i="1"/>
  <c r="O686" i="1" s="1"/>
  <c r="M685" i="1"/>
  <c r="M684" i="1"/>
  <c r="M683" i="1"/>
  <c r="M682" i="1"/>
  <c r="M681" i="1"/>
  <c r="M680" i="1"/>
  <c r="M679" i="1"/>
  <c r="M678" i="1"/>
  <c r="M677" i="1"/>
  <c r="M676" i="1"/>
  <c r="M675" i="1"/>
  <c r="M674" i="1"/>
  <c r="M673" i="1"/>
  <c r="O673" i="1" s="1"/>
  <c r="M672" i="1"/>
  <c r="M671" i="1"/>
  <c r="M670" i="1"/>
  <c r="M669" i="1"/>
  <c r="M668" i="1"/>
  <c r="M667" i="1"/>
  <c r="M666" i="1"/>
  <c r="M665" i="1"/>
  <c r="M664" i="1"/>
  <c r="M663" i="1"/>
  <c r="M662" i="1"/>
  <c r="M661" i="1"/>
  <c r="M660" i="1"/>
  <c r="M659" i="1"/>
  <c r="M658" i="1"/>
  <c r="M657" i="1"/>
  <c r="M656" i="1"/>
  <c r="M655" i="1"/>
  <c r="M654" i="1"/>
  <c r="M653" i="1"/>
  <c r="M652" i="1"/>
  <c r="M651" i="1"/>
  <c r="M650" i="1"/>
  <c r="M649" i="1"/>
  <c r="M648" i="1"/>
  <c r="M647" i="1"/>
  <c r="M646" i="1"/>
  <c r="M645" i="1"/>
  <c r="M644" i="1"/>
  <c r="M643" i="1"/>
  <c r="M642" i="1"/>
  <c r="M641" i="1"/>
  <c r="M640" i="1"/>
  <c r="M639" i="1"/>
  <c r="M638" i="1"/>
  <c r="M637" i="1"/>
  <c r="O637" i="1" s="1"/>
  <c r="M636" i="1"/>
  <c r="M635" i="1"/>
  <c r="M634" i="1"/>
  <c r="M633" i="1"/>
  <c r="M632" i="1"/>
  <c r="M631" i="1"/>
  <c r="M630" i="1"/>
  <c r="M629" i="1"/>
  <c r="M628" i="1"/>
  <c r="M627" i="1"/>
  <c r="M626" i="1"/>
  <c r="M625" i="1"/>
  <c r="M624" i="1"/>
  <c r="M623" i="1"/>
  <c r="M622" i="1"/>
  <c r="M621" i="1"/>
  <c r="N621" i="1" s="1"/>
  <c r="M620" i="1"/>
  <c r="M619" i="1"/>
  <c r="M618" i="1"/>
  <c r="M617" i="1"/>
  <c r="M616" i="1"/>
  <c r="M615" i="1"/>
  <c r="M614" i="1"/>
  <c r="M613" i="1"/>
  <c r="M611" i="1"/>
  <c r="M610" i="1"/>
  <c r="M609" i="1"/>
  <c r="M608" i="1"/>
  <c r="M607" i="1"/>
  <c r="M606" i="1"/>
  <c r="M605" i="1"/>
  <c r="M604" i="1"/>
  <c r="M603" i="1"/>
  <c r="M602" i="1"/>
  <c r="M601" i="1"/>
  <c r="M600" i="1"/>
  <c r="M599" i="1"/>
  <c r="M598" i="1"/>
  <c r="M597" i="1"/>
  <c r="M594" i="1"/>
  <c r="M593" i="1"/>
  <c r="M592" i="1"/>
  <c r="M591" i="1"/>
  <c r="M590" i="1"/>
  <c r="M589" i="1"/>
  <c r="N589" i="1" s="1"/>
  <c r="M588" i="1"/>
  <c r="M587" i="1"/>
  <c r="M586" i="1"/>
  <c r="M585" i="1"/>
  <c r="M584" i="1"/>
  <c r="M583" i="1"/>
  <c r="M582" i="1"/>
  <c r="M581" i="1"/>
  <c r="O581" i="1" s="1"/>
  <c r="M580" i="1"/>
  <c r="M579" i="1"/>
  <c r="M578" i="1"/>
  <c r="M577" i="1"/>
  <c r="M576" i="1"/>
  <c r="M575" i="1"/>
  <c r="M574" i="1"/>
  <c r="M573" i="1"/>
  <c r="M572" i="1"/>
  <c r="M571" i="1"/>
  <c r="M570" i="1"/>
  <c r="M569" i="1"/>
  <c r="M568" i="1"/>
  <c r="M567" i="1"/>
  <c r="M566" i="1"/>
  <c r="M565" i="1"/>
  <c r="M564" i="1"/>
  <c r="M563" i="1"/>
  <c r="M562" i="1"/>
  <c r="M561" i="1"/>
  <c r="M560" i="1"/>
  <c r="O560" i="1" s="1"/>
  <c r="M559" i="1"/>
  <c r="M558" i="1"/>
  <c r="M556" i="1"/>
  <c r="M555" i="1"/>
  <c r="M554" i="1"/>
  <c r="M553" i="1"/>
  <c r="M552" i="1"/>
  <c r="N552" i="1" s="1"/>
  <c r="M551" i="1"/>
  <c r="M550" i="1"/>
  <c r="M549" i="1"/>
  <c r="M548" i="1"/>
  <c r="M547" i="1"/>
  <c r="M546" i="1"/>
  <c r="M545" i="1"/>
  <c r="M544" i="1"/>
  <c r="M543" i="1"/>
  <c r="M542" i="1"/>
  <c r="M541" i="1"/>
  <c r="M540" i="1"/>
  <c r="M539" i="1"/>
  <c r="M538" i="1"/>
  <c r="M537" i="1"/>
  <c r="M536" i="1"/>
  <c r="M535" i="1"/>
  <c r="M534" i="1"/>
  <c r="M533" i="1"/>
  <c r="N533" i="1" s="1"/>
  <c r="M532" i="1"/>
  <c r="M531" i="1"/>
  <c r="M530" i="1"/>
  <c r="M529" i="1"/>
  <c r="M528" i="1"/>
  <c r="M527" i="1"/>
  <c r="M526" i="1"/>
  <c r="O526" i="1" s="1"/>
  <c r="M525" i="1"/>
  <c r="M524" i="1"/>
  <c r="M523" i="1"/>
  <c r="M522" i="1"/>
  <c r="M521" i="1"/>
  <c r="M520" i="1"/>
  <c r="M519" i="1"/>
  <c r="M518" i="1"/>
  <c r="M517" i="1"/>
  <c r="M516" i="1"/>
  <c r="M515" i="1"/>
  <c r="M514" i="1"/>
  <c r="M513" i="1"/>
  <c r="M512" i="1"/>
  <c r="M511" i="1"/>
  <c r="M510" i="1"/>
  <c r="M509" i="1"/>
  <c r="M508" i="1"/>
  <c r="M507" i="1"/>
  <c r="M506" i="1"/>
  <c r="O506" i="1" s="1"/>
  <c r="M505" i="1"/>
  <c r="M504" i="1"/>
  <c r="M503" i="1"/>
  <c r="M502" i="1"/>
  <c r="M501" i="1"/>
  <c r="M500" i="1"/>
  <c r="N500" i="1" s="1"/>
  <c r="M499" i="1"/>
  <c r="M498" i="1"/>
  <c r="M497" i="1"/>
  <c r="M496" i="1"/>
  <c r="M495" i="1"/>
  <c r="M494" i="1"/>
  <c r="M493" i="1"/>
  <c r="M492" i="1"/>
  <c r="M491" i="1"/>
  <c r="M490" i="1"/>
  <c r="M489" i="1"/>
  <c r="M488" i="1"/>
  <c r="O488" i="1" s="1"/>
  <c r="M487" i="1"/>
  <c r="M486" i="1"/>
  <c r="M485" i="1"/>
  <c r="M484" i="1"/>
  <c r="N484" i="1" s="1"/>
  <c r="M483" i="1"/>
  <c r="M482" i="1"/>
  <c r="M481" i="1"/>
  <c r="M480" i="1"/>
  <c r="M479" i="1"/>
  <c r="M478" i="1"/>
  <c r="M477" i="1"/>
  <c r="M476" i="1"/>
  <c r="M475" i="1"/>
  <c r="M474" i="1"/>
  <c r="M473" i="1"/>
  <c r="M472" i="1"/>
  <c r="O472" i="1" s="1"/>
  <c r="M471" i="1"/>
  <c r="M470" i="1"/>
  <c r="M469" i="1"/>
  <c r="M468" i="1"/>
  <c r="M467" i="1"/>
  <c r="M466" i="1"/>
  <c r="N466" i="1" s="1"/>
  <c r="M465" i="1"/>
  <c r="M464" i="1"/>
  <c r="M463" i="1"/>
  <c r="M462" i="1"/>
  <c r="M461" i="1"/>
  <c r="M460" i="1"/>
  <c r="M459" i="1"/>
  <c r="M458" i="1"/>
  <c r="M457" i="1"/>
  <c r="O457" i="1" s="1"/>
  <c r="M456" i="1"/>
  <c r="M455" i="1"/>
  <c r="M454" i="1"/>
  <c r="N454" i="1" s="1"/>
  <c r="M453" i="1"/>
  <c r="M452" i="1"/>
  <c r="M451" i="1"/>
  <c r="M449" i="1"/>
  <c r="M448" i="1"/>
  <c r="M447" i="1"/>
  <c r="M446" i="1"/>
  <c r="N446" i="1" s="1"/>
  <c r="M445" i="1"/>
  <c r="M444" i="1"/>
  <c r="N444" i="1" s="1"/>
  <c r="M443" i="1"/>
  <c r="M442" i="1"/>
  <c r="M441" i="1"/>
  <c r="M440" i="1"/>
  <c r="M439" i="1"/>
  <c r="M438" i="1"/>
  <c r="M437" i="1"/>
  <c r="M436" i="1"/>
  <c r="N436" i="1" s="1"/>
  <c r="M435" i="1"/>
  <c r="M432" i="1"/>
  <c r="M431" i="1"/>
  <c r="M430" i="1"/>
  <c r="M429" i="1"/>
  <c r="M428" i="1"/>
  <c r="M427" i="1"/>
  <c r="M426" i="1"/>
  <c r="N426" i="1" s="1"/>
  <c r="M425" i="1"/>
  <c r="O425" i="1" s="1"/>
  <c r="M424" i="1"/>
  <c r="M423" i="1"/>
  <c r="M422" i="1"/>
  <c r="M421" i="1"/>
  <c r="M420" i="1"/>
  <c r="M419" i="1"/>
  <c r="M418" i="1"/>
  <c r="N418" i="1" s="1"/>
  <c r="M417" i="1"/>
  <c r="O417" i="1" s="1"/>
  <c r="M416" i="1"/>
  <c r="M415" i="1"/>
  <c r="M414" i="1"/>
  <c r="M413" i="1"/>
  <c r="N413" i="1" s="1"/>
  <c r="M412" i="1"/>
  <c r="O412" i="1" s="1"/>
  <c r="M411" i="1"/>
  <c r="M410" i="1"/>
  <c r="M409" i="1"/>
  <c r="M408" i="1"/>
  <c r="M407" i="1"/>
  <c r="M406" i="1"/>
  <c r="M405" i="1"/>
  <c r="N405" i="1" s="1"/>
  <c r="M404" i="1"/>
  <c r="O404" i="1" s="1"/>
  <c r="M403" i="1"/>
  <c r="M402" i="1"/>
  <c r="M401" i="1"/>
  <c r="M400" i="1"/>
  <c r="M399" i="1"/>
  <c r="M398" i="1"/>
  <c r="M397" i="1"/>
  <c r="N397" i="1" s="1"/>
  <c r="M396" i="1"/>
  <c r="O396" i="1" s="1"/>
  <c r="M394" i="1"/>
  <c r="M393" i="1"/>
  <c r="M392" i="1"/>
  <c r="M391" i="1"/>
  <c r="M390" i="1"/>
  <c r="M389" i="1"/>
  <c r="M388" i="1"/>
  <c r="N388" i="1" s="1"/>
  <c r="M387" i="1"/>
  <c r="O387" i="1" s="1"/>
  <c r="M386" i="1"/>
  <c r="M385" i="1"/>
  <c r="M384" i="1"/>
  <c r="M383" i="1"/>
  <c r="M382" i="1"/>
  <c r="M381" i="1"/>
  <c r="M380" i="1"/>
  <c r="N380" i="1" s="1"/>
  <c r="M379" i="1"/>
  <c r="O379" i="1" s="1"/>
  <c r="M378" i="1"/>
  <c r="M377" i="1"/>
  <c r="M376" i="1"/>
  <c r="M375" i="1"/>
  <c r="M374" i="1"/>
  <c r="N374" i="1" s="1"/>
  <c r="M373" i="1"/>
  <c r="O373" i="1" s="1"/>
  <c r="M372" i="1"/>
  <c r="M371" i="1"/>
  <c r="M370" i="1"/>
  <c r="M369" i="1"/>
  <c r="M368" i="1"/>
  <c r="M367" i="1"/>
  <c r="N367" i="1" s="1"/>
  <c r="M366" i="1"/>
  <c r="O366" i="1" s="1"/>
  <c r="M365" i="1"/>
  <c r="M364" i="1"/>
  <c r="M363" i="1"/>
  <c r="M362" i="1"/>
  <c r="M361" i="1"/>
  <c r="M360" i="1"/>
  <c r="M359" i="1"/>
  <c r="N359" i="1" s="1"/>
  <c r="M358" i="1"/>
  <c r="O358" i="1" s="1"/>
  <c r="M357" i="1"/>
  <c r="M356" i="1"/>
  <c r="M355" i="1"/>
  <c r="M354" i="1"/>
  <c r="M353" i="1"/>
  <c r="M352" i="1"/>
  <c r="M351" i="1"/>
  <c r="N351" i="1" s="1"/>
  <c r="M350" i="1"/>
  <c r="O350" i="1" s="1"/>
  <c r="M349" i="1"/>
  <c r="M348" i="1"/>
  <c r="M347" i="1"/>
  <c r="M346" i="1"/>
  <c r="M345" i="1"/>
  <c r="M344" i="1"/>
  <c r="M343" i="1"/>
  <c r="N343" i="1" s="1"/>
  <c r="M342" i="1"/>
  <c r="O342" i="1" s="1"/>
  <c r="M341" i="1"/>
  <c r="M340" i="1"/>
  <c r="M339" i="1"/>
  <c r="M338" i="1"/>
  <c r="M337" i="1"/>
  <c r="M336" i="1"/>
  <c r="M335" i="1"/>
  <c r="N335" i="1" s="1"/>
  <c r="M334" i="1"/>
  <c r="O334" i="1" s="1"/>
  <c r="M333" i="1"/>
  <c r="M332" i="1"/>
  <c r="M331" i="1"/>
  <c r="M330" i="1"/>
  <c r="M329" i="1"/>
  <c r="M328" i="1"/>
  <c r="M327" i="1"/>
  <c r="N327" i="1" s="1"/>
  <c r="M326" i="1"/>
  <c r="O326" i="1" s="1"/>
  <c r="M325" i="1"/>
  <c r="M324" i="1"/>
  <c r="M323" i="1"/>
  <c r="M322" i="1"/>
  <c r="M321" i="1"/>
  <c r="M320" i="1"/>
  <c r="M319" i="1"/>
  <c r="N319" i="1" s="1"/>
  <c r="M318" i="1"/>
  <c r="O318" i="1" s="1"/>
  <c r="M317" i="1"/>
  <c r="M316" i="1"/>
  <c r="M315" i="1"/>
  <c r="M314" i="1"/>
  <c r="M313" i="1"/>
  <c r="M312" i="1"/>
  <c r="M311" i="1"/>
  <c r="N311" i="1" s="1"/>
  <c r="M310" i="1"/>
  <c r="O310" i="1" s="1"/>
  <c r="M309" i="1"/>
  <c r="M308" i="1"/>
  <c r="M307" i="1"/>
  <c r="M306" i="1"/>
  <c r="M305" i="1"/>
  <c r="N305" i="1" s="1"/>
  <c r="M304" i="1"/>
  <c r="M303" i="1"/>
  <c r="O303" i="1" s="1"/>
  <c r="M302" i="1"/>
  <c r="M301" i="1"/>
  <c r="M300" i="1"/>
  <c r="M299" i="1"/>
  <c r="M298" i="1"/>
  <c r="N298" i="1" s="1"/>
  <c r="M297" i="1"/>
  <c r="N297" i="1" s="1"/>
  <c r="M296" i="1"/>
  <c r="M295" i="1"/>
  <c r="M294" i="1"/>
  <c r="M293" i="1"/>
  <c r="M292" i="1"/>
  <c r="M291" i="1"/>
  <c r="N291" i="1" s="1"/>
  <c r="M290" i="1"/>
  <c r="N290" i="1" s="1"/>
  <c r="M289" i="1"/>
  <c r="M288" i="1"/>
  <c r="M287" i="1"/>
  <c r="M285" i="1"/>
  <c r="O285" i="1" s="1"/>
  <c r="M284" i="1"/>
  <c r="M283" i="1"/>
  <c r="M282" i="1"/>
  <c r="N282" i="1" s="1"/>
  <c r="M281" i="1"/>
  <c r="M280" i="1"/>
  <c r="M279" i="1"/>
  <c r="M278" i="1"/>
  <c r="O278" i="1" s="1"/>
  <c r="M277" i="1"/>
  <c r="O277" i="1" s="1"/>
  <c r="M276" i="1"/>
  <c r="M275" i="1"/>
  <c r="M274" i="1"/>
  <c r="M273" i="1"/>
  <c r="M272" i="1"/>
  <c r="N272" i="1" s="1"/>
  <c r="M271" i="1"/>
  <c r="M270" i="1"/>
  <c r="O270" i="1" s="1"/>
  <c r="M268" i="1"/>
  <c r="M267" i="1"/>
  <c r="M266" i="1"/>
  <c r="M265" i="1"/>
  <c r="N265" i="1" s="1"/>
  <c r="M264" i="1"/>
  <c r="N264" i="1" s="1"/>
  <c r="M263" i="1"/>
  <c r="M262" i="1"/>
  <c r="M261" i="1"/>
  <c r="M260" i="1"/>
  <c r="M259" i="1"/>
  <c r="M258" i="1"/>
  <c r="N258" i="1" s="1"/>
  <c r="M257" i="1"/>
  <c r="N257" i="1" s="1"/>
  <c r="M256" i="1"/>
  <c r="M255" i="1"/>
  <c r="M254" i="1"/>
  <c r="M253" i="1"/>
  <c r="O253" i="1" s="1"/>
  <c r="M252" i="1"/>
  <c r="M251" i="1"/>
  <c r="M250" i="1"/>
  <c r="M249" i="1"/>
  <c r="O249" i="1" s="1"/>
  <c r="M248" i="1"/>
  <c r="O248" i="1" s="1"/>
  <c r="M247" i="1"/>
  <c r="M246" i="1"/>
  <c r="M245" i="1"/>
  <c r="M244" i="1"/>
  <c r="M243" i="1"/>
  <c r="N243" i="1" s="1"/>
  <c r="M242" i="1"/>
  <c r="M241" i="1"/>
  <c r="O241" i="1" s="1"/>
  <c r="M240" i="1"/>
  <c r="M238" i="1"/>
  <c r="M237" i="1"/>
  <c r="M236" i="1"/>
  <c r="O236" i="1" s="1"/>
  <c r="M235" i="1"/>
  <c r="O235" i="1" s="1"/>
  <c r="M234" i="1"/>
  <c r="M233" i="1"/>
  <c r="M232" i="1"/>
  <c r="O232" i="1" s="1"/>
  <c r="M231" i="1"/>
  <c r="O231" i="1" s="1"/>
  <c r="M230" i="1"/>
  <c r="M229" i="1"/>
  <c r="M228" i="1"/>
  <c r="O228" i="1" s="1"/>
  <c r="M227" i="1"/>
  <c r="O227" i="1" s="1"/>
  <c r="M226" i="1"/>
  <c r="O226" i="1" s="1"/>
  <c r="M225" i="1"/>
  <c r="M224" i="1"/>
  <c r="M223" i="1"/>
  <c r="O223" i="1" s="1"/>
  <c r="M222" i="1"/>
  <c r="M221" i="1"/>
  <c r="N221" i="1" s="1"/>
  <c r="M220" i="1"/>
  <c r="M219" i="1"/>
  <c r="M218" i="1"/>
  <c r="N218" i="1" s="1"/>
  <c r="M217" i="1"/>
  <c r="N217" i="1" s="1"/>
  <c r="M216" i="1"/>
  <c r="N216" i="1" s="1"/>
  <c r="M215" i="1"/>
  <c r="N215" i="1" s="1"/>
  <c r="M214" i="1"/>
  <c r="M213" i="1"/>
  <c r="M212" i="1"/>
  <c r="N212" i="1" s="1"/>
  <c r="M211" i="1"/>
  <c r="N211" i="1" s="1"/>
  <c r="M210" i="1"/>
  <c r="M209" i="1"/>
  <c r="M208" i="1"/>
  <c r="N208" i="1" s="1"/>
  <c r="M207" i="1"/>
  <c r="N207" i="1" s="1"/>
  <c r="M206" i="1"/>
  <c r="M205" i="1"/>
  <c r="N205" i="1" s="1"/>
  <c r="M204" i="1"/>
  <c r="N204" i="1" s="1"/>
  <c r="M203" i="1"/>
  <c r="M202" i="1"/>
  <c r="M201" i="1"/>
  <c r="N201" i="1" s="1"/>
  <c r="M200" i="1"/>
  <c r="N200" i="1" s="1"/>
  <c r="M199" i="1"/>
  <c r="M198" i="1"/>
  <c r="M197" i="1"/>
  <c r="N197" i="1" s="1"/>
  <c r="M196" i="1"/>
  <c r="N196" i="1" s="1"/>
  <c r="M195" i="1"/>
  <c r="M194" i="1"/>
  <c r="M193" i="1"/>
  <c r="N193" i="1" s="1"/>
  <c r="M192" i="1"/>
  <c r="N192" i="1" s="1"/>
  <c r="M191" i="1"/>
  <c r="M190" i="1"/>
  <c r="M189" i="1"/>
  <c r="N189" i="1" s="1"/>
  <c r="M188" i="1"/>
  <c r="N188" i="1" s="1"/>
  <c r="M187" i="1"/>
  <c r="M186" i="1"/>
  <c r="M185" i="1"/>
  <c r="N185" i="1" s="1"/>
  <c r="M184" i="1"/>
  <c r="N184" i="1" s="1"/>
  <c r="M183" i="1"/>
  <c r="M182" i="1"/>
  <c r="M181" i="1"/>
  <c r="N181" i="1" s="1"/>
  <c r="M180" i="1"/>
  <c r="N180" i="1" s="1"/>
  <c r="M179" i="1"/>
  <c r="M178" i="1"/>
  <c r="M177" i="1"/>
  <c r="N177" i="1" s="1"/>
  <c r="M176" i="1"/>
  <c r="N176" i="1" s="1"/>
  <c r="M175" i="1"/>
  <c r="M174" i="1"/>
  <c r="M173" i="1"/>
  <c r="N173" i="1" s="1"/>
  <c r="M172" i="1"/>
  <c r="N172" i="1" s="1"/>
  <c r="M171" i="1"/>
  <c r="M170" i="1"/>
  <c r="M169" i="1"/>
  <c r="N169" i="1" s="1"/>
  <c r="M168" i="1"/>
  <c r="N168" i="1" s="1"/>
  <c r="M167" i="1"/>
  <c r="M166" i="1"/>
  <c r="M165" i="1"/>
  <c r="N165" i="1" s="1"/>
  <c r="M164" i="1"/>
  <c r="N164" i="1" s="1"/>
  <c r="M163" i="1"/>
  <c r="M162" i="1"/>
  <c r="M161" i="1"/>
  <c r="N161" i="1" s="1"/>
  <c r="M160" i="1"/>
  <c r="N160" i="1" s="1"/>
  <c r="M159" i="1"/>
  <c r="M158" i="1"/>
  <c r="M157" i="1"/>
  <c r="N157" i="1" s="1"/>
  <c r="M156" i="1"/>
  <c r="N156" i="1" s="1"/>
  <c r="M155" i="1"/>
  <c r="M154" i="1"/>
  <c r="M153" i="1"/>
  <c r="N153" i="1" s="1"/>
  <c r="M152" i="1"/>
  <c r="N152" i="1" s="1"/>
  <c r="M151" i="1"/>
  <c r="M150" i="1"/>
  <c r="M149" i="1"/>
  <c r="N149" i="1" s="1"/>
  <c r="M148" i="1"/>
  <c r="N148" i="1" s="1"/>
  <c r="M147" i="1"/>
  <c r="M146" i="1"/>
  <c r="M145" i="1"/>
  <c r="N145" i="1" s="1"/>
  <c r="M144" i="1"/>
  <c r="N144" i="1" s="1"/>
  <c r="M143" i="1"/>
  <c r="M142" i="1"/>
  <c r="M141" i="1"/>
  <c r="N141" i="1" s="1"/>
  <c r="M140" i="1"/>
  <c r="N140" i="1" s="1"/>
  <c r="M139" i="1"/>
  <c r="M138" i="1"/>
  <c r="M137" i="1"/>
  <c r="N137" i="1" s="1"/>
  <c r="M136" i="1"/>
  <c r="N136" i="1" s="1"/>
  <c r="M135" i="1"/>
  <c r="M134" i="1"/>
  <c r="M133" i="1"/>
  <c r="N133" i="1" s="1"/>
  <c r="M132" i="1"/>
  <c r="N132" i="1" s="1"/>
  <c r="M131" i="1"/>
  <c r="M130" i="1"/>
  <c r="M129" i="1"/>
  <c r="N129" i="1" s="1"/>
  <c r="M128" i="1"/>
  <c r="N128" i="1" s="1"/>
  <c r="M127" i="1"/>
  <c r="N127" i="1" s="1"/>
  <c r="M126" i="1"/>
  <c r="M125" i="1"/>
  <c r="N125" i="1" s="1"/>
  <c r="M124" i="1"/>
  <c r="M123" i="1"/>
  <c r="N123" i="1" s="1"/>
  <c r="M122" i="1"/>
  <c r="M121" i="1"/>
  <c r="N121" i="1" s="1"/>
  <c r="M120" i="1"/>
  <c r="M118" i="1"/>
  <c r="M117" i="1"/>
  <c r="N117" i="1" s="1"/>
  <c r="M116" i="1"/>
  <c r="M115" i="1"/>
  <c r="N115" i="1" s="1"/>
  <c r="M114" i="1"/>
  <c r="M113" i="1"/>
  <c r="N113" i="1" s="1"/>
  <c r="M112" i="1"/>
  <c r="M111" i="1"/>
  <c r="N111" i="1" s="1"/>
  <c r="M110" i="1"/>
  <c r="M109" i="1"/>
  <c r="M108" i="1"/>
  <c r="N108" i="1" s="1"/>
  <c r="M107" i="1"/>
  <c r="N107" i="1" s="1"/>
  <c r="M106" i="1"/>
  <c r="M105" i="1"/>
  <c r="M104" i="1"/>
  <c r="N104" i="1" s="1"/>
  <c r="M103" i="1"/>
  <c r="M102" i="1"/>
  <c r="N102" i="1" s="1"/>
  <c r="M101" i="1"/>
  <c r="M100" i="1"/>
  <c r="N100" i="1" s="1"/>
  <c r="M99" i="1"/>
  <c r="M98" i="1"/>
  <c r="N98" i="1" s="1"/>
  <c r="M97" i="1"/>
  <c r="M96" i="1"/>
  <c r="N96" i="1" s="1"/>
  <c r="M95" i="1"/>
  <c r="M94" i="1"/>
  <c r="N94" i="1" s="1"/>
  <c r="M93" i="1"/>
  <c r="M92" i="1"/>
  <c r="N92" i="1" s="1"/>
  <c r="M91" i="1"/>
  <c r="M90" i="1"/>
  <c r="O90" i="1" s="1"/>
  <c r="M89" i="1"/>
  <c r="N89" i="1" s="1"/>
  <c r="M88" i="1"/>
  <c r="M87" i="1"/>
  <c r="M86" i="1"/>
  <c r="O86" i="1" s="1"/>
  <c r="M85" i="1"/>
  <c r="N85" i="1" s="1"/>
  <c r="M84" i="1"/>
  <c r="M83" i="1"/>
  <c r="M82" i="1"/>
  <c r="M81" i="1"/>
  <c r="O81" i="1" s="1"/>
  <c r="M79" i="1"/>
  <c r="O79" i="1" s="1"/>
  <c r="M78" i="1"/>
  <c r="N78" i="1" s="1"/>
  <c r="M77" i="1"/>
  <c r="M76" i="1"/>
  <c r="O76" i="1" s="1"/>
  <c r="M75" i="1"/>
  <c r="M74" i="1"/>
  <c r="N74" i="1" s="1"/>
  <c r="M73" i="1"/>
  <c r="M72" i="1"/>
  <c r="N72" i="1" s="1"/>
  <c r="M71" i="1"/>
  <c r="M70" i="1"/>
  <c r="O70" i="1" s="1"/>
  <c r="M69" i="1"/>
  <c r="O69" i="1" s="1"/>
  <c r="M68" i="1"/>
  <c r="O68" i="1" s="1"/>
  <c r="M67" i="1"/>
  <c r="O67" i="1" s="1"/>
  <c r="M65" i="1"/>
  <c r="O65" i="1" s="1"/>
  <c r="M64" i="1"/>
  <c r="O64" i="1" s="1"/>
  <c r="M63" i="1"/>
  <c r="O63" i="1" s="1"/>
  <c r="M62" i="1"/>
  <c r="O62" i="1" s="1"/>
  <c r="M61" i="1"/>
  <c r="O61" i="1" s="1"/>
  <c r="M60" i="1"/>
  <c r="O60" i="1" s="1"/>
  <c r="M59" i="1"/>
  <c r="O59" i="1" s="1"/>
  <c r="M58" i="1"/>
  <c r="O58" i="1" s="1"/>
  <c r="M57" i="1"/>
  <c r="N57" i="1" s="1"/>
  <c r="M56" i="1"/>
  <c r="O56" i="1" s="1"/>
  <c r="M55" i="1"/>
  <c r="O55" i="1" s="1"/>
  <c r="M54" i="1"/>
  <c r="O54" i="1" s="1"/>
  <c r="M53" i="1"/>
  <c r="O53" i="1" s="1"/>
  <c r="M52" i="1"/>
  <c r="N52" i="1" s="1"/>
  <c r="M51" i="1"/>
  <c r="O51" i="1" s="1"/>
  <c r="M50" i="1"/>
  <c r="O50" i="1" s="1"/>
  <c r="M49" i="1"/>
  <c r="O49" i="1" s="1"/>
  <c r="M48" i="1"/>
  <c r="N48" i="1" s="1"/>
  <c r="M47" i="1"/>
  <c r="O47" i="1" s="1"/>
  <c r="M46" i="1"/>
  <c r="O46" i="1" s="1"/>
  <c r="M45" i="1"/>
  <c r="O45" i="1" s="1"/>
  <c r="M44" i="1"/>
  <c r="O44" i="1" s="1"/>
  <c r="M43" i="1"/>
  <c r="N43" i="1" s="1"/>
  <c r="M42" i="1"/>
  <c r="O42" i="1" s="1"/>
  <c r="M41" i="1"/>
  <c r="O41" i="1" s="1"/>
  <c r="M40" i="1"/>
  <c r="O40" i="1" s="1"/>
  <c r="M39" i="1"/>
  <c r="O39" i="1" s="1"/>
  <c r="M38" i="1"/>
  <c r="N38" i="1" s="1"/>
  <c r="M37" i="1"/>
  <c r="O37" i="1" s="1"/>
  <c r="M36" i="1"/>
  <c r="O36" i="1" s="1"/>
  <c r="M35" i="1"/>
  <c r="O35" i="1" s="1"/>
  <c r="M34" i="1"/>
  <c r="O34" i="1" s="1"/>
  <c r="M33" i="1"/>
  <c r="N33" i="1" s="1"/>
  <c r="M32" i="1"/>
  <c r="O32" i="1" s="1"/>
  <c r="M31" i="1"/>
  <c r="O31" i="1" s="1"/>
  <c r="M30" i="1"/>
  <c r="N30" i="1" s="1"/>
  <c r="M29" i="1"/>
  <c r="O29" i="1" s="1"/>
  <c r="M28" i="1"/>
  <c r="O28" i="1" s="1"/>
  <c r="M27" i="1"/>
  <c r="O27" i="1" s="1"/>
  <c r="M26" i="1"/>
  <c r="O26" i="1" s="1"/>
  <c r="M25" i="1"/>
  <c r="O25" i="1" s="1"/>
  <c r="M24" i="1"/>
  <c r="O24" i="1" s="1"/>
  <c r="M23" i="1"/>
  <c r="O23" i="1" s="1"/>
  <c r="M22" i="1"/>
  <c r="O22" i="1" s="1"/>
  <c r="M21" i="1"/>
  <c r="O21" i="1" s="1"/>
  <c r="M20" i="1"/>
  <c r="O20" i="1" s="1"/>
  <c r="M19" i="1"/>
  <c r="N19" i="1" s="1"/>
  <c r="M18" i="1"/>
  <c r="O18" i="1" s="1"/>
  <c r="M17" i="1"/>
  <c r="O17" i="1" s="1"/>
  <c r="M16" i="1"/>
  <c r="N16" i="1" s="1"/>
  <c r="M15" i="1"/>
  <c r="O15" i="1" s="1"/>
  <c r="M14" i="1"/>
  <c r="O14" i="1" s="1"/>
  <c r="M13" i="1"/>
  <c r="O13" i="1" s="1"/>
  <c r="M12" i="1"/>
  <c r="O12" i="1" s="1"/>
  <c r="M11" i="1"/>
  <c r="O11" i="1" s="1"/>
  <c r="M10" i="1"/>
  <c r="O10" i="1" s="1"/>
  <c r="M9" i="1"/>
  <c r="N9" i="1" s="1"/>
  <c r="M8" i="1"/>
  <c r="O8" i="1" s="1"/>
  <c r="M7" i="1"/>
  <c r="O7" i="1" s="1"/>
  <c r="M6" i="1"/>
  <c r="O6" i="1" s="1"/>
  <c r="M5" i="1"/>
  <c r="O5" i="1" s="1"/>
  <c r="M4" i="1"/>
  <c r="O4" i="1" s="1"/>
  <c r="M3" i="1"/>
  <c r="O3" i="1" s="1"/>
  <c r="M2" i="1"/>
  <c r="N2" i="1" s="1"/>
  <c r="I208" i="2"/>
  <c r="J208" i="2" s="1"/>
  <c r="I435" i="2"/>
  <c r="J435" i="2" s="1"/>
  <c r="I436" i="2"/>
  <c r="J436" i="2" s="1"/>
  <c r="I437" i="2"/>
  <c r="J437" i="2" s="1"/>
  <c r="I964" i="1"/>
  <c r="J964" i="1" s="1"/>
  <c r="I523" i="1"/>
  <c r="J523" i="1" s="1"/>
  <c r="I361" i="1"/>
  <c r="J361" i="1" s="1"/>
  <c r="I915" i="1"/>
  <c r="J915" i="1" s="1"/>
  <c r="I465" i="1"/>
  <c r="J465" i="1" s="1"/>
  <c r="I303" i="1"/>
  <c r="J303" i="1" s="1"/>
  <c r="I1199" i="1"/>
  <c r="J1199" i="1" s="1"/>
  <c r="I1043" i="1"/>
  <c r="J1043" i="1" s="1"/>
  <c r="I899" i="1"/>
  <c r="J899" i="1" s="1"/>
  <c r="I803" i="1"/>
  <c r="J803" i="1" s="1"/>
  <c r="I707" i="1"/>
  <c r="J707" i="1" s="1"/>
  <c r="I611" i="1"/>
  <c r="J611" i="1" s="1"/>
  <c r="I449" i="1"/>
  <c r="J449" i="1" s="1"/>
  <c r="I287" i="1"/>
  <c r="J287" i="1" s="1"/>
  <c r="O30" i="1" l="1"/>
  <c r="O290" i="1"/>
  <c r="O2" i="1"/>
  <c r="O33" i="1"/>
  <c r="N318" i="1"/>
  <c r="O38" i="1"/>
  <c r="N350" i="1"/>
  <c r="O9" i="1"/>
  <c r="O43" i="1"/>
  <c r="O72" i="1"/>
  <c r="N379" i="1"/>
  <c r="O16" i="1"/>
  <c r="O48" i="1"/>
  <c r="N412" i="1"/>
  <c r="O19" i="1"/>
  <c r="O52" i="1"/>
  <c r="O221" i="1"/>
  <c r="O444" i="1"/>
  <c r="O57" i="1"/>
  <c r="N241" i="1"/>
  <c r="O500" i="1"/>
  <c r="O264" i="1"/>
  <c r="O621" i="1"/>
  <c r="O229" i="1"/>
  <c r="N229" i="1"/>
  <c r="O237" i="1"/>
  <c r="N237" i="1"/>
  <c r="O246" i="1"/>
  <c r="N246" i="1"/>
  <c r="O259" i="1"/>
  <c r="N259" i="1"/>
  <c r="O267" i="1"/>
  <c r="N267" i="1"/>
  <c r="O275" i="1"/>
  <c r="N275" i="1"/>
  <c r="O283" i="1"/>
  <c r="N283" i="1"/>
  <c r="O292" i="1"/>
  <c r="N292" i="1"/>
  <c r="O300" i="1"/>
  <c r="N300" i="1"/>
  <c r="O308" i="1"/>
  <c r="N308" i="1"/>
  <c r="O316" i="1"/>
  <c r="N316" i="1"/>
  <c r="O324" i="1"/>
  <c r="N324" i="1"/>
  <c r="O332" i="1"/>
  <c r="N332" i="1"/>
  <c r="O340" i="1"/>
  <c r="N340" i="1"/>
  <c r="O348" i="1"/>
  <c r="N348" i="1"/>
  <c r="O356" i="1"/>
  <c r="N356" i="1"/>
  <c r="O364" i="1"/>
  <c r="N364" i="1"/>
  <c r="O371" i="1"/>
  <c r="N371" i="1"/>
  <c r="O385" i="1"/>
  <c r="N385" i="1"/>
  <c r="O393" i="1"/>
  <c r="N393" i="1"/>
  <c r="O402" i="1"/>
  <c r="N402" i="1"/>
  <c r="O410" i="1"/>
  <c r="N410" i="1"/>
  <c r="O423" i="1"/>
  <c r="N423" i="1"/>
  <c r="O431" i="1"/>
  <c r="N431" i="1"/>
  <c r="O439" i="1"/>
  <c r="N439" i="1"/>
  <c r="O447" i="1"/>
  <c r="N447" i="1"/>
  <c r="O455" i="1"/>
  <c r="N455" i="1"/>
  <c r="N463" i="1"/>
  <c r="O463" i="1"/>
  <c r="N471" i="1"/>
  <c r="O471" i="1"/>
  <c r="N479" i="1"/>
  <c r="O479" i="1"/>
  <c r="N487" i="1"/>
  <c r="O487" i="1"/>
  <c r="N495" i="1"/>
  <c r="O495" i="1"/>
  <c r="N503" i="1"/>
  <c r="O503" i="1"/>
  <c r="N511" i="1"/>
  <c r="O511" i="1"/>
  <c r="N519" i="1"/>
  <c r="O519" i="1"/>
  <c r="N527" i="1"/>
  <c r="O527" i="1"/>
  <c r="N534" i="1"/>
  <c r="O534" i="1"/>
  <c r="N540" i="1"/>
  <c r="O540" i="1"/>
  <c r="N548" i="1"/>
  <c r="O548" i="1"/>
  <c r="N556" i="1"/>
  <c r="O556" i="1"/>
  <c r="N565" i="1"/>
  <c r="O565" i="1"/>
  <c r="N573" i="1"/>
  <c r="O573" i="1"/>
  <c r="O578" i="1"/>
  <c r="N578" i="1"/>
  <c r="O586" i="1"/>
  <c r="N586" i="1"/>
  <c r="O594" i="1"/>
  <c r="N594" i="1"/>
  <c r="O602" i="1"/>
  <c r="N602" i="1"/>
  <c r="O610" i="1"/>
  <c r="N610" i="1"/>
  <c r="O618" i="1"/>
  <c r="N618" i="1"/>
  <c r="O626" i="1"/>
  <c r="N626" i="1"/>
  <c r="O634" i="1"/>
  <c r="N634" i="1"/>
  <c r="O642" i="1"/>
  <c r="N642" i="1"/>
  <c r="O650" i="1"/>
  <c r="N650" i="1"/>
  <c r="O658" i="1"/>
  <c r="N658" i="1"/>
  <c r="N666" i="1"/>
  <c r="O666" i="1"/>
  <c r="O674" i="1"/>
  <c r="N674" i="1"/>
  <c r="O682" i="1"/>
  <c r="N682" i="1"/>
  <c r="O690" i="1"/>
  <c r="N690" i="1"/>
  <c r="O700" i="1"/>
  <c r="N700" i="1"/>
  <c r="O707" i="1"/>
  <c r="N707" i="1"/>
  <c r="O716" i="1"/>
  <c r="N716" i="1"/>
  <c r="O724" i="1"/>
  <c r="N724" i="1"/>
  <c r="O732" i="1"/>
  <c r="N732" i="1"/>
  <c r="O740" i="1"/>
  <c r="N740" i="1"/>
  <c r="O748" i="1"/>
  <c r="N748" i="1"/>
  <c r="O756" i="1"/>
  <c r="N756" i="1"/>
  <c r="O764" i="1"/>
  <c r="N764" i="1"/>
  <c r="O772" i="1"/>
  <c r="N772" i="1"/>
  <c r="O780" i="1"/>
  <c r="N780" i="1"/>
  <c r="O788" i="1"/>
  <c r="N788" i="1"/>
  <c r="O798" i="1"/>
  <c r="N798" i="1"/>
  <c r="O806" i="1"/>
  <c r="N806" i="1"/>
  <c r="O814" i="1"/>
  <c r="N814" i="1"/>
  <c r="O822" i="1"/>
  <c r="N822" i="1"/>
  <c r="O830" i="1"/>
  <c r="N830" i="1"/>
  <c r="O846" i="1"/>
  <c r="N846" i="1"/>
  <c r="O854" i="1"/>
  <c r="N854" i="1"/>
  <c r="O862" i="1"/>
  <c r="N862" i="1"/>
  <c r="O870" i="1"/>
  <c r="N870" i="1"/>
  <c r="O878" i="1"/>
  <c r="N878" i="1"/>
  <c r="O886" i="1"/>
  <c r="N886" i="1"/>
  <c r="O896" i="1"/>
  <c r="N896" i="1"/>
  <c r="O904" i="1"/>
  <c r="N904" i="1"/>
  <c r="O912" i="1"/>
  <c r="N912" i="1"/>
  <c r="O920" i="1"/>
  <c r="N920" i="1"/>
  <c r="O928" i="1"/>
  <c r="N928" i="1"/>
  <c r="O936" i="1"/>
  <c r="N936" i="1"/>
  <c r="O943" i="1"/>
  <c r="N943" i="1"/>
  <c r="O950" i="1"/>
  <c r="N950" i="1"/>
  <c r="O957" i="1"/>
  <c r="N957" i="1"/>
  <c r="O965" i="1"/>
  <c r="N965" i="1"/>
  <c r="O973" i="1"/>
  <c r="N973" i="1"/>
  <c r="O979" i="1"/>
  <c r="N979" i="1"/>
  <c r="O987" i="1"/>
  <c r="N987" i="1"/>
  <c r="O995" i="1"/>
  <c r="N995" i="1"/>
  <c r="O1003" i="1"/>
  <c r="N1003" i="1"/>
  <c r="O1010" i="1"/>
  <c r="N1010" i="1"/>
  <c r="O1015" i="1"/>
  <c r="N1015" i="1"/>
  <c r="O1022" i="1"/>
  <c r="N1022" i="1"/>
  <c r="O1045" i="1"/>
  <c r="N1045" i="1"/>
  <c r="O1053" i="1"/>
  <c r="N1053" i="1"/>
  <c r="O1061" i="1"/>
  <c r="N1061" i="1"/>
  <c r="O1069" i="1"/>
  <c r="N1069" i="1"/>
  <c r="O1077" i="1"/>
  <c r="N1077" i="1"/>
  <c r="O1085" i="1"/>
  <c r="N1085" i="1"/>
  <c r="O1093" i="1"/>
  <c r="N1093" i="1"/>
  <c r="O1101" i="1"/>
  <c r="N1101" i="1"/>
  <c r="O1109" i="1"/>
  <c r="N1109" i="1"/>
  <c r="O1117" i="1"/>
  <c r="N1117" i="1"/>
  <c r="O1124" i="1"/>
  <c r="N1124" i="1"/>
  <c r="O1132" i="1"/>
  <c r="N1132" i="1"/>
  <c r="O1138" i="1"/>
  <c r="N1138" i="1"/>
  <c r="O1146" i="1"/>
  <c r="N1146" i="1"/>
  <c r="O1155" i="1"/>
  <c r="N1155" i="1"/>
  <c r="O1163" i="1"/>
  <c r="N1163" i="1"/>
  <c r="O1168" i="1"/>
  <c r="N1168" i="1"/>
  <c r="O1176" i="1"/>
  <c r="N1176" i="1"/>
  <c r="O1184" i="1"/>
  <c r="N1184" i="1"/>
  <c r="O1192" i="1"/>
  <c r="N1192" i="1"/>
  <c r="N3" i="1"/>
  <c r="N13" i="1"/>
  <c r="N17" i="1"/>
  <c r="N21" i="1"/>
  <c r="N28" i="1"/>
  <c r="N34" i="1"/>
  <c r="N41" i="1"/>
  <c r="N45" i="1"/>
  <c r="N55" i="1"/>
  <c r="O74" i="1"/>
  <c r="O78" i="1"/>
  <c r="N86" i="1"/>
  <c r="O111" i="1"/>
  <c r="O127" i="1"/>
  <c r="O141" i="1"/>
  <c r="O157" i="1"/>
  <c r="O173" i="1"/>
  <c r="O189" i="1"/>
  <c r="O205" i="1"/>
  <c r="O218" i="1"/>
  <c r="N236" i="1"/>
  <c r="O258" i="1"/>
  <c r="N285" i="1"/>
  <c r="O311" i="1"/>
  <c r="O343" i="1"/>
  <c r="O374" i="1"/>
  <c r="O405" i="1"/>
  <c r="O436" i="1"/>
  <c r="N488" i="1"/>
  <c r="O589" i="1"/>
  <c r="O222" i="1"/>
  <c r="N222" i="1"/>
  <c r="O230" i="1"/>
  <c r="N230" i="1"/>
  <c r="N238" i="1"/>
  <c r="O238" i="1"/>
  <c r="N247" i="1"/>
  <c r="O247" i="1"/>
  <c r="N252" i="1"/>
  <c r="O252" i="1"/>
  <c r="N260" i="1"/>
  <c r="O260" i="1"/>
  <c r="N268" i="1"/>
  <c r="O268" i="1"/>
  <c r="N276" i="1"/>
  <c r="O276" i="1"/>
  <c r="N284" i="1"/>
  <c r="O284" i="1"/>
  <c r="N293" i="1"/>
  <c r="O293" i="1"/>
  <c r="N301" i="1"/>
  <c r="O301" i="1"/>
  <c r="N309" i="1"/>
  <c r="O309" i="1"/>
  <c r="N317" i="1"/>
  <c r="O317" i="1"/>
  <c r="N325" i="1"/>
  <c r="O325" i="1"/>
  <c r="N333" i="1"/>
  <c r="O333" i="1"/>
  <c r="N341" i="1"/>
  <c r="O341" i="1"/>
  <c r="N349" i="1"/>
  <c r="O349" i="1"/>
  <c r="N357" i="1"/>
  <c r="O357" i="1"/>
  <c r="N365" i="1"/>
  <c r="O365" i="1"/>
  <c r="N372" i="1"/>
  <c r="O372" i="1"/>
  <c r="N378" i="1"/>
  <c r="O378" i="1"/>
  <c r="N386" i="1"/>
  <c r="O386" i="1"/>
  <c r="N394" i="1"/>
  <c r="O394" i="1"/>
  <c r="N403" i="1"/>
  <c r="O403" i="1"/>
  <c r="N411" i="1"/>
  <c r="O411" i="1"/>
  <c r="N416" i="1"/>
  <c r="O416" i="1"/>
  <c r="N424" i="1"/>
  <c r="O424" i="1"/>
  <c r="N432" i="1"/>
  <c r="O432" i="1"/>
  <c r="N440" i="1"/>
  <c r="O440" i="1"/>
  <c r="N448" i="1"/>
  <c r="O448" i="1"/>
  <c r="N456" i="1"/>
  <c r="O456" i="1"/>
  <c r="O464" i="1"/>
  <c r="N464" i="1"/>
  <c r="O480" i="1"/>
  <c r="N480" i="1"/>
  <c r="O496" i="1"/>
  <c r="N496" i="1"/>
  <c r="O504" i="1"/>
  <c r="N504" i="1"/>
  <c r="O512" i="1"/>
  <c r="N512" i="1"/>
  <c r="O520" i="1"/>
  <c r="N520" i="1"/>
  <c r="O528" i="1"/>
  <c r="N528" i="1"/>
  <c r="O535" i="1"/>
  <c r="N535" i="1"/>
  <c r="O541" i="1"/>
  <c r="N541" i="1"/>
  <c r="O549" i="1"/>
  <c r="N549" i="1"/>
  <c r="O558" i="1"/>
  <c r="N558" i="1"/>
  <c r="O566" i="1"/>
  <c r="N566" i="1"/>
  <c r="O574" i="1"/>
  <c r="N574" i="1"/>
  <c r="O579" i="1"/>
  <c r="N579" i="1"/>
  <c r="O587" i="1"/>
  <c r="N587" i="1"/>
  <c r="O603" i="1"/>
  <c r="N603" i="1"/>
  <c r="O619" i="1"/>
  <c r="N619" i="1"/>
  <c r="O627" i="1"/>
  <c r="N627" i="1"/>
  <c r="O635" i="1"/>
  <c r="N635" i="1"/>
  <c r="O643" i="1"/>
  <c r="N643" i="1"/>
  <c r="O651" i="1"/>
  <c r="N651" i="1"/>
  <c r="O659" i="1"/>
  <c r="N659" i="1"/>
  <c r="O667" i="1"/>
  <c r="N667" i="1"/>
  <c r="O675" i="1"/>
  <c r="N675" i="1"/>
  <c r="O683" i="1"/>
  <c r="N683" i="1"/>
  <c r="O691" i="1"/>
  <c r="N691" i="1"/>
  <c r="O701" i="1"/>
  <c r="N701" i="1"/>
  <c r="O709" i="1"/>
  <c r="N709" i="1"/>
  <c r="O717" i="1"/>
  <c r="N717" i="1"/>
  <c r="O725" i="1"/>
  <c r="N725" i="1"/>
  <c r="O733" i="1"/>
  <c r="N733" i="1"/>
  <c r="O741" i="1"/>
  <c r="N741" i="1"/>
  <c r="O749" i="1"/>
  <c r="N749" i="1"/>
  <c r="O757" i="1"/>
  <c r="N757" i="1"/>
  <c r="O765" i="1"/>
  <c r="N765" i="1"/>
  <c r="O773" i="1"/>
  <c r="N773" i="1"/>
  <c r="O781" i="1"/>
  <c r="N781" i="1"/>
  <c r="O789" i="1"/>
  <c r="N789" i="1"/>
  <c r="O799" i="1"/>
  <c r="N799" i="1"/>
  <c r="O807" i="1"/>
  <c r="N807" i="1"/>
  <c r="O815" i="1"/>
  <c r="N815" i="1"/>
  <c r="O823" i="1"/>
  <c r="N823" i="1"/>
  <c r="O831" i="1"/>
  <c r="N831" i="1"/>
  <c r="O839" i="1"/>
  <c r="N839" i="1"/>
  <c r="O847" i="1"/>
  <c r="N847" i="1"/>
  <c r="O855" i="1"/>
  <c r="N855" i="1"/>
  <c r="O863" i="1"/>
  <c r="N863" i="1"/>
  <c r="O871" i="1"/>
  <c r="N871" i="1"/>
  <c r="N879" i="1"/>
  <c r="O879" i="1"/>
  <c r="O889" i="1"/>
  <c r="N889" i="1"/>
  <c r="N897" i="1"/>
  <c r="O897" i="1"/>
  <c r="O905" i="1"/>
  <c r="N905" i="1"/>
  <c r="N913" i="1"/>
  <c r="O913" i="1"/>
  <c r="O921" i="1"/>
  <c r="N921" i="1"/>
  <c r="N929" i="1"/>
  <c r="O929" i="1"/>
  <c r="O937" i="1"/>
  <c r="N937" i="1"/>
  <c r="N944" i="1"/>
  <c r="O944" i="1"/>
  <c r="O951" i="1"/>
  <c r="N951" i="1"/>
  <c r="O958" i="1"/>
  <c r="N958" i="1"/>
  <c r="O966" i="1"/>
  <c r="N966" i="1"/>
  <c r="O974" i="1"/>
  <c r="N974" i="1"/>
  <c r="O980" i="1"/>
  <c r="N980" i="1"/>
  <c r="O988" i="1"/>
  <c r="N988" i="1"/>
  <c r="O996" i="1"/>
  <c r="N996" i="1"/>
  <c r="O1004" i="1"/>
  <c r="N1004" i="1"/>
  <c r="O1011" i="1"/>
  <c r="N1011" i="1"/>
  <c r="O1016" i="1"/>
  <c r="N1016" i="1"/>
  <c r="O1023" i="1"/>
  <c r="N1023" i="1"/>
  <c r="O1031" i="1"/>
  <c r="N1031" i="1"/>
  <c r="O1038" i="1"/>
  <c r="N1038" i="1"/>
  <c r="O1046" i="1"/>
  <c r="N1046" i="1"/>
  <c r="O1054" i="1"/>
  <c r="N1054" i="1"/>
  <c r="O1062" i="1"/>
  <c r="N1062" i="1"/>
  <c r="O1070" i="1"/>
  <c r="N1070" i="1"/>
  <c r="O1078" i="1"/>
  <c r="N1078" i="1"/>
  <c r="O1086" i="1"/>
  <c r="N1086" i="1"/>
  <c r="O1094" i="1"/>
  <c r="N1094" i="1"/>
  <c r="O1102" i="1"/>
  <c r="N1102" i="1"/>
  <c r="O1110" i="1"/>
  <c r="N1110" i="1"/>
  <c r="O1118" i="1"/>
  <c r="N1118" i="1"/>
  <c r="O1125" i="1"/>
  <c r="N1125" i="1"/>
  <c r="O1139" i="1"/>
  <c r="N1139" i="1"/>
  <c r="O1147" i="1"/>
  <c r="N1147" i="1"/>
  <c r="O1156" i="1"/>
  <c r="N1156" i="1"/>
  <c r="O1164" i="1"/>
  <c r="N1164" i="1"/>
  <c r="O1169" i="1"/>
  <c r="N1169" i="1"/>
  <c r="O1177" i="1"/>
  <c r="N1177" i="1"/>
  <c r="O1185" i="1"/>
  <c r="N1185" i="1"/>
  <c r="O1193" i="1"/>
  <c r="N1193" i="1"/>
  <c r="N79" i="1"/>
  <c r="O102" i="1"/>
  <c r="O121" i="1"/>
  <c r="O128" i="1"/>
  <c r="O144" i="1"/>
  <c r="O160" i="1"/>
  <c r="O176" i="1"/>
  <c r="O192" i="1"/>
  <c r="O207" i="1"/>
  <c r="O87" i="1"/>
  <c r="N87" i="1"/>
  <c r="O93" i="1"/>
  <c r="N93" i="1"/>
  <c r="O95" i="1"/>
  <c r="N95" i="1"/>
  <c r="O99" i="1"/>
  <c r="N99" i="1"/>
  <c r="O103" i="1"/>
  <c r="N103" i="1"/>
  <c r="O109" i="1"/>
  <c r="N109" i="1"/>
  <c r="O116" i="1"/>
  <c r="N116" i="1"/>
  <c r="O122" i="1"/>
  <c r="N122" i="1"/>
  <c r="O130" i="1"/>
  <c r="N130" i="1"/>
  <c r="O138" i="1"/>
  <c r="N138" i="1"/>
  <c r="O146" i="1"/>
  <c r="N146" i="1"/>
  <c r="O154" i="1"/>
  <c r="N154" i="1"/>
  <c r="O162" i="1"/>
  <c r="N162" i="1"/>
  <c r="O170" i="1"/>
  <c r="N170" i="1"/>
  <c r="O178" i="1"/>
  <c r="N178" i="1"/>
  <c r="O186" i="1"/>
  <c r="N186" i="1"/>
  <c r="O194" i="1"/>
  <c r="N194" i="1"/>
  <c r="O202" i="1"/>
  <c r="N202" i="1"/>
  <c r="O209" i="1"/>
  <c r="N209" i="1"/>
  <c r="O240" i="1"/>
  <c r="N240" i="1"/>
  <c r="O261" i="1"/>
  <c r="N261" i="1"/>
  <c r="O294" i="1"/>
  <c r="N294" i="1"/>
  <c r="O302" i="1"/>
  <c r="N302" i="1"/>
  <c r="O441" i="1"/>
  <c r="N441" i="1"/>
  <c r="O465" i="1"/>
  <c r="N465" i="1"/>
  <c r="O473" i="1"/>
  <c r="N473" i="1"/>
  <c r="O481" i="1"/>
  <c r="N481" i="1"/>
  <c r="O489" i="1"/>
  <c r="N489" i="1"/>
  <c r="O497" i="1"/>
  <c r="N497" i="1"/>
  <c r="O505" i="1"/>
  <c r="N505" i="1"/>
  <c r="O513" i="1"/>
  <c r="N513" i="1"/>
  <c r="O521" i="1"/>
  <c r="N521" i="1"/>
  <c r="O529" i="1"/>
  <c r="N529" i="1"/>
  <c r="O536" i="1"/>
  <c r="N536" i="1"/>
  <c r="O542" i="1"/>
  <c r="N542" i="1"/>
  <c r="O550" i="1"/>
  <c r="N550" i="1"/>
  <c r="O559" i="1"/>
  <c r="N559" i="1"/>
  <c r="O567" i="1"/>
  <c r="N567" i="1"/>
  <c r="O575" i="1"/>
  <c r="N575" i="1"/>
  <c r="O580" i="1"/>
  <c r="N580" i="1"/>
  <c r="O588" i="1"/>
  <c r="N588" i="1"/>
  <c r="O604" i="1"/>
  <c r="N604" i="1"/>
  <c r="O611" i="1"/>
  <c r="N611" i="1"/>
  <c r="O620" i="1"/>
  <c r="N620" i="1"/>
  <c r="O628" i="1"/>
  <c r="N628" i="1"/>
  <c r="O636" i="1"/>
  <c r="N636" i="1"/>
  <c r="O644" i="1"/>
  <c r="N644" i="1"/>
  <c r="O652" i="1"/>
  <c r="N652" i="1"/>
  <c r="O660" i="1"/>
  <c r="N660" i="1"/>
  <c r="O668" i="1"/>
  <c r="N668" i="1"/>
  <c r="O676" i="1"/>
  <c r="N676" i="1"/>
  <c r="O684" i="1"/>
  <c r="N684" i="1"/>
  <c r="O692" i="1"/>
  <c r="N692" i="1"/>
  <c r="O702" i="1"/>
  <c r="N702" i="1"/>
  <c r="O710" i="1"/>
  <c r="N710" i="1"/>
  <c r="O718" i="1"/>
  <c r="N718" i="1"/>
  <c r="O726" i="1"/>
  <c r="N726" i="1"/>
  <c r="O734" i="1"/>
  <c r="N734" i="1"/>
  <c r="O742" i="1"/>
  <c r="N742" i="1"/>
  <c r="O750" i="1"/>
  <c r="N750" i="1"/>
  <c r="O758" i="1"/>
  <c r="N758" i="1"/>
  <c r="O766" i="1"/>
  <c r="N766" i="1"/>
  <c r="O774" i="1"/>
  <c r="N774" i="1"/>
  <c r="O782" i="1"/>
  <c r="N782" i="1"/>
  <c r="O790" i="1"/>
  <c r="N790" i="1"/>
  <c r="O800" i="1"/>
  <c r="N800" i="1"/>
  <c r="O808" i="1"/>
  <c r="N808" i="1"/>
  <c r="O816" i="1"/>
  <c r="N816" i="1"/>
  <c r="O824" i="1"/>
  <c r="N824" i="1"/>
  <c r="O832" i="1"/>
  <c r="N832" i="1"/>
  <c r="O840" i="1"/>
  <c r="N840" i="1"/>
  <c r="O848" i="1"/>
  <c r="N848" i="1"/>
  <c r="O856" i="1"/>
  <c r="N856" i="1"/>
  <c r="O864" i="1"/>
  <c r="N864" i="1"/>
  <c r="O872" i="1"/>
  <c r="N872" i="1"/>
  <c r="N880" i="1"/>
  <c r="O880" i="1"/>
  <c r="N890" i="1"/>
  <c r="O890" i="1"/>
  <c r="N898" i="1"/>
  <c r="O898" i="1"/>
  <c r="N906" i="1"/>
  <c r="O906" i="1"/>
  <c r="N914" i="1"/>
  <c r="O914" i="1"/>
  <c r="N922" i="1"/>
  <c r="O922" i="1"/>
  <c r="N930" i="1"/>
  <c r="O930" i="1"/>
  <c r="N938" i="1"/>
  <c r="O938" i="1"/>
  <c r="N952" i="1"/>
  <c r="O952" i="1"/>
  <c r="N959" i="1"/>
  <c r="O959" i="1"/>
  <c r="N967" i="1"/>
  <c r="O967" i="1"/>
  <c r="N975" i="1"/>
  <c r="O975" i="1"/>
  <c r="N981" i="1"/>
  <c r="O981" i="1"/>
  <c r="N989" i="1"/>
  <c r="O989" i="1"/>
  <c r="N997" i="1"/>
  <c r="O997" i="1"/>
  <c r="N1005" i="1"/>
  <c r="O1005" i="1"/>
  <c r="N1012" i="1"/>
  <c r="O1012" i="1"/>
  <c r="N1017" i="1"/>
  <c r="O1017" i="1"/>
  <c r="N1024" i="1"/>
  <c r="O1024" i="1"/>
  <c r="N1032" i="1"/>
  <c r="O1032" i="1"/>
  <c r="N1039" i="1"/>
  <c r="O1039" i="1"/>
  <c r="O1047" i="1"/>
  <c r="N1047" i="1"/>
  <c r="O1055" i="1"/>
  <c r="N1055" i="1"/>
  <c r="O1063" i="1"/>
  <c r="N1063" i="1"/>
  <c r="O1071" i="1"/>
  <c r="N1071" i="1"/>
  <c r="O1079" i="1"/>
  <c r="N1079" i="1"/>
  <c r="O1087" i="1"/>
  <c r="N1087" i="1"/>
  <c r="O1095" i="1"/>
  <c r="N1095" i="1"/>
  <c r="O1103" i="1"/>
  <c r="N1103" i="1"/>
  <c r="O1111" i="1"/>
  <c r="N1111" i="1"/>
  <c r="O1119" i="1"/>
  <c r="N1119" i="1"/>
  <c r="O1126" i="1"/>
  <c r="N1126" i="1"/>
  <c r="O1140" i="1"/>
  <c r="N1140" i="1"/>
  <c r="O1148" i="1"/>
  <c r="N1148" i="1"/>
  <c r="O1157" i="1"/>
  <c r="N1157" i="1"/>
  <c r="O1170" i="1"/>
  <c r="N1170" i="1"/>
  <c r="O1178" i="1"/>
  <c r="N1178" i="1"/>
  <c r="O1186" i="1"/>
  <c r="N1186" i="1"/>
  <c r="O1194" i="1"/>
  <c r="N1194" i="1"/>
  <c r="N5" i="1"/>
  <c r="N7" i="1"/>
  <c r="N10" i="1"/>
  <c r="N14" i="1"/>
  <c r="N18" i="1"/>
  <c r="N20" i="1"/>
  <c r="N24" i="1"/>
  <c r="N35" i="1"/>
  <c r="N39" i="1"/>
  <c r="N46" i="1"/>
  <c r="N50" i="1"/>
  <c r="N53" i="1"/>
  <c r="N60" i="1"/>
  <c r="N63" i="1"/>
  <c r="N65" i="1"/>
  <c r="N67" i="1"/>
  <c r="O89" i="1"/>
  <c r="O129" i="1"/>
  <c r="O145" i="1"/>
  <c r="O161" i="1"/>
  <c r="O177" i="1"/>
  <c r="O193" i="1"/>
  <c r="O208" i="1"/>
  <c r="N223" i="1"/>
  <c r="O243" i="1"/>
  <c r="O265" i="1"/>
  <c r="O291" i="1"/>
  <c r="O319" i="1"/>
  <c r="O351" i="1"/>
  <c r="O380" i="1"/>
  <c r="O413" i="1"/>
  <c r="O446" i="1"/>
  <c r="N506" i="1"/>
  <c r="N637" i="1"/>
  <c r="O71" i="1"/>
  <c r="N71" i="1"/>
  <c r="O75" i="1"/>
  <c r="N75" i="1"/>
  <c r="O82" i="1"/>
  <c r="N82" i="1"/>
  <c r="O84" i="1"/>
  <c r="N84" i="1"/>
  <c r="O88" i="1"/>
  <c r="N88" i="1"/>
  <c r="O110" i="1"/>
  <c r="N110" i="1"/>
  <c r="O126" i="1"/>
  <c r="N126" i="1"/>
  <c r="O131" i="1"/>
  <c r="N131" i="1"/>
  <c r="O139" i="1"/>
  <c r="N139" i="1"/>
  <c r="O147" i="1"/>
  <c r="N147" i="1"/>
  <c r="O155" i="1"/>
  <c r="N155" i="1"/>
  <c r="O163" i="1"/>
  <c r="N163" i="1"/>
  <c r="O171" i="1"/>
  <c r="N171" i="1"/>
  <c r="O179" i="1"/>
  <c r="N179" i="1"/>
  <c r="O187" i="1"/>
  <c r="N187" i="1"/>
  <c r="O195" i="1"/>
  <c r="N195" i="1"/>
  <c r="O203" i="1"/>
  <c r="N203" i="1"/>
  <c r="O210" i="1"/>
  <c r="N210" i="1"/>
  <c r="O224" i="1"/>
  <c r="N224" i="1"/>
  <c r="O254" i="1"/>
  <c r="N254" i="1"/>
  <c r="O262" i="1"/>
  <c r="N262" i="1"/>
  <c r="O287" i="1"/>
  <c r="N287" i="1"/>
  <c r="O295" i="1"/>
  <c r="N295" i="1"/>
  <c r="N442" i="1"/>
  <c r="O442" i="1"/>
  <c r="N449" i="1"/>
  <c r="O449" i="1"/>
  <c r="N458" i="1"/>
  <c r="O458" i="1"/>
  <c r="O474" i="1"/>
  <c r="N474" i="1"/>
  <c r="O482" i="1"/>
  <c r="N482" i="1"/>
  <c r="O490" i="1"/>
  <c r="N490" i="1"/>
  <c r="O498" i="1"/>
  <c r="N498" i="1"/>
  <c r="O514" i="1"/>
  <c r="N514" i="1"/>
  <c r="O522" i="1"/>
  <c r="N522" i="1"/>
  <c r="O537" i="1"/>
  <c r="N537" i="1"/>
  <c r="O543" i="1"/>
  <c r="N543" i="1"/>
  <c r="O551" i="1"/>
  <c r="N551" i="1"/>
  <c r="O568" i="1"/>
  <c r="N568" i="1"/>
  <c r="O576" i="1"/>
  <c r="N576" i="1"/>
  <c r="O597" i="1"/>
  <c r="N597" i="1"/>
  <c r="O605" i="1"/>
  <c r="N605" i="1"/>
  <c r="O613" i="1"/>
  <c r="N613" i="1"/>
  <c r="O629" i="1"/>
  <c r="N629" i="1"/>
  <c r="O645" i="1"/>
  <c r="N645" i="1"/>
  <c r="O653" i="1"/>
  <c r="N653" i="1"/>
  <c r="O661" i="1"/>
  <c r="N661" i="1"/>
  <c r="O669" i="1"/>
  <c r="N669" i="1"/>
  <c r="O677" i="1"/>
  <c r="N677" i="1"/>
  <c r="O685" i="1"/>
  <c r="N685" i="1"/>
  <c r="O693" i="1"/>
  <c r="N693" i="1"/>
  <c r="O703" i="1"/>
  <c r="N703" i="1"/>
  <c r="O711" i="1"/>
  <c r="N711" i="1"/>
  <c r="O719" i="1"/>
  <c r="N719" i="1"/>
  <c r="O727" i="1"/>
  <c r="N727" i="1"/>
  <c r="O735" i="1"/>
  <c r="N735" i="1"/>
  <c r="O743" i="1"/>
  <c r="N743" i="1"/>
  <c r="O751" i="1"/>
  <c r="N751" i="1"/>
  <c r="O759" i="1"/>
  <c r="N759" i="1"/>
  <c r="O767" i="1"/>
  <c r="N767" i="1"/>
  <c r="O775" i="1"/>
  <c r="N775" i="1"/>
  <c r="O783" i="1"/>
  <c r="N783" i="1"/>
  <c r="O793" i="1"/>
  <c r="N793" i="1"/>
  <c r="O801" i="1"/>
  <c r="N801" i="1"/>
  <c r="O809" i="1"/>
  <c r="N809" i="1"/>
  <c r="O817" i="1"/>
  <c r="N817" i="1"/>
  <c r="O825" i="1"/>
  <c r="N825" i="1"/>
  <c r="O833" i="1"/>
  <c r="N833" i="1"/>
  <c r="O841" i="1"/>
  <c r="N841" i="1"/>
  <c r="O849" i="1"/>
  <c r="N849" i="1"/>
  <c r="O857" i="1"/>
  <c r="N857" i="1"/>
  <c r="O865" i="1"/>
  <c r="N865" i="1"/>
  <c r="O873" i="1"/>
  <c r="N873" i="1"/>
  <c r="O881" i="1"/>
  <c r="N881" i="1"/>
  <c r="O891" i="1"/>
  <c r="N891" i="1"/>
  <c r="O907" i="1"/>
  <c r="N907" i="1"/>
  <c r="O915" i="1"/>
  <c r="N915" i="1"/>
  <c r="O923" i="1"/>
  <c r="N923" i="1"/>
  <c r="O931" i="1"/>
  <c r="N931" i="1"/>
  <c r="O939" i="1"/>
  <c r="N939" i="1"/>
  <c r="N945" i="1"/>
  <c r="O945" i="1"/>
  <c r="N953" i="1"/>
  <c r="O953" i="1"/>
  <c r="N960" i="1"/>
  <c r="O960" i="1"/>
  <c r="O968" i="1"/>
  <c r="N968" i="1"/>
  <c r="O976" i="1"/>
  <c r="N976" i="1"/>
  <c r="O982" i="1"/>
  <c r="N982" i="1"/>
  <c r="O990" i="1"/>
  <c r="N990" i="1"/>
  <c r="O998" i="1"/>
  <c r="N998" i="1"/>
  <c r="O1006" i="1"/>
  <c r="N1006" i="1"/>
  <c r="O1025" i="1"/>
  <c r="N1025" i="1"/>
  <c r="O1033" i="1"/>
  <c r="N1033" i="1"/>
  <c r="O1040" i="1"/>
  <c r="N1040" i="1"/>
  <c r="O1048" i="1"/>
  <c r="N1048" i="1"/>
  <c r="O1056" i="1"/>
  <c r="N1056" i="1"/>
  <c r="O1064" i="1"/>
  <c r="N1064" i="1"/>
  <c r="O1072" i="1"/>
  <c r="N1072" i="1"/>
  <c r="O1080" i="1"/>
  <c r="N1080" i="1"/>
  <c r="O1088" i="1"/>
  <c r="N1088" i="1"/>
  <c r="O1096" i="1"/>
  <c r="N1096" i="1"/>
  <c r="O1104" i="1"/>
  <c r="N1104" i="1"/>
  <c r="O1112" i="1"/>
  <c r="N1112" i="1"/>
  <c r="O1120" i="1"/>
  <c r="N1120" i="1"/>
  <c r="O1127" i="1"/>
  <c r="N1127" i="1"/>
  <c r="O1133" i="1"/>
  <c r="N1133" i="1"/>
  <c r="O1141" i="1"/>
  <c r="N1141" i="1"/>
  <c r="O1149" i="1"/>
  <c r="N1149" i="1"/>
  <c r="O1158" i="1"/>
  <c r="N1158" i="1"/>
  <c r="O1171" i="1"/>
  <c r="N1171" i="1"/>
  <c r="O1179" i="1"/>
  <c r="N1179" i="1"/>
  <c r="O1187" i="1"/>
  <c r="N1187" i="1"/>
  <c r="O1195" i="1"/>
  <c r="N1195" i="1"/>
  <c r="N81" i="1"/>
  <c r="N90" i="1"/>
  <c r="O96" i="1"/>
  <c r="O113" i="1"/>
  <c r="O123" i="1"/>
  <c r="O132" i="1"/>
  <c r="O148" i="1"/>
  <c r="O164" i="1"/>
  <c r="O180" i="1"/>
  <c r="O196" i="1"/>
  <c r="O211" i="1"/>
  <c r="N227" i="1"/>
  <c r="N248" i="1"/>
  <c r="N270" i="1"/>
  <c r="O297" i="1"/>
  <c r="N326" i="1"/>
  <c r="N358" i="1"/>
  <c r="N387" i="1"/>
  <c r="N417" i="1"/>
  <c r="O454" i="1"/>
  <c r="N526" i="1"/>
  <c r="N673" i="1"/>
  <c r="O225" i="1"/>
  <c r="N225" i="1"/>
  <c r="O233" i="1"/>
  <c r="N233" i="1"/>
  <c r="O242" i="1"/>
  <c r="N242" i="1"/>
  <c r="O250" i="1"/>
  <c r="N250" i="1"/>
  <c r="O255" i="1"/>
  <c r="N255" i="1"/>
  <c r="O263" i="1"/>
  <c r="N263" i="1"/>
  <c r="O271" i="1"/>
  <c r="N271" i="1"/>
  <c r="O279" i="1"/>
  <c r="N279" i="1"/>
  <c r="O288" i="1"/>
  <c r="N288" i="1"/>
  <c r="O296" i="1"/>
  <c r="N296" i="1"/>
  <c r="O304" i="1"/>
  <c r="N304" i="1"/>
  <c r="O312" i="1"/>
  <c r="N312" i="1"/>
  <c r="O320" i="1"/>
  <c r="N320" i="1"/>
  <c r="O328" i="1"/>
  <c r="N328" i="1"/>
  <c r="O336" i="1"/>
  <c r="N336" i="1"/>
  <c r="O344" i="1"/>
  <c r="N344" i="1"/>
  <c r="O352" i="1"/>
  <c r="N352" i="1"/>
  <c r="O360" i="1"/>
  <c r="N360" i="1"/>
  <c r="O375" i="1"/>
  <c r="N375" i="1"/>
  <c r="O381" i="1"/>
  <c r="N381" i="1"/>
  <c r="O389" i="1"/>
  <c r="N389" i="1"/>
  <c r="O398" i="1"/>
  <c r="N398" i="1"/>
  <c r="O406" i="1"/>
  <c r="N406" i="1"/>
  <c r="O414" i="1"/>
  <c r="N414" i="1"/>
  <c r="O419" i="1"/>
  <c r="N419" i="1"/>
  <c r="O427" i="1"/>
  <c r="N427" i="1"/>
  <c r="O435" i="1"/>
  <c r="N435" i="1"/>
  <c r="O443" i="1"/>
  <c r="N443" i="1"/>
  <c r="O451" i="1"/>
  <c r="N451" i="1"/>
  <c r="O459" i="1"/>
  <c r="N459" i="1"/>
  <c r="N467" i="1"/>
  <c r="O467" i="1"/>
  <c r="N475" i="1"/>
  <c r="O475" i="1"/>
  <c r="N483" i="1"/>
  <c r="O483" i="1"/>
  <c r="N491" i="1"/>
  <c r="O491" i="1"/>
  <c r="N499" i="1"/>
  <c r="O499" i="1"/>
  <c r="N507" i="1"/>
  <c r="O507" i="1"/>
  <c r="N515" i="1"/>
  <c r="O515" i="1"/>
  <c r="N523" i="1"/>
  <c r="O523" i="1"/>
  <c r="N530" i="1"/>
  <c r="O530" i="1"/>
  <c r="N538" i="1"/>
  <c r="O538" i="1"/>
  <c r="N544" i="1"/>
  <c r="O544" i="1"/>
  <c r="N561" i="1"/>
  <c r="O561" i="1"/>
  <c r="N569" i="1"/>
  <c r="O569" i="1"/>
  <c r="O577" i="1"/>
  <c r="N577" i="1"/>
  <c r="O582" i="1"/>
  <c r="N582" i="1"/>
  <c r="O590" i="1"/>
  <c r="N590" i="1"/>
  <c r="O598" i="1"/>
  <c r="N598" i="1"/>
  <c r="O606" i="1"/>
  <c r="N606" i="1"/>
  <c r="O614" i="1"/>
  <c r="N614" i="1"/>
  <c r="O622" i="1"/>
  <c r="N622" i="1"/>
  <c r="O630" i="1"/>
  <c r="N630" i="1"/>
  <c r="O638" i="1"/>
  <c r="N638" i="1"/>
  <c r="O646" i="1"/>
  <c r="N646" i="1"/>
  <c r="O654" i="1"/>
  <c r="N654" i="1"/>
  <c r="O662" i="1"/>
  <c r="N662" i="1"/>
  <c r="O670" i="1"/>
  <c r="N670" i="1"/>
  <c r="O678" i="1"/>
  <c r="N678" i="1"/>
  <c r="O694" i="1"/>
  <c r="N694" i="1"/>
  <c r="O704" i="1"/>
  <c r="N704" i="1"/>
  <c r="O712" i="1"/>
  <c r="N712" i="1"/>
  <c r="O720" i="1"/>
  <c r="N720" i="1"/>
  <c r="O728" i="1"/>
  <c r="N728" i="1"/>
  <c r="O736" i="1"/>
  <c r="N736" i="1"/>
  <c r="O744" i="1"/>
  <c r="N744" i="1"/>
  <c r="O752" i="1"/>
  <c r="N752" i="1"/>
  <c r="O760" i="1"/>
  <c r="N760" i="1"/>
  <c r="O768" i="1"/>
  <c r="N768" i="1"/>
  <c r="O776" i="1"/>
  <c r="N776" i="1"/>
  <c r="O784" i="1"/>
  <c r="N784" i="1"/>
  <c r="O794" i="1"/>
  <c r="N794" i="1"/>
  <c r="O802" i="1"/>
  <c r="N802" i="1"/>
  <c r="O810" i="1"/>
  <c r="N810" i="1"/>
  <c r="O818" i="1"/>
  <c r="N818" i="1"/>
  <c r="O826" i="1"/>
  <c r="N826" i="1"/>
  <c r="O834" i="1"/>
  <c r="N834" i="1"/>
  <c r="O842" i="1"/>
  <c r="N842" i="1"/>
  <c r="O850" i="1"/>
  <c r="N850" i="1"/>
  <c r="O858" i="1"/>
  <c r="N858" i="1"/>
  <c r="O866" i="1"/>
  <c r="N866" i="1"/>
  <c r="O874" i="1"/>
  <c r="N874" i="1"/>
  <c r="O882" i="1"/>
  <c r="N882" i="1"/>
  <c r="O892" i="1"/>
  <c r="N892" i="1"/>
  <c r="O899" i="1"/>
  <c r="N899" i="1"/>
  <c r="O908" i="1"/>
  <c r="N908" i="1"/>
  <c r="O916" i="1"/>
  <c r="N916" i="1"/>
  <c r="O924" i="1"/>
  <c r="N924" i="1"/>
  <c r="O932" i="1"/>
  <c r="N932" i="1"/>
  <c r="O940" i="1"/>
  <c r="N940" i="1"/>
  <c r="O946" i="1"/>
  <c r="N946" i="1"/>
  <c r="O954" i="1"/>
  <c r="N954" i="1"/>
  <c r="O961" i="1"/>
  <c r="N961" i="1"/>
  <c r="O969" i="1"/>
  <c r="N969" i="1"/>
  <c r="O977" i="1"/>
  <c r="N977" i="1"/>
  <c r="O983" i="1"/>
  <c r="N983" i="1"/>
  <c r="O991" i="1"/>
  <c r="N991" i="1"/>
  <c r="O999" i="1"/>
  <c r="N999" i="1"/>
  <c r="O1007" i="1"/>
  <c r="N1007" i="1"/>
  <c r="O1018" i="1"/>
  <c r="N1018" i="1"/>
  <c r="O1026" i="1"/>
  <c r="N1026" i="1"/>
  <c r="O1034" i="1"/>
  <c r="N1034" i="1"/>
  <c r="O1041" i="1"/>
  <c r="N1041" i="1"/>
  <c r="O1049" i="1"/>
  <c r="N1049" i="1"/>
  <c r="O1057" i="1"/>
  <c r="N1057" i="1"/>
  <c r="O1065" i="1"/>
  <c r="N1065" i="1"/>
  <c r="O1073" i="1"/>
  <c r="N1073" i="1"/>
  <c r="O1081" i="1"/>
  <c r="N1081" i="1"/>
  <c r="O1089" i="1"/>
  <c r="N1089" i="1"/>
  <c r="O1097" i="1"/>
  <c r="N1097" i="1"/>
  <c r="O1105" i="1"/>
  <c r="N1105" i="1"/>
  <c r="O1113" i="1"/>
  <c r="N1113" i="1"/>
  <c r="O1121" i="1"/>
  <c r="N1121" i="1"/>
  <c r="O1128" i="1"/>
  <c r="N1128" i="1"/>
  <c r="O1134" i="1"/>
  <c r="N1134" i="1"/>
  <c r="O1142" i="1"/>
  <c r="N1142" i="1"/>
  <c r="O1150" i="1"/>
  <c r="N1150" i="1"/>
  <c r="O1159" i="1"/>
  <c r="N1159" i="1"/>
  <c r="O1172" i="1"/>
  <c r="N1172" i="1"/>
  <c r="O1180" i="1"/>
  <c r="N1180" i="1"/>
  <c r="O1188" i="1"/>
  <c r="N1188" i="1"/>
  <c r="O1196" i="1"/>
  <c r="N1196" i="1"/>
  <c r="N4" i="1"/>
  <c r="N11" i="1"/>
  <c r="N15" i="1"/>
  <c r="N26" i="1"/>
  <c r="N29" i="1"/>
  <c r="N31" i="1"/>
  <c r="N36" i="1"/>
  <c r="N40" i="1"/>
  <c r="N42" i="1"/>
  <c r="N47" i="1"/>
  <c r="N49" i="1"/>
  <c r="N54" i="1"/>
  <c r="N56" i="1"/>
  <c r="N68" i="1"/>
  <c r="O104" i="1"/>
  <c r="O133" i="1"/>
  <c r="O149" i="1"/>
  <c r="O165" i="1"/>
  <c r="O181" i="1"/>
  <c r="O197" i="1"/>
  <c r="O212" i="1"/>
  <c r="N228" i="1"/>
  <c r="N249" i="1"/>
  <c r="O272" i="1"/>
  <c r="O298" i="1"/>
  <c r="O327" i="1"/>
  <c r="O359" i="1"/>
  <c r="O388" i="1"/>
  <c r="O418" i="1"/>
  <c r="N457" i="1"/>
  <c r="O533" i="1"/>
  <c r="N686" i="1"/>
  <c r="O234" i="1"/>
  <c r="N234" i="1"/>
  <c r="N251" i="1"/>
  <c r="O251" i="1"/>
  <c r="N256" i="1"/>
  <c r="O256" i="1"/>
  <c r="N280" i="1"/>
  <c r="O280" i="1"/>
  <c r="N289" i="1"/>
  <c r="O289" i="1"/>
  <c r="N313" i="1"/>
  <c r="O313" i="1"/>
  <c r="N321" i="1"/>
  <c r="O321" i="1"/>
  <c r="N329" i="1"/>
  <c r="O329" i="1"/>
  <c r="N337" i="1"/>
  <c r="O337" i="1"/>
  <c r="N345" i="1"/>
  <c r="O345" i="1"/>
  <c r="N353" i="1"/>
  <c r="O353" i="1"/>
  <c r="N361" i="1"/>
  <c r="O361" i="1"/>
  <c r="N368" i="1"/>
  <c r="O368" i="1"/>
  <c r="N376" i="1"/>
  <c r="O376" i="1"/>
  <c r="N382" i="1"/>
  <c r="O382" i="1"/>
  <c r="N390" i="1"/>
  <c r="O390" i="1"/>
  <c r="N399" i="1"/>
  <c r="O399" i="1"/>
  <c r="N407" i="1"/>
  <c r="O407" i="1"/>
  <c r="N415" i="1"/>
  <c r="O415" i="1"/>
  <c r="N420" i="1"/>
  <c r="O420" i="1"/>
  <c r="N428" i="1"/>
  <c r="O428" i="1"/>
  <c r="N452" i="1"/>
  <c r="O452" i="1"/>
  <c r="N460" i="1"/>
  <c r="O460" i="1"/>
  <c r="N468" i="1"/>
  <c r="O468" i="1"/>
  <c r="O476" i="1"/>
  <c r="N476" i="1"/>
  <c r="O492" i="1"/>
  <c r="N492" i="1"/>
  <c r="O508" i="1"/>
  <c r="N508" i="1"/>
  <c r="O516" i="1"/>
  <c r="N516" i="1"/>
  <c r="O524" i="1"/>
  <c r="N524" i="1"/>
  <c r="O531" i="1"/>
  <c r="N531" i="1"/>
  <c r="O539" i="1"/>
  <c r="N539" i="1"/>
  <c r="O545" i="1"/>
  <c r="N545" i="1"/>
  <c r="O553" i="1"/>
  <c r="N553" i="1"/>
  <c r="O562" i="1"/>
  <c r="N562" i="1"/>
  <c r="O570" i="1"/>
  <c r="N570" i="1"/>
  <c r="O583" i="1"/>
  <c r="N583" i="1"/>
  <c r="O591" i="1"/>
  <c r="N591" i="1"/>
  <c r="O599" i="1"/>
  <c r="N599" i="1"/>
  <c r="O607" i="1"/>
  <c r="N607" i="1"/>
  <c r="O615" i="1"/>
  <c r="N615" i="1"/>
  <c r="O623" i="1"/>
  <c r="N623" i="1"/>
  <c r="O631" i="1"/>
  <c r="N631" i="1"/>
  <c r="O639" i="1"/>
  <c r="N639" i="1"/>
  <c r="O647" i="1"/>
  <c r="N647" i="1"/>
  <c r="O655" i="1"/>
  <c r="N655" i="1"/>
  <c r="O663" i="1"/>
  <c r="N663" i="1"/>
  <c r="O671" i="1"/>
  <c r="N671" i="1"/>
  <c r="O679" i="1"/>
  <c r="N679" i="1"/>
  <c r="O687" i="1"/>
  <c r="N687" i="1"/>
  <c r="O697" i="1"/>
  <c r="N697" i="1"/>
  <c r="O705" i="1"/>
  <c r="N705" i="1"/>
  <c r="O713" i="1"/>
  <c r="N713" i="1"/>
  <c r="O721" i="1"/>
  <c r="N721" i="1"/>
  <c r="O729" i="1"/>
  <c r="N729" i="1"/>
  <c r="O737" i="1"/>
  <c r="N737" i="1"/>
  <c r="O745" i="1"/>
  <c r="N745" i="1"/>
  <c r="O753" i="1"/>
  <c r="N753" i="1"/>
  <c r="O761" i="1"/>
  <c r="N761" i="1"/>
  <c r="O769" i="1"/>
  <c r="N769" i="1"/>
  <c r="O777" i="1"/>
  <c r="N777" i="1"/>
  <c r="O785" i="1"/>
  <c r="N785" i="1"/>
  <c r="O811" i="1"/>
  <c r="N811" i="1"/>
  <c r="O819" i="1"/>
  <c r="N819" i="1"/>
  <c r="O827" i="1"/>
  <c r="N827" i="1"/>
  <c r="O835" i="1"/>
  <c r="N835" i="1"/>
  <c r="O843" i="1"/>
  <c r="N843" i="1"/>
  <c r="O851" i="1"/>
  <c r="N851" i="1"/>
  <c r="O859" i="1"/>
  <c r="N859" i="1"/>
  <c r="O867" i="1"/>
  <c r="N867" i="1"/>
  <c r="N875" i="1"/>
  <c r="O875" i="1"/>
  <c r="N883" i="1"/>
  <c r="O883" i="1"/>
  <c r="N893" i="1"/>
  <c r="O893" i="1"/>
  <c r="N901" i="1"/>
  <c r="O901" i="1"/>
  <c r="N909" i="1"/>
  <c r="O909" i="1"/>
  <c r="N917" i="1"/>
  <c r="O917" i="1"/>
  <c r="N925" i="1"/>
  <c r="O925" i="1"/>
  <c r="N933" i="1"/>
  <c r="O933" i="1"/>
  <c r="O947" i="1"/>
  <c r="N947" i="1"/>
  <c r="O962" i="1"/>
  <c r="N962" i="1"/>
  <c r="O970" i="1"/>
  <c r="N970" i="1"/>
  <c r="O978" i="1"/>
  <c r="N978" i="1"/>
  <c r="O984" i="1"/>
  <c r="N984" i="1"/>
  <c r="O1000" i="1"/>
  <c r="N1000" i="1"/>
  <c r="O1019" i="1"/>
  <c r="N1019" i="1"/>
  <c r="O1027" i="1"/>
  <c r="N1027" i="1"/>
  <c r="O1035" i="1"/>
  <c r="N1035" i="1"/>
  <c r="O1042" i="1"/>
  <c r="N1042" i="1"/>
  <c r="O1050" i="1"/>
  <c r="N1050" i="1"/>
  <c r="O1058" i="1"/>
  <c r="N1058" i="1"/>
  <c r="O1066" i="1"/>
  <c r="N1066" i="1"/>
  <c r="O1074" i="1"/>
  <c r="N1074" i="1"/>
  <c r="O1082" i="1"/>
  <c r="N1082" i="1"/>
  <c r="O1090" i="1"/>
  <c r="N1090" i="1"/>
  <c r="O1098" i="1"/>
  <c r="N1098" i="1"/>
  <c r="O1106" i="1"/>
  <c r="N1106" i="1"/>
  <c r="O1114" i="1"/>
  <c r="N1114" i="1"/>
  <c r="O1122" i="1"/>
  <c r="N1122" i="1"/>
  <c r="O1129" i="1"/>
  <c r="N1129" i="1"/>
  <c r="O1135" i="1"/>
  <c r="N1135" i="1"/>
  <c r="O1143" i="1"/>
  <c r="N1143" i="1"/>
  <c r="O1151" i="1"/>
  <c r="N1151" i="1"/>
  <c r="O1160" i="1"/>
  <c r="N1160" i="1"/>
  <c r="O1165" i="1"/>
  <c r="N1165" i="1"/>
  <c r="O1173" i="1"/>
  <c r="N1173" i="1"/>
  <c r="O1181" i="1"/>
  <c r="N1181" i="1"/>
  <c r="O1189" i="1"/>
  <c r="N1189" i="1"/>
  <c r="O1197" i="1"/>
  <c r="N1197" i="1"/>
  <c r="N70" i="1"/>
  <c r="O92" i="1"/>
  <c r="O98" i="1"/>
  <c r="O107" i="1"/>
  <c r="O115" i="1"/>
  <c r="O136" i="1"/>
  <c r="O152" i="1"/>
  <c r="O168" i="1"/>
  <c r="O184" i="1"/>
  <c r="O200" i="1"/>
  <c r="O215" i="1"/>
  <c r="N231" i="1"/>
  <c r="N277" i="1"/>
  <c r="N303" i="1"/>
  <c r="N334" i="1"/>
  <c r="N366" i="1"/>
  <c r="N396" i="1"/>
  <c r="N425" i="1"/>
  <c r="O466" i="1"/>
  <c r="O552" i="1"/>
  <c r="N795" i="1"/>
  <c r="O91" i="1"/>
  <c r="N91" i="1"/>
  <c r="O97" i="1"/>
  <c r="N97" i="1"/>
  <c r="O101" i="1"/>
  <c r="N101" i="1"/>
  <c r="O105" i="1"/>
  <c r="N105" i="1"/>
  <c r="O114" i="1"/>
  <c r="N114" i="1"/>
  <c r="O118" i="1"/>
  <c r="N118" i="1"/>
  <c r="O124" i="1"/>
  <c r="N124" i="1"/>
  <c r="O134" i="1"/>
  <c r="N134" i="1"/>
  <c r="O142" i="1"/>
  <c r="N142" i="1"/>
  <c r="O150" i="1"/>
  <c r="N150" i="1"/>
  <c r="O158" i="1"/>
  <c r="N158" i="1"/>
  <c r="O166" i="1"/>
  <c r="N166" i="1"/>
  <c r="O174" i="1"/>
  <c r="N174" i="1"/>
  <c r="O182" i="1"/>
  <c r="N182" i="1"/>
  <c r="O190" i="1"/>
  <c r="N190" i="1"/>
  <c r="O198" i="1"/>
  <c r="N198" i="1"/>
  <c r="O206" i="1"/>
  <c r="N206" i="1"/>
  <c r="O213" i="1"/>
  <c r="N213" i="1"/>
  <c r="O219" i="1"/>
  <c r="N219" i="1"/>
  <c r="O244" i="1"/>
  <c r="N244" i="1"/>
  <c r="O273" i="1"/>
  <c r="N273" i="1"/>
  <c r="O281" i="1"/>
  <c r="N281" i="1"/>
  <c r="O306" i="1"/>
  <c r="N306" i="1"/>
  <c r="O314" i="1"/>
  <c r="N314" i="1"/>
  <c r="O322" i="1"/>
  <c r="N322" i="1"/>
  <c r="O330" i="1"/>
  <c r="N330" i="1"/>
  <c r="O338" i="1"/>
  <c r="N338" i="1"/>
  <c r="O346" i="1"/>
  <c r="N346" i="1"/>
  <c r="O354" i="1"/>
  <c r="N354" i="1"/>
  <c r="O362" i="1"/>
  <c r="N362" i="1"/>
  <c r="O369" i="1"/>
  <c r="N369" i="1"/>
  <c r="O377" i="1"/>
  <c r="N377" i="1"/>
  <c r="O383" i="1"/>
  <c r="N383" i="1"/>
  <c r="O391" i="1"/>
  <c r="N391" i="1"/>
  <c r="O400" i="1"/>
  <c r="N400" i="1"/>
  <c r="O408" i="1"/>
  <c r="N408" i="1"/>
  <c r="O421" i="1"/>
  <c r="N421" i="1"/>
  <c r="O429" i="1"/>
  <c r="N429" i="1"/>
  <c r="O437" i="1"/>
  <c r="N437" i="1"/>
  <c r="O445" i="1"/>
  <c r="N445" i="1"/>
  <c r="O453" i="1"/>
  <c r="N453" i="1"/>
  <c r="O461" i="1"/>
  <c r="N461" i="1"/>
  <c r="O469" i="1"/>
  <c r="N469" i="1"/>
  <c r="O477" i="1"/>
  <c r="N477" i="1"/>
  <c r="O485" i="1"/>
  <c r="N485" i="1"/>
  <c r="O493" i="1"/>
  <c r="N493" i="1"/>
  <c r="O501" i="1"/>
  <c r="N501" i="1"/>
  <c r="O509" i="1"/>
  <c r="N509" i="1"/>
  <c r="O517" i="1"/>
  <c r="N517" i="1"/>
  <c r="O525" i="1"/>
  <c r="N525" i="1"/>
  <c r="O532" i="1"/>
  <c r="N532" i="1"/>
  <c r="O546" i="1"/>
  <c r="N546" i="1"/>
  <c r="O554" i="1"/>
  <c r="N554" i="1"/>
  <c r="O563" i="1"/>
  <c r="N563" i="1"/>
  <c r="O571" i="1"/>
  <c r="N571" i="1"/>
  <c r="O584" i="1"/>
  <c r="N584" i="1"/>
  <c r="O592" i="1"/>
  <c r="N592" i="1"/>
  <c r="O600" i="1"/>
  <c r="N600" i="1"/>
  <c r="O608" i="1"/>
  <c r="N608" i="1"/>
  <c r="O616" i="1"/>
  <c r="N616" i="1"/>
  <c r="O624" i="1"/>
  <c r="N624" i="1"/>
  <c r="O632" i="1"/>
  <c r="N632" i="1"/>
  <c r="O640" i="1"/>
  <c r="N640" i="1"/>
  <c r="O648" i="1"/>
  <c r="N648" i="1"/>
  <c r="O656" i="1"/>
  <c r="N656" i="1"/>
  <c r="O664" i="1"/>
  <c r="N664" i="1"/>
  <c r="O672" i="1"/>
  <c r="N672" i="1"/>
  <c r="O680" i="1"/>
  <c r="N680" i="1"/>
  <c r="O688" i="1"/>
  <c r="N688" i="1"/>
  <c r="O698" i="1"/>
  <c r="N698" i="1"/>
  <c r="O706" i="1"/>
  <c r="N706" i="1"/>
  <c r="O714" i="1"/>
  <c r="N714" i="1"/>
  <c r="O722" i="1"/>
  <c r="N722" i="1"/>
  <c r="O730" i="1"/>
  <c r="N730" i="1"/>
  <c r="O738" i="1"/>
  <c r="N738" i="1"/>
  <c r="O746" i="1"/>
  <c r="N746" i="1"/>
  <c r="O754" i="1"/>
  <c r="N754" i="1"/>
  <c r="O762" i="1"/>
  <c r="N762" i="1"/>
  <c r="O770" i="1"/>
  <c r="N770" i="1"/>
  <c r="O778" i="1"/>
  <c r="N778" i="1"/>
  <c r="O786" i="1"/>
  <c r="N786" i="1"/>
  <c r="O796" i="1"/>
  <c r="N796" i="1"/>
  <c r="O803" i="1"/>
  <c r="N803" i="1"/>
  <c r="O812" i="1"/>
  <c r="N812" i="1"/>
  <c r="O820" i="1"/>
  <c r="N820" i="1"/>
  <c r="O828" i="1"/>
  <c r="N828" i="1"/>
  <c r="O836" i="1"/>
  <c r="N836" i="1"/>
  <c r="O844" i="1"/>
  <c r="N844" i="1"/>
  <c r="O852" i="1"/>
  <c r="N852" i="1"/>
  <c r="O860" i="1"/>
  <c r="N860" i="1"/>
  <c r="O868" i="1"/>
  <c r="N868" i="1"/>
  <c r="N876" i="1"/>
  <c r="O876" i="1"/>
  <c r="N884" i="1"/>
  <c r="O884" i="1"/>
  <c r="N894" i="1"/>
  <c r="O894" i="1"/>
  <c r="N902" i="1"/>
  <c r="O902" i="1"/>
  <c r="N910" i="1"/>
  <c r="O910" i="1"/>
  <c r="N918" i="1"/>
  <c r="O918" i="1"/>
  <c r="N926" i="1"/>
  <c r="O926" i="1"/>
  <c r="N934" i="1"/>
  <c r="O934" i="1"/>
  <c r="N941" i="1"/>
  <c r="O941" i="1"/>
  <c r="N948" i="1"/>
  <c r="O948" i="1"/>
  <c r="N955" i="1"/>
  <c r="O955" i="1"/>
  <c r="N963" i="1"/>
  <c r="O963" i="1"/>
  <c r="N971" i="1"/>
  <c r="O971" i="1"/>
  <c r="N985" i="1"/>
  <c r="O985" i="1"/>
  <c r="N992" i="1"/>
  <c r="O992" i="1"/>
  <c r="N1001" i="1"/>
  <c r="O1001" i="1"/>
  <c r="N1008" i="1"/>
  <c r="O1008" i="1"/>
  <c r="N1013" i="1"/>
  <c r="O1013" i="1"/>
  <c r="N1020" i="1"/>
  <c r="O1020" i="1"/>
  <c r="N1028" i="1"/>
  <c r="O1028" i="1"/>
  <c r="O1051" i="1"/>
  <c r="N1051" i="1"/>
  <c r="O1059" i="1"/>
  <c r="N1059" i="1"/>
  <c r="O1067" i="1"/>
  <c r="N1067" i="1"/>
  <c r="O1075" i="1"/>
  <c r="N1075" i="1"/>
  <c r="O1083" i="1"/>
  <c r="N1083" i="1"/>
  <c r="O1091" i="1"/>
  <c r="N1091" i="1"/>
  <c r="O1099" i="1"/>
  <c r="N1099" i="1"/>
  <c r="O1107" i="1"/>
  <c r="N1107" i="1"/>
  <c r="O1115" i="1"/>
  <c r="N1115" i="1"/>
  <c r="O1130" i="1"/>
  <c r="N1130" i="1"/>
  <c r="O1136" i="1"/>
  <c r="N1136" i="1"/>
  <c r="O1144" i="1"/>
  <c r="N1144" i="1"/>
  <c r="O1153" i="1"/>
  <c r="N1153" i="1"/>
  <c r="O1161" i="1"/>
  <c r="N1161" i="1"/>
  <c r="O1166" i="1"/>
  <c r="N1166" i="1"/>
  <c r="O1174" i="1"/>
  <c r="N1174" i="1"/>
  <c r="O1190" i="1"/>
  <c r="N1190" i="1"/>
  <c r="O1198" i="1"/>
  <c r="N1198" i="1"/>
  <c r="N6" i="1"/>
  <c r="N8" i="1"/>
  <c r="N12" i="1"/>
  <c r="N22" i="1"/>
  <c r="N23" i="1"/>
  <c r="N25" i="1"/>
  <c r="N27" i="1"/>
  <c r="N32" i="1"/>
  <c r="N37" i="1"/>
  <c r="N44" i="1"/>
  <c r="N51" i="1"/>
  <c r="N58" i="1"/>
  <c r="N59" i="1"/>
  <c r="N61" i="1"/>
  <c r="N62" i="1"/>
  <c r="N64" i="1"/>
  <c r="N69" i="1"/>
  <c r="N76" i="1"/>
  <c r="O108" i="1"/>
  <c r="O125" i="1"/>
  <c r="O137" i="1"/>
  <c r="O153" i="1"/>
  <c r="O169" i="1"/>
  <c r="O185" i="1"/>
  <c r="O201" i="1"/>
  <c r="O216" i="1"/>
  <c r="N232" i="1"/>
  <c r="N253" i="1"/>
  <c r="N278" i="1"/>
  <c r="O305" i="1"/>
  <c r="O335" i="1"/>
  <c r="O367" i="1"/>
  <c r="O397" i="1"/>
  <c r="O426" i="1"/>
  <c r="N472" i="1"/>
  <c r="N560" i="1"/>
  <c r="N838" i="1"/>
  <c r="O73" i="1"/>
  <c r="N73" i="1"/>
  <c r="O77" i="1"/>
  <c r="N77" i="1"/>
  <c r="O83" i="1"/>
  <c r="N83" i="1"/>
  <c r="O106" i="1"/>
  <c r="N106" i="1"/>
  <c r="O112" i="1"/>
  <c r="N112" i="1"/>
  <c r="O120" i="1"/>
  <c r="N120" i="1"/>
  <c r="O135" i="1"/>
  <c r="N135" i="1"/>
  <c r="O143" i="1"/>
  <c r="N143" i="1"/>
  <c r="O151" i="1"/>
  <c r="N151" i="1"/>
  <c r="O159" i="1"/>
  <c r="N159" i="1"/>
  <c r="O167" i="1"/>
  <c r="N167" i="1"/>
  <c r="O175" i="1"/>
  <c r="N175" i="1"/>
  <c r="O183" i="1"/>
  <c r="N183" i="1"/>
  <c r="O191" i="1"/>
  <c r="N191" i="1"/>
  <c r="O199" i="1"/>
  <c r="N199" i="1"/>
  <c r="O214" i="1"/>
  <c r="N214" i="1"/>
  <c r="O220" i="1"/>
  <c r="N220" i="1"/>
  <c r="O245" i="1"/>
  <c r="N245" i="1"/>
  <c r="O266" i="1"/>
  <c r="N266" i="1"/>
  <c r="O274" i="1"/>
  <c r="N274" i="1"/>
  <c r="O299" i="1"/>
  <c r="N299" i="1"/>
  <c r="O307" i="1"/>
  <c r="N307" i="1"/>
  <c r="O315" i="1"/>
  <c r="N315" i="1"/>
  <c r="O323" i="1"/>
  <c r="N323" i="1"/>
  <c r="O331" i="1"/>
  <c r="N331" i="1"/>
  <c r="O339" i="1"/>
  <c r="N339" i="1"/>
  <c r="O347" i="1"/>
  <c r="N347" i="1"/>
  <c r="O355" i="1"/>
  <c r="N355" i="1"/>
  <c r="O363" i="1"/>
  <c r="N363" i="1"/>
  <c r="O370" i="1"/>
  <c r="N370" i="1"/>
  <c r="O384" i="1"/>
  <c r="N384" i="1"/>
  <c r="O392" i="1"/>
  <c r="N392" i="1"/>
  <c r="O401" i="1"/>
  <c r="N401" i="1"/>
  <c r="O409" i="1"/>
  <c r="N409" i="1"/>
  <c r="O422" i="1"/>
  <c r="N422" i="1"/>
  <c r="O430" i="1"/>
  <c r="N430" i="1"/>
  <c r="N438" i="1"/>
  <c r="O438" i="1"/>
  <c r="N462" i="1"/>
  <c r="O462" i="1"/>
  <c r="O470" i="1"/>
  <c r="N470" i="1"/>
  <c r="N478" i="1"/>
  <c r="O478" i="1"/>
  <c r="O486" i="1"/>
  <c r="N486" i="1"/>
  <c r="N494" i="1"/>
  <c r="O494" i="1"/>
  <c r="O502" i="1"/>
  <c r="N502" i="1"/>
  <c r="O510" i="1"/>
  <c r="N510" i="1"/>
  <c r="N518" i="1"/>
  <c r="O518" i="1"/>
  <c r="N547" i="1"/>
  <c r="O547" i="1"/>
  <c r="O555" i="1"/>
  <c r="N555" i="1"/>
  <c r="N564" i="1"/>
  <c r="O564" i="1"/>
  <c r="O572" i="1"/>
  <c r="N572" i="1"/>
  <c r="O585" i="1"/>
  <c r="N585" i="1"/>
  <c r="O593" i="1"/>
  <c r="N593" i="1"/>
  <c r="O601" i="1"/>
  <c r="N601" i="1"/>
  <c r="O609" i="1"/>
  <c r="N609" i="1"/>
  <c r="O617" i="1"/>
  <c r="N617" i="1"/>
  <c r="O625" i="1"/>
  <c r="N625" i="1"/>
  <c r="O633" i="1"/>
  <c r="N633" i="1"/>
  <c r="O641" i="1"/>
  <c r="N641" i="1"/>
  <c r="O649" i="1"/>
  <c r="N649" i="1"/>
  <c r="O657" i="1"/>
  <c r="N657" i="1"/>
  <c r="O665" i="1"/>
  <c r="N665" i="1"/>
  <c r="O681" i="1"/>
  <c r="N681" i="1"/>
  <c r="O689" i="1"/>
  <c r="N689" i="1"/>
  <c r="O699" i="1"/>
  <c r="N699" i="1"/>
  <c r="O715" i="1"/>
  <c r="N715" i="1"/>
  <c r="O723" i="1"/>
  <c r="N723" i="1"/>
  <c r="O731" i="1"/>
  <c r="N731" i="1"/>
  <c r="O739" i="1"/>
  <c r="N739" i="1"/>
  <c r="O747" i="1"/>
  <c r="N747" i="1"/>
  <c r="O755" i="1"/>
  <c r="N755" i="1"/>
  <c r="O763" i="1"/>
  <c r="N763" i="1"/>
  <c r="O771" i="1"/>
  <c r="N771" i="1"/>
  <c r="O779" i="1"/>
  <c r="N779" i="1"/>
  <c r="O787" i="1"/>
  <c r="N787" i="1"/>
  <c r="O797" i="1"/>
  <c r="N797" i="1"/>
  <c r="O805" i="1"/>
  <c r="N805" i="1"/>
  <c r="O813" i="1"/>
  <c r="N813" i="1"/>
  <c r="O821" i="1"/>
  <c r="N821" i="1"/>
  <c r="O829" i="1"/>
  <c r="N829" i="1"/>
  <c r="O837" i="1"/>
  <c r="N837" i="1"/>
  <c r="O845" i="1"/>
  <c r="N845" i="1"/>
  <c r="O853" i="1"/>
  <c r="N853" i="1"/>
  <c r="O861" i="1"/>
  <c r="N861" i="1"/>
  <c r="O869" i="1"/>
  <c r="N869" i="1"/>
  <c r="O877" i="1"/>
  <c r="N877" i="1"/>
  <c r="O885" i="1"/>
  <c r="N885" i="1"/>
  <c r="O895" i="1"/>
  <c r="N895" i="1"/>
  <c r="O903" i="1"/>
  <c r="N903" i="1"/>
  <c r="O911" i="1"/>
  <c r="N911" i="1"/>
  <c r="O919" i="1"/>
  <c r="N919" i="1"/>
  <c r="O927" i="1"/>
  <c r="N927" i="1"/>
  <c r="O935" i="1"/>
  <c r="N935" i="1"/>
  <c r="O942" i="1"/>
  <c r="N942" i="1"/>
  <c r="N949" i="1"/>
  <c r="O949" i="1"/>
  <c r="N956" i="1"/>
  <c r="O956" i="1"/>
  <c r="O964" i="1"/>
  <c r="N964" i="1"/>
  <c r="O972" i="1"/>
  <c r="N972" i="1"/>
  <c r="O986" i="1"/>
  <c r="N986" i="1"/>
  <c r="O994" i="1"/>
  <c r="N994" i="1"/>
  <c r="O1002" i="1"/>
  <c r="N1002" i="1"/>
  <c r="O1009" i="1"/>
  <c r="N1009" i="1"/>
  <c r="O1014" i="1"/>
  <c r="N1014" i="1"/>
  <c r="O1021" i="1"/>
  <c r="N1021" i="1"/>
  <c r="O1037" i="1"/>
  <c r="N1037" i="1"/>
  <c r="O1043" i="1"/>
  <c r="N1043" i="1"/>
  <c r="O1052" i="1"/>
  <c r="N1052" i="1"/>
  <c r="O1060" i="1"/>
  <c r="N1060" i="1"/>
  <c r="O1068" i="1"/>
  <c r="N1068" i="1"/>
  <c r="O1076" i="1"/>
  <c r="N1076" i="1"/>
  <c r="O1084" i="1"/>
  <c r="N1084" i="1"/>
  <c r="O1092" i="1"/>
  <c r="N1092" i="1"/>
  <c r="O1100" i="1"/>
  <c r="N1100" i="1"/>
  <c r="O1108" i="1"/>
  <c r="N1108" i="1"/>
  <c r="O1116" i="1"/>
  <c r="N1116" i="1"/>
  <c r="O1123" i="1"/>
  <c r="N1123" i="1"/>
  <c r="O1131" i="1"/>
  <c r="N1131" i="1"/>
  <c r="O1137" i="1"/>
  <c r="N1137" i="1"/>
  <c r="O1145" i="1"/>
  <c r="N1145" i="1"/>
  <c r="O1154" i="1"/>
  <c r="N1154" i="1"/>
  <c r="O1162" i="1"/>
  <c r="N1162" i="1"/>
  <c r="O1167" i="1"/>
  <c r="N1167" i="1"/>
  <c r="O1175" i="1"/>
  <c r="N1175" i="1"/>
  <c r="O1191" i="1"/>
  <c r="N1191" i="1"/>
  <c r="O1199" i="1"/>
  <c r="N1199" i="1"/>
  <c r="O85" i="1"/>
  <c r="O94" i="1"/>
  <c r="O100" i="1"/>
  <c r="O117" i="1"/>
  <c r="O140" i="1"/>
  <c r="O156" i="1"/>
  <c r="O172" i="1"/>
  <c r="O188" i="1"/>
  <c r="O204" i="1"/>
  <c r="O217" i="1"/>
  <c r="N235" i="1"/>
  <c r="O257" i="1"/>
  <c r="O282" i="1"/>
  <c r="N310" i="1"/>
  <c r="N342" i="1"/>
  <c r="N373" i="1"/>
  <c r="N404" i="1"/>
  <c r="O484" i="1"/>
  <c r="N581" i="1"/>
  <c r="O1036" i="1"/>
  <c r="N226" i="1"/>
  <c r="I411" i="2"/>
  <c r="J411" i="2" s="1"/>
  <c r="I412" i="2"/>
  <c r="J412" i="2" s="1"/>
  <c r="I377" i="2"/>
  <c r="J377" i="2" s="1"/>
  <c r="I375" i="2"/>
  <c r="J375" i="2" s="1"/>
  <c r="I335" i="2"/>
  <c r="J335" i="2" s="1"/>
  <c r="I334" i="2"/>
  <c r="J334" i="2" s="1"/>
  <c r="I301" i="2"/>
  <c r="J301" i="2" s="1"/>
  <c r="I302" i="2"/>
  <c r="J302" i="2" s="1"/>
  <c r="I298" i="2"/>
  <c r="J298" i="2" s="1"/>
  <c r="I252" i="2"/>
  <c r="J252" i="2" s="1"/>
  <c r="I194" i="2"/>
  <c r="J194" i="2" s="1"/>
  <c r="I192" i="2"/>
  <c r="J192" i="2" s="1"/>
  <c r="I171" i="2"/>
  <c r="J171" i="2" s="1"/>
  <c r="I148" i="2"/>
  <c r="J148" i="2" s="1"/>
  <c r="I145" i="2"/>
  <c r="J145" i="2" s="1"/>
  <c r="I137" i="2"/>
  <c r="J137" i="2" s="1"/>
  <c r="I103" i="2"/>
  <c r="J103" i="2" s="1"/>
  <c r="I36" i="2"/>
  <c r="J36" i="2" s="1"/>
  <c r="I331" i="2"/>
  <c r="J331" i="2" s="1"/>
  <c r="I1009" i="1"/>
  <c r="J1009" i="1" s="1"/>
  <c r="I574" i="1"/>
  <c r="J574" i="1" s="1"/>
  <c r="I412" i="1"/>
  <c r="J412" i="1" s="1"/>
  <c r="I1056" i="1"/>
  <c r="J1056" i="1" s="1"/>
  <c r="I1058" i="1"/>
  <c r="J1058" i="1" s="1"/>
  <c r="I1057" i="1"/>
  <c r="J1057" i="1" s="1"/>
  <c r="I911" i="1"/>
  <c r="J911" i="1" s="1"/>
  <c r="I913" i="1"/>
  <c r="J913" i="1" s="1"/>
  <c r="I912" i="1"/>
  <c r="J912" i="1" s="1"/>
  <c r="I461" i="1"/>
  <c r="J461" i="1" s="1"/>
  <c r="I463" i="1"/>
  <c r="J463" i="1" s="1"/>
  <c r="I462" i="1"/>
  <c r="J462" i="1" s="1"/>
  <c r="I299" i="1"/>
  <c r="J299" i="1" s="1"/>
  <c r="I301" i="1"/>
  <c r="J301" i="1" s="1"/>
  <c r="I300" i="1"/>
  <c r="J300" i="1" s="1"/>
  <c r="I1142" i="1"/>
  <c r="J1142" i="1" s="1"/>
  <c r="I988" i="1"/>
  <c r="J988" i="1" s="1"/>
  <c r="I867" i="1"/>
  <c r="J867" i="1" s="1"/>
  <c r="I771" i="1"/>
  <c r="J771" i="1" s="1"/>
  <c r="I675" i="1"/>
  <c r="J675" i="1" s="1"/>
  <c r="I549" i="1"/>
  <c r="J549" i="1" s="1"/>
  <c r="I387" i="1"/>
  <c r="J387" i="1" s="1"/>
  <c r="I229" i="1"/>
  <c r="J229" i="1" s="1"/>
  <c r="I1191" i="1"/>
  <c r="J1191" i="1" s="1"/>
  <c r="I1190" i="1"/>
  <c r="J1190" i="1" s="1"/>
  <c r="I605" i="1"/>
  <c r="J605" i="1" s="1"/>
  <c r="I604" i="1"/>
  <c r="J604" i="1" s="1"/>
  <c r="I443" i="1"/>
  <c r="J443" i="1" s="1"/>
  <c r="I442" i="1"/>
  <c r="J442" i="1" s="1"/>
  <c r="I278" i="1"/>
  <c r="J278" i="1" s="1"/>
  <c r="I277" i="1"/>
  <c r="J277" i="1" s="1"/>
  <c r="I270" i="1"/>
  <c r="J270" i="1" s="1"/>
  <c r="I1178" i="1"/>
  <c r="J1178" i="1" s="1"/>
  <c r="I1177" i="1"/>
  <c r="J1177" i="1" s="1"/>
  <c r="I1024" i="1"/>
  <c r="J1024" i="1" s="1"/>
  <c r="I1023" i="1"/>
  <c r="J1023" i="1" s="1"/>
  <c r="I590" i="1"/>
  <c r="J590" i="1" s="1"/>
  <c r="I589" i="1"/>
  <c r="J589" i="1" s="1"/>
  <c r="I428" i="1"/>
  <c r="J428" i="1" s="1"/>
  <c r="I427" i="1"/>
  <c r="J427" i="1" s="1"/>
  <c r="I265" i="1"/>
  <c r="J265" i="1" s="1"/>
  <c r="I264" i="1"/>
  <c r="J264" i="1" s="1"/>
  <c r="I1160" i="1"/>
  <c r="J1160" i="1" s="1"/>
  <c r="I1159" i="1"/>
  <c r="J1159" i="1" s="1"/>
  <c r="I1008" i="1"/>
  <c r="J1008" i="1" s="1"/>
  <c r="I573" i="1"/>
  <c r="J573" i="1" s="1"/>
  <c r="I572" i="1"/>
  <c r="J572" i="1" s="1"/>
  <c r="I411" i="1"/>
  <c r="J411" i="1" s="1"/>
  <c r="I410" i="1"/>
  <c r="J410" i="1" s="1"/>
  <c r="I247" i="1"/>
  <c r="J247" i="1" s="1"/>
  <c r="I246" i="1"/>
  <c r="J246" i="1" s="1"/>
  <c r="I1147" i="1"/>
  <c r="J1147" i="1" s="1"/>
  <c r="I1146" i="1"/>
  <c r="J1146" i="1" s="1"/>
  <c r="I555" i="1"/>
  <c r="J555" i="1" s="1"/>
  <c r="I554" i="1"/>
  <c r="J554" i="1" s="1"/>
  <c r="I393" i="1"/>
  <c r="J393" i="1" s="1"/>
  <c r="I392" i="1"/>
  <c r="J392" i="1" s="1"/>
  <c r="I234" i="1"/>
  <c r="J234" i="1" s="1"/>
  <c r="I233" i="1"/>
  <c r="J233" i="1" s="1"/>
  <c r="I1143" i="1"/>
  <c r="J1143" i="1" s="1"/>
  <c r="I550" i="1"/>
  <c r="J550" i="1" s="1"/>
  <c r="I388" i="1"/>
  <c r="J388" i="1" s="1"/>
  <c r="I230" i="1"/>
  <c r="J230" i="1" s="1"/>
  <c r="I1131" i="1"/>
  <c r="J1131" i="1" s="1"/>
  <c r="I538" i="1"/>
  <c r="J538" i="1" s="1"/>
  <c r="I376" i="1"/>
  <c r="J376" i="1" s="1"/>
  <c r="I215" i="1"/>
  <c r="J215" i="1" s="1"/>
  <c r="I1111" i="1"/>
  <c r="J1111" i="1" s="1"/>
  <c r="I519" i="1"/>
  <c r="J519" i="1" s="1"/>
  <c r="I357" i="1"/>
  <c r="J357" i="1" s="1"/>
  <c r="I195" i="1"/>
  <c r="J195" i="1" s="1"/>
  <c r="I1109" i="1"/>
  <c r="J1109" i="1" s="1"/>
  <c r="I517" i="1"/>
  <c r="J517" i="1" s="1"/>
  <c r="I355" i="1"/>
  <c r="J355" i="1" s="1"/>
  <c r="I193" i="1"/>
  <c r="J193" i="1" s="1"/>
  <c r="I1102" i="1"/>
  <c r="J1102" i="1" s="1"/>
  <c r="I510" i="1"/>
  <c r="J510" i="1" s="1"/>
  <c r="I348" i="1"/>
  <c r="J348" i="1" s="1"/>
  <c r="I186" i="1"/>
  <c r="J186" i="1" s="1"/>
  <c r="I1095" i="1"/>
  <c r="J1095" i="1" s="1"/>
  <c r="I948" i="1"/>
  <c r="J948" i="1" s="1"/>
  <c r="I503" i="1"/>
  <c r="J503" i="1" s="1"/>
  <c r="I341" i="1"/>
  <c r="J341" i="1" s="1"/>
  <c r="I179" i="1"/>
  <c r="J179" i="1" s="1"/>
  <c r="I1093" i="1"/>
  <c r="J1093" i="1" s="1"/>
  <c r="I946" i="1"/>
  <c r="J946" i="1" s="1"/>
  <c r="I501" i="1"/>
  <c r="J501" i="1" s="1"/>
  <c r="I339" i="1"/>
  <c r="J339" i="1" s="1"/>
  <c r="I177" i="1"/>
  <c r="J177" i="1" s="1"/>
  <c r="I1078" i="1"/>
  <c r="J1078" i="1" s="1"/>
  <c r="I935" i="1"/>
  <c r="J935" i="1" s="1"/>
  <c r="I485" i="1"/>
  <c r="J485" i="1" s="1"/>
  <c r="I323" i="1"/>
  <c r="J323" i="1" s="1"/>
  <c r="I1087" i="1"/>
  <c r="J1087" i="1" s="1"/>
  <c r="I495" i="1"/>
  <c r="J495" i="1" s="1"/>
  <c r="I333" i="1"/>
  <c r="J333" i="1" s="1"/>
  <c r="I171" i="1"/>
  <c r="J171" i="1" s="1"/>
  <c r="I161" i="1"/>
  <c r="J161" i="1" s="1"/>
  <c r="I139" i="1"/>
  <c r="J139" i="1" s="1"/>
  <c r="I141" i="1"/>
  <c r="J141" i="1" s="1"/>
  <c r="I140" i="1"/>
  <c r="J140" i="1" s="1"/>
  <c r="I127" i="1"/>
  <c r="J127" i="1" s="1"/>
  <c r="I126" i="1"/>
  <c r="J126" i="1" s="1"/>
  <c r="I125" i="1"/>
  <c r="J125" i="1" s="1"/>
  <c r="I121" i="1"/>
  <c r="J121" i="1" s="1"/>
  <c r="I120" i="1"/>
  <c r="J120" i="1" s="1"/>
  <c r="I109" i="1"/>
  <c r="J109" i="1" s="1"/>
  <c r="I108" i="1"/>
  <c r="J108" i="1" s="1"/>
  <c r="I107" i="1"/>
  <c r="J107" i="1" s="1"/>
  <c r="I106" i="1"/>
  <c r="J106" i="1" s="1"/>
  <c r="I94" i="1"/>
  <c r="J94" i="1" s="1"/>
  <c r="I90" i="1"/>
  <c r="J90" i="1" s="1"/>
  <c r="I89" i="1"/>
  <c r="J89" i="1" s="1"/>
  <c r="I88" i="1"/>
  <c r="J88" i="1" s="1"/>
  <c r="I87" i="1"/>
  <c r="J87" i="1" s="1"/>
  <c r="I82" i="1"/>
  <c r="J82" i="1" s="1"/>
  <c r="I81" i="1"/>
  <c r="J81" i="1" s="1"/>
  <c r="I78" i="1"/>
  <c r="J78" i="1" s="1"/>
  <c r="I77" i="1"/>
  <c r="J77" i="1" s="1"/>
  <c r="I54" i="1"/>
  <c r="J54" i="1" s="1"/>
  <c r="I52" i="1"/>
  <c r="J52" i="1" s="1"/>
  <c r="I46" i="1"/>
  <c r="J46" i="1" s="1"/>
  <c r="I45" i="1"/>
  <c r="J45" i="1" s="1"/>
  <c r="I39" i="1"/>
  <c r="J39" i="1" s="1"/>
  <c r="I38" i="1"/>
  <c r="J38" i="1" s="1"/>
  <c r="I36" i="1"/>
  <c r="J36" i="1" s="1"/>
  <c r="I35" i="1"/>
  <c r="J35" i="1" s="1"/>
  <c r="I33" i="1"/>
  <c r="J33" i="1" s="1"/>
  <c r="I28" i="1"/>
  <c r="J28" i="1" s="1"/>
  <c r="I27" i="1"/>
  <c r="J27" i="1" s="1"/>
  <c r="I15" i="1"/>
  <c r="J15" i="1" s="1"/>
  <c r="I10" i="1"/>
  <c r="J10" i="1" s="1"/>
  <c r="I14" i="1"/>
  <c r="J14" i="1" s="1"/>
  <c r="I13" i="1"/>
  <c r="J13" i="1" s="1"/>
  <c r="I12" i="1"/>
  <c r="J12" i="1" s="1"/>
  <c r="I11" i="1"/>
  <c r="J11" i="1" s="1"/>
  <c r="I294" i="2" l="1"/>
  <c r="J294" i="2" s="1"/>
  <c r="I295" i="2"/>
  <c r="J295" i="2" s="1"/>
  <c r="I296" i="2"/>
  <c r="J296" i="2" s="1"/>
  <c r="I6" i="1" l="1"/>
  <c r="J6" i="1" s="1"/>
  <c r="I7" i="1"/>
  <c r="J7" i="1" s="1"/>
  <c r="I5" i="1"/>
  <c r="J5" i="1" s="1"/>
  <c r="I4" i="1"/>
  <c r="J4" i="1" s="1"/>
  <c r="I3" i="1"/>
  <c r="J3" i="1" s="1"/>
  <c r="I2" i="1"/>
  <c r="J2" i="1" s="1"/>
  <c r="I1165" i="1"/>
  <c r="J1165" i="1" s="1"/>
  <c r="I187" i="2" l="1"/>
  <c r="J187" i="2" s="1"/>
  <c r="I189" i="2"/>
  <c r="J189" i="2" s="1"/>
  <c r="I190" i="2"/>
  <c r="J190" i="2" s="1"/>
  <c r="I1107" i="1"/>
  <c r="J1107" i="1" s="1"/>
  <c r="I959" i="1"/>
  <c r="J959" i="1" s="1"/>
  <c r="I843" i="1"/>
  <c r="J843" i="1" s="1"/>
  <c r="I747" i="1"/>
  <c r="J747" i="1" s="1"/>
  <c r="I651" i="1"/>
  <c r="J651" i="1" s="1"/>
  <c r="I515" i="1"/>
  <c r="J515" i="1" s="1"/>
  <c r="I353" i="1"/>
  <c r="J353" i="1" s="1"/>
  <c r="I191" i="1"/>
  <c r="J191" i="1" s="1"/>
  <c r="I50" i="1"/>
  <c r="J50" i="1" s="1"/>
  <c r="I1198" i="1" l="1"/>
  <c r="J1198" i="1" s="1"/>
  <c r="I1197" i="1"/>
  <c r="J1197" i="1" s="1"/>
  <c r="I1196" i="1"/>
  <c r="J1196" i="1" s="1"/>
  <c r="I1195" i="1"/>
  <c r="J1195" i="1" s="1"/>
  <c r="I1194" i="1"/>
  <c r="J1194" i="1" s="1"/>
  <c r="I1193" i="1"/>
  <c r="J1193" i="1" s="1"/>
  <c r="I1192" i="1"/>
  <c r="J1192" i="1" s="1"/>
  <c r="I1189" i="1"/>
  <c r="J1189" i="1" s="1"/>
  <c r="I1188" i="1"/>
  <c r="J1188" i="1" s="1"/>
  <c r="I1187" i="1"/>
  <c r="J1187" i="1" s="1"/>
  <c r="I1186" i="1"/>
  <c r="J1186" i="1" s="1"/>
  <c r="I1185" i="1"/>
  <c r="J1185" i="1" s="1"/>
  <c r="I1184" i="1"/>
  <c r="J1184" i="1" s="1"/>
  <c r="I1181" i="1"/>
  <c r="J1181" i="1" s="1"/>
  <c r="I1180" i="1"/>
  <c r="J1180" i="1" s="1"/>
  <c r="I1179" i="1"/>
  <c r="J1179" i="1" s="1"/>
  <c r="I1176" i="1"/>
  <c r="J1176" i="1" s="1"/>
  <c r="I1175" i="1"/>
  <c r="J1175" i="1" s="1"/>
  <c r="I1174" i="1"/>
  <c r="J1174" i="1" s="1"/>
  <c r="I1173" i="1"/>
  <c r="J1173" i="1" s="1"/>
  <c r="I1172" i="1"/>
  <c r="J1172" i="1" s="1"/>
  <c r="I1171" i="1"/>
  <c r="J1171" i="1" s="1"/>
  <c r="I1170" i="1"/>
  <c r="J1170" i="1" s="1"/>
  <c r="I1169" i="1"/>
  <c r="J1169" i="1" s="1"/>
  <c r="I1168" i="1"/>
  <c r="J1168" i="1" s="1"/>
  <c r="I1167" i="1"/>
  <c r="J1167" i="1" s="1"/>
  <c r="I1166" i="1"/>
  <c r="J1166" i="1" s="1"/>
  <c r="I1164" i="1"/>
  <c r="J1164" i="1" s="1"/>
  <c r="I1163" i="1"/>
  <c r="J1163" i="1" s="1"/>
  <c r="I1162" i="1"/>
  <c r="J1162" i="1" s="1"/>
  <c r="I1161" i="1"/>
  <c r="J1161" i="1" s="1"/>
  <c r="I1158" i="1"/>
  <c r="J1158" i="1" s="1"/>
  <c r="I1157" i="1"/>
  <c r="J1157" i="1" s="1"/>
  <c r="I1156" i="1"/>
  <c r="J1156" i="1" s="1"/>
  <c r="I1155" i="1"/>
  <c r="J1155" i="1" s="1"/>
  <c r="I1154" i="1"/>
  <c r="J1154" i="1" s="1"/>
  <c r="I1153" i="1"/>
  <c r="J1153" i="1" s="1"/>
  <c r="I1151" i="1"/>
  <c r="J1151" i="1" s="1"/>
  <c r="I1150" i="1"/>
  <c r="J1150" i="1" s="1"/>
  <c r="I1149" i="1"/>
  <c r="J1149" i="1" s="1"/>
  <c r="I1148" i="1"/>
  <c r="J1148" i="1" s="1"/>
  <c r="I1145" i="1"/>
  <c r="J1145" i="1" s="1"/>
  <c r="I1144" i="1"/>
  <c r="J1144" i="1" s="1"/>
  <c r="I1141" i="1"/>
  <c r="J1141" i="1" s="1"/>
  <c r="I1140" i="1"/>
  <c r="J1140" i="1" s="1"/>
  <c r="I1139" i="1"/>
  <c r="J1139" i="1" s="1"/>
  <c r="I1137" i="1"/>
  <c r="J1137" i="1" s="1"/>
  <c r="I1138" i="1"/>
  <c r="J1138" i="1" s="1"/>
  <c r="I1136" i="1"/>
  <c r="J1136" i="1" s="1"/>
  <c r="I1135" i="1"/>
  <c r="J1135" i="1" s="1"/>
  <c r="I1134" i="1"/>
  <c r="J1134" i="1" s="1"/>
  <c r="I1133" i="1"/>
  <c r="J1133" i="1" s="1"/>
  <c r="I1132" i="1"/>
  <c r="J1132" i="1" s="1"/>
  <c r="I1130" i="1"/>
  <c r="J1130" i="1" s="1"/>
  <c r="I1129" i="1"/>
  <c r="J1129" i="1" s="1"/>
  <c r="I1126" i="1"/>
  <c r="J1126" i="1" s="1"/>
  <c r="I1125" i="1"/>
  <c r="J1125" i="1" s="1"/>
  <c r="I1128" i="1"/>
  <c r="J1128" i="1" s="1"/>
  <c r="I1127" i="1"/>
  <c r="J1127" i="1" s="1"/>
  <c r="I1124" i="1"/>
  <c r="J1124" i="1" s="1"/>
  <c r="I1123" i="1"/>
  <c r="J1123" i="1" s="1"/>
  <c r="I1122" i="1"/>
  <c r="J1122" i="1" s="1"/>
  <c r="I1121" i="1"/>
  <c r="J1121" i="1" s="1"/>
  <c r="I1120" i="1"/>
  <c r="J1120" i="1" s="1"/>
  <c r="I1119" i="1"/>
  <c r="J1119" i="1" s="1"/>
  <c r="I1118" i="1"/>
  <c r="J1118" i="1" s="1"/>
  <c r="I1117" i="1"/>
  <c r="J1117" i="1" s="1"/>
  <c r="I1116" i="1"/>
  <c r="J1116" i="1" s="1"/>
  <c r="I1113" i="1"/>
  <c r="J1113" i="1" s="1"/>
  <c r="I1114" i="1"/>
  <c r="J1114" i="1" s="1"/>
  <c r="I1115" i="1"/>
  <c r="J1115" i="1" s="1"/>
  <c r="I1112" i="1"/>
  <c r="J1112" i="1" s="1"/>
  <c r="I1110" i="1"/>
  <c r="J1110" i="1" s="1"/>
  <c r="I1108" i="1"/>
  <c r="J1108" i="1" s="1"/>
  <c r="I1106" i="1"/>
  <c r="J1106" i="1" s="1"/>
  <c r="I1105" i="1"/>
  <c r="J1105" i="1" s="1"/>
  <c r="I1104" i="1"/>
  <c r="J1104" i="1" s="1"/>
  <c r="I1103" i="1"/>
  <c r="J1103" i="1" s="1"/>
  <c r="I1101" i="1"/>
  <c r="J1101" i="1" s="1"/>
  <c r="I1100" i="1"/>
  <c r="J1100" i="1" s="1"/>
  <c r="I1099" i="1"/>
  <c r="J1099" i="1" s="1"/>
  <c r="I1098" i="1"/>
  <c r="J1098" i="1" s="1"/>
  <c r="I1097" i="1"/>
  <c r="J1097" i="1" s="1"/>
  <c r="I1096" i="1"/>
  <c r="J1096" i="1" s="1"/>
  <c r="I1094" i="1"/>
  <c r="J1094" i="1" s="1"/>
  <c r="I1092" i="1"/>
  <c r="J1092" i="1" s="1"/>
  <c r="I1091" i="1"/>
  <c r="J1091" i="1" s="1"/>
  <c r="I1090" i="1"/>
  <c r="J1090" i="1" s="1"/>
  <c r="I1089" i="1"/>
  <c r="J1089" i="1" s="1"/>
  <c r="I1088" i="1"/>
  <c r="J1088" i="1" s="1"/>
  <c r="I1086" i="1"/>
  <c r="J1086" i="1" s="1"/>
  <c r="I1085" i="1"/>
  <c r="J1085" i="1" s="1"/>
  <c r="I1084" i="1"/>
  <c r="J1084" i="1" s="1"/>
  <c r="I1083" i="1"/>
  <c r="J1083" i="1" s="1"/>
  <c r="I1082" i="1"/>
  <c r="J1082" i="1" s="1"/>
  <c r="I1081" i="1"/>
  <c r="J1081" i="1" s="1"/>
  <c r="I1080" i="1"/>
  <c r="J1080" i="1" s="1"/>
  <c r="I1079" i="1"/>
  <c r="J1079" i="1" s="1"/>
  <c r="I1077" i="1"/>
  <c r="J1077" i="1" s="1"/>
  <c r="I1076" i="1"/>
  <c r="J1076" i="1" s="1"/>
  <c r="I1075" i="1"/>
  <c r="J1075" i="1" s="1"/>
  <c r="I1074" i="1"/>
  <c r="J1074" i="1" s="1"/>
  <c r="I1073" i="1"/>
  <c r="J1073" i="1" s="1"/>
  <c r="I1072" i="1"/>
  <c r="J1072" i="1" s="1"/>
  <c r="I1071" i="1"/>
  <c r="J1071" i="1" s="1"/>
  <c r="I1070" i="1"/>
  <c r="J1070" i="1" s="1"/>
  <c r="I1069" i="1"/>
  <c r="J1069" i="1" s="1"/>
  <c r="I1068" i="1"/>
  <c r="J1068" i="1" s="1"/>
  <c r="I1067" i="1"/>
  <c r="J1067" i="1" s="1"/>
  <c r="I1066" i="1"/>
  <c r="J1066" i="1" s="1"/>
  <c r="I1065" i="1"/>
  <c r="J1065" i="1" s="1"/>
  <c r="I1064" i="1"/>
  <c r="J1064" i="1" s="1"/>
  <c r="I1061" i="1"/>
  <c r="J1061" i="1" s="1"/>
  <c r="I1063" i="1"/>
  <c r="J1063" i="1" s="1"/>
  <c r="I1062" i="1"/>
  <c r="J1062" i="1" s="1"/>
  <c r="I1059" i="1"/>
  <c r="J1059" i="1" s="1"/>
  <c r="I1060" i="1"/>
  <c r="J1060" i="1" s="1"/>
  <c r="I1055" i="1"/>
  <c r="J1055" i="1" s="1"/>
  <c r="I1054" i="1"/>
  <c r="J1054" i="1" s="1"/>
  <c r="I1053" i="1"/>
  <c r="J1053" i="1" s="1"/>
  <c r="I1052" i="1"/>
  <c r="J1052" i="1" s="1"/>
  <c r="I1051" i="1"/>
  <c r="J1051" i="1" s="1"/>
  <c r="I1050" i="1"/>
  <c r="J1050" i="1" s="1"/>
  <c r="I1049" i="1"/>
  <c r="J1049" i="1" s="1"/>
  <c r="I1048" i="1"/>
  <c r="J1048" i="1" s="1"/>
  <c r="I1045" i="1"/>
  <c r="J1045" i="1" s="1"/>
  <c r="I1046" i="1"/>
  <c r="J1046" i="1" s="1"/>
  <c r="I1047" i="1"/>
  <c r="J1047" i="1" s="1"/>
  <c r="I1042" i="1"/>
  <c r="J1042" i="1" s="1"/>
  <c r="I1041" i="1"/>
  <c r="J1041" i="1" s="1"/>
  <c r="I1040" i="1"/>
  <c r="J1040" i="1" s="1"/>
  <c r="I1039" i="1"/>
  <c r="J1039" i="1" s="1"/>
  <c r="I1038" i="1"/>
  <c r="J1038" i="1" s="1"/>
  <c r="I1037" i="1"/>
  <c r="J1037" i="1" s="1"/>
  <c r="I1036" i="1"/>
  <c r="J1036" i="1" s="1"/>
  <c r="I1035" i="1"/>
  <c r="J1035" i="1" s="1"/>
  <c r="I1034" i="1"/>
  <c r="J1034" i="1" s="1"/>
  <c r="I1033" i="1"/>
  <c r="J1033" i="1" s="1"/>
  <c r="I1032" i="1"/>
  <c r="J1032" i="1" s="1"/>
  <c r="I1031" i="1"/>
  <c r="J1031" i="1" s="1"/>
  <c r="I1028" i="1"/>
  <c r="J1028" i="1" s="1"/>
  <c r="I1027" i="1"/>
  <c r="J1027" i="1" s="1"/>
  <c r="I1026" i="1"/>
  <c r="J1026" i="1" s="1"/>
  <c r="I1025" i="1"/>
  <c r="J1025" i="1" s="1"/>
  <c r="I1022" i="1"/>
  <c r="J1022" i="1" s="1"/>
  <c r="I1021" i="1"/>
  <c r="J1021" i="1" s="1"/>
  <c r="I1020" i="1"/>
  <c r="J1020" i="1" s="1"/>
  <c r="I1019" i="1"/>
  <c r="J1019" i="1" s="1"/>
  <c r="I1018" i="1"/>
  <c r="J1018" i="1" s="1"/>
  <c r="I1017" i="1"/>
  <c r="J1017" i="1" s="1"/>
  <c r="I1016" i="1"/>
  <c r="J1016" i="1" s="1"/>
  <c r="I1015" i="1"/>
  <c r="J1015" i="1" s="1"/>
  <c r="I1014" i="1"/>
  <c r="J1014" i="1" s="1"/>
  <c r="I1013" i="1"/>
  <c r="J1013" i="1" s="1"/>
  <c r="I1012" i="1"/>
  <c r="J1012" i="1" s="1"/>
  <c r="I1011" i="1"/>
  <c r="J1011" i="1" s="1"/>
  <c r="I1010" i="1"/>
  <c r="J1010" i="1" s="1"/>
  <c r="I1007" i="1"/>
  <c r="J1007" i="1" s="1"/>
  <c r="I1006" i="1"/>
  <c r="J1006" i="1" s="1"/>
  <c r="I1005" i="1"/>
  <c r="J1005" i="1" s="1"/>
  <c r="I1004" i="1"/>
  <c r="J1004" i="1" s="1"/>
  <c r="I1003" i="1"/>
  <c r="J1003" i="1" s="1"/>
  <c r="I1002" i="1"/>
  <c r="J1002" i="1" s="1"/>
  <c r="I1001" i="1"/>
  <c r="J1001" i="1" s="1"/>
  <c r="I1000" i="1"/>
  <c r="J1000" i="1" s="1"/>
  <c r="I999" i="1"/>
  <c r="J999" i="1" s="1"/>
  <c r="I998" i="1"/>
  <c r="J998" i="1" s="1"/>
  <c r="I997" i="1"/>
  <c r="J997" i="1" s="1"/>
  <c r="I996" i="1"/>
  <c r="J996" i="1" s="1"/>
  <c r="I995" i="1"/>
  <c r="J995" i="1" s="1"/>
  <c r="I994" i="1"/>
  <c r="J994" i="1" s="1"/>
  <c r="I992" i="1"/>
  <c r="J992" i="1" s="1"/>
  <c r="I991" i="1"/>
  <c r="J991" i="1" s="1"/>
  <c r="I990" i="1"/>
  <c r="J990" i="1" s="1"/>
  <c r="I989" i="1"/>
  <c r="J989" i="1" s="1"/>
  <c r="I987" i="1"/>
  <c r="J987" i="1" s="1"/>
  <c r="I986" i="1"/>
  <c r="J986" i="1" s="1"/>
  <c r="I985" i="1"/>
  <c r="J985" i="1" s="1"/>
  <c r="I984" i="1"/>
  <c r="J984" i="1" s="1"/>
  <c r="I983" i="1"/>
  <c r="J983" i="1" s="1"/>
  <c r="I982" i="1"/>
  <c r="J982" i="1" s="1"/>
  <c r="I981" i="1"/>
  <c r="J981" i="1" s="1"/>
  <c r="I980" i="1"/>
  <c r="J980" i="1" s="1"/>
  <c r="I979" i="1"/>
  <c r="J979" i="1" s="1"/>
  <c r="I978" i="1"/>
  <c r="J978" i="1" s="1"/>
  <c r="I977" i="1"/>
  <c r="J977" i="1" s="1"/>
  <c r="I976" i="1"/>
  <c r="J976" i="1" s="1"/>
  <c r="I975" i="1"/>
  <c r="J975" i="1" s="1"/>
  <c r="I974" i="1"/>
  <c r="J974" i="1" s="1"/>
  <c r="I973" i="1"/>
  <c r="J973" i="1" s="1"/>
  <c r="I972" i="1"/>
  <c r="J972" i="1" s="1"/>
  <c r="I971" i="1"/>
  <c r="J971" i="1" s="1"/>
  <c r="I970" i="1"/>
  <c r="J970" i="1" s="1"/>
  <c r="I969" i="1"/>
  <c r="J969" i="1" s="1"/>
  <c r="I968" i="1"/>
  <c r="J968" i="1" s="1"/>
  <c r="I967" i="1"/>
  <c r="J967" i="1" s="1"/>
  <c r="I966" i="1"/>
  <c r="J966" i="1" s="1"/>
  <c r="I965" i="1"/>
  <c r="J965" i="1" s="1"/>
  <c r="I961" i="1"/>
  <c r="J961" i="1" s="1"/>
  <c r="I962" i="1"/>
  <c r="J962" i="1" s="1"/>
  <c r="I963" i="1"/>
  <c r="J963" i="1" s="1"/>
  <c r="I960" i="1"/>
  <c r="J960" i="1" s="1"/>
  <c r="I958" i="1"/>
  <c r="J958" i="1" s="1"/>
  <c r="I957" i="1"/>
  <c r="J957" i="1" s="1"/>
  <c r="I956" i="1"/>
  <c r="J956" i="1" s="1"/>
  <c r="I955" i="1"/>
  <c r="J955" i="1" s="1"/>
  <c r="I954" i="1"/>
  <c r="J954" i="1" s="1"/>
  <c r="I953" i="1"/>
  <c r="J953" i="1" s="1"/>
  <c r="I952" i="1"/>
  <c r="J952" i="1" s="1"/>
  <c r="I951" i="1"/>
  <c r="J951" i="1" s="1"/>
  <c r="I950" i="1"/>
  <c r="J950" i="1" s="1"/>
  <c r="I949" i="1"/>
  <c r="J949" i="1" s="1"/>
  <c r="I947" i="1"/>
  <c r="J947" i="1" s="1"/>
  <c r="I945" i="1"/>
  <c r="J945" i="1" s="1"/>
  <c r="I944" i="1"/>
  <c r="J944" i="1" s="1"/>
  <c r="I943" i="1"/>
  <c r="J943" i="1" s="1"/>
  <c r="I942" i="1"/>
  <c r="J942" i="1" s="1"/>
  <c r="I941" i="1"/>
  <c r="J941" i="1" s="1"/>
  <c r="I940" i="1"/>
  <c r="J940" i="1" s="1"/>
  <c r="I939" i="1"/>
  <c r="J939" i="1" s="1"/>
  <c r="I938" i="1"/>
  <c r="J938" i="1" s="1"/>
  <c r="I937" i="1"/>
  <c r="J937" i="1" s="1"/>
  <c r="I936" i="1"/>
  <c r="J936" i="1" s="1"/>
  <c r="I934" i="1"/>
  <c r="J934" i="1" s="1"/>
  <c r="I933" i="1"/>
  <c r="J933" i="1" s="1"/>
  <c r="I932" i="1"/>
  <c r="J932" i="1" s="1"/>
  <c r="I931" i="1"/>
  <c r="J931" i="1" s="1"/>
  <c r="I930" i="1"/>
  <c r="J930" i="1" s="1"/>
  <c r="I929" i="1"/>
  <c r="J929" i="1" s="1"/>
  <c r="I928" i="1"/>
  <c r="J928" i="1" s="1"/>
  <c r="I927" i="1"/>
  <c r="J927" i="1" s="1"/>
  <c r="I926" i="1"/>
  <c r="J926" i="1" s="1"/>
  <c r="I925" i="1"/>
  <c r="J925" i="1" s="1"/>
  <c r="I924" i="1"/>
  <c r="J924" i="1" s="1"/>
  <c r="I923" i="1"/>
  <c r="J923" i="1" s="1"/>
  <c r="I922" i="1"/>
  <c r="J922" i="1" s="1"/>
  <c r="I921" i="1"/>
  <c r="J921" i="1" s="1"/>
  <c r="I919" i="1"/>
  <c r="J919" i="1" s="1"/>
  <c r="I918" i="1"/>
  <c r="J918" i="1" s="1"/>
  <c r="I920" i="1"/>
  <c r="J920" i="1" s="1"/>
  <c r="I917" i="1"/>
  <c r="J917" i="1" s="1"/>
  <c r="I914" i="1"/>
  <c r="J914" i="1" s="1"/>
  <c r="I916" i="1"/>
  <c r="J916" i="1" s="1"/>
  <c r="I909" i="1"/>
  <c r="J909" i="1" s="1"/>
  <c r="I908" i="1"/>
  <c r="J908" i="1" s="1"/>
  <c r="I910" i="1"/>
  <c r="J910" i="1" s="1"/>
  <c r="I907" i="1"/>
  <c r="J907" i="1" s="1"/>
  <c r="I906" i="1"/>
  <c r="J906" i="1" s="1"/>
  <c r="I905" i="1"/>
  <c r="J905" i="1" s="1"/>
  <c r="I904" i="1"/>
  <c r="J904" i="1" s="1"/>
  <c r="I901" i="1"/>
  <c r="J901" i="1" s="1"/>
  <c r="I902" i="1"/>
  <c r="J902" i="1" s="1"/>
  <c r="I903" i="1"/>
  <c r="J903" i="1" s="1"/>
  <c r="I898" i="1"/>
  <c r="J898" i="1" s="1"/>
  <c r="I897" i="1"/>
  <c r="J897" i="1" s="1"/>
  <c r="I896" i="1"/>
  <c r="J896" i="1" s="1"/>
  <c r="I895" i="1"/>
  <c r="J895" i="1" s="1"/>
  <c r="I894" i="1"/>
  <c r="J894" i="1" s="1"/>
  <c r="I893" i="1"/>
  <c r="J893" i="1" s="1"/>
  <c r="I892" i="1"/>
  <c r="J892" i="1" s="1"/>
  <c r="I891" i="1"/>
  <c r="J891" i="1" s="1"/>
  <c r="I890" i="1"/>
  <c r="J890" i="1" s="1"/>
  <c r="I889" i="1"/>
  <c r="J889" i="1" s="1"/>
  <c r="I886" i="1"/>
  <c r="J886" i="1" s="1"/>
  <c r="I885" i="1"/>
  <c r="J885" i="1" s="1"/>
  <c r="I884" i="1"/>
  <c r="J884" i="1" s="1"/>
  <c r="I883" i="1"/>
  <c r="J883" i="1" s="1"/>
  <c r="I882" i="1"/>
  <c r="J882" i="1" s="1"/>
  <c r="I881" i="1"/>
  <c r="J881" i="1" s="1"/>
  <c r="I880" i="1"/>
  <c r="J880" i="1" s="1"/>
  <c r="I879" i="1"/>
  <c r="J879" i="1" s="1"/>
  <c r="I878" i="1"/>
  <c r="J878" i="1" s="1"/>
  <c r="I877" i="1"/>
  <c r="J877" i="1" s="1"/>
  <c r="I876" i="1"/>
  <c r="J876" i="1" s="1"/>
  <c r="I875" i="1"/>
  <c r="J875" i="1" s="1"/>
  <c r="I874" i="1"/>
  <c r="J874" i="1" s="1"/>
  <c r="I873" i="1"/>
  <c r="J873" i="1" s="1"/>
  <c r="I872" i="1"/>
  <c r="J872" i="1" s="1"/>
  <c r="I871" i="1"/>
  <c r="J871" i="1" s="1"/>
  <c r="I870" i="1"/>
  <c r="J870" i="1" s="1"/>
  <c r="I869" i="1"/>
  <c r="J869" i="1" s="1"/>
  <c r="I868" i="1"/>
  <c r="J868" i="1" s="1"/>
  <c r="I866" i="1"/>
  <c r="J866" i="1" s="1"/>
  <c r="I865" i="1"/>
  <c r="J865" i="1" s="1"/>
  <c r="I864" i="1"/>
  <c r="J864" i="1" s="1"/>
  <c r="I863" i="1"/>
  <c r="J863" i="1" s="1"/>
  <c r="I862" i="1"/>
  <c r="J862" i="1" s="1"/>
  <c r="I861" i="1"/>
  <c r="J861" i="1" s="1"/>
  <c r="I860" i="1"/>
  <c r="J860" i="1" s="1"/>
  <c r="I859" i="1"/>
  <c r="J859" i="1" s="1"/>
  <c r="I858" i="1"/>
  <c r="J858" i="1" s="1"/>
  <c r="I857" i="1"/>
  <c r="J857" i="1" s="1"/>
  <c r="I856" i="1"/>
  <c r="J856" i="1" s="1"/>
  <c r="I855" i="1"/>
  <c r="J855" i="1" s="1"/>
  <c r="I854" i="1"/>
  <c r="J854" i="1" s="1"/>
  <c r="I853" i="1"/>
  <c r="J853" i="1" s="1"/>
  <c r="I852" i="1"/>
  <c r="J852" i="1" s="1"/>
  <c r="I851" i="1"/>
  <c r="J851" i="1" s="1"/>
  <c r="I850" i="1"/>
  <c r="J850" i="1" s="1"/>
  <c r="I849" i="1"/>
  <c r="J849" i="1" s="1"/>
  <c r="I848" i="1"/>
  <c r="J848" i="1" s="1"/>
  <c r="I847" i="1"/>
  <c r="J847" i="1" s="1"/>
  <c r="I844" i="1"/>
  <c r="J844" i="1" s="1"/>
  <c r="I845" i="1"/>
  <c r="J845" i="1" s="1"/>
  <c r="I846" i="1"/>
  <c r="J846" i="1" s="1"/>
  <c r="I842" i="1"/>
  <c r="J842" i="1" s="1"/>
  <c r="I841" i="1"/>
  <c r="J841" i="1" s="1"/>
  <c r="I840" i="1"/>
  <c r="J840" i="1" s="1"/>
  <c r="I839" i="1"/>
  <c r="J839" i="1" s="1"/>
  <c r="I838" i="1"/>
  <c r="J838" i="1" s="1"/>
  <c r="I837" i="1"/>
  <c r="J837" i="1" s="1"/>
  <c r="I836" i="1"/>
  <c r="J836" i="1" s="1"/>
  <c r="I835" i="1"/>
  <c r="J835" i="1" s="1"/>
  <c r="I834" i="1"/>
  <c r="J834" i="1" s="1"/>
  <c r="I833" i="1"/>
  <c r="J833" i="1" s="1"/>
  <c r="I832" i="1"/>
  <c r="J832" i="1" s="1"/>
  <c r="I831" i="1"/>
  <c r="J831" i="1" s="1"/>
  <c r="I830" i="1"/>
  <c r="J830" i="1" s="1"/>
  <c r="I829" i="1"/>
  <c r="J829" i="1" s="1"/>
  <c r="I828" i="1"/>
  <c r="J828" i="1" s="1"/>
  <c r="I827" i="1"/>
  <c r="J827" i="1" s="1"/>
  <c r="I826" i="1"/>
  <c r="J826" i="1" s="1"/>
  <c r="I825" i="1"/>
  <c r="J825" i="1" s="1"/>
  <c r="I824" i="1"/>
  <c r="J824" i="1" s="1"/>
  <c r="I823" i="1"/>
  <c r="J823" i="1" s="1"/>
  <c r="I822" i="1"/>
  <c r="J822" i="1" s="1"/>
  <c r="I821" i="1"/>
  <c r="J821" i="1" s="1"/>
  <c r="I820" i="1"/>
  <c r="J820" i="1" s="1"/>
  <c r="I819" i="1"/>
  <c r="J819" i="1" s="1"/>
  <c r="I818" i="1"/>
  <c r="J818" i="1" s="1"/>
  <c r="I817" i="1"/>
  <c r="J817" i="1" s="1"/>
  <c r="I816" i="1"/>
  <c r="J816" i="1" s="1"/>
  <c r="I815" i="1"/>
  <c r="J815" i="1" s="1"/>
  <c r="I814" i="1"/>
  <c r="J814" i="1" s="1"/>
  <c r="I813" i="1"/>
  <c r="J813" i="1" s="1"/>
  <c r="I811" i="1"/>
  <c r="J811" i="1" s="1"/>
  <c r="I812" i="1"/>
  <c r="J812" i="1" s="1"/>
  <c r="I810" i="1"/>
  <c r="J810" i="1" s="1"/>
  <c r="I809" i="1"/>
  <c r="J809" i="1" s="1"/>
  <c r="I808" i="1"/>
  <c r="J808" i="1" s="1"/>
  <c r="I807" i="1"/>
  <c r="J807" i="1" s="1"/>
  <c r="I806" i="1"/>
  <c r="J806" i="1" s="1"/>
  <c r="I805" i="1"/>
  <c r="J805" i="1" s="1"/>
  <c r="I255" i="1"/>
  <c r="J255" i="1" s="1"/>
  <c r="I96" i="1"/>
  <c r="J96" i="1" s="1"/>
  <c r="I748" i="1"/>
  <c r="J748" i="1" s="1"/>
  <c r="I652" i="1"/>
  <c r="J652" i="1" s="1"/>
  <c r="I520" i="1"/>
  <c r="J520" i="1" s="1"/>
  <c r="I358" i="1"/>
  <c r="J358" i="1" s="1"/>
  <c r="I197" i="1"/>
  <c r="J197" i="1" s="1"/>
  <c r="I55" i="1"/>
  <c r="J55" i="1" s="1"/>
  <c r="I207" i="2" l="1"/>
  <c r="J207" i="2" s="1"/>
  <c r="I203" i="2"/>
  <c r="J203" i="2" s="1"/>
  <c r="I204" i="2"/>
  <c r="J204" i="2" s="1"/>
  <c r="I200" i="2"/>
  <c r="J200" i="2" s="1"/>
  <c r="I206" i="2"/>
  <c r="J206" i="2" s="1"/>
  <c r="I202" i="2"/>
  <c r="J202" i="2" s="1"/>
  <c r="I749" i="1"/>
  <c r="J749" i="1" s="1"/>
  <c r="I750" i="1"/>
  <c r="J750" i="1" s="1"/>
  <c r="I653" i="1"/>
  <c r="J653" i="1" s="1"/>
  <c r="I654" i="1"/>
  <c r="J654" i="1" s="1"/>
  <c r="I521" i="1"/>
  <c r="J521" i="1" s="1"/>
  <c r="I522" i="1"/>
  <c r="J522" i="1" s="1"/>
  <c r="I359" i="1"/>
  <c r="J359" i="1" s="1"/>
  <c r="I360" i="1"/>
  <c r="J360" i="1" s="1"/>
  <c r="I199" i="1"/>
  <c r="J199" i="1" s="1"/>
  <c r="I198" i="1"/>
  <c r="J198" i="1" s="1"/>
  <c r="I458" i="1"/>
  <c r="J458" i="1" s="1"/>
  <c r="I296" i="1"/>
  <c r="J296" i="1" s="1"/>
  <c r="I337" i="2"/>
  <c r="J337" i="2" s="1"/>
  <c r="I776" i="1"/>
  <c r="J776" i="1" s="1"/>
  <c r="I680" i="1"/>
  <c r="J680" i="1" s="1"/>
  <c r="I229" i="2"/>
  <c r="J229" i="2" s="1"/>
  <c r="I532" i="1"/>
  <c r="J532" i="1" s="1"/>
  <c r="I370" i="1"/>
  <c r="J370" i="1" s="1"/>
  <c r="I200" i="1"/>
  <c r="J200" i="1" s="1"/>
  <c r="F431" i="3"/>
  <c r="E431" i="3"/>
  <c r="I706" i="1"/>
  <c r="J706" i="1" s="1"/>
  <c r="I330" i="2"/>
  <c r="J330" i="2" s="1"/>
  <c r="I101" i="2"/>
  <c r="J101" i="2" s="1"/>
  <c r="I486" i="1"/>
  <c r="J486" i="1" s="1"/>
  <c r="I324" i="1"/>
  <c r="J324" i="1" s="1"/>
  <c r="G431" i="3" l="1"/>
  <c r="F430" i="3" l="1"/>
  <c r="E430" i="3"/>
  <c r="I289" i="2"/>
  <c r="J289" i="2" s="1"/>
  <c r="I433" i="2"/>
  <c r="J433" i="2" s="1"/>
  <c r="I434" i="2"/>
  <c r="J434" i="2" s="1"/>
  <c r="I429" i="2"/>
  <c r="J429" i="2" s="1"/>
  <c r="I431" i="2"/>
  <c r="J431" i="2" s="1"/>
  <c r="I432" i="2"/>
  <c r="J432" i="2" s="1"/>
  <c r="I383" i="2"/>
  <c r="J383" i="2" s="1"/>
  <c r="I385" i="2"/>
  <c r="J385" i="2" s="1"/>
  <c r="I386" i="2"/>
  <c r="J386" i="2" s="1"/>
  <c r="I610" i="1"/>
  <c r="J610" i="1" s="1"/>
  <c r="I609" i="1"/>
  <c r="J609" i="1" s="1"/>
  <c r="I802" i="1"/>
  <c r="J802" i="1" s="1"/>
  <c r="I801" i="1"/>
  <c r="J801" i="1" s="1"/>
  <c r="I705" i="1"/>
  <c r="J705" i="1" s="1"/>
  <c r="I448" i="1"/>
  <c r="J448" i="1" s="1"/>
  <c r="I447" i="1"/>
  <c r="J447" i="1" s="1"/>
  <c r="I285" i="1"/>
  <c r="J285" i="1" s="1"/>
  <c r="I284" i="1"/>
  <c r="J284" i="1" s="1"/>
  <c r="F429" i="3"/>
  <c r="E429" i="3"/>
  <c r="I789" i="1"/>
  <c r="J789" i="1" s="1"/>
  <c r="I693" i="1"/>
  <c r="J693" i="1" s="1"/>
  <c r="I592" i="1"/>
  <c r="J592" i="1" s="1"/>
  <c r="I430" i="1"/>
  <c r="J430" i="1" s="1"/>
  <c r="I267" i="1"/>
  <c r="J267" i="1" s="1"/>
  <c r="I111" i="1"/>
  <c r="J111" i="1" s="1"/>
  <c r="I227" i="1"/>
  <c r="J227" i="1" s="1"/>
  <c r="I575" i="1"/>
  <c r="J575" i="1" s="1"/>
  <c r="I339" i="2"/>
  <c r="J339" i="2" s="1"/>
  <c r="I413" i="1"/>
  <c r="J413" i="1" s="1"/>
  <c r="G430" i="3" l="1"/>
  <c r="G429" i="3"/>
  <c r="I788" i="1"/>
  <c r="J788" i="1" s="1"/>
  <c r="I692" i="1"/>
  <c r="J692" i="1" s="1"/>
  <c r="I591" i="1"/>
  <c r="J591" i="1" s="1"/>
  <c r="I429" i="1"/>
  <c r="J429" i="1" s="1"/>
  <c r="I266" i="1"/>
  <c r="J266" i="1" s="1"/>
  <c r="I379" i="2"/>
  <c r="J379" i="2" s="1"/>
  <c r="I381" i="2"/>
  <c r="J381" i="2" s="1"/>
  <c r="I184" i="2"/>
  <c r="J184" i="2" s="1"/>
  <c r="I185" i="2"/>
  <c r="J185" i="2" s="1"/>
  <c r="I186" i="2"/>
  <c r="J186" i="2" s="1"/>
  <c r="I746" i="1"/>
  <c r="J746" i="1" s="1"/>
  <c r="I650" i="1"/>
  <c r="J650" i="1" s="1"/>
  <c r="I514" i="1"/>
  <c r="J514" i="1" s="1"/>
  <c r="I352" i="1"/>
  <c r="J352" i="1" s="1"/>
  <c r="I190" i="1"/>
  <c r="J190" i="1" s="1"/>
  <c r="I410" i="2"/>
  <c r="J410" i="2" s="1"/>
  <c r="I603" i="1"/>
  <c r="J603" i="1" s="1"/>
  <c r="I441" i="1"/>
  <c r="J441" i="1" s="1"/>
  <c r="I276" i="1"/>
  <c r="J276" i="1" s="1"/>
  <c r="I118" i="1"/>
  <c r="J118" i="1" s="1"/>
  <c r="I425" i="2"/>
  <c r="J425" i="2" s="1"/>
  <c r="I427" i="2"/>
  <c r="J427" i="2" s="1"/>
  <c r="I428" i="2"/>
  <c r="J428" i="2" s="1"/>
  <c r="I800" i="1"/>
  <c r="J800" i="1" s="1"/>
  <c r="I704" i="1"/>
  <c r="J704" i="1" s="1"/>
  <c r="I608" i="1"/>
  <c r="J608" i="1" s="1"/>
  <c r="I446" i="1"/>
  <c r="J446" i="1" s="1"/>
  <c r="I283" i="1"/>
  <c r="J283" i="1" s="1"/>
  <c r="I172" i="1"/>
  <c r="J172" i="1" s="1"/>
  <c r="I31" i="1"/>
  <c r="J31" i="1" s="1"/>
  <c r="I287" i="2"/>
  <c r="J287" i="2" s="1"/>
  <c r="I417" i="2"/>
  <c r="J417" i="2" s="1"/>
  <c r="I419" i="2"/>
  <c r="J419" i="2" s="1"/>
  <c r="I420" i="2"/>
  <c r="J420" i="2" s="1"/>
  <c r="I209" i="2"/>
  <c r="J209" i="2" s="1"/>
  <c r="I119" i="2"/>
  <c r="J119" i="2" s="1"/>
  <c r="I120" i="2"/>
  <c r="J120" i="2" s="1"/>
  <c r="I798" i="1"/>
  <c r="J798" i="1" s="1"/>
  <c r="I769" i="1"/>
  <c r="J769" i="1" s="1"/>
  <c r="I733" i="1"/>
  <c r="J733" i="1" s="1"/>
  <c r="I702" i="1"/>
  <c r="J702" i="1" s="1"/>
  <c r="I673" i="1"/>
  <c r="J673" i="1" s="1"/>
  <c r="I637" i="1"/>
  <c r="J637" i="1" s="1"/>
  <c r="I606" i="1"/>
  <c r="J606" i="1" s="1"/>
  <c r="I547" i="1"/>
  <c r="J547" i="1" s="1"/>
  <c r="I491" i="1"/>
  <c r="J491" i="1" s="1"/>
  <c r="I444" i="1"/>
  <c r="J444" i="1" s="1"/>
  <c r="I385" i="1"/>
  <c r="J385" i="1" s="1"/>
  <c r="I329" i="1"/>
  <c r="J329" i="1" s="1"/>
  <c r="I281" i="1"/>
  <c r="J281" i="1" s="1"/>
  <c r="I166" i="1"/>
  <c r="J166" i="1" s="1"/>
  <c r="I124" i="1"/>
  <c r="J124" i="1" s="1"/>
  <c r="I421" i="2" l="1"/>
  <c r="J421" i="2" s="1"/>
  <c r="I423" i="2"/>
  <c r="J423" i="2" s="1"/>
  <c r="I424" i="2"/>
  <c r="J424" i="2" s="1"/>
  <c r="I400" i="2"/>
  <c r="J400" i="2" s="1"/>
  <c r="I401" i="2"/>
  <c r="J401" i="2" s="1"/>
  <c r="I397" i="2"/>
  <c r="J397" i="2" s="1"/>
  <c r="I398" i="2"/>
  <c r="J398" i="2" s="1"/>
  <c r="I360" i="2"/>
  <c r="J360" i="2" s="1"/>
  <c r="I361" i="2"/>
  <c r="J361" i="2" s="1"/>
  <c r="I326" i="2"/>
  <c r="J326" i="2" s="1"/>
  <c r="I327" i="2"/>
  <c r="J327" i="2" s="1"/>
  <c r="I322" i="2"/>
  <c r="J322" i="2" s="1"/>
  <c r="I323" i="2"/>
  <c r="J323" i="2" s="1"/>
  <c r="I311" i="2"/>
  <c r="J311" i="2" s="1"/>
  <c r="I312" i="2"/>
  <c r="J312" i="2" s="1"/>
  <c r="I292" i="2"/>
  <c r="J292" i="2" s="1"/>
  <c r="I293" i="2"/>
  <c r="J293" i="2" s="1"/>
  <c r="I276" i="2"/>
  <c r="J276" i="2" s="1"/>
  <c r="I277" i="2"/>
  <c r="J277" i="2" s="1"/>
  <c r="I270" i="2"/>
  <c r="J270" i="2" s="1"/>
  <c r="I271" i="2"/>
  <c r="J271" i="2" s="1"/>
  <c r="I263" i="2"/>
  <c r="J263" i="2" s="1"/>
  <c r="I264" i="2"/>
  <c r="J264" i="2" s="1"/>
  <c r="I259" i="2"/>
  <c r="J259" i="2" s="1"/>
  <c r="I260" i="2"/>
  <c r="J260" i="2" s="1"/>
  <c r="I255" i="2"/>
  <c r="J255" i="2" s="1"/>
  <c r="I256" i="2"/>
  <c r="J256" i="2" s="1"/>
  <c r="I244" i="2"/>
  <c r="J244" i="2" s="1"/>
  <c r="I245" i="2"/>
  <c r="J245" i="2" s="1"/>
  <c r="I240" i="2"/>
  <c r="J240" i="2" s="1"/>
  <c r="I241" i="2"/>
  <c r="J241" i="2" s="1"/>
  <c r="I226" i="2"/>
  <c r="J226" i="2" s="1"/>
  <c r="I227" i="2"/>
  <c r="J227" i="2" s="1"/>
  <c r="I222" i="2"/>
  <c r="J222" i="2" s="1"/>
  <c r="I223" i="2"/>
  <c r="J223" i="2" s="1"/>
  <c r="I218" i="2"/>
  <c r="J218" i="2" s="1"/>
  <c r="I219" i="2"/>
  <c r="J219" i="2" s="1"/>
  <c r="I212" i="2"/>
  <c r="J212" i="2" s="1"/>
  <c r="I213" i="2"/>
  <c r="J213" i="2" s="1"/>
  <c r="I182" i="2"/>
  <c r="J182" i="2" s="1"/>
  <c r="I183" i="2"/>
  <c r="J183" i="2" s="1"/>
  <c r="I178" i="2"/>
  <c r="J178" i="2" s="1"/>
  <c r="I179" i="2"/>
  <c r="J179" i="2" s="1"/>
  <c r="I174" i="2"/>
  <c r="J174" i="2" s="1"/>
  <c r="I175" i="2"/>
  <c r="J175" i="2" s="1"/>
  <c r="I168" i="2"/>
  <c r="J168" i="2" s="1"/>
  <c r="I169" i="2"/>
  <c r="J169" i="2" s="1"/>
  <c r="I161" i="2"/>
  <c r="J161" i="2" s="1"/>
  <c r="I162" i="2"/>
  <c r="J162" i="2" s="1"/>
  <c r="I154" i="2"/>
  <c r="J154" i="2" s="1"/>
  <c r="I155" i="2"/>
  <c r="J155" i="2" s="1"/>
  <c r="I142" i="2"/>
  <c r="J142" i="2" s="1"/>
  <c r="I143" i="2"/>
  <c r="J143" i="2" s="1"/>
  <c r="I139" i="2"/>
  <c r="J139" i="2" s="1"/>
  <c r="I140" i="2"/>
  <c r="J140" i="2" s="1"/>
  <c r="I126" i="2"/>
  <c r="J126" i="2" s="1"/>
  <c r="I127" i="2"/>
  <c r="J127" i="2" s="1"/>
  <c r="I123" i="2"/>
  <c r="J123" i="2" s="1"/>
  <c r="I124" i="2"/>
  <c r="J124" i="2" s="1"/>
  <c r="I117" i="2"/>
  <c r="J117" i="2" s="1"/>
  <c r="I118" i="2"/>
  <c r="J118" i="2" s="1"/>
  <c r="I114" i="2"/>
  <c r="J114" i="2" s="1"/>
  <c r="I115" i="2"/>
  <c r="J115" i="2" s="1"/>
  <c r="I109" i="2"/>
  <c r="J109" i="2" s="1"/>
  <c r="I111" i="2"/>
  <c r="J111" i="2" s="1"/>
  <c r="I106" i="2"/>
  <c r="J106" i="2" s="1"/>
  <c r="I107" i="2"/>
  <c r="J107" i="2" s="1"/>
  <c r="I99" i="2"/>
  <c r="J99" i="2" s="1"/>
  <c r="I100" i="2"/>
  <c r="J100" i="2" s="1"/>
  <c r="I95" i="2"/>
  <c r="J95" i="2" s="1"/>
  <c r="I97" i="2"/>
  <c r="J97" i="2" s="1"/>
  <c r="I87" i="2"/>
  <c r="J87" i="2" s="1"/>
  <c r="I89" i="2"/>
  <c r="J89" i="2" s="1"/>
  <c r="I91" i="2"/>
  <c r="J91" i="2" s="1"/>
  <c r="I93" i="2"/>
  <c r="J93" i="2" s="1"/>
  <c r="I81" i="2"/>
  <c r="J81" i="2" s="1"/>
  <c r="I82" i="2"/>
  <c r="J82" i="2" s="1"/>
  <c r="I84" i="2"/>
  <c r="J84" i="2" s="1"/>
  <c r="I85" i="2"/>
  <c r="J85" i="2" s="1"/>
  <c r="I74" i="2"/>
  <c r="J74" i="2" s="1"/>
  <c r="I75" i="2"/>
  <c r="J75" i="2" s="1"/>
  <c r="I27" i="2"/>
  <c r="J27" i="2" s="1"/>
  <c r="I28" i="2"/>
  <c r="J28" i="2" s="1"/>
  <c r="I19" i="2"/>
  <c r="J19" i="2" s="1"/>
  <c r="I20" i="2"/>
  <c r="J20" i="2" s="1"/>
  <c r="I15" i="2"/>
  <c r="J15" i="2" s="1"/>
  <c r="I17" i="2"/>
  <c r="J17" i="2" s="1"/>
  <c r="I11" i="2"/>
  <c r="J11" i="2" s="1"/>
  <c r="I13" i="2"/>
  <c r="J13" i="2" s="1"/>
  <c r="I121" i="2"/>
  <c r="J121" i="2" s="1"/>
  <c r="I799" i="1"/>
  <c r="J799" i="1" s="1"/>
  <c r="I795" i="1"/>
  <c r="J795" i="1" s="1"/>
  <c r="I794" i="1"/>
  <c r="J794" i="1" s="1"/>
  <c r="I784" i="1"/>
  <c r="J784" i="1" s="1"/>
  <c r="I778" i="1"/>
  <c r="J778" i="1" s="1"/>
  <c r="I777" i="1"/>
  <c r="J777" i="1" s="1"/>
  <c r="I775" i="1"/>
  <c r="J775" i="1" s="1"/>
  <c r="I774" i="1"/>
  <c r="J774" i="1" s="1"/>
  <c r="I773" i="1"/>
  <c r="J773" i="1" s="1"/>
  <c r="I770" i="1"/>
  <c r="J770" i="1" s="1"/>
  <c r="I766" i="1"/>
  <c r="J766" i="1" s="1"/>
  <c r="I765" i="1"/>
  <c r="J765" i="1" s="1"/>
  <c r="I763" i="1"/>
  <c r="J763" i="1" s="1"/>
  <c r="I762" i="1"/>
  <c r="J762" i="1" s="1"/>
  <c r="I761" i="1"/>
  <c r="J761" i="1" s="1"/>
  <c r="I758" i="1"/>
  <c r="J758" i="1" s="1"/>
  <c r="I760" i="1"/>
  <c r="J760" i="1" s="1"/>
  <c r="I755" i="1"/>
  <c r="J755" i="1" s="1"/>
  <c r="I754" i="1"/>
  <c r="J754" i="1" s="1"/>
  <c r="I753" i="1"/>
  <c r="J753" i="1" s="1"/>
  <c r="I751" i="1"/>
  <c r="J751" i="1" s="1"/>
  <c r="I745" i="1"/>
  <c r="J745" i="1" s="1"/>
  <c r="I744" i="1"/>
  <c r="J744" i="1" s="1"/>
  <c r="I743" i="1"/>
  <c r="J743" i="1" s="1"/>
  <c r="I742" i="1"/>
  <c r="J742" i="1" s="1"/>
  <c r="I740" i="1"/>
  <c r="J740" i="1" s="1"/>
  <c r="I739" i="1"/>
  <c r="J739" i="1" s="1"/>
  <c r="I738" i="1"/>
  <c r="J738" i="1" s="1"/>
  <c r="I737" i="1"/>
  <c r="J737" i="1" s="1"/>
  <c r="I736" i="1"/>
  <c r="J736" i="1" s="1"/>
  <c r="I735" i="1"/>
  <c r="J735" i="1" s="1"/>
  <c r="I734" i="1"/>
  <c r="J734" i="1" s="1"/>
  <c r="I732" i="1"/>
  <c r="J732" i="1" s="1"/>
  <c r="I731" i="1"/>
  <c r="J731" i="1" s="1"/>
  <c r="I730" i="1"/>
  <c r="J730" i="1" s="1"/>
  <c r="I729" i="1"/>
  <c r="J729" i="1" s="1"/>
  <c r="I728" i="1"/>
  <c r="J728" i="1" s="1"/>
  <c r="I727" i="1"/>
  <c r="J727" i="1" s="1"/>
  <c r="I726" i="1"/>
  <c r="J726" i="1" s="1"/>
  <c r="I725" i="1"/>
  <c r="J725" i="1" s="1"/>
  <c r="I724" i="1"/>
  <c r="J724" i="1" s="1"/>
  <c r="I723" i="1"/>
  <c r="J723" i="1" s="1"/>
  <c r="I720" i="1"/>
  <c r="J720" i="1" s="1"/>
  <c r="I714" i="1"/>
  <c r="J714" i="1" s="1"/>
  <c r="I713" i="1"/>
  <c r="J713" i="1" s="1"/>
  <c r="I712" i="1"/>
  <c r="J712" i="1" s="1"/>
  <c r="I711" i="1"/>
  <c r="J711" i="1" s="1"/>
  <c r="I703" i="1"/>
  <c r="J703" i="1" s="1"/>
  <c r="I699" i="1"/>
  <c r="J699" i="1" s="1"/>
  <c r="I698" i="1"/>
  <c r="J698" i="1" s="1"/>
  <c r="I688" i="1"/>
  <c r="J688" i="1" s="1"/>
  <c r="I682" i="1"/>
  <c r="J682" i="1" s="1"/>
  <c r="I681" i="1"/>
  <c r="J681" i="1" s="1"/>
  <c r="I679" i="1"/>
  <c r="J679" i="1" s="1"/>
  <c r="I678" i="1"/>
  <c r="J678" i="1" s="1"/>
  <c r="I677" i="1"/>
  <c r="J677" i="1" s="1"/>
  <c r="I674" i="1"/>
  <c r="J674" i="1" s="1"/>
  <c r="I670" i="1"/>
  <c r="J670" i="1" s="1"/>
  <c r="I669" i="1"/>
  <c r="J669" i="1" s="1"/>
  <c r="I667" i="1"/>
  <c r="J667" i="1" s="1"/>
  <c r="I666" i="1"/>
  <c r="J666" i="1" s="1"/>
  <c r="I665" i="1"/>
  <c r="J665" i="1" s="1"/>
  <c r="I662" i="1"/>
  <c r="J662" i="1" s="1"/>
  <c r="I664" i="1"/>
  <c r="J664" i="1" s="1"/>
  <c r="I659" i="1"/>
  <c r="J659" i="1" s="1"/>
  <c r="I658" i="1"/>
  <c r="J658" i="1" s="1"/>
  <c r="I657" i="1"/>
  <c r="J657" i="1" s="1"/>
  <c r="I655" i="1"/>
  <c r="J655" i="1" s="1"/>
  <c r="I649" i="1"/>
  <c r="J649" i="1" s="1"/>
  <c r="I648" i="1"/>
  <c r="J648" i="1" s="1"/>
  <c r="I647" i="1"/>
  <c r="J647" i="1" s="1"/>
  <c r="I646" i="1"/>
  <c r="J646" i="1" s="1"/>
  <c r="I644" i="1"/>
  <c r="J644" i="1" s="1"/>
  <c r="I643" i="1"/>
  <c r="J643" i="1" s="1"/>
  <c r="I642" i="1"/>
  <c r="J642" i="1" s="1"/>
  <c r="I641" i="1"/>
  <c r="J641" i="1" s="1"/>
  <c r="I640" i="1"/>
  <c r="J640" i="1" s="1"/>
  <c r="I639" i="1"/>
  <c r="J639" i="1" s="1"/>
  <c r="I638" i="1"/>
  <c r="J638" i="1" s="1"/>
  <c r="I636" i="1"/>
  <c r="J636" i="1" s="1"/>
  <c r="I635" i="1"/>
  <c r="J635" i="1" s="1"/>
  <c r="I634" i="1"/>
  <c r="J634" i="1" s="1"/>
  <c r="I633" i="1"/>
  <c r="J633" i="1" s="1"/>
  <c r="I632" i="1"/>
  <c r="J632" i="1" s="1"/>
  <c r="I631" i="1"/>
  <c r="J631" i="1" s="1"/>
  <c r="I630" i="1"/>
  <c r="J630" i="1" s="1"/>
  <c r="I629" i="1"/>
  <c r="J629" i="1" s="1"/>
  <c r="I628" i="1"/>
  <c r="J628" i="1" s="1"/>
  <c r="I627" i="1"/>
  <c r="J627" i="1" s="1"/>
  <c r="I624" i="1"/>
  <c r="J624" i="1" s="1"/>
  <c r="I618" i="1"/>
  <c r="J618" i="1" s="1"/>
  <c r="I617" i="1"/>
  <c r="J617" i="1" s="1"/>
  <c r="I616" i="1"/>
  <c r="J616" i="1" s="1"/>
  <c r="I615" i="1"/>
  <c r="J615" i="1" s="1"/>
  <c r="I607" i="1"/>
  <c r="J607" i="1" s="1"/>
  <c r="I600" i="1"/>
  <c r="J600" i="1" s="1"/>
  <c r="I599" i="1"/>
  <c r="J599" i="1" s="1"/>
  <c r="I593" i="1"/>
  <c r="J593" i="1" s="1"/>
  <c r="I583" i="1"/>
  <c r="J583" i="1" s="1"/>
  <c r="I577" i="1"/>
  <c r="J577" i="1" s="1"/>
  <c r="I576" i="1"/>
  <c r="J576" i="1" s="1"/>
  <c r="I567" i="1"/>
  <c r="J567" i="1" s="1"/>
  <c r="I566" i="1"/>
  <c r="J566" i="1" s="1"/>
  <c r="I559" i="1"/>
  <c r="J559" i="1" s="1"/>
  <c r="I553" i="1"/>
  <c r="J553" i="1" s="1"/>
  <c r="I551" i="1"/>
  <c r="J551" i="1" s="1"/>
  <c r="I548" i="1"/>
  <c r="J548" i="1" s="1"/>
  <c r="I544" i="1"/>
  <c r="J544" i="1" s="1"/>
  <c r="I543" i="1"/>
  <c r="J543" i="1" s="1"/>
  <c r="I541" i="1"/>
  <c r="J541" i="1" s="1"/>
  <c r="I540" i="1"/>
  <c r="J540" i="1" s="1"/>
  <c r="I539" i="1"/>
  <c r="J539" i="1" s="1"/>
  <c r="I537" i="1"/>
  <c r="J537" i="1" s="1"/>
  <c r="I533" i="1"/>
  <c r="J533" i="1" s="1"/>
  <c r="I535" i="1"/>
  <c r="J535" i="1" s="1"/>
  <c r="I529" i="1"/>
  <c r="J529" i="1" s="1"/>
  <c r="I528" i="1"/>
  <c r="J528" i="1" s="1"/>
  <c r="I527" i="1"/>
  <c r="J527" i="1" s="1"/>
  <c r="I526" i="1"/>
  <c r="J526" i="1" s="1"/>
  <c r="I524" i="1"/>
  <c r="J524" i="1" s="1"/>
  <c r="I518" i="1"/>
  <c r="J518" i="1" s="1"/>
  <c r="I516" i="1"/>
  <c r="J516" i="1" s="1"/>
  <c r="I513" i="1"/>
  <c r="J513" i="1" s="1"/>
  <c r="I512" i="1"/>
  <c r="J512" i="1" s="1"/>
  <c r="I511" i="1"/>
  <c r="J511" i="1" s="1"/>
  <c r="I509" i="1"/>
  <c r="J509" i="1" s="1"/>
  <c r="I508" i="1"/>
  <c r="J508" i="1" s="1"/>
  <c r="I506" i="1"/>
  <c r="J506" i="1" s="1"/>
  <c r="I504" i="1"/>
  <c r="J504" i="1" s="1"/>
  <c r="I502" i="1"/>
  <c r="J502" i="1" s="1"/>
  <c r="I499" i="1"/>
  <c r="J499" i="1" s="1"/>
  <c r="I498" i="1"/>
  <c r="J498" i="1" s="1"/>
  <c r="I497" i="1"/>
  <c r="J497" i="1" s="1"/>
  <c r="I493" i="1"/>
  <c r="J493" i="1" s="1"/>
  <c r="I492" i="1"/>
  <c r="J492" i="1" s="1"/>
  <c r="I490" i="1"/>
  <c r="J490" i="1" s="1"/>
  <c r="I489" i="1"/>
  <c r="J489" i="1" s="1"/>
  <c r="I488" i="1"/>
  <c r="J488" i="1" s="1"/>
  <c r="I487" i="1"/>
  <c r="J487" i="1" s="1"/>
  <c r="I484" i="1"/>
  <c r="J484" i="1" s="1"/>
  <c r="I483" i="1"/>
  <c r="J483" i="1" s="1"/>
  <c r="I482" i="1"/>
  <c r="J482" i="1" s="1"/>
  <c r="I481" i="1"/>
  <c r="J481" i="1" s="1"/>
  <c r="I480" i="1"/>
  <c r="J480" i="1" s="1"/>
  <c r="I479" i="1"/>
  <c r="J479" i="1" s="1"/>
  <c r="I478" i="1"/>
  <c r="J478" i="1" s="1"/>
  <c r="I475" i="1"/>
  <c r="J475" i="1" s="1"/>
  <c r="I470" i="1"/>
  <c r="J470" i="1" s="1"/>
  <c r="I460" i="1"/>
  <c r="J460" i="1" s="1"/>
  <c r="I459" i="1"/>
  <c r="J459" i="1" s="1"/>
  <c r="I457" i="1"/>
  <c r="J457" i="1" s="1"/>
  <c r="I456" i="1"/>
  <c r="J456" i="1" s="1"/>
  <c r="I455" i="1"/>
  <c r="J455" i="1" s="1"/>
  <c r="I454" i="1"/>
  <c r="J454" i="1" s="1"/>
  <c r="I445" i="1"/>
  <c r="J445" i="1" s="1"/>
  <c r="I438" i="1"/>
  <c r="J438" i="1" s="1"/>
  <c r="I437" i="1"/>
  <c r="J437" i="1" s="1"/>
  <c r="I432" i="1"/>
  <c r="J432" i="1" s="1"/>
  <c r="I421" i="1"/>
  <c r="J421" i="1" s="1"/>
  <c r="I415" i="1"/>
  <c r="J415" i="1" s="1"/>
  <c r="I414" i="1"/>
  <c r="J414" i="1" s="1"/>
  <c r="I405" i="1"/>
  <c r="J405" i="1" s="1"/>
  <c r="I404" i="1"/>
  <c r="J404" i="1" s="1"/>
  <c r="I397" i="1"/>
  <c r="J397" i="1" s="1"/>
  <c r="I391" i="1"/>
  <c r="J391" i="1" s="1"/>
  <c r="I389" i="1"/>
  <c r="J389" i="1" s="1"/>
  <c r="I386" i="1"/>
  <c r="J386" i="1" s="1"/>
  <c r="I382" i="1"/>
  <c r="J382" i="1" s="1"/>
  <c r="I381" i="1"/>
  <c r="J381" i="1" s="1"/>
  <c r="I379" i="1"/>
  <c r="J379" i="1" s="1"/>
  <c r="I378" i="1"/>
  <c r="J378" i="1" s="1"/>
  <c r="I377" i="1"/>
  <c r="J377" i="1" s="1"/>
  <c r="I375" i="1"/>
  <c r="J375" i="1" s="1"/>
  <c r="I371" i="1"/>
  <c r="J371" i="1" s="1"/>
  <c r="I373" i="1"/>
  <c r="J373" i="1" s="1"/>
  <c r="I367" i="1"/>
  <c r="J367" i="1" s="1"/>
  <c r="I366" i="1"/>
  <c r="J366" i="1" s="1"/>
  <c r="I365" i="1"/>
  <c r="J365" i="1" s="1"/>
  <c r="I364" i="1"/>
  <c r="J364" i="1" s="1"/>
  <c r="I362" i="1"/>
  <c r="J362" i="1" s="1"/>
  <c r="I356" i="1"/>
  <c r="J356" i="1" s="1"/>
  <c r="I354" i="1"/>
  <c r="J354" i="1" s="1"/>
  <c r="I351" i="1"/>
  <c r="J351" i="1" s="1"/>
  <c r="I350" i="1"/>
  <c r="J350" i="1" s="1"/>
  <c r="I349" i="1"/>
  <c r="J349" i="1" s="1"/>
  <c r="I347" i="1"/>
  <c r="J347" i="1" s="1"/>
  <c r="I346" i="1"/>
  <c r="J346" i="1" s="1"/>
  <c r="I344" i="1"/>
  <c r="J344" i="1" s="1"/>
  <c r="I342" i="1"/>
  <c r="J342" i="1" s="1"/>
  <c r="I340" i="1"/>
  <c r="J340" i="1" s="1"/>
  <c r="I337" i="1"/>
  <c r="J337" i="1" s="1"/>
  <c r="I336" i="1"/>
  <c r="J336" i="1" s="1"/>
  <c r="I335" i="1"/>
  <c r="J335" i="1" s="1"/>
  <c r="I331" i="1"/>
  <c r="J331" i="1" s="1"/>
  <c r="I330" i="1"/>
  <c r="J330" i="1" s="1"/>
  <c r="I328" i="1"/>
  <c r="J328" i="1" s="1"/>
  <c r="I327" i="1"/>
  <c r="J327" i="1" s="1"/>
  <c r="I326" i="1"/>
  <c r="J326" i="1" s="1"/>
  <c r="I325" i="1"/>
  <c r="J325" i="1" s="1"/>
  <c r="I322" i="1"/>
  <c r="J322" i="1" s="1"/>
  <c r="I321" i="1"/>
  <c r="J321" i="1" s="1"/>
  <c r="I320" i="1"/>
  <c r="J320" i="1" s="1"/>
  <c r="I319" i="1"/>
  <c r="J319" i="1" s="1"/>
  <c r="I318" i="1"/>
  <c r="J318" i="1" s="1"/>
  <c r="I317" i="1"/>
  <c r="J317" i="1" s="1"/>
  <c r="I316" i="1"/>
  <c r="J316" i="1" s="1"/>
  <c r="I313" i="1"/>
  <c r="J313" i="1" s="1"/>
  <c r="I308" i="1"/>
  <c r="J308" i="1" s="1"/>
  <c r="I298" i="1"/>
  <c r="J298" i="1" s="1"/>
  <c r="I297" i="1"/>
  <c r="J297" i="1" s="1"/>
  <c r="I295" i="1"/>
  <c r="J295" i="1" s="1"/>
  <c r="I294" i="1"/>
  <c r="J294" i="1" s="1"/>
  <c r="I293" i="1"/>
  <c r="J293" i="1" s="1"/>
  <c r="I292" i="1"/>
  <c r="J292" i="1" s="1"/>
  <c r="I282" i="1"/>
  <c r="J282" i="1" s="1"/>
  <c r="I273" i="1"/>
  <c r="J273" i="1" s="1"/>
  <c r="I272" i="1"/>
  <c r="J272" i="1" s="1"/>
  <c r="I258" i="1"/>
  <c r="J258" i="1" s="1"/>
  <c r="I251" i="1"/>
  <c r="J251" i="1" s="1"/>
  <c r="I250" i="1"/>
  <c r="J250" i="1" s="1"/>
  <c r="I242" i="1"/>
  <c r="J242" i="1" s="1"/>
  <c r="I240" i="1"/>
  <c r="J240" i="1" s="1"/>
  <c r="I238" i="1"/>
  <c r="J238" i="1" s="1"/>
  <c r="I232" i="1"/>
  <c r="J232" i="1" s="1"/>
  <c r="I231" i="1"/>
  <c r="J231" i="1" s="1"/>
  <c r="I228" i="1"/>
  <c r="J228" i="1" s="1"/>
  <c r="I223" i="1"/>
  <c r="J223" i="1" s="1"/>
  <c r="I221" i="1"/>
  <c r="J221" i="1" s="1"/>
  <c r="I219" i="1"/>
  <c r="J219" i="1" s="1"/>
  <c r="I218" i="1"/>
  <c r="J218" i="1" s="1"/>
  <c r="I216" i="1"/>
  <c r="J216" i="1" s="1"/>
  <c r="I214" i="1"/>
  <c r="J214" i="1" s="1"/>
  <c r="I211" i="1"/>
  <c r="J211" i="1" s="1"/>
  <c r="I210" i="1"/>
  <c r="J210" i="1" s="1"/>
  <c r="I206" i="1"/>
  <c r="J206" i="1" s="1"/>
  <c r="I205" i="1"/>
  <c r="J205" i="1" s="1"/>
  <c r="I204" i="1"/>
  <c r="J204" i="1" s="1"/>
  <c r="I203" i="1"/>
  <c r="J203" i="1" s="1"/>
  <c r="I201" i="1"/>
  <c r="J201" i="1" s="1"/>
  <c r="I146" i="1"/>
  <c r="J146" i="1" s="1"/>
  <c r="I194" i="1"/>
  <c r="J194" i="1" s="1"/>
  <c r="I192" i="1"/>
  <c r="J192" i="1" s="1"/>
  <c r="I189" i="1"/>
  <c r="J189" i="1" s="1"/>
  <c r="I188" i="1"/>
  <c r="J188" i="1" s="1"/>
  <c r="I187" i="1"/>
  <c r="J187" i="1" s="1"/>
  <c r="I185" i="1"/>
  <c r="J185" i="1" s="1"/>
  <c r="I184" i="1"/>
  <c r="J184" i="1" s="1"/>
  <c r="I182" i="1"/>
  <c r="J182" i="1" s="1"/>
  <c r="I180" i="1"/>
  <c r="J180" i="1" s="1"/>
  <c r="I178" i="1"/>
  <c r="J178" i="1" s="1"/>
  <c r="I175" i="1"/>
  <c r="J175" i="1" s="1"/>
  <c r="I173" i="1"/>
  <c r="J173" i="1" s="1"/>
  <c r="I174" i="1"/>
  <c r="J174" i="1" s="1"/>
  <c r="I168" i="1"/>
  <c r="J168" i="1" s="1"/>
  <c r="I167" i="1"/>
  <c r="J167" i="1" s="1"/>
  <c r="I165" i="1"/>
  <c r="J165" i="1" s="1"/>
  <c r="I164" i="1"/>
  <c r="J164" i="1" s="1"/>
  <c r="I163" i="1"/>
  <c r="J163" i="1" s="1"/>
  <c r="I162" i="1"/>
  <c r="J162" i="1" s="1"/>
  <c r="I160" i="1"/>
  <c r="J160" i="1" s="1"/>
  <c r="I159" i="1"/>
  <c r="J159" i="1" s="1"/>
  <c r="I158" i="1"/>
  <c r="J158" i="1" s="1"/>
  <c r="I157" i="1"/>
  <c r="J157" i="1" s="1"/>
  <c r="I156" i="1"/>
  <c r="J156" i="1" s="1"/>
  <c r="I155" i="1"/>
  <c r="J155" i="1" s="1"/>
  <c r="I154" i="1"/>
  <c r="J154" i="1" s="1"/>
  <c r="I151" i="1"/>
  <c r="J151" i="1" s="1"/>
  <c r="I138" i="1"/>
  <c r="J138" i="1" s="1"/>
  <c r="I137" i="1"/>
  <c r="J137" i="1" s="1"/>
  <c r="I136" i="1"/>
  <c r="J136" i="1" s="1"/>
  <c r="I133" i="1"/>
  <c r="J133" i="1" s="1"/>
  <c r="I132" i="1"/>
  <c r="J132" i="1" s="1"/>
  <c r="I131" i="1"/>
  <c r="J131" i="1" s="1"/>
  <c r="F428" i="3"/>
  <c r="E428" i="3"/>
  <c r="F427" i="3"/>
  <c r="E427" i="3"/>
  <c r="I115" i="1"/>
  <c r="J115" i="1" s="1"/>
  <c r="I114" i="1"/>
  <c r="J114" i="1" s="1"/>
  <c r="I101" i="1"/>
  <c r="J101" i="1" s="1"/>
  <c r="I93" i="1"/>
  <c r="J93" i="1" s="1"/>
  <c r="I79" i="1"/>
  <c r="J79" i="1" s="1"/>
  <c r="I76" i="1"/>
  <c r="J76" i="1" s="1"/>
  <c r="I75" i="1"/>
  <c r="J75" i="1" s="1"/>
  <c r="I72" i="1"/>
  <c r="J72" i="1" s="1"/>
  <c r="I70" i="1"/>
  <c r="J70" i="1" s="1"/>
  <c r="I68" i="1"/>
  <c r="J68" i="1" s="1"/>
  <c r="I67" i="1"/>
  <c r="J67" i="1" s="1"/>
  <c r="I64" i="1"/>
  <c r="J64" i="1" s="1"/>
  <c r="I63" i="1"/>
  <c r="J63" i="1" s="1"/>
  <c r="I61" i="1"/>
  <c r="J61" i="1" s="1"/>
  <c r="I60" i="1"/>
  <c r="J60" i="1" s="1"/>
  <c r="I59" i="1"/>
  <c r="J59" i="1" s="1"/>
  <c r="I57" i="1"/>
  <c r="J57" i="1" s="1"/>
  <c r="I56" i="1"/>
  <c r="J56" i="1" s="1"/>
  <c r="I58" i="1"/>
  <c r="J58" i="1" s="1"/>
  <c r="I53" i="1"/>
  <c r="J53" i="1" s="1"/>
  <c r="I51" i="1"/>
  <c r="J51" i="1" s="1"/>
  <c r="I49" i="1"/>
  <c r="J49" i="1" s="1"/>
  <c r="I48" i="1"/>
  <c r="J48" i="1" s="1"/>
  <c r="I47" i="1"/>
  <c r="J47" i="1" s="1"/>
  <c r="I44" i="1"/>
  <c r="J44" i="1" s="1"/>
  <c r="I42" i="1"/>
  <c r="J42" i="1" s="1"/>
  <c r="I40" i="1"/>
  <c r="J40" i="1" s="1"/>
  <c r="I37" i="1"/>
  <c r="J37" i="1" s="1"/>
  <c r="I30" i="1"/>
  <c r="J30" i="1" s="1"/>
  <c r="I29" i="1"/>
  <c r="J29" i="1" s="1"/>
  <c r="I26" i="1"/>
  <c r="J26" i="1" s="1"/>
  <c r="I25" i="1"/>
  <c r="J25" i="1" s="1"/>
  <c r="I24" i="1"/>
  <c r="J24" i="1" s="1"/>
  <c r="I23" i="1"/>
  <c r="J23" i="1" s="1"/>
  <c r="I21" i="1"/>
  <c r="J21" i="1" s="1"/>
  <c r="I17" i="1"/>
  <c r="J17" i="1" s="1"/>
  <c r="I9" i="1"/>
  <c r="J9" i="1" s="1"/>
  <c r="I8" i="1"/>
  <c r="J8" i="1" s="1"/>
  <c r="I406" i="2"/>
  <c r="J406" i="2" s="1"/>
  <c r="I402" i="2"/>
  <c r="J402" i="2" s="1"/>
  <c r="I388" i="2"/>
  <c r="J388" i="2" s="1"/>
  <c r="I370" i="2"/>
  <c r="J370" i="2" s="1"/>
  <c r="I366" i="2"/>
  <c r="J366" i="2" s="1"/>
  <c r="I362" i="2"/>
  <c r="J362" i="2" s="1"/>
  <c r="I354" i="2"/>
  <c r="J354" i="2" s="1"/>
  <c r="I350" i="2"/>
  <c r="J350" i="2" s="1"/>
  <c r="I246" i="2"/>
  <c r="J246" i="2" s="1"/>
  <c r="I163" i="2"/>
  <c r="J163" i="2" s="1"/>
  <c r="I76" i="2"/>
  <c r="J76" i="2" s="1"/>
  <c r="I408" i="2"/>
  <c r="J408" i="2" s="1"/>
  <c r="I404" i="2"/>
  <c r="J404" i="2" s="1"/>
  <c r="I389" i="2"/>
  <c r="J389" i="2" s="1"/>
  <c r="I371" i="2"/>
  <c r="J371" i="2" s="1"/>
  <c r="I368" i="2"/>
  <c r="J368" i="2" s="1"/>
  <c r="I364" i="2"/>
  <c r="J364" i="2" s="1"/>
  <c r="I356" i="2"/>
  <c r="J356" i="2" s="1"/>
  <c r="I352" i="2"/>
  <c r="J352" i="2" s="1"/>
  <c r="I248" i="2"/>
  <c r="J248" i="2" s="1"/>
  <c r="I165" i="2"/>
  <c r="J165" i="2" s="1"/>
  <c r="I77" i="2"/>
  <c r="J77" i="2" s="1"/>
  <c r="I395" i="2"/>
  <c r="J395" i="2" s="1"/>
  <c r="I415" i="2"/>
  <c r="J415" i="2" s="1"/>
  <c r="I413" i="2"/>
  <c r="J413" i="2" s="1"/>
  <c r="I409" i="2"/>
  <c r="J409" i="2" s="1"/>
  <c r="I405" i="2"/>
  <c r="J405" i="2" s="1"/>
  <c r="I390" i="2"/>
  <c r="J390" i="2" s="1"/>
  <c r="I382" i="2"/>
  <c r="J382" i="2" s="1"/>
  <c r="I374" i="2"/>
  <c r="J374" i="2" s="1"/>
  <c r="I373" i="2"/>
  <c r="J373" i="2" s="1"/>
  <c r="I372" i="2"/>
  <c r="J372" i="2" s="1"/>
  <c r="I369" i="2"/>
  <c r="J369" i="2" s="1"/>
  <c r="I365" i="2"/>
  <c r="J365" i="2" s="1"/>
  <c r="I357" i="2"/>
  <c r="J357" i="2" s="1"/>
  <c r="I353" i="2"/>
  <c r="J353" i="2" s="1"/>
  <c r="I249" i="2"/>
  <c r="J249" i="2" s="1"/>
  <c r="I166" i="2"/>
  <c r="J166" i="2" s="1"/>
  <c r="I79" i="2"/>
  <c r="J79" i="2" s="1"/>
  <c r="I26" i="2"/>
  <c r="J26" i="2" s="1"/>
  <c r="I797" i="1"/>
  <c r="J797" i="1" s="1"/>
  <c r="I796" i="1"/>
  <c r="J796" i="1" s="1"/>
  <c r="I790" i="1"/>
  <c r="J790" i="1" s="1"/>
  <c r="I787" i="1"/>
  <c r="J787" i="1" s="1"/>
  <c r="I786" i="1"/>
  <c r="J786" i="1" s="1"/>
  <c r="I785" i="1"/>
  <c r="J785" i="1" s="1"/>
  <c r="I783" i="1"/>
  <c r="J783" i="1" s="1"/>
  <c r="I782" i="1"/>
  <c r="J782" i="1" s="1"/>
  <c r="I781" i="1"/>
  <c r="J781" i="1" s="1"/>
  <c r="I759" i="1"/>
  <c r="J759" i="1" s="1"/>
  <c r="I741" i="1"/>
  <c r="J741" i="1" s="1"/>
  <c r="I721" i="1"/>
  <c r="J721" i="1" s="1"/>
  <c r="I701" i="1"/>
  <c r="J701" i="1" s="1"/>
  <c r="I700" i="1"/>
  <c r="J700" i="1" s="1"/>
  <c r="I694" i="1"/>
  <c r="J694" i="1" s="1"/>
  <c r="I691" i="1"/>
  <c r="J691" i="1" s="1"/>
  <c r="I690" i="1"/>
  <c r="J690" i="1" s="1"/>
  <c r="I689" i="1"/>
  <c r="J689" i="1" s="1"/>
  <c r="I687" i="1"/>
  <c r="J687" i="1" s="1"/>
  <c r="I686" i="1"/>
  <c r="J686" i="1" s="1"/>
  <c r="I685" i="1"/>
  <c r="J685" i="1" s="1"/>
  <c r="I663" i="1"/>
  <c r="J663" i="1" s="1"/>
  <c r="I645" i="1"/>
  <c r="J645" i="1" s="1"/>
  <c r="I625" i="1"/>
  <c r="J625" i="1" s="1"/>
  <c r="G427" i="3" l="1"/>
  <c r="G428" i="3"/>
  <c r="I602" i="1" l="1"/>
  <c r="J602" i="1" s="1"/>
  <c r="I601" i="1"/>
  <c r="J601" i="1" s="1"/>
  <c r="I598" i="1"/>
  <c r="J598" i="1" s="1"/>
  <c r="I594" i="1"/>
  <c r="J594" i="1" s="1"/>
  <c r="I588" i="1"/>
  <c r="J588" i="1" s="1"/>
  <c r="I587" i="1"/>
  <c r="J587" i="1" s="1"/>
  <c r="I586" i="1"/>
  <c r="J586" i="1" s="1"/>
  <c r="I585" i="1"/>
  <c r="J585" i="1" s="1"/>
  <c r="I584" i="1"/>
  <c r="J584" i="1" s="1"/>
  <c r="I582" i="1"/>
  <c r="J582" i="1" s="1"/>
  <c r="I581" i="1"/>
  <c r="J581" i="1" s="1"/>
  <c r="I580" i="1"/>
  <c r="J580" i="1" s="1"/>
  <c r="I534" i="1"/>
  <c r="J534" i="1" s="1"/>
  <c r="I507" i="1"/>
  <c r="J507" i="1" s="1"/>
  <c r="I500" i="1"/>
  <c r="J500" i="1" s="1"/>
  <c r="I476" i="1"/>
  <c r="J476" i="1" s="1"/>
  <c r="I436" i="1" l="1"/>
  <c r="J436" i="1" s="1"/>
  <c r="I440" i="1"/>
  <c r="J440" i="1" s="1"/>
  <c r="I439" i="1"/>
  <c r="J439" i="1" s="1"/>
  <c r="I431" i="1"/>
  <c r="J431" i="1" s="1"/>
  <c r="I426" i="1"/>
  <c r="J426" i="1" s="1"/>
  <c r="I425" i="1"/>
  <c r="J425" i="1" s="1"/>
  <c r="I424" i="1"/>
  <c r="J424" i="1" s="1"/>
  <c r="I423" i="1"/>
  <c r="J423" i="1" s="1"/>
  <c r="I422" i="1"/>
  <c r="J422" i="1" s="1"/>
  <c r="I420" i="1"/>
  <c r="J420" i="1" s="1"/>
  <c r="I419" i="1"/>
  <c r="J419" i="1" s="1"/>
  <c r="I418" i="1"/>
  <c r="J418" i="1" s="1"/>
  <c r="I372" i="1"/>
  <c r="J372" i="1" s="1"/>
  <c r="I345" i="1"/>
  <c r="J345" i="1" s="1"/>
  <c r="I338" i="1"/>
  <c r="J338" i="1" s="1"/>
  <c r="I314" i="1"/>
  <c r="J314" i="1" s="1"/>
  <c r="I280" i="1" l="1"/>
  <c r="J280" i="1" s="1"/>
  <c r="I279" i="1"/>
  <c r="J279" i="1" s="1"/>
  <c r="I275" i="1"/>
  <c r="J275" i="1" s="1"/>
  <c r="I274" i="1"/>
  <c r="J274" i="1" s="1"/>
  <c r="I268" i="1"/>
  <c r="J268" i="1" s="1"/>
  <c r="I263" i="1"/>
  <c r="J263" i="1" s="1"/>
  <c r="I262" i="1"/>
  <c r="J262" i="1" s="1"/>
  <c r="I261" i="1"/>
  <c r="J261" i="1" s="1"/>
  <c r="I260" i="1"/>
  <c r="J260" i="1" s="1"/>
  <c r="I259" i="1"/>
  <c r="J259" i="1" s="1"/>
  <c r="I257" i="1"/>
  <c r="J257" i="1" s="1"/>
  <c r="I256" i="1"/>
  <c r="J256" i="1" s="1"/>
  <c r="I254" i="1"/>
  <c r="J254" i="1" s="1"/>
  <c r="I212" i="1"/>
  <c r="J212" i="1" s="1"/>
  <c r="I183" i="1"/>
  <c r="J183" i="1" s="1"/>
  <c r="I176" i="1"/>
  <c r="J176" i="1" s="1"/>
  <c r="I152" i="1"/>
  <c r="J152" i="1" s="1"/>
  <c r="I135" i="1"/>
  <c r="J135" i="1" s="1"/>
  <c r="I123" i="1" l="1"/>
  <c r="J123" i="1" s="1"/>
  <c r="F426" i="3"/>
  <c r="E426" i="3"/>
  <c r="I122" i="1"/>
  <c r="J122" i="1" s="1"/>
  <c r="I117" i="1"/>
  <c r="J117" i="1" s="1"/>
  <c r="I116" i="1"/>
  <c r="J116" i="1" s="1"/>
  <c r="I112" i="1"/>
  <c r="J112" i="1" s="1"/>
  <c r="I110" i="1"/>
  <c r="J110" i="1" s="1"/>
  <c r="I105" i="1"/>
  <c r="J105" i="1" s="1"/>
  <c r="I104" i="1"/>
  <c r="J104" i="1" s="1"/>
  <c r="I103" i="1"/>
  <c r="J103" i="1" s="1"/>
  <c r="I102" i="1"/>
  <c r="J102" i="1" s="1"/>
  <c r="I100" i="1"/>
  <c r="J100" i="1" s="1"/>
  <c r="I99" i="1"/>
  <c r="J99" i="1" s="1"/>
  <c r="I98" i="1"/>
  <c r="J98" i="1" s="1"/>
  <c r="I65" i="1"/>
  <c r="J65" i="1" s="1"/>
  <c r="I43" i="1"/>
  <c r="J43" i="1" s="1"/>
  <c r="I34" i="1"/>
  <c r="J34" i="1" s="1"/>
  <c r="I22" i="1"/>
  <c r="J22" i="1" s="1"/>
  <c r="G426" i="3" l="1"/>
  <c r="I399" i="2"/>
  <c r="J399" i="2" s="1"/>
  <c r="I396" i="2"/>
  <c r="J396" i="2" s="1"/>
  <c r="I387" i="2"/>
  <c r="J387" i="2" s="1"/>
  <c r="I358" i="2"/>
  <c r="J358" i="2" s="1"/>
  <c r="I325" i="2"/>
  <c r="J325" i="2" s="1"/>
  <c r="I310" i="2"/>
  <c r="J310" i="2" s="1"/>
  <c r="I391" i="2" l="1"/>
  <c r="J391" i="2" s="1"/>
  <c r="I346" i="2"/>
  <c r="J346" i="2" s="1"/>
  <c r="I281" i="2"/>
  <c r="J281" i="2" s="1"/>
  <c r="I37" i="2"/>
  <c r="J37" i="2" s="1"/>
  <c r="I41" i="2"/>
  <c r="J41" i="2" s="1"/>
  <c r="I393" i="2"/>
  <c r="J393" i="2" s="1"/>
  <c r="I348" i="2"/>
  <c r="J348" i="2" s="1"/>
  <c r="I283" i="2"/>
  <c r="J283" i="2" s="1"/>
  <c r="I39" i="2"/>
  <c r="J39" i="2" s="1"/>
  <c r="I43" i="2"/>
  <c r="J43" i="2" s="1"/>
  <c r="I394" i="2"/>
  <c r="J394" i="2" s="1"/>
  <c r="I349" i="2"/>
  <c r="J349" i="2" s="1"/>
  <c r="I284" i="2"/>
  <c r="J284" i="2" s="1"/>
  <c r="I40" i="2"/>
  <c r="J40" i="2" s="1"/>
  <c r="I48" i="2"/>
  <c r="J48" i="2" s="1"/>
  <c r="I768" i="1"/>
  <c r="J768" i="1" s="1"/>
  <c r="I793" i="1"/>
  <c r="J793" i="1" s="1"/>
  <c r="I780" i="1"/>
  <c r="J780" i="1" s="1"/>
  <c r="I715" i="1"/>
  <c r="J715" i="1" s="1"/>
  <c r="I716" i="1"/>
  <c r="J716" i="1" s="1"/>
  <c r="I672" i="1" l="1"/>
  <c r="J672" i="1" s="1"/>
  <c r="I619" i="1"/>
  <c r="J619" i="1" s="1"/>
  <c r="I620" i="1"/>
  <c r="J620" i="1" s="1"/>
  <c r="I697" i="1"/>
  <c r="J697" i="1" s="1"/>
  <c r="I684" i="1"/>
  <c r="J684" i="1" s="1"/>
  <c r="I546" i="1" l="1"/>
  <c r="J546" i="1" s="1"/>
  <c r="I464" i="1"/>
  <c r="J464" i="1" s="1"/>
  <c r="I466" i="1"/>
  <c r="J466" i="1" s="1"/>
  <c r="I597" i="1"/>
  <c r="J597" i="1" s="1"/>
  <c r="I579" i="1"/>
  <c r="J579" i="1" s="1"/>
  <c r="I435" i="1"/>
  <c r="J435" i="1" s="1"/>
  <c r="I417" i="1"/>
  <c r="J417" i="1" s="1"/>
  <c r="I384" i="1"/>
  <c r="J384" i="1" s="1"/>
  <c r="I302" i="1"/>
  <c r="J302" i="1" s="1"/>
  <c r="I304" i="1"/>
  <c r="J304" i="1" s="1"/>
  <c r="I271" i="1" l="1"/>
  <c r="J271" i="1" s="1"/>
  <c r="I253" i="1"/>
  <c r="J253" i="1" s="1"/>
  <c r="I225" i="1"/>
  <c r="J225" i="1" s="1"/>
  <c r="I148" i="1"/>
  <c r="J148" i="1" s="1"/>
  <c r="I143" i="1"/>
  <c r="J143" i="1" s="1"/>
  <c r="I142" i="1"/>
  <c r="J142" i="1" s="1"/>
  <c r="I113" i="1" l="1"/>
  <c r="J113" i="1" s="1"/>
  <c r="I97" i="1"/>
  <c r="J97" i="1" s="1"/>
  <c r="I73" i="1"/>
  <c r="J73" i="1" s="1"/>
  <c r="I18" i="1"/>
  <c r="J18" i="1" s="1"/>
  <c r="I16" i="1"/>
  <c r="J16" i="1" s="1"/>
  <c r="I343" i="2" l="1"/>
  <c r="J343" i="2" s="1"/>
  <c r="I344" i="2"/>
  <c r="J344" i="2" s="1"/>
  <c r="I345" i="2"/>
  <c r="J345" i="2" s="1"/>
  <c r="I265" i="2"/>
  <c r="J265" i="2" s="1"/>
  <c r="I266" i="2"/>
  <c r="J266" i="2" s="1"/>
  <c r="I214" i="2"/>
  <c r="J214" i="2" s="1"/>
  <c r="I215" i="2"/>
  <c r="J215" i="2" s="1"/>
  <c r="I53" i="2"/>
  <c r="J53" i="2" s="1"/>
  <c r="I54" i="2"/>
  <c r="J54" i="2" s="1"/>
  <c r="I50" i="2"/>
  <c r="J50" i="2" s="1"/>
  <c r="I51" i="2"/>
  <c r="J51" i="2" s="1"/>
  <c r="I59" i="2"/>
  <c r="J59" i="2" s="1"/>
  <c r="I60" i="2"/>
  <c r="J60" i="2" s="1"/>
  <c r="I278" i="2"/>
  <c r="J278" i="2" s="1"/>
  <c r="I279" i="2"/>
  <c r="J279" i="2" s="1"/>
  <c r="I303" i="2"/>
  <c r="J303" i="2" s="1"/>
  <c r="I304" i="2"/>
  <c r="J304" i="2" s="1"/>
  <c r="I233" i="2"/>
  <c r="J233" i="2" s="1"/>
  <c r="I234" i="2"/>
  <c r="J234" i="2" s="1"/>
  <c r="I230" i="2"/>
  <c r="J230" i="2" s="1"/>
  <c r="I231" i="2"/>
  <c r="J231" i="2" s="1"/>
  <c r="I69" i="2"/>
  <c r="J69" i="2" s="1"/>
  <c r="I70" i="2"/>
  <c r="J70" i="2" s="1"/>
  <c r="I8" i="2"/>
  <c r="J8" i="2" s="1"/>
  <c r="I9" i="2"/>
  <c r="J9" i="2" s="1"/>
  <c r="I5" i="2"/>
  <c r="J5" i="2" s="1"/>
  <c r="I6" i="2"/>
  <c r="J6" i="2" s="1"/>
  <c r="I779" i="1"/>
  <c r="J779" i="1" s="1"/>
  <c r="I772" i="1"/>
  <c r="J772" i="1" s="1"/>
  <c r="I767" i="1"/>
  <c r="J767" i="1" s="1"/>
  <c r="I764" i="1"/>
  <c r="J764" i="1" s="1"/>
  <c r="I757" i="1"/>
  <c r="J757" i="1" s="1"/>
  <c r="I756" i="1"/>
  <c r="J756" i="1" s="1"/>
  <c r="I752" i="1"/>
  <c r="J752" i="1" s="1"/>
  <c r="I722" i="1"/>
  <c r="J722" i="1" s="1"/>
  <c r="I719" i="1"/>
  <c r="J719" i="1" s="1"/>
  <c r="I718" i="1"/>
  <c r="J718" i="1" s="1"/>
  <c r="I717" i="1"/>
  <c r="J717" i="1" s="1"/>
  <c r="I710" i="1"/>
  <c r="J710" i="1" s="1"/>
  <c r="I709" i="1"/>
  <c r="J709" i="1" s="1"/>
  <c r="I683" i="1"/>
  <c r="J683" i="1" s="1"/>
  <c r="I676" i="1"/>
  <c r="J676" i="1" s="1"/>
  <c r="I671" i="1"/>
  <c r="J671" i="1" s="1"/>
  <c r="I668" i="1"/>
  <c r="J668" i="1" s="1"/>
  <c r="I661" i="1"/>
  <c r="J661" i="1" s="1"/>
  <c r="I660" i="1"/>
  <c r="J660" i="1" s="1"/>
  <c r="I656" i="1"/>
  <c r="J656" i="1" s="1"/>
  <c r="I626" i="1"/>
  <c r="J626" i="1" s="1"/>
  <c r="I623" i="1"/>
  <c r="J623" i="1" s="1"/>
  <c r="I622" i="1"/>
  <c r="J622" i="1" s="1"/>
  <c r="I621" i="1"/>
  <c r="J621" i="1" s="1"/>
  <c r="I614" i="1"/>
  <c r="J614" i="1" s="1"/>
  <c r="I613" i="1"/>
  <c r="J613" i="1" s="1"/>
  <c r="I288" i="1"/>
  <c r="J288" i="1" s="1"/>
  <c r="I578" i="1"/>
  <c r="J578" i="1" s="1"/>
  <c r="I416" i="1" l="1"/>
  <c r="J416" i="1" s="1"/>
  <c r="I252" i="1" l="1"/>
  <c r="J252" i="1" s="1"/>
  <c r="E425" i="3" l="1"/>
  <c r="F425" i="3"/>
  <c r="I95" i="1"/>
  <c r="J95" i="1" s="1"/>
  <c r="G425" i="3" l="1"/>
  <c r="I496" i="1"/>
  <c r="J496" i="1" s="1"/>
  <c r="I334" i="1" l="1"/>
  <c r="J334" i="1" s="1"/>
  <c r="I249" i="1" l="1"/>
  <c r="J249" i="1" s="1"/>
  <c r="I226" i="1"/>
  <c r="J226" i="1" s="1"/>
  <c r="I342" i="2" l="1"/>
  <c r="J342" i="2" s="1"/>
  <c r="I92" i="1"/>
  <c r="J92" i="1" s="1"/>
  <c r="I74" i="1"/>
  <c r="J74" i="1" s="1"/>
  <c r="I340" i="2" l="1"/>
  <c r="J340" i="2" s="1"/>
  <c r="I333" i="2"/>
  <c r="J333" i="2" s="1"/>
  <c r="I571" i="1" l="1"/>
  <c r="J571" i="1" s="1"/>
  <c r="I409" i="1" l="1"/>
  <c r="J409" i="1" s="1"/>
  <c r="I248" i="1" l="1"/>
  <c r="J248" i="1" s="1"/>
  <c r="I245" i="1"/>
  <c r="J245" i="1" s="1"/>
  <c r="F424" i="3" l="1"/>
  <c r="E424" i="3"/>
  <c r="I91" i="1"/>
  <c r="J91" i="1" s="1"/>
  <c r="I86" i="1"/>
  <c r="J86" i="1" s="1"/>
  <c r="G424" i="3" l="1"/>
  <c r="I332" i="2" l="1"/>
  <c r="J332" i="2" s="1"/>
  <c r="I324" i="2"/>
  <c r="J324" i="2" s="1"/>
  <c r="I66" i="2"/>
  <c r="J66" i="2" s="1"/>
  <c r="I67" i="2"/>
  <c r="J67" i="2" s="1"/>
  <c r="I570" i="1" l="1"/>
  <c r="J570" i="1" s="1"/>
  <c r="I473" i="1"/>
  <c r="J473" i="1" s="1"/>
  <c r="I408" i="1" l="1"/>
  <c r="J408" i="1" s="1"/>
  <c r="I311" i="1"/>
  <c r="J311" i="1" s="1"/>
  <c r="I244" i="1" l="1"/>
  <c r="J244" i="1" s="1"/>
  <c r="I241" i="1"/>
  <c r="J241" i="1" s="1"/>
  <c r="I150" i="1"/>
  <c r="J150" i="1" s="1"/>
  <c r="I85" i="1" l="1"/>
  <c r="J85" i="1" s="1"/>
  <c r="I84" i="1" l="1"/>
  <c r="J84" i="1" s="1"/>
  <c r="I20" i="1"/>
  <c r="J20" i="1" s="1"/>
  <c r="I80" i="2" l="1"/>
  <c r="J80" i="2" s="1"/>
  <c r="I63" i="2" l="1"/>
  <c r="J63" i="2" s="1"/>
  <c r="I64" i="2"/>
  <c r="J64" i="2" s="1"/>
  <c r="I472" i="1" l="1"/>
  <c r="J472" i="1" s="1"/>
  <c r="I310" i="1" l="1"/>
  <c r="J310" i="1" s="1"/>
  <c r="I149" i="1" l="1"/>
  <c r="J149" i="1" s="1"/>
  <c r="I19" i="1" l="1"/>
  <c r="J19" i="1" s="1"/>
  <c r="I328" i="2" l="1"/>
  <c r="J328" i="2" s="1"/>
  <c r="I157" i="2"/>
  <c r="J157" i="2" s="1"/>
  <c r="I49" i="2"/>
  <c r="J49" i="2" s="1"/>
  <c r="I329" i="2"/>
  <c r="J329" i="2" s="1"/>
  <c r="I3" i="2"/>
  <c r="J3" i="2" s="1"/>
  <c r="I4" i="2"/>
  <c r="J4" i="2" s="1"/>
  <c r="I569" i="1" l="1"/>
  <c r="J569" i="1" s="1"/>
  <c r="I568" i="1"/>
  <c r="J568" i="1" s="1"/>
  <c r="I505" i="1"/>
  <c r="J505" i="1" s="1"/>
  <c r="I467" i="1"/>
  <c r="J467" i="1" s="1"/>
  <c r="I451" i="1"/>
  <c r="J451" i="1" s="1"/>
  <c r="I407" i="1" l="1"/>
  <c r="J407" i="1" s="1"/>
  <c r="I406" i="1"/>
  <c r="J406" i="1" s="1"/>
  <c r="I343" i="1"/>
  <c r="J343" i="1" s="1"/>
  <c r="I305" i="1"/>
  <c r="J305" i="1" s="1"/>
  <c r="I289" i="1"/>
  <c r="J289" i="1" s="1"/>
  <c r="I243" i="1" l="1"/>
  <c r="J243" i="1" s="1"/>
  <c r="I181" i="1"/>
  <c r="J181" i="1" s="1"/>
  <c r="I128" i="1"/>
  <c r="J128" i="1" s="1"/>
  <c r="F421" i="3" l="1"/>
  <c r="E421" i="3"/>
  <c r="I41" i="1"/>
  <c r="J41" i="1" s="1"/>
  <c r="G421" i="3" l="1"/>
  <c r="I321" i="2"/>
  <c r="J321" i="2" s="1"/>
  <c r="I55" i="2" l="1"/>
  <c r="J55" i="2" s="1"/>
  <c r="I468" i="1" l="1"/>
  <c r="J468" i="1" s="1"/>
  <c r="I306" i="1" l="1"/>
  <c r="J306" i="1" s="1"/>
  <c r="I144" i="1" l="1"/>
  <c r="J144" i="1" s="1"/>
  <c r="I565" i="1" l="1"/>
  <c r="J565" i="1" s="1"/>
  <c r="I542" i="1"/>
  <c r="J542" i="1" s="1"/>
  <c r="I525" i="1"/>
  <c r="J525" i="1" s="1"/>
  <c r="I469" i="1"/>
  <c r="J469" i="1" s="1"/>
  <c r="I403" i="1" l="1"/>
  <c r="J403" i="1" s="1"/>
  <c r="I380" i="1"/>
  <c r="J380" i="1" s="1"/>
  <c r="I363" i="1"/>
  <c r="J363" i="1" s="1"/>
  <c r="I307" i="1"/>
  <c r="J307" i="1" s="1"/>
  <c r="I220" i="1" l="1"/>
  <c r="J220" i="1" s="1"/>
  <c r="I202" i="1"/>
  <c r="J202" i="1" s="1"/>
  <c r="I145" i="1"/>
  <c r="J145" i="1" s="1"/>
  <c r="F422" i="3" l="1"/>
  <c r="E422" i="3"/>
  <c r="I267" i="2"/>
  <c r="J267" i="2" s="1"/>
  <c r="G422" i="3" l="1"/>
  <c r="I216" i="2"/>
  <c r="J216" i="2" s="1"/>
  <c r="I52" i="2"/>
  <c r="J52" i="2" s="1"/>
  <c r="I253" i="2" l="1"/>
  <c r="J253" i="2" s="1"/>
  <c r="I152" i="2"/>
  <c r="J152" i="2" s="1"/>
  <c r="I72" i="2" l="1"/>
  <c r="J72" i="2" s="1"/>
  <c r="I319" i="2" l="1"/>
  <c r="J319" i="2" s="1"/>
  <c r="I318" i="2"/>
  <c r="J318" i="2" s="1"/>
  <c r="I317" i="2"/>
  <c r="J317" i="2" s="1"/>
  <c r="I316" i="2"/>
  <c r="J316" i="2" s="1"/>
  <c r="I61" i="2"/>
  <c r="J61" i="2" s="1"/>
  <c r="I280" i="2"/>
  <c r="J280" i="2" s="1"/>
  <c r="I564" i="1" l="1"/>
  <c r="J564" i="1" s="1"/>
  <c r="I563" i="1"/>
  <c r="J563" i="1" s="1"/>
  <c r="I562" i="1"/>
  <c r="J562" i="1" s="1"/>
  <c r="I561" i="1"/>
  <c r="J561" i="1" s="1"/>
  <c r="I560" i="1"/>
  <c r="J560" i="1" s="1"/>
  <c r="I558" i="1"/>
  <c r="J558" i="1" s="1"/>
  <c r="I552" i="1"/>
  <c r="J552" i="1" s="1"/>
  <c r="I536" i="1"/>
  <c r="J536" i="1" s="1"/>
  <c r="I474" i="1"/>
  <c r="J474" i="1" s="1"/>
  <c r="I545" i="1" l="1"/>
  <c r="J545" i="1" s="1"/>
  <c r="I494" i="1"/>
  <c r="J494" i="1" s="1"/>
  <c r="I471" i="1"/>
  <c r="J471" i="1" s="1"/>
  <c r="F419" i="3" l="1"/>
  <c r="E419" i="3"/>
  <c r="G419" i="3" l="1"/>
  <c r="F423" i="3"/>
  <c r="E423" i="3"/>
  <c r="F420" i="3"/>
  <c r="E420" i="3"/>
  <c r="F367" i="3"/>
  <c r="E367" i="3"/>
  <c r="F359" i="3"/>
  <c r="E359" i="3"/>
  <c r="G417" i="3"/>
  <c r="F415" i="3"/>
  <c r="E415" i="3"/>
  <c r="G414" i="3"/>
  <c r="G413" i="3"/>
  <c r="F413" i="3"/>
  <c r="G412" i="3"/>
  <c r="G411" i="3"/>
  <c r="G410" i="3"/>
  <c r="G409" i="3"/>
  <c r="G408" i="3"/>
  <c r="G407" i="3"/>
  <c r="G406" i="3"/>
  <c r="G405" i="3"/>
  <c r="G404" i="3"/>
  <c r="F404" i="3"/>
  <c r="G403" i="3"/>
  <c r="G402" i="3"/>
  <c r="F402" i="3"/>
  <c r="G401" i="3"/>
  <c r="G400" i="3"/>
  <c r="G399" i="3"/>
  <c r="G398" i="3"/>
  <c r="G396" i="3"/>
  <c r="G395" i="3"/>
  <c r="G394" i="3"/>
  <c r="G393" i="3"/>
  <c r="G392" i="3"/>
  <c r="G391" i="3"/>
  <c r="G390" i="3"/>
  <c r="F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F375" i="3"/>
  <c r="E375" i="3"/>
  <c r="G367" i="3" l="1"/>
  <c r="G375" i="3"/>
  <c r="G423" i="3"/>
  <c r="G359" i="3"/>
  <c r="G415" i="3"/>
  <c r="G420" i="3"/>
  <c r="I402" i="1" l="1"/>
  <c r="J402" i="1" s="1"/>
  <c r="I401" i="1"/>
  <c r="J401" i="1" s="1"/>
  <c r="I400" i="1"/>
  <c r="J400" i="1" s="1"/>
  <c r="I399" i="1"/>
  <c r="J399" i="1" s="1"/>
  <c r="I383" i="1"/>
  <c r="J383" i="1" s="1"/>
  <c r="I332" i="1"/>
  <c r="J332" i="1" s="1"/>
  <c r="I309" i="1"/>
  <c r="J309" i="1" s="1"/>
  <c r="I224" i="1" l="1"/>
  <c r="J224" i="1" s="1"/>
  <c r="I147" i="1"/>
  <c r="J147" i="1" s="1"/>
  <c r="I237" i="2" l="1"/>
  <c r="J237" i="2" s="1"/>
  <c r="I209" i="1" l="1"/>
  <c r="J209" i="1" s="1"/>
  <c r="I170" i="1"/>
  <c r="J170" i="1" s="1"/>
  <c r="I62" i="1" l="1"/>
  <c r="J62" i="1" s="1"/>
  <c r="I32" i="1"/>
  <c r="J32" i="1" s="1"/>
  <c r="G418" i="3" l="1"/>
  <c r="F418" i="3"/>
  <c r="E418" i="3"/>
  <c r="I315" i="2" l="1"/>
  <c r="J315" i="2" s="1"/>
  <c r="I158" i="2"/>
  <c r="J158" i="2" s="1"/>
  <c r="I68" i="2"/>
  <c r="J68" i="2" s="1"/>
  <c r="G416" i="3" l="1"/>
  <c r="F416" i="3"/>
  <c r="E416" i="3"/>
  <c r="I398" i="1" l="1"/>
  <c r="J398" i="1" s="1"/>
  <c r="I312" i="1"/>
  <c r="J312" i="1" s="1"/>
  <c r="I556" i="1" l="1"/>
  <c r="J556" i="1" s="1"/>
  <c r="I531" i="1"/>
  <c r="J531" i="1" s="1"/>
  <c r="I530" i="1"/>
  <c r="J530" i="1" s="1"/>
  <c r="I477" i="1"/>
  <c r="J477" i="1" s="1"/>
  <c r="I453" i="1"/>
  <c r="J453" i="1" s="1"/>
  <c r="I452" i="1"/>
  <c r="J452" i="1" s="1"/>
  <c r="I394" i="1" l="1"/>
  <c r="J394" i="1" s="1"/>
  <c r="I369" i="1"/>
  <c r="J369" i="1" s="1"/>
  <c r="I368" i="1"/>
  <c r="J368" i="1" s="1"/>
  <c r="I315" i="1"/>
  <c r="J315" i="1" s="1"/>
  <c r="I291" i="1"/>
  <c r="J291" i="1" s="1"/>
  <c r="I290" i="1"/>
  <c r="J290" i="1" s="1"/>
  <c r="I237" i="1" l="1"/>
  <c r="J237" i="1" s="1"/>
  <c r="I236" i="1"/>
  <c r="J236" i="1" s="1"/>
  <c r="I235" i="1"/>
  <c r="J235" i="1" s="1"/>
  <c r="I217" i="1"/>
  <c r="J217" i="1" s="1"/>
  <c r="I213" i="1"/>
  <c r="J213" i="1" s="1"/>
  <c r="I208" i="1"/>
  <c r="J208" i="1" s="1"/>
  <c r="I207" i="1"/>
  <c r="J207" i="1" s="1"/>
  <c r="I196" i="1"/>
  <c r="J196" i="1" s="1"/>
  <c r="I153" i="1" l="1"/>
  <c r="J153" i="1" s="1"/>
  <c r="I134" i="1"/>
  <c r="J134" i="1" s="1"/>
  <c r="I130" i="1"/>
  <c r="J130" i="1" s="1"/>
  <c r="I129" i="1"/>
  <c r="J129" i="1" s="1"/>
  <c r="I83" i="1" l="1"/>
  <c r="J83" i="1" s="1"/>
  <c r="I69" i="1"/>
  <c r="J69" i="1" s="1"/>
  <c r="F397" i="3" l="1"/>
  <c r="E397" i="3"/>
  <c r="G397" i="3" l="1"/>
  <c r="I308" i="2" l="1"/>
  <c r="J308" i="2" s="1"/>
  <c r="I307" i="2"/>
  <c r="J307" i="2" s="1"/>
  <c r="I257" i="2"/>
  <c r="J257" i="2" s="1"/>
  <c r="I195" i="2"/>
  <c r="J195" i="2" s="1"/>
  <c r="I22" i="2"/>
  <c r="J22" i="2" s="1"/>
  <c r="I309" i="2"/>
  <c r="J309" i="2" s="1"/>
  <c r="I396" i="1" l="1"/>
  <c r="J396" i="1" s="1"/>
  <c r="F435" i="3" l="1"/>
  <c r="E435" i="3"/>
  <c r="G374" i="3"/>
  <c r="F374" i="3"/>
  <c r="E374" i="3"/>
  <c r="G373" i="3"/>
  <c r="F373" i="3"/>
  <c r="E373" i="3"/>
  <c r="G372" i="3"/>
  <c r="F372" i="3"/>
  <c r="E372" i="3"/>
  <c r="G371" i="3"/>
  <c r="F371" i="3"/>
  <c r="E371" i="3"/>
  <c r="G370" i="3"/>
  <c r="F370" i="3"/>
  <c r="E370" i="3"/>
  <c r="G369" i="3"/>
  <c r="G368" i="3"/>
  <c r="F368" i="3"/>
  <c r="E368" i="3"/>
  <c r="F366" i="3"/>
  <c r="E366" i="3"/>
  <c r="G365" i="3"/>
  <c r="F365" i="3"/>
  <c r="E365" i="3"/>
  <c r="F364" i="3"/>
  <c r="E364" i="3"/>
  <c r="F363" i="3"/>
  <c r="E363" i="3"/>
  <c r="G362" i="3"/>
  <c r="F361" i="3"/>
  <c r="E361" i="3"/>
  <c r="F360" i="3"/>
  <c r="E360" i="3"/>
  <c r="F358" i="3"/>
  <c r="E358" i="3"/>
  <c r="F357" i="3"/>
  <c r="E357" i="3"/>
  <c r="F356" i="3"/>
  <c r="E356" i="3"/>
  <c r="F355" i="3"/>
  <c r="E355" i="3"/>
  <c r="F354" i="3"/>
  <c r="E354" i="3"/>
  <c r="F353" i="3"/>
  <c r="E353" i="3"/>
  <c r="F352" i="3"/>
  <c r="E352" i="3"/>
  <c r="F351" i="3"/>
  <c r="E351" i="3"/>
  <c r="G350" i="3"/>
  <c r="F349" i="3"/>
  <c r="E349" i="3"/>
  <c r="F347" i="3"/>
  <c r="E347" i="3"/>
  <c r="F346" i="3"/>
  <c r="E346" i="3"/>
  <c r="F345" i="3"/>
  <c r="E345" i="3"/>
  <c r="F344" i="3"/>
  <c r="E344" i="3"/>
  <c r="F343" i="3"/>
  <c r="E343" i="3"/>
  <c r="F342" i="3"/>
  <c r="E342" i="3"/>
  <c r="F341" i="3"/>
  <c r="E341" i="3"/>
  <c r="F340" i="3"/>
  <c r="E340" i="3"/>
  <c r="F339" i="3"/>
  <c r="E339" i="3"/>
  <c r="F338" i="3"/>
  <c r="E338" i="3"/>
  <c r="F337" i="3"/>
  <c r="E337" i="3"/>
  <c r="F336" i="3"/>
  <c r="E336" i="3"/>
  <c r="F335" i="3"/>
  <c r="E335" i="3"/>
  <c r="F334" i="3"/>
  <c r="E334" i="3"/>
  <c r="F333" i="3"/>
  <c r="E333" i="3"/>
  <c r="F332" i="3"/>
  <c r="E332" i="3"/>
  <c r="F331" i="3"/>
  <c r="E331" i="3"/>
  <c r="F330" i="3"/>
  <c r="E330" i="3"/>
  <c r="F329" i="3"/>
  <c r="E329" i="3"/>
  <c r="F328" i="3"/>
  <c r="E328" i="3"/>
  <c r="F327" i="3"/>
  <c r="E327" i="3"/>
  <c r="F326" i="3"/>
  <c r="E326" i="3"/>
  <c r="F325" i="3"/>
  <c r="E325" i="3"/>
  <c r="F324" i="3"/>
  <c r="E324" i="3"/>
  <c r="E323" i="3"/>
  <c r="G323" i="3" s="1"/>
  <c r="F322" i="3"/>
  <c r="E322" i="3"/>
  <c r="F321" i="3"/>
  <c r="E321" i="3"/>
  <c r="F320" i="3"/>
  <c r="E320" i="3"/>
  <c r="E319" i="3"/>
  <c r="G319" i="3" s="1"/>
  <c r="F318" i="3"/>
  <c r="E318" i="3"/>
  <c r="F317" i="3"/>
  <c r="E317" i="3"/>
  <c r="F316" i="3"/>
  <c r="E316" i="3"/>
  <c r="F315" i="3"/>
  <c r="E315" i="3"/>
  <c r="F314" i="3"/>
  <c r="E314" i="3"/>
  <c r="F313" i="3"/>
  <c r="E313" i="3"/>
  <c r="F312" i="3"/>
  <c r="E312" i="3"/>
  <c r="F311" i="3"/>
  <c r="E311" i="3"/>
  <c r="F310" i="3"/>
  <c r="E310" i="3"/>
  <c r="F309" i="3"/>
  <c r="E309" i="3"/>
  <c r="F308" i="3"/>
  <c r="E308" i="3"/>
  <c r="F307" i="3"/>
  <c r="E307" i="3"/>
  <c r="F306" i="3"/>
  <c r="E306" i="3"/>
  <c r="F305" i="3"/>
  <c r="E305" i="3"/>
  <c r="G304" i="3"/>
  <c r="F304" i="3"/>
  <c r="E304" i="3"/>
  <c r="F303" i="3"/>
  <c r="E303" i="3"/>
  <c r="F302" i="3"/>
  <c r="E302" i="3"/>
  <c r="F301" i="3"/>
  <c r="E301" i="3"/>
  <c r="F300" i="3"/>
  <c r="E300" i="3"/>
  <c r="F299" i="3"/>
  <c r="E299" i="3"/>
  <c r="F298" i="3"/>
  <c r="E298" i="3"/>
  <c r="F297" i="3"/>
  <c r="E297" i="3"/>
  <c r="F296" i="3"/>
  <c r="E296" i="3"/>
  <c r="F295" i="3"/>
  <c r="E295" i="3"/>
  <c r="F294" i="3"/>
  <c r="E294" i="3"/>
  <c r="F293" i="3"/>
  <c r="E293" i="3"/>
  <c r="F292" i="3"/>
  <c r="E292" i="3"/>
  <c r="F291" i="3"/>
  <c r="E291" i="3"/>
  <c r="F290" i="3"/>
  <c r="E290" i="3"/>
  <c r="F289" i="3"/>
  <c r="E289" i="3"/>
  <c r="F288" i="3"/>
  <c r="E288" i="3"/>
  <c r="F287" i="3"/>
  <c r="E287" i="3"/>
  <c r="F286" i="3"/>
  <c r="G286" i="3" s="1"/>
  <c r="E286" i="3"/>
  <c r="G285" i="3"/>
  <c r="F285" i="3"/>
  <c r="E285" i="3"/>
  <c r="F284" i="3"/>
  <c r="E284" i="3"/>
  <c r="F283" i="3"/>
  <c r="E283" i="3"/>
  <c r="F282" i="3"/>
  <c r="E282" i="3"/>
  <c r="F281" i="3"/>
  <c r="E281" i="3"/>
  <c r="F280" i="3"/>
  <c r="E280" i="3"/>
  <c r="F279" i="3"/>
  <c r="E279" i="3"/>
  <c r="F278" i="3"/>
  <c r="E278" i="3"/>
  <c r="F277" i="3"/>
  <c r="E277" i="3"/>
  <c r="F276" i="3"/>
  <c r="E276" i="3"/>
  <c r="G275" i="3"/>
  <c r="F275" i="3"/>
  <c r="E275" i="3"/>
  <c r="F274" i="3"/>
  <c r="E274" i="3"/>
  <c r="G273" i="3"/>
  <c r="F273" i="3"/>
  <c r="E273" i="3"/>
  <c r="F272" i="3"/>
  <c r="E272" i="3"/>
  <c r="F271" i="3"/>
  <c r="E271" i="3"/>
  <c r="F270" i="3"/>
  <c r="E270" i="3"/>
  <c r="F269" i="3"/>
  <c r="E269" i="3"/>
  <c r="F268" i="3"/>
  <c r="E268" i="3"/>
  <c r="F267" i="3"/>
  <c r="E267" i="3"/>
  <c r="F266" i="3"/>
  <c r="E266" i="3"/>
  <c r="F265" i="3"/>
  <c r="E265" i="3"/>
  <c r="F264" i="3"/>
  <c r="E264" i="3"/>
  <c r="F263" i="3"/>
  <c r="E263" i="3"/>
  <c r="F262" i="3"/>
  <c r="E262" i="3"/>
  <c r="F261" i="3"/>
  <c r="E261" i="3"/>
  <c r="F260" i="3"/>
  <c r="E260" i="3"/>
  <c r="F259" i="3"/>
  <c r="E259" i="3"/>
  <c r="F258" i="3"/>
  <c r="E258" i="3"/>
  <c r="F257" i="3"/>
  <c r="E257" i="3"/>
  <c r="F256" i="3"/>
  <c r="E256" i="3"/>
  <c r="F255" i="3"/>
  <c r="E255" i="3"/>
  <c r="F254" i="3"/>
  <c r="E254" i="3"/>
  <c r="F253" i="3"/>
  <c r="E253" i="3"/>
  <c r="F252" i="3"/>
  <c r="E252" i="3"/>
  <c r="F251" i="3"/>
  <c r="E251" i="3"/>
  <c r="F250" i="3"/>
  <c r="E250" i="3"/>
  <c r="F249" i="3"/>
  <c r="E249" i="3"/>
  <c r="F248" i="3"/>
  <c r="E248" i="3"/>
  <c r="F247" i="3"/>
  <c r="E247" i="3"/>
  <c r="F246" i="3"/>
  <c r="E246" i="3"/>
  <c r="F245" i="3"/>
  <c r="E245" i="3"/>
  <c r="F244" i="3"/>
  <c r="E244" i="3"/>
  <c r="F243" i="3"/>
  <c r="E243" i="3"/>
  <c r="F242" i="3"/>
  <c r="E242" i="3"/>
  <c r="F241" i="3"/>
  <c r="E241" i="3"/>
  <c r="F240" i="3"/>
  <c r="E240" i="3"/>
  <c r="F239" i="3"/>
  <c r="E239" i="3"/>
  <c r="F238" i="3"/>
  <c r="E238" i="3"/>
  <c r="F237" i="3"/>
  <c r="E237" i="3"/>
  <c r="F236" i="3"/>
  <c r="E236" i="3"/>
  <c r="F235" i="3"/>
  <c r="E235" i="3"/>
  <c r="F234" i="3"/>
  <c r="E234" i="3"/>
  <c r="F233" i="3"/>
  <c r="E233" i="3"/>
  <c r="F232" i="3"/>
  <c r="E232" i="3"/>
  <c r="F231" i="3"/>
  <c r="E231" i="3"/>
  <c r="G230" i="3"/>
  <c r="F230" i="3"/>
  <c r="E230" i="3"/>
  <c r="G229" i="3"/>
  <c r="F229" i="3"/>
  <c r="E229" i="3"/>
  <c r="F228" i="3"/>
  <c r="E228" i="3"/>
  <c r="F227" i="3"/>
  <c r="E227" i="3"/>
  <c r="F226" i="3"/>
  <c r="E226" i="3"/>
  <c r="G225" i="3"/>
  <c r="F225" i="3"/>
  <c r="E225" i="3"/>
  <c r="F224" i="3"/>
  <c r="E224" i="3"/>
  <c r="F223" i="3"/>
  <c r="E223" i="3"/>
  <c r="F222" i="3"/>
  <c r="E222" i="3"/>
  <c r="F221" i="3"/>
  <c r="E221" i="3"/>
  <c r="F220" i="3"/>
  <c r="E220" i="3"/>
  <c r="F219" i="3"/>
  <c r="E219" i="3"/>
  <c r="F218" i="3"/>
  <c r="E218" i="3"/>
  <c r="F217" i="3"/>
  <c r="E217" i="3"/>
  <c r="G216" i="3"/>
  <c r="F216" i="3"/>
  <c r="E216" i="3"/>
  <c r="F215" i="3"/>
  <c r="E215" i="3"/>
  <c r="G214" i="3"/>
  <c r="F214" i="3"/>
  <c r="E214" i="3"/>
  <c r="F213" i="3"/>
  <c r="E213" i="3"/>
  <c r="F212" i="3"/>
  <c r="E212" i="3"/>
  <c r="F211" i="3"/>
  <c r="E211" i="3"/>
  <c r="F210" i="3"/>
  <c r="E210" i="3"/>
  <c r="F209" i="3"/>
  <c r="E209" i="3"/>
  <c r="F208" i="3"/>
  <c r="E208" i="3"/>
  <c r="G207" i="3"/>
  <c r="F207" i="3"/>
  <c r="E207" i="3"/>
  <c r="F206" i="3"/>
  <c r="E206" i="3"/>
  <c r="F205" i="3"/>
  <c r="E205" i="3"/>
  <c r="F204" i="3"/>
  <c r="E204" i="3"/>
  <c r="F203" i="3"/>
  <c r="E203" i="3"/>
  <c r="F202" i="3"/>
  <c r="E202" i="3"/>
  <c r="F201" i="3"/>
  <c r="E201" i="3"/>
  <c r="F200" i="3"/>
  <c r="E200" i="3"/>
  <c r="F199" i="3"/>
  <c r="E199" i="3"/>
  <c r="F198" i="3"/>
  <c r="E198" i="3"/>
  <c r="F197" i="3"/>
  <c r="E197" i="3"/>
  <c r="F196" i="3"/>
  <c r="E196" i="3"/>
  <c r="F195" i="3"/>
  <c r="E195" i="3"/>
  <c r="F194" i="3"/>
  <c r="E194" i="3"/>
  <c r="F193" i="3"/>
  <c r="E193" i="3"/>
  <c r="F192" i="3"/>
  <c r="E192" i="3"/>
  <c r="F191" i="3"/>
  <c r="E191" i="3"/>
  <c r="G190" i="3"/>
  <c r="F190" i="3"/>
  <c r="E190" i="3"/>
  <c r="F189" i="3"/>
  <c r="E189" i="3"/>
  <c r="F188" i="3"/>
  <c r="E188" i="3"/>
  <c r="F187" i="3"/>
  <c r="E187" i="3"/>
  <c r="F186" i="3"/>
  <c r="E186" i="3"/>
  <c r="F185" i="3"/>
  <c r="E185" i="3"/>
  <c r="F184" i="3"/>
  <c r="E184" i="3"/>
  <c r="F183" i="3"/>
  <c r="E183" i="3"/>
  <c r="F182" i="3"/>
  <c r="E182" i="3"/>
  <c r="F181" i="3"/>
  <c r="E181" i="3"/>
  <c r="F180" i="3"/>
  <c r="E180" i="3"/>
  <c r="E179" i="3"/>
  <c r="G179" i="3" s="1"/>
  <c r="F178" i="3"/>
  <c r="E178" i="3"/>
  <c r="F177" i="3"/>
  <c r="E177" i="3"/>
  <c r="F176" i="3"/>
  <c r="E176" i="3"/>
  <c r="F175" i="3"/>
  <c r="E175" i="3"/>
  <c r="F174" i="3"/>
  <c r="E174" i="3"/>
  <c r="F173" i="3"/>
  <c r="E173" i="3"/>
  <c r="F172" i="3"/>
  <c r="E172" i="3"/>
  <c r="F171" i="3"/>
  <c r="E171" i="3"/>
  <c r="F170" i="3"/>
  <c r="E170" i="3"/>
  <c r="F169" i="3"/>
  <c r="E169" i="3"/>
  <c r="F168" i="3"/>
  <c r="E168" i="3"/>
  <c r="F167" i="3"/>
  <c r="E167" i="3"/>
  <c r="G166" i="3"/>
  <c r="F166" i="3"/>
  <c r="E166" i="3"/>
  <c r="F165" i="3"/>
  <c r="E165" i="3"/>
  <c r="F164" i="3"/>
  <c r="E164" i="3"/>
  <c r="F163" i="3"/>
  <c r="E163" i="3"/>
  <c r="F162" i="3"/>
  <c r="E162" i="3"/>
  <c r="F161" i="3"/>
  <c r="E161" i="3"/>
  <c r="F160" i="3"/>
  <c r="E160" i="3"/>
  <c r="F159" i="3"/>
  <c r="E159" i="3"/>
  <c r="F158" i="3"/>
  <c r="E158" i="3"/>
  <c r="F157" i="3"/>
  <c r="E157" i="3"/>
  <c r="F156" i="3"/>
  <c r="E156" i="3"/>
  <c r="F155" i="3"/>
  <c r="E155" i="3"/>
  <c r="F154" i="3"/>
  <c r="E154" i="3"/>
  <c r="F153" i="3"/>
  <c r="E153" i="3"/>
  <c r="F152" i="3"/>
  <c r="E152" i="3"/>
  <c r="F151" i="3"/>
  <c r="E151" i="3"/>
  <c r="F150" i="3"/>
  <c r="E150" i="3"/>
  <c r="F149" i="3"/>
  <c r="E149" i="3"/>
  <c r="G148" i="3"/>
  <c r="F148" i="3"/>
  <c r="E148" i="3"/>
  <c r="F147" i="3"/>
  <c r="E147" i="3"/>
  <c r="F146" i="3"/>
  <c r="E146" i="3"/>
  <c r="F145" i="3"/>
  <c r="E145" i="3"/>
  <c r="F144" i="3"/>
  <c r="E144" i="3"/>
  <c r="F143" i="3"/>
  <c r="E143" i="3"/>
  <c r="F142" i="3"/>
  <c r="E142" i="3"/>
  <c r="F141" i="3"/>
  <c r="E141" i="3"/>
  <c r="F140" i="3"/>
  <c r="E140" i="3"/>
  <c r="G139" i="3"/>
  <c r="F139" i="3"/>
  <c r="E139" i="3"/>
  <c r="F138" i="3"/>
  <c r="E138" i="3"/>
  <c r="F137" i="3"/>
  <c r="E137" i="3"/>
  <c r="F136" i="3"/>
  <c r="E136" i="3"/>
  <c r="F135" i="3"/>
  <c r="E135" i="3"/>
  <c r="F134" i="3"/>
  <c r="E134" i="3"/>
  <c r="F133" i="3"/>
  <c r="E133" i="3"/>
  <c r="F132" i="3"/>
  <c r="E132" i="3"/>
  <c r="F131" i="3"/>
  <c r="E131" i="3"/>
  <c r="F130" i="3"/>
  <c r="E130" i="3"/>
  <c r="F129" i="3"/>
  <c r="E129" i="3"/>
  <c r="F128" i="3"/>
  <c r="E128" i="3"/>
  <c r="F127" i="3"/>
  <c r="E127" i="3"/>
  <c r="F126" i="3"/>
  <c r="E126" i="3"/>
  <c r="F125" i="3"/>
  <c r="E125" i="3"/>
  <c r="F124" i="3"/>
  <c r="E124" i="3"/>
  <c r="F123" i="3"/>
  <c r="E123" i="3"/>
  <c r="F122" i="3"/>
  <c r="E122" i="3"/>
  <c r="F121" i="3"/>
  <c r="E121" i="3"/>
  <c r="G120" i="3"/>
  <c r="F120" i="3"/>
  <c r="E120" i="3"/>
  <c r="F119" i="3"/>
  <c r="E119" i="3"/>
  <c r="F118" i="3"/>
  <c r="E118" i="3"/>
  <c r="F117" i="3"/>
  <c r="E117" i="3"/>
  <c r="F116" i="3"/>
  <c r="E116" i="3"/>
  <c r="F115" i="3"/>
  <c r="E115" i="3"/>
  <c r="F114" i="3"/>
  <c r="E114" i="3"/>
  <c r="F113" i="3"/>
  <c r="E113" i="3"/>
  <c r="F112" i="3"/>
  <c r="E112" i="3"/>
  <c r="F111" i="3"/>
  <c r="E111" i="3"/>
  <c r="F110" i="3"/>
  <c r="E110" i="3"/>
  <c r="G109" i="3"/>
  <c r="F109" i="3"/>
  <c r="E109" i="3"/>
  <c r="F108" i="3"/>
  <c r="E108" i="3"/>
  <c r="G107" i="3"/>
  <c r="F107" i="3"/>
  <c r="E107" i="3"/>
  <c r="F106" i="3"/>
  <c r="E106" i="3"/>
  <c r="F105" i="3"/>
  <c r="E105" i="3"/>
  <c r="G104" i="3"/>
  <c r="F104" i="3"/>
  <c r="E104" i="3"/>
  <c r="G103" i="3"/>
  <c r="F103" i="3"/>
  <c r="E103" i="3"/>
  <c r="G102" i="3"/>
  <c r="F102" i="3"/>
  <c r="E102" i="3"/>
  <c r="F101" i="3"/>
  <c r="E101" i="3"/>
  <c r="F100" i="3"/>
  <c r="E100" i="3"/>
  <c r="G99" i="3"/>
  <c r="F99" i="3"/>
  <c r="E99" i="3"/>
  <c r="F98" i="3"/>
  <c r="E98" i="3"/>
  <c r="F97" i="3"/>
  <c r="E97" i="3"/>
  <c r="F96" i="3"/>
  <c r="E96" i="3"/>
  <c r="F95" i="3"/>
  <c r="E95" i="3"/>
  <c r="F94" i="3"/>
  <c r="E94" i="3"/>
  <c r="F93" i="3"/>
  <c r="E93" i="3"/>
  <c r="F92" i="3"/>
  <c r="E92" i="3"/>
  <c r="F91" i="3"/>
  <c r="E91" i="3"/>
  <c r="F90" i="3"/>
  <c r="E90" i="3"/>
  <c r="F89" i="3"/>
  <c r="E89" i="3"/>
  <c r="F88" i="3"/>
  <c r="E88" i="3"/>
  <c r="G87" i="3"/>
  <c r="F87" i="3"/>
  <c r="E87" i="3"/>
  <c r="G86" i="3"/>
  <c r="F85" i="3"/>
  <c r="E85" i="3"/>
  <c r="F84" i="3"/>
  <c r="E84" i="3"/>
  <c r="F83" i="3"/>
  <c r="E83" i="3"/>
  <c r="F82" i="3"/>
  <c r="E82" i="3"/>
  <c r="F81" i="3"/>
  <c r="E81" i="3"/>
  <c r="F80" i="3"/>
  <c r="E80" i="3"/>
  <c r="F79" i="3"/>
  <c r="E79" i="3"/>
  <c r="F78" i="3"/>
  <c r="E78" i="3"/>
  <c r="F77" i="3"/>
  <c r="E77" i="3"/>
  <c r="F76" i="3"/>
  <c r="E76" i="3"/>
  <c r="G75" i="3"/>
  <c r="F74" i="3"/>
  <c r="E74" i="3"/>
  <c r="F73" i="3"/>
  <c r="E73" i="3"/>
  <c r="F72" i="3"/>
  <c r="E72" i="3"/>
  <c r="F71" i="3"/>
  <c r="E71" i="3"/>
  <c r="F70" i="3"/>
  <c r="E70" i="3"/>
  <c r="F69" i="3"/>
  <c r="E69" i="3"/>
  <c r="F68" i="3"/>
  <c r="E68" i="3"/>
  <c r="F67" i="3"/>
  <c r="E67" i="3"/>
  <c r="F66" i="3"/>
  <c r="E66" i="3"/>
  <c r="F65" i="3"/>
  <c r="E65" i="3"/>
  <c r="G64" i="3"/>
  <c r="F64" i="3"/>
  <c r="E64" i="3"/>
  <c r="F63" i="3"/>
  <c r="E63" i="3"/>
  <c r="G62" i="3"/>
  <c r="F62" i="3"/>
  <c r="E62" i="3"/>
  <c r="F61" i="3"/>
  <c r="E61" i="3"/>
  <c r="F60" i="3"/>
  <c r="E60" i="3"/>
  <c r="F59" i="3"/>
  <c r="E59" i="3"/>
  <c r="F58" i="3"/>
  <c r="E58" i="3"/>
  <c r="F57" i="3"/>
  <c r="E57" i="3"/>
  <c r="G56" i="3"/>
  <c r="F56" i="3"/>
  <c r="E56" i="3"/>
  <c r="F55" i="3"/>
  <c r="E55" i="3"/>
  <c r="F54" i="3"/>
  <c r="E54" i="3"/>
  <c r="F53" i="3"/>
  <c r="E53" i="3"/>
  <c r="F52" i="3"/>
  <c r="E52" i="3"/>
  <c r="F51" i="3"/>
  <c r="E51" i="3"/>
  <c r="F50" i="3"/>
  <c r="E50" i="3"/>
  <c r="F49" i="3"/>
  <c r="E49" i="3"/>
  <c r="F48" i="3"/>
  <c r="E48" i="3"/>
  <c r="F47" i="3"/>
  <c r="E47" i="3"/>
  <c r="F46" i="3"/>
  <c r="E46" i="3"/>
  <c r="F45" i="3"/>
  <c r="E45" i="3"/>
  <c r="F44" i="3"/>
  <c r="E44" i="3"/>
  <c r="F43" i="3"/>
  <c r="E43" i="3"/>
  <c r="F42" i="3"/>
  <c r="E42" i="3"/>
  <c r="F41" i="3"/>
  <c r="E41" i="3"/>
  <c r="G40" i="3"/>
  <c r="F40" i="3"/>
  <c r="E40" i="3"/>
  <c r="F39" i="3"/>
  <c r="E39" i="3"/>
  <c r="F38" i="3"/>
  <c r="E38" i="3"/>
  <c r="F37" i="3"/>
  <c r="E37" i="3"/>
  <c r="F36" i="3"/>
  <c r="E36" i="3"/>
  <c r="F35" i="3"/>
  <c r="E35" i="3"/>
  <c r="F34" i="3"/>
  <c r="E34" i="3"/>
  <c r="F33" i="3"/>
  <c r="E33" i="3"/>
  <c r="F32" i="3"/>
  <c r="E32" i="3"/>
  <c r="F31" i="3"/>
  <c r="E31" i="3"/>
  <c r="F30" i="3"/>
  <c r="E30" i="3"/>
  <c r="F29" i="3"/>
  <c r="E29" i="3"/>
  <c r="F28" i="3"/>
  <c r="E28" i="3"/>
  <c r="F27" i="3"/>
  <c r="E27" i="3"/>
  <c r="F26" i="3"/>
  <c r="E26" i="3"/>
  <c r="G25" i="3"/>
  <c r="F25" i="3"/>
  <c r="E25" i="3"/>
  <c r="G24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F3" i="3"/>
  <c r="E3" i="3"/>
  <c r="G2" i="3"/>
  <c r="F2" i="3"/>
  <c r="E2" i="3"/>
  <c r="G164" i="3" l="1"/>
  <c r="G287" i="3"/>
  <c r="G209" i="3"/>
  <c r="G317" i="3"/>
  <c r="G77" i="3"/>
  <c r="G81" i="3"/>
  <c r="G172" i="3"/>
  <c r="G261" i="3"/>
  <c r="G213" i="3"/>
  <c r="G290" i="3"/>
  <c r="G185" i="3"/>
  <c r="G191" i="3"/>
  <c r="G291" i="3"/>
  <c r="G328" i="3"/>
  <c r="G336" i="3"/>
  <c r="G32" i="3"/>
  <c r="G66" i="3"/>
  <c r="G74" i="3"/>
  <c r="G302" i="3"/>
  <c r="G143" i="3"/>
  <c r="G67" i="3"/>
  <c r="G71" i="3"/>
  <c r="G327" i="3"/>
  <c r="G331" i="3"/>
  <c r="G335" i="3"/>
  <c r="G343" i="3"/>
  <c r="G347" i="3"/>
  <c r="G42" i="3"/>
  <c r="G54" i="3"/>
  <c r="G72" i="3"/>
  <c r="G200" i="3"/>
  <c r="G204" i="3"/>
  <c r="G215" i="3"/>
  <c r="G222" i="3"/>
  <c r="G233" i="3"/>
  <c r="G237" i="3"/>
  <c r="G249" i="3"/>
  <c r="G269" i="3"/>
  <c r="G366" i="3"/>
  <c r="G340" i="3"/>
  <c r="G35" i="3"/>
  <c r="G39" i="3"/>
  <c r="G58" i="3"/>
  <c r="G270" i="3"/>
  <c r="G277" i="3"/>
  <c r="G281" i="3"/>
  <c r="G182" i="3"/>
  <c r="G259" i="3"/>
  <c r="G263" i="3"/>
  <c r="G289" i="3"/>
  <c r="G305" i="3"/>
  <c r="G124" i="3"/>
  <c r="G128" i="3"/>
  <c r="G132" i="3"/>
  <c r="G183" i="3"/>
  <c r="G187" i="3"/>
  <c r="G217" i="3"/>
  <c r="G44" i="3"/>
  <c r="G48" i="3"/>
  <c r="G59" i="3"/>
  <c r="G82" i="3"/>
  <c r="G108" i="3"/>
  <c r="G158" i="3"/>
  <c r="G162" i="3"/>
  <c r="G241" i="3"/>
  <c r="G306" i="3"/>
  <c r="G314" i="3"/>
  <c r="G318" i="3"/>
  <c r="G14" i="3"/>
  <c r="G22" i="3"/>
  <c r="G33" i="3"/>
  <c r="G178" i="3"/>
  <c r="G193" i="3"/>
  <c r="G197" i="3"/>
  <c r="G292" i="3"/>
  <c r="G300" i="3"/>
  <c r="G315" i="3"/>
  <c r="G363" i="3"/>
  <c r="G11" i="3"/>
  <c r="G76" i="3"/>
  <c r="G80" i="3"/>
  <c r="G84" i="3"/>
  <c r="G92" i="3"/>
  <c r="G106" i="3"/>
  <c r="G117" i="3"/>
  <c r="G140" i="3"/>
  <c r="G144" i="3"/>
  <c r="G239" i="3"/>
  <c r="G247" i="3"/>
  <c r="G250" i="3"/>
  <c r="G297" i="3"/>
  <c r="G312" i="3"/>
  <c r="G325" i="3"/>
  <c r="G16" i="3"/>
  <c r="G20" i="3"/>
  <c r="G50" i="3"/>
  <c r="G93" i="3"/>
  <c r="G110" i="3"/>
  <c r="G118" i="3"/>
  <c r="G141" i="3"/>
  <c r="G145" i="3"/>
  <c r="G156" i="3"/>
  <c r="G199" i="3"/>
  <c r="G232" i="3"/>
  <c r="G334" i="3"/>
  <c r="G165" i="3"/>
  <c r="G181" i="3"/>
  <c r="G256" i="3"/>
  <c r="G264" i="3"/>
  <c r="G352" i="3"/>
  <c r="G361" i="3"/>
  <c r="G55" i="3"/>
  <c r="G155" i="3"/>
  <c r="G210" i="3"/>
  <c r="G339" i="3"/>
  <c r="G8" i="3"/>
  <c r="G12" i="3"/>
  <c r="G15" i="3"/>
  <c r="G19" i="3"/>
  <c r="G26" i="3"/>
  <c r="G30" i="3"/>
  <c r="G34" i="3"/>
  <c r="G38" i="3"/>
  <c r="G52" i="3"/>
  <c r="G100" i="3"/>
  <c r="G125" i="3"/>
  <c r="G133" i="3"/>
  <c r="G152" i="3"/>
  <c r="G160" i="3"/>
  <c r="G163" i="3"/>
  <c r="G170" i="3"/>
  <c r="G174" i="3"/>
  <c r="G211" i="3"/>
  <c r="G240" i="3"/>
  <c r="G271" i="3"/>
  <c r="G274" i="3"/>
  <c r="G293" i="3"/>
  <c r="G320" i="3"/>
  <c r="G357" i="3"/>
  <c r="G5" i="3"/>
  <c r="G9" i="3"/>
  <c r="G60" i="3"/>
  <c r="G63" i="3"/>
  <c r="G85" i="3"/>
  <c r="G101" i="3"/>
  <c r="G126" i="3"/>
  <c r="G130" i="3"/>
  <c r="G134" i="3"/>
  <c r="G138" i="3"/>
  <c r="G149" i="3"/>
  <c r="G153" i="3"/>
  <c r="G171" i="3"/>
  <c r="G208" i="3"/>
  <c r="G212" i="3"/>
  <c r="G219" i="3"/>
  <c r="G223" i="3"/>
  <c r="G245" i="3"/>
  <c r="G272" i="3"/>
  <c r="G278" i="3"/>
  <c r="G301" i="3"/>
  <c r="G337" i="3"/>
  <c r="G341" i="3"/>
  <c r="G354" i="3"/>
  <c r="G358" i="3"/>
  <c r="G7" i="3"/>
  <c r="G90" i="3"/>
  <c r="G94" i="3"/>
  <c r="G98" i="3"/>
  <c r="G142" i="3"/>
  <c r="G146" i="3"/>
  <c r="G168" i="3"/>
  <c r="G201" i="3"/>
  <c r="G205" i="3"/>
  <c r="G253" i="3"/>
  <c r="G257" i="3"/>
  <c r="G265" i="3"/>
  <c r="G309" i="3"/>
  <c r="G313" i="3"/>
  <c r="G364" i="3"/>
  <c r="G43" i="3"/>
  <c r="G47" i="3"/>
  <c r="G68" i="3"/>
  <c r="G105" i="3"/>
  <c r="G112" i="3"/>
  <c r="G116" i="3"/>
  <c r="G154" i="3"/>
  <c r="G195" i="3"/>
  <c r="G198" i="3"/>
  <c r="G228" i="3"/>
  <c r="G231" i="3"/>
  <c r="G242" i="3"/>
  <c r="G254" i="3"/>
  <c r="G266" i="3"/>
  <c r="G284" i="3"/>
  <c r="G299" i="3"/>
  <c r="G351" i="3"/>
  <c r="G435" i="3"/>
  <c r="G23" i="3"/>
  <c r="G6" i="3"/>
  <c r="G13" i="3"/>
  <c r="G41" i="3"/>
  <c r="G51" i="3"/>
  <c r="G65" i="3"/>
  <c r="G83" i="3"/>
  <c r="G123" i="3"/>
  <c r="G151" i="3"/>
  <c r="G169" i="3"/>
  <c r="G176" i="3"/>
  <c r="G186" i="3"/>
  <c r="G221" i="3"/>
  <c r="G235" i="3"/>
  <c r="G238" i="3"/>
  <c r="G260" i="3"/>
  <c r="G267" i="3"/>
  <c r="G288" i="3"/>
  <c r="G295" i="3"/>
  <c r="G298" i="3"/>
  <c r="G316" i="3"/>
  <c r="G338" i="3"/>
  <c r="G345" i="3"/>
  <c r="G349" i="3"/>
  <c r="G3" i="3"/>
  <c r="G10" i="3"/>
  <c r="G21" i="3"/>
  <c r="G27" i="3"/>
  <c r="G31" i="3"/>
  <c r="G49" i="3"/>
  <c r="G73" i="3"/>
  <c r="G91" i="3"/>
  <c r="G114" i="3"/>
  <c r="G127" i="3"/>
  <c r="G131" i="3"/>
  <c r="G159" i="3"/>
  <c r="G173" i="3"/>
  <c r="G177" i="3"/>
  <c r="G184" i="3"/>
  <c r="G194" i="3"/>
  <c r="G218" i="3"/>
  <c r="G243" i="3"/>
  <c r="G246" i="3"/>
  <c r="G303" i="3"/>
  <c r="G324" i="3"/>
  <c r="G18" i="3"/>
  <c r="G28" i="3"/>
  <c r="G46" i="3"/>
  <c r="G70" i="3"/>
  <c r="G88" i="3"/>
  <c r="G95" i="3"/>
  <c r="G135" i="3"/>
  <c r="G202" i="3"/>
  <c r="G226" i="3"/>
  <c r="G244" i="3"/>
  <c r="G251" i="3"/>
  <c r="G258" i="3"/>
  <c r="G279" i="3"/>
  <c r="G282" i="3"/>
  <c r="G307" i="3"/>
  <c r="G310" i="3"/>
  <c r="G321" i="3"/>
  <c r="G329" i="3"/>
  <c r="G332" i="3"/>
  <c r="G355" i="3"/>
  <c r="G4" i="3"/>
  <c r="G36" i="3"/>
  <c r="G57" i="3"/>
  <c r="G78" i="3"/>
  <c r="G96" i="3"/>
  <c r="G111" i="3"/>
  <c r="G115" i="3"/>
  <c r="G122" i="3"/>
  <c r="G136" i="3"/>
  <c r="G150" i="3"/>
  <c r="G157" i="3"/>
  <c r="G161" i="3"/>
  <c r="G167" i="3"/>
  <c r="G189" i="3"/>
  <c r="G192" i="3"/>
  <c r="G196" i="3"/>
  <c r="G203" i="3"/>
  <c r="G206" i="3"/>
  <c r="G227" i="3"/>
  <c r="G248" i="3"/>
  <c r="G255" i="3"/>
  <c r="G262" i="3"/>
  <c r="G276" i="3"/>
  <c r="G283" i="3"/>
  <c r="G311" i="3"/>
  <c r="G322" i="3"/>
  <c r="G333" i="3"/>
  <c r="G356" i="3"/>
  <c r="G360" i="3"/>
  <c r="G220" i="3"/>
  <c r="G119" i="3"/>
  <c r="G147" i="3"/>
  <c r="G175" i="3"/>
  <c r="G234" i="3"/>
  <c r="G294" i="3"/>
  <c r="G344" i="3"/>
  <c r="G326" i="3"/>
  <c r="G342" i="3"/>
  <c r="G17" i="3"/>
  <c r="G29" i="3"/>
  <c r="G37" i="3"/>
  <c r="G45" i="3"/>
  <c r="G53" i="3"/>
  <c r="G61" i="3"/>
  <c r="G69" i="3"/>
  <c r="G79" i="3"/>
  <c r="G89" i="3"/>
  <c r="G97" i="3"/>
  <c r="G113" i="3"/>
  <c r="G121" i="3"/>
  <c r="G129" i="3"/>
  <c r="G137" i="3"/>
  <c r="G180" i="3"/>
  <c r="G188" i="3"/>
  <c r="G224" i="3"/>
  <c r="G236" i="3"/>
  <c r="G252" i="3"/>
  <c r="G268" i="3"/>
  <c r="G280" i="3"/>
  <c r="G296" i="3"/>
  <c r="G308" i="3"/>
  <c r="G330" i="3"/>
  <c r="G346" i="3"/>
  <c r="G353" i="3"/>
  <c r="I300" i="2" l="1"/>
  <c r="J300" i="2" s="1"/>
  <c r="I297" i="2"/>
  <c r="J297" i="2" s="1"/>
  <c r="I290" i="2"/>
  <c r="J290" i="2" s="1"/>
  <c r="I274" i="2"/>
  <c r="J274" i="2" s="1"/>
  <c r="I268" i="2"/>
  <c r="J268" i="2" s="1"/>
  <c r="I262" i="2"/>
  <c r="J262" i="2" s="1"/>
  <c r="I258" i="2"/>
  <c r="J258" i="2" s="1"/>
  <c r="I251" i="2"/>
  <c r="J251" i="2" s="1"/>
  <c r="I242" i="2"/>
  <c r="J242" i="2" s="1"/>
  <c r="I238" i="2"/>
  <c r="J238" i="2" s="1"/>
  <c r="I228" i="2"/>
  <c r="J228" i="2" s="1"/>
  <c r="I224" i="2"/>
  <c r="J224" i="2" s="1"/>
  <c r="I220" i="2"/>
  <c r="J220" i="2" s="1"/>
  <c r="I217" i="2"/>
  <c r="J217" i="2" s="1"/>
  <c r="I210" i="2"/>
  <c r="J210" i="2" s="1"/>
  <c r="I193" i="2"/>
  <c r="J193" i="2" s="1"/>
  <c r="I191" i="2"/>
  <c r="J191" i="2" s="1"/>
  <c r="I180" i="2"/>
  <c r="J180" i="2" s="1"/>
  <c r="I176" i="2"/>
  <c r="J176" i="2" s="1"/>
  <c r="I172" i="2"/>
  <c r="J172" i="2" s="1"/>
  <c r="I167" i="2"/>
  <c r="J167" i="2" s="1"/>
  <c r="I170" i="2"/>
  <c r="J170" i="2" s="1"/>
  <c r="I159" i="2"/>
  <c r="J159" i="2" s="1"/>
  <c r="I147" i="2"/>
  <c r="J147" i="2" s="1"/>
  <c r="I144" i="2"/>
  <c r="J144" i="2" s="1"/>
  <c r="I141" i="2"/>
  <c r="J141" i="2" s="1"/>
  <c r="I138" i="2"/>
  <c r="J138" i="2" s="1"/>
  <c r="I125" i="2"/>
  <c r="J125" i="2" s="1"/>
  <c r="I116" i="2"/>
  <c r="J116" i="2" s="1"/>
  <c r="I112" i="2"/>
  <c r="J112" i="2" s="1"/>
  <c r="I108" i="2"/>
  <c r="J108" i="2" s="1"/>
  <c r="I102" i="2"/>
  <c r="J102" i="2" s="1"/>
  <c r="I98" i="2"/>
  <c r="J98" i="2" s="1"/>
  <c r="I94" i="2"/>
  <c r="J94" i="2" s="1"/>
  <c r="I86" i="2"/>
  <c r="J86" i="2" s="1"/>
  <c r="I90" i="2"/>
  <c r="J90" i="2" s="1"/>
  <c r="I83" i="2"/>
  <c r="J83" i="2" s="1"/>
  <c r="I58" i="2"/>
  <c r="J58" i="2" s="1"/>
  <c r="I56" i="2"/>
  <c r="J56" i="2" s="1"/>
  <c r="I34" i="2"/>
  <c r="J34" i="2" s="1"/>
  <c r="I35" i="2"/>
  <c r="J35" i="2" s="1"/>
  <c r="I30" i="2"/>
  <c r="J30" i="2" s="1"/>
  <c r="I21" i="2"/>
  <c r="J21" i="2" s="1"/>
  <c r="I18" i="2"/>
  <c r="J18" i="2" s="1"/>
  <c r="I14" i="2"/>
  <c r="J14" i="2" s="1"/>
  <c r="I10" i="2" l="1"/>
  <c r="J10" i="2" s="1"/>
  <c r="I7" i="2"/>
  <c r="J7" i="2" s="1"/>
  <c r="I136" i="2"/>
  <c r="J136" i="2" s="1"/>
  <c r="I128" i="2" l="1"/>
  <c r="J128" i="2" s="1"/>
  <c r="I288" i="2" l="1"/>
  <c r="J288" i="2" s="1"/>
  <c r="I305" i="2"/>
  <c r="J305" i="2" s="1"/>
  <c r="I299" i="2"/>
  <c r="J299" i="2" s="1"/>
  <c r="I250" i="2"/>
  <c r="J250" i="2" s="1"/>
  <c r="I235" i="2"/>
  <c r="J235" i="2" s="1"/>
  <c r="I232" i="2"/>
  <c r="J232" i="2" s="1"/>
  <c r="I71" i="2"/>
  <c r="J71" i="2" s="1"/>
  <c r="I390" i="1" l="1"/>
  <c r="J390" i="1" s="1"/>
  <c r="I374" i="1"/>
  <c r="J374" i="1" s="1"/>
  <c r="I222" i="1"/>
  <c r="J222" i="1" s="1"/>
  <c r="I71" i="1"/>
  <c r="J71" i="1" s="1"/>
  <c r="I169" i="1"/>
  <c r="J169" i="1" s="1"/>
</calcChain>
</file>

<file path=xl/sharedStrings.xml><?xml version="1.0" encoding="utf-8"?>
<sst xmlns="http://schemas.openxmlformats.org/spreadsheetml/2006/main" count="9808" uniqueCount="1268">
  <si>
    <t>cl_number</t>
  </si>
  <si>
    <t>policy_number</t>
  </si>
  <si>
    <t>ID Auto</t>
  </si>
  <si>
    <t>Full Client Name</t>
  </si>
  <si>
    <t>component_code</t>
  </si>
  <si>
    <t>MarketValue</t>
  </si>
  <si>
    <t>Date</t>
  </si>
  <si>
    <t>Full Name</t>
  </si>
  <si>
    <t>Product Name</t>
  </si>
  <si>
    <t>Product Type</t>
  </si>
  <si>
    <t>Administrator</t>
  </si>
  <si>
    <t>LA00023469</t>
  </si>
  <si>
    <t>MJ BOSHOFF</t>
  </si>
  <si>
    <t>Kanaan BCI Balanced FoF</t>
  </si>
  <si>
    <t>Absa Living Annuity</t>
  </si>
  <si>
    <t>AIMS, ABSA</t>
  </si>
  <si>
    <t>LA20005639</t>
  </si>
  <si>
    <t>LA20009873</t>
  </si>
  <si>
    <t>IN Sinclair</t>
  </si>
  <si>
    <t>LA00016039</t>
  </si>
  <si>
    <t>GE WOOLRIDGE</t>
  </si>
  <si>
    <t>LA20002682</t>
  </si>
  <si>
    <t>KF STONESTREET</t>
  </si>
  <si>
    <t>LA20007114</t>
  </si>
  <si>
    <t>CM Van Der Vyver</t>
  </si>
  <si>
    <t>AD SUTTON</t>
  </si>
  <si>
    <t>Absa Retirement Annuity</t>
  </si>
  <si>
    <t>PR10000526</t>
  </si>
  <si>
    <t>JG HERICOURT</t>
  </si>
  <si>
    <t>Absa Provident Preservation Fund</t>
  </si>
  <si>
    <t>CA STARK</t>
  </si>
  <si>
    <t>AIMS Investment Account</t>
  </si>
  <si>
    <t>WJ KERR</t>
  </si>
  <si>
    <t>LA00019822</t>
  </si>
  <si>
    <t>LA20007196</t>
  </si>
  <si>
    <t>CS Bradley</t>
  </si>
  <si>
    <t>LA20006897</t>
  </si>
  <si>
    <t>LA20007895</t>
  </si>
  <si>
    <t>CV Bond-Myatt</t>
  </si>
  <si>
    <t>LA20008067</t>
  </si>
  <si>
    <t>RA00015185</t>
  </si>
  <si>
    <t>LA00016024</t>
  </si>
  <si>
    <t>VK MCBETH</t>
  </si>
  <si>
    <t>LA00016036</t>
  </si>
  <si>
    <t>TJ VISSER</t>
  </si>
  <si>
    <t>LA00016038</t>
  </si>
  <si>
    <t>JL SELLORS</t>
  </si>
  <si>
    <t>LA00020890</t>
  </si>
  <si>
    <t>CJ MARAIS</t>
  </si>
  <si>
    <t>LA00016088</t>
  </si>
  <si>
    <t>CJ ROBERTS</t>
  </si>
  <si>
    <t>LA00016368</t>
  </si>
  <si>
    <t>HE LIEBENBERG</t>
  </si>
  <si>
    <t>LA00016092</t>
  </si>
  <si>
    <t>LB JAMES</t>
  </si>
  <si>
    <t>RA10006250</t>
  </si>
  <si>
    <t>JL DELPORT</t>
  </si>
  <si>
    <t>LA00016370</t>
  </si>
  <si>
    <t>DA ROBERTS</t>
  </si>
  <si>
    <t>LA20002615</t>
  </si>
  <si>
    <t>KR KELLY</t>
  </si>
  <si>
    <t>RA00016327</t>
  </si>
  <si>
    <t>GP Delport</t>
  </si>
  <si>
    <t>RA10002722</t>
  </si>
  <si>
    <t>AG Fourie</t>
  </si>
  <si>
    <t>LA20000773</t>
  </si>
  <si>
    <t>RH NAUTSCH</t>
  </si>
  <si>
    <t>RA00016557</t>
  </si>
  <si>
    <t>MW SWART</t>
  </si>
  <si>
    <t>IA00052726</t>
  </si>
  <si>
    <t>LA00021246</t>
  </si>
  <si>
    <t>WP MASSYN</t>
  </si>
  <si>
    <t>LA00026061</t>
  </si>
  <si>
    <t>RC MACK</t>
  </si>
  <si>
    <t>LA20008848</t>
  </si>
  <si>
    <t>RA00020639</t>
  </si>
  <si>
    <t>J Delport</t>
  </si>
  <si>
    <t>RA00020632</t>
  </si>
  <si>
    <t>ND OOSTHUIZEN</t>
  </si>
  <si>
    <t>PP STALEY</t>
  </si>
  <si>
    <t>Absa Pension Preservation Fund</t>
  </si>
  <si>
    <t>JC BENADE</t>
  </si>
  <si>
    <t>LA20001082</t>
  </si>
  <si>
    <t>PN BADENHORST</t>
  </si>
  <si>
    <t>LA20002613</t>
  </si>
  <si>
    <t>LA20002838</t>
  </si>
  <si>
    <t>AJ MENDECKI</t>
  </si>
  <si>
    <t>LA20007498</t>
  </si>
  <si>
    <t>AD NEETHLING</t>
  </si>
  <si>
    <t>RA10003188</t>
  </si>
  <si>
    <t>M DELPORT</t>
  </si>
  <si>
    <t>LA20005966</t>
  </si>
  <si>
    <t>JR Schaffner</t>
  </si>
  <si>
    <t>LA20012873</t>
  </si>
  <si>
    <t>MM Higgins</t>
  </si>
  <si>
    <t>RA10004301</t>
  </si>
  <si>
    <t>MF Stonestreet</t>
  </si>
  <si>
    <t>AF Fullard</t>
  </si>
  <si>
    <t>LA20007418</t>
  </si>
  <si>
    <t>ME STONESTREET</t>
  </si>
  <si>
    <t>LA20008460</t>
  </si>
  <si>
    <t>DE Bond-Myatt</t>
  </si>
  <si>
    <t>LA20008610</t>
  </si>
  <si>
    <t>H Naude</t>
  </si>
  <si>
    <t>LA20009076</t>
  </si>
  <si>
    <t>WE Klingenberg</t>
  </si>
  <si>
    <t>LA20011329</t>
  </si>
  <si>
    <t>JW Van Antwerpen</t>
  </si>
  <si>
    <t>RA10007673</t>
  </si>
  <si>
    <t>BJ Scheepers</t>
  </si>
  <si>
    <t>RA10008524</t>
  </si>
  <si>
    <t>AB Koorts</t>
  </si>
  <si>
    <t>LA20012231</t>
  </si>
  <si>
    <t>LA20004188</t>
  </si>
  <si>
    <t>ZR Charlton</t>
  </si>
  <si>
    <t>LA20011592</t>
  </si>
  <si>
    <t>IA10097773</t>
  </si>
  <si>
    <t>IA10100758</t>
  </si>
  <si>
    <t>MS Combrink</t>
  </si>
  <si>
    <t>LA20012500</t>
  </si>
  <si>
    <t>DJ Bosman</t>
  </si>
  <si>
    <t>LA20012629</t>
  </si>
  <si>
    <t>LA20012663</t>
  </si>
  <si>
    <t>AR Ohsiek</t>
  </si>
  <si>
    <t>LA00016090</t>
  </si>
  <si>
    <t>SS VAN NIEKERK</t>
  </si>
  <si>
    <t>Fairtree Flexible Income Plus Prescient</t>
  </si>
  <si>
    <t>IA10103425</t>
  </si>
  <si>
    <t>IA10094665</t>
  </si>
  <si>
    <t>IA10103279</t>
  </si>
  <si>
    <t>IA10104407</t>
  </si>
  <si>
    <t>MI Plan IP Global Macro Fund</t>
  </si>
  <si>
    <t>IA10098491</t>
  </si>
  <si>
    <t>S Trevarthen</t>
  </si>
  <si>
    <t>100489695</t>
  </si>
  <si>
    <t>IA10098490</t>
  </si>
  <si>
    <t>Flying Dutchman Trust</t>
  </si>
  <si>
    <t>Old Mutual Global Equity Fund</t>
  </si>
  <si>
    <t>IA10100929</t>
  </si>
  <si>
    <t>AL Kennedy</t>
  </si>
  <si>
    <t>0099203</t>
  </si>
  <si>
    <t>LA00022467</t>
  </si>
  <si>
    <t>KA Tavares</t>
  </si>
  <si>
    <t>Kanaan Active 3</t>
  </si>
  <si>
    <t>Kanaan Active 4</t>
  </si>
  <si>
    <t>Kanaan Passive 1</t>
  </si>
  <si>
    <t>Kanaan Active 2</t>
  </si>
  <si>
    <t>Kanaan Active 1</t>
  </si>
  <si>
    <t>Kanaan Passive IA</t>
  </si>
  <si>
    <t>L Scheepers</t>
  </si>
  <si>
    <t>IA10108750</t>
  </si>
  <si>
    <t>id</t>
  </si>
  <si>
    <t>kanaan_id</t>
  </si>
  <si>
    <t>client_name</t>
  </si>
  <si>
    <t>client_initials</t>
  </si>
  <si>
    <t>Badger Trust</t>
  </si>
  <si>
    <t/>
  </si>
  <si>
    <t>Bond-Myatt</t>
  </si>
  <si>
    <t>CV</t>
  </si>
  <si>
    <t>DEB</t>
  </si>
  <si>
    <t>Bradley</t>
  </si>
  <si>
    <t>CS</t>
  </si>
  <si>
    <t>Caulkin</t>
  </si>
  <si>
    <t>J</t>
  </si>
  <si>
    <t>Cavanagh</t>
  </si>
  <si>
    <t>GR</t>
  </si>
  <si>
    <t>Charlton</t>
  </si>
  <si>
    <t>CER</t>
  </si>
  <si>
    <t>van Jaarsveld</t>
  </si>
  <si>
    <t>PJ</t>
  </si>
  <si>
    <t>van Greunen</t>
  </si>
  <si>
    <t>P</t>
  </si>
  <si>
    <t>Cormack</t>
  </si>
  <si>
    <t>GA</t>
  </si>
  <si>
    <t>Costella</t>
  </si>
  <si>
    <t>CJ</t>
  </si>
  <si>
    <t>R</t>
  </si>
  <si>
    <t>Dennison</t>
  </si>
  <si>
    <t>PJG</t>
  </si>
  <si>
    <t>Dladla</t>
  </si>
  <si>
    <t>CZ</t>
  </si>
  <si>
    <t>van Niekerk</t>
  </si>
  <si>
    <t>JH</t>
  </si>
  <si>
    <t>Du Toit</t>
  </si>
  <si>
    <t>DJ</t>
  </si>
  <si>
    <t>Ebben</t>
  </si>
  <si>
    <t>GM</t>
  </si>
  <si>
    <t>Engelbrecht</t>
  </si>
  <si>
    <t>SA</t>
  </si>
  <si>
    <t>Fitzpatrick</t>
  </si>
  <si>
    <t>C</t>
  </si>
  <si>
    <t>Friederang</t>
  </si>
  <si>
    <t>AO</t>
  </si>
  <si>
    <t>de Villiers</t>
  </si>
  <si>
    <t>Hamden Trust</t>
  </si>
  <si>
    <t>Kanaan Trust</t>
  </si>
  <si>
    <t>Hericourt</t>
  </si>
  <si>
    <t>JG</t>
  </si>
  <si>
    <t>Hoon</t>
  </si>
  <si>
    <t>AL</t>
  </si>
  <si>
    <t>Hudson</t>
  </si>
  <si>
    <t>BJ</t>
  </si>
  <si>
    <t>Jacobs</t>
  </si>
  <si>
    <t>I</t>
  </si>
  <si>
    <t>James</t>
  </si>
  <si>
    <t>LB</t>
  </si>
  <si>
    <t>Higgins</t>
  </si>
  <si>
    <t>MM</t>
  </si>
  <si>
    <t>Jelley</t>
  </si>
  <si>
    <t>MD</t>
  </si>
  <si>
    <t>Stonestreet</t>
  </si>
  <si>
    <t>MF</t>
  </si>
  <si>
    <t>Kelly</t>
  </si>
  <si>
    <t>KR</t>
  </si>
  <si>
    <t>Kerr</t>
  </si>
  <si>
    <t>WJ</t>
  </si>
  <si>
    <t>Kijko</t>
  </si>
  <si>
    <t>AJ</t>
  </si>
  <si>
    <t>du Toit</t>
  </si>
  <si>
    <t>Klingenberg</t>
  </si>
  <si>
    <t>WE</t>
  </si>
  <si>
    <t>Knight Trust</t>
  </si>
  <si>
    <t>Kusel</t>
  </si>
  <si>
    <t>RJ</t>
  </si>
  <si>
    <t>Louw</t>
  </si>
  <si>
    <t>Delport</t>
  </si>
  <si>
    <t>A</t>
  </si>
  <si>
    <t>Lombard</t>
  </si>
  <si>
    <t>PE</t>
  </si>
  <si>
    <t>Mack</t>
  </si>
  <si>
    <t>RC</t>
  </si>
  <si>
    <t>Maggs</t>
  </si>
  <si>
    <t>RLC</t>
  </si>
  <si>
    <t>Maharaj</t>
  </si>
  <si>
    <t>SM</t>
  </si>
  <si>
    <t>Strydom</t>
  </si>
  <si>
    <t>MEC</t>
  </si>
  <si>
    <t>Masondo</t>
  </si>
  <si>
    <t>SS</t>
  </si>
  <si>
    <t>Mays</t>
  </si>
  <si>
    <t>DW</t>
  </si>
  <si>
    <t>JM</t>
  </si>
  <si>
    <t>JP</t>
  </si>
  <si>
    <t>McBeth</t>
  </si>
  <si>
    <t>H</t>
  </si>
  <si>
    <t>VK</t>
  </si>
  <si>
    <t>McGill</t>
  </si>
  <si>
    <t>GJ</t>
  </si>
  <si>
    <t>WE &amp; DJ Klingenberg</t>
  </si>
  <si>
    <t>Mendecki</t>
  </si>
  <si>
    <t>Meyer</t>
  </si>
  <si>
    <t>GG</t>
  </si>
  <si>
    <t>Pretorius (Rita)01</t>
  </si>
  <si>
    <t>Moll</t>
  </si>
  <si>
    <t>AP</t>
  </si>
  <si>
    <t>Moxham</t>
  </si>
  <si>
    <t>KA</t>
  </si>
  <si>
    <t>MSJM Trust</t>
  </si>
  <si>
    <t>Muir</t>
  </si>
  <si>
    <t>AM</t>
  </si>
  <si>
    <t>KSB Durban Trust</t>
  </si>
  <si>
    <t>Munroe</t>
  </si>
  <si>
    <t>JT</t>
  </si>
  <si>
    <t>LJ</t>
  </si>
  <si>
    <t>Naude</t>
  </si>
  <si>
    <t>PG</t>
  </si>
  <si>
    <t>Nautsch</t>
  </si>
  <si>
    <t>RH</t>
  </si>
  <si>
    <t>Ndobe</t>
  </si>
  <si>
    <t>E</t>
  </si>
  <si>
    <t>Ngcece</t>
  </si>
  <si>
    <t>NA</t>
  </si>
  <si>
    <t>Drakes</t>
  </si>
  <si>
    <t>North</t>
  </si>
  <si>
    <t>PM</t>
  </si>
  <si>
    <t>Ohsiek</t>
  </si>
  <si>
    <t>F</t>
  </si>
  <si>
    <t>Nethering Travel Limited</t>
  </si>
  <si>
    <t>Phipson</t>
  </si>
  <si>
    <t>BH</t>
  </si>
  <si>
    <t>Ralph</t>
  </si>
  <si>
    <t>Randall</t>
  </si>
  <si>
    <t>JJ</t>
  </si>
  <si>
    <t>Render</t>
  </si>
  <si>
    <t>M</t>
  </si>
  <si>
    <t>Roberts</t>
  </si>
  <si>
    <t>DA</t>
  </si>
  <si>
    <t>Robinson</t>
  </si>
  <si>
    <t>B</t>
  </si>
  <si>
    <t>Schon</t>
  </si>
  <si>
    <t>HR</t>
  </si>
  <si>
    <t>Schroder</t>
  </si>
  <si>
    <t>JL</t>
  </si>
  <si>
    <t>Sellors</t>
  </si>
  <si>
    <t>AO and C Friederang</t>
  </si>
  <si>
    <t>MM Pretorius (Markus)</t>
  </si>
  <si>
    <t>Sinclair</t>
  </si>
  <si>
    <t>IN</t>
  </si>
  <si>
    <t>Slater</t>
  </si>
  <si>
    <t>Smithers</t>
  </si>
  <si>
    <t>VJ</t>
  </si>
  <si>
    <t>Smit</t>
  </si>
  <si>
    <t>MP</t>
  </si>
  <si>
    <t>Snyman</t>
  </si>
  <si>
    <t>GD</t>
  </si>
  <si>
    <t>Staley</t>
  </si>
  <si>
    <t>PP</t>
  </si>
  <si>
    <t>Standish</t>
  </si>
  <si>
    <t>Stanton</t>
  </si>
  <si>
    <t>DM</t>
  </si>
  <si>
    <t>Stark</t>
  </si>
  <si>
    <t>CA</t>
  </si>
  <si>
    <t>KF</t>
  </si>
  <si>
    <t>ME</t>
  </si>
  <si>
    <t>Stonestreet Family Trust</t>
  </si>
  <si>
    <t>Sutton</t>
  </si>
  <si>
    <t>AD</t>
  </si>
  <si>
    <t>LA</t>
  </si>
  <si>
    <t>WP Pretorius (Pieter)</t>
  </si>
  <si>
    <t>The Dennison Domestic Workers Fund</t>
  </si>
  <si>
    <t>M Pretorius (Marius)</t>
  </si>
  <si>
    <t>Trevarthen</t>
  </si>
  <si>
    <t>NCD</t>
  </si>
  <si>
    <t>Turner</t>
  </si>
  <si>
    <t>VM</t>
  </si>
  <si>
    <t>Vansin Trust</t>
  </si>
  <si>
    <t>Wilson</t>
  </si>
  <si>
    <t>CT</t>
  </si>
  <si>
    <t>Winners Trust</t>
  </si>
  <si>
    <t>Whittle</t>
  </si>
  <si>
    <t>RW</t>
  </si>
  <si>
    <t>Wrigley</t>
  </si>
  <si>
    <t>Zajac</t>
  </si>
  <si>
    <t>HJ</t>
  </si>
  <si>
    <t>Zarnack</t>
  </si>
  <si>
    <t>Fullard</t>
  </si>
  <si>
    <t>AF</t>
  </si>
  <si>
    <t>Badenhorst</t>
  </si>
  <si>
    <t>PN</t>
  </si>
  <si>
    <t>Benade</t>
  </si>
  <si>
    <t>CI</t>
  </si>
  <si>
    <t>JC</t>
  </si>
  <si>
    <t>Bezuidenhout Familie Trust</t>
  </si>
  <si>
    <t>Bezuidenhout</t>
  </si>
  <si>
    <t>RG</t>
  </si>
  <si>
    <t>Bloemhof</t>
  </si>
  <si>
    <t>HW</t>
  </si>
  <si>
    <t>Breet</t>
  </si>
  <si>
    <t>N</t>
  </si>
  <si>
    <t>Marks</t>
  </si>
  <si>
    <t>WH</t>
  </si>
  <si>
    <t>Boshoff</t>
  </si>
  <si>
    <t>MJ</t>
  </si>
  <si>
    <t>Botha</t>
  </si>
  <si>
    <t>PR</t>
  </si>
  <si>
    <t>Theron</t>
  </si>
  <si>
    <t>Briedenhann</t>
  </si>
  <si>
    <t>IM</t>
  </si>
  <si>
    <t>Brooks</t>
  </si>
  <si>
    <t>AE</t>
  </si>
  <si>
    <t>Coetzee</t>
  </si>
  <si>
    <t>Combrink</t>
  </si>
  <si>
    <t>JA</t>
  </si>
  <si>
    <t>MS</t>
  </si>
  <si>
    <t>Cornelius</t>
  </si>
  <si>
    <t>OA</t>
  </si>
  <si>
    <t>DCK Trust</t>
  </si>
  <si>
    <t>De Lange</t>
  </si>
  <si>
    <t>Lange Kleinkinders</t>
  </si>
  <si>
    <t>De</t>
  </si>
  <si>
    <t>Deerans</t>
  </si>
  <si>
    <t>Dummer</t>
  </si>
  <si>
    <t>BRD</t>
  </si>
  <si>
    <t>Bodenstein</t>
  </si>
  <si>
    <t>AR</t>
  </si>
  <si>
    <t>Eldad Trust</t>
  </si>
  <si>
    <t>van Tonder</t>
  </si>
  <si>
    <t>Enslin</t>
  </si>
  <si>
    <t>CC</t>
  </si>
  <si>
    <t>W</t>
  </si>
  <si>
    <t>Ferreira</t>
  </si>
  <si>
    <t>Fouche</t>
  </si>
  <si>
    <t>SP</t>
  </si>
  <si>
    <t>Fourie</t>
  </si>
  <si>
    <t>AG</t>
  </si>
  <si>
    <t>AEH</t>
  </si>
  <si>
    <t>Gelderbloem</t>
  </si>
  <si>
    <t>JB</t>
  </si>
  <si>
    <t>Gouws</t>
  </si>
  <si>
    <t>Greyvenstein</t>
  </si>
  <si>
    <t>de Vries</t>
  </si>
  <si>
    <t>ZJD</t>
  </si>
  <si>
    <t>Henning</t>
  </si>
  <si>
    <t>HL</t>
  </si>
  <si>
    <t>van der Merwe</t>
  </si>
  <si>
    <t>Jokar Trust</t>
  </si>
  <si>
    <t>Joubert</t>
  </si>
  <si>
    <t>AB</t>
  </si>
  <si>
    <t>Koorts</t>
  </si>
  <si>
    <t>Kotze</t>
  </si>
  <si>
    <t>ML</t>
  </si>
  <si>
    <t>BG</t>
  </si>
  <si>
    <t>Liebenberg</t>
  </si>
  <si>
    <t>HE</t>
  </si>
  <si>
    <t>Loots</t>
  </si>
  <si>
    <t>MA</t>
  </si>
  <si>
    <t>ZM</t>
  </si>
  <si>
    <t>Mrs</t>
  </si>
  <si>
    <t>SCHEEPERS</t>
  </si>
  <si>
    <t>L</t>
  </si>
  <si>
    <t>Marais</t>
  </si>
  <si>
    <t>Massyn</t>
  </si>
  <si>
    <t>WP</t>
  </si>
  <si>
    <t>Matthee</t>
  </si>
  <si>
    <t>Meintjies</t>
  </si>
  <si>
    <t>PAR</t>
  </si>
  <si>
    <t>Schaffner</t>
  </si>
  <si>
    <t>JSR</t>
  </si>
  <si>
    <t>Minnie</t>
  </si>
  <si>
    <t>HJS</t>
  </si>
  <si>
    <t>Oosthuizen</t>
  </si>
  <si>
    <t>Neethling Trust</t>
  </si>
  <si>
    <t>JD</t>
  </si>
  <si>
    <t>Neethling</t>
  </si>
  <si>
    <t>Nel</t>
  </si>
  <si>
    <t>BO</t>
  </si>
  <si>
    <t>JW</t>
  </si>
  <si>
    <t>Kennedy</t>
  </si>
  <si>
    <t>ND</t>
  </si>
  <si>
    <t>SC</t>
  </si>
  <si>
    <t>Pienaar</t>
  </si>
  <si>
    <t>HP</t>
  </si>
  <si>
    <t>AC</t>
  </si>
  <si>
    <t>Potgieter</t>
  </si>
  <si>
    <t>Pretorius</t>
  </si>
  <si>
    <t>D</t>
  </si>
  <si>
    <t>Pretorius Familie Beleggings Trust</t>
  </si>
  <si>
    <t>HPJ</t>
  </si>
  <si>
    <t>Swartz</t>
  </si>
  <si>
    <t>DL</t>
  </si>
  <si>
    <t>GS</t>
  </si>
  <si>
    <t>Z</t>
  </si>
  <si>
    <t>Raath</t>
  </si>
  <si>
    <t>EA</t>
  </si>
  <si>
    <t>Radley</t>
  </si>
  <si>
    <t>SW</t>
  </si>
  <si>
    <t>Reebok Trust</t>
  </si>
  <si>
    <t>Roodman</t>
  </si>
  <si>
    <t>K</t>
  </si>
  <si>
    <t>Ora Et Labora Trust</t>
  </si>
  <si>
    <t>SCHOEMAN</t>
  </si>
  <si>
    <t>AW</t>
  </si>
  <si>
    <t>Slabber</t>
  </si>
  <si>
    <t>EF</t>
  </si>
  <si>
    <t>Slabbert</t>
  </si>
  <si>
    <t>HIH</t>
  </si>
  <si>
    <t>PJL</t>
  </si>
  <si>
    <t>Swanepoel</t>
  </si>
  <si>
    <t>Swart</t>
  </si>
  <si>
    <t>HB</t>
  </si>
  <si>
    <t>Tel Familie Trust</t>
  </si>
  <si>
    <t>Thompson</t>
  </si>
  <si>
    <t>DP</t>
  </si>
  <si>
    <t>Toelina Trust</t>
  </si>
  <si>
    <t>Tomora Trust</t>
  </si>
  <si>
    <t>Van Antwerpen</t>
  </si>
  <si>
    <t>JWJ</t>
  </si>
  <si>
    <t>VAN ANTWERPEN</t>
  </si>
  <si>
    <t>KE</t>
  </si>
  <si>
    <t>Van Aswegen</t>
  </si>
  <si>
    <t>MWD</t>
  </si>
  <si>
    <t>Van Den Berg</t>
  </si>
  <si>
    <t>Van den Berg</t>
  </si>
  <si>
    <t>MHA</t>
  </si>
  <si>
    <t>Jansen Van Rensburg</t>
  </si>
  <si>
    <t>HJC</t>
  </si>
  <si>
    <t>Van der Vyver</t>
  </si>
  <si>
    <t>CM</t>
  </si>
  <si>
    <t>Van Der Watt</t>
  </si>
  <si>
    <t>RFJ</t>
  </si>
  <si>
    <t>Van der Westhuizen</t>
  </si>
  <si>
    <t>DE</t>
  </si>
  <si>
    <t>Van Eeden</t>
  </si>
  <si>
    <t>Van Jaarsveld</t>
  </si>
  <si>
    <t>Van Niekerk</t>
  </si>
  <si>
    <t>Van Rooyen</t>
  </si>
  <si>
    <t>GH</t>
  </si>
  <si>
    <t>Van Staden</t>
  </si>
  <si>
    <t>EL</t>
  </si>
  <si>
    <t>Van Tonder</t>
  </si>
  <si>
    <t>Van Tonder (Jnr)</t>
  </si>
  <si>
    <t>Van Wyk</t>
  </si>
  <si>
    <t>WC</t>
  </si>
  <si>
    <t>Venter</t>
  </si>
  <si>
    <t>IE</t>
  </si>
  <si>
    <t>NP</t>
  </si>
  <si>
    <t>du Plessis</t>
  </si>
  <si>
    <t>Vermaak</t>
  </si>
  <si>
    <t>Visser</t>
  </si>
  <si>
    <t>MCJ</t>
  </si>
  <si>
    <t>TJ</t>
  </si>
  <si>
    <t>Weyer</t>
  </si>
  <si>
    <t>HF</t>
  </si>
  <si>
    <t>Wiesner</t>
  </si>
  <si>
    <t>Woolridge</t>
  </si>
  <si>
    <t>GE</t>
  </si>
  <si>
    <t>Yssel</t>
  </si>
  <si>
    <t>HJJ</t>
  </si>
  <si>
    <t>Pressly</t>
  </si>
  <si>
    <t>GP</t>
  </si>
  <si>
    <t>Schneider</t>
  </si>
  <si>
    <t>SJM</t>
  </si>
  <si>
    <t>Hamman</t>
  </si>
  <si>
    <t>Van Den Heever</t>
  </si>
  <si>
    <t>CAE</t>
  </si>
  <si>
    <t>CML</t>
  </si>
  <si>
    <t>LU</t>
  </si>
  <si>
    <t>JOHANNA WEYER TESTAMENTERE TRUST</t>
  </si>
  <si>
    <t>Rice</t>
  </si>
  <si>
    <t>KSB Durban Trading CC</t>
  </si>
  <si>
    <t>Buys</t>
  </si>
  <si>
    <t>IB</t>
  </si>
  <si>
    <t>Darke</t>
  </si>
  <si>
    <t>Berry</t>
  </si>
  <si>
    <t>FM</t>
  </si>
  <si>
    <t>Schroeder</t>
  </si>
  <si>
    <t>SMM</t>
  </si>
  <si>
    <t>G</t>
  </si>
  <si>
    <t>S</t>
  </si>
  <si>
    <t>ZR</t>
  </si>
  <si>
    <t>JR</t>
  </si>
  <si>
    <t>Carlisle</t>
  </si>
  <si>
    <t>JAW</t>
  </si>
  <si>
    <t>De Hart</t>
  </si>
  <si>
    <t>Gavin</t>
  </si>
  <si>
    <t>EB</t>
  </si>
  <si>
    <t>Grobler</t>
  </si>
  <si>
    <t>Hansrajh</t>
  </si>
  <si>
    <t>GC</t>
  </si>
  <si>
    <t>Maharajh</t>
  </si>
  <si>
    <t>Moodley</t>
  </si>
  <si>
    <t>V</t>
  </si>
  <si>
    <t>Roos</t>
  </si>
  <si>
    <t>T</t>
  </si>
  <si>
    <t>Thomson</t>
  </si>
  <si>
    <t>Bevedere Nominees Limited</t>
  </si>
  <si>
    <t>Borman</t>
  </si>
  <si>
    <t>DV</t>
  </si>
  <si>
    <t>Breytenbach</t>
  </si>
  <si>
    <t>Burn</t>
  </si>
  <si>
    <t>Cloete</t>
  </si>
  <si>
    <t>GNP</t>
  </si>
  <si>
    <t>Chanderpresath</t>
  </si>
  <si>
    <t>Dodson</t>
  </si>
  <si>
    <t>CW</t>
  </si>
  <si>
    <t>Dzhafarov</t>
  </si>
  <si>
    <t>Du Preez</t>
  </si>
  <si>
    <t>EP</t>
  </si>
  <si>
    <t>Gerber</t>
  </si>
  <si>
    <t>CH</t>
  </si>
  <si>
    <t>Mr</t>
  </si>
  <si>
    <t>PS</t>
  </si>
  <si>
    <t>Glover</t>
  </si>
  <si>
    <t>BR</t>
  </si>
  <si>
    <t>(Hannatjie)</t>
  </si>
  <si>
    <t>Esterhuizen</t>
  </si>
  <si>
    <t>HZ</t>
  </si>
  <si>
    <t>Ellis</t>
  </si>
  <si>
    <t>Grawe</t>
  </si>
  <si>
    <t>FR</t>
  </si>
  <si>
    <t>TA</t>
  </si>
  <si>
    <t>Ioannou</t>
  </si>
  <si>
    <t>Kistan</t>
  </si>
  <si>
    <t>Lancaster</t>
  </si>
  <si>
    <t>AHS</t>
  </si>
  <si>
    <t>Martheze</t>
  </si>
  <si>
    <t>Nghatsane</t>
  </si>
  <si>
    <t>Mildenhall</t>
  </si>
  <si>
    <t>FJ</t>
  </si>
  <si>
    <t>Osinski</t>
  </si>
  <si>
    <t>Postma</t>
  </si>
  <si>
    <t>Pelser</t>
  </si>
  <si>
    <t>HS</t>
  </si>
  <si>
    <t>Page</t>
  </si>
  <si>
    <t>AS</t>
  </si>
  <si>
    <t>Olsen</t>
  </si>
  <si>
    <t>Spies</t>
  </si>
  <si>
    <t>Schraader</t>
  </si>
  <si>
    <t>Strauss</t>
  </si>
  <si>
    <t>Zweistra</t>
  </si>
  <si>
    <t>van Straaten</t>
  </si>
  <si>
    <t>PA</t>
  </si>
  <si>
    <t>Wayne Ent</t>
  </si>
  <si>
    <t>Dieu Donne Trust</t>
  </si>
  <si>
    <t>Scheepers</t>
  </si>
  <si>
    <t>MH</t>
  </si>
  <si>
    <t>Dolloway</t>
  </si>
  <si>
    <t>KL</t>
  </si>
  <si>
    <t>Branford</t>
  </si>
  <si>
    <t>Tavares</t>
  </si>
  <si>
    <t>MW</t>
  </si>
  <si>
    <t>Mrwetyana</t>
  </si>
  <si>
    <t>LL</t>
  </si>
  <si>
    <t>Smith</t>
  </si>
  <si>
    <t>Bosman</t>
  </si>
  <si>
    <t>HL and MM Higgins</t>
  </si>
  <si>
    <t>BJ and AR Bodenstein</t>
  </si>
  <si>
    <t>MJ and MP Boshoff</t>
  </si>
  <si>
    <t>AB and J Delport</t>
  </si>
  <si>
    <t>Pretorius Familie Beleggings Trust, Rita Pretorius</t>
  </si>
  <si>
    <t>Pretorius Familie Beleggings Trust, Markus</t>
  </si>
  <si>
    <t>Pretorius Familie Beleggings Trust, Pieter</t>
  </si>
  <si>
    <t>Pretorius Familie Beleggings Trust, Marius</t>
  </si>
  <si>
    <t>Pretorius Familie Beleggings Trust, Dewald</t>
  </si>
  <si>
    <t>ML Kotze</t>
  </si>
  <si>
    <t>IA10108878</t>
  </si>
  <si>
    <t>IA10108396</t>
  </si>
  <si>
    <t>RL Maggs</t>
  </si>
  <si>
    <t>ME Stonestreet</t>
  </si>
  <si>
    <t>IA10108777</t>
  </si>
  <si>
    <t>C Bradley</t>
  </si>
  <si>
    <t>IA10108394</t>
  </si>
  <si>
    <t>JM Mays</t>
  </si>
  <si>
    <t>IA10108397</t>
  </si>
  <si>
    <t>PR10002458</t>
  </si>
  <si>
    <t>Absa Money Market</t>
  </si>
  <si>
    <t>IA00022928</t>
  </si>
  <si>
    <t>A Bodenstein</t>
  </si>
  <si>
    <t>Old Mutual Income Fund</t>
  </si>
  <si>
    <t>IA10110602</t>
  </si>
  <si>
    <t>IA10111291</t>
  </si>
  <si>
    <t>IA10111228</t>
  </si>
  <si>
    <t>G Bradley</t>
  </si>
  <si>
    <t>Anmar Trust</t>
  </si>
  <si>
    <t>IA10111376</t>
  </si>
  <si>
    <t>IA10112426</t>
  </si>
  <si>
    <t>Seventh-day Adventist Church NC of SA</t>
  </si>
  <si>
    <t>IA10112428</t>
  </si>
  <si>
    <t>IA10112964</t>
  </si>
  <si>
    <t>LA20014803</t>
  </si>
  <si>
    <t>LA20014821</t>
  </si>
  <si>
    <t>23510.07</t>
  </si>
  <si>
    <t>IA10112887</t>
  </si>
  <si>
    <t>EH Bonnet</t>
  </si>
  <si>
    <t>IA10113979</t>
  </si>
  <si>
    <t>E Koorts</t>
  </si>
  <si>
    <t>IA10114323</t>
  </si>
  <si>
    <t>DJ Koorts</t>
  </si>
  <si>
    <t>IA10114327</t>
  </si>
  <si>
    <t>Sykes</t>
  </si>
  <si>
    <t>MM and DP Pretorius</t>
  </si>
  <si>
    <t>JP Mays and CA Stark</t>
  </si>
  <si>
    <t>GJ and BM McGill</t>
  </si>
  <si>
    <t>MG and KR Sinclair</t>
  </si>
  <si>
    <t>LF Erasmus and SS Swart</t>
  </si>
  <si>
    <t>JJ and P Randall</t>
  </si>
  <si>
    <t>JL and LN Sellors</t>
  </si>
  <si>
    <t>AJ and MEC Van Tonder</t>
  </si>
  <si>
    <t>HJ and JC Pienaar</t>
  </si>
  <si>
    <t>CJ Neethling and JC Howard</t>
  </si>
  <si>
    <t>AD and CJ Neethling</t>
  </si>
  <si>
    <t>JA and AD Neethling</t>
  </si>
  <si>
    <t>CJ Neethling and RJ Nagel</t>
  </si>
  <si>
    <t>AE and PJ Fourie</t>
  </si>
  <si>
    <t>C Friederang and L van den Berg</t>
  </si>
  <si>
    <t>DA and CJ Roberts</t>
  </si>
  <si>
    <t>JR and LI Schaffner</t>
  </si>
  <si>
    <t>HR Schon and RH Nautsch</t>
  </si>
  <si>
    <t>KF and ME Stonestreet</t>
  </si>
  <si>
    <t>JWJ and KE Van Antwerpen</t>
  </si>
  <si>
    <t>AD and KR Sutton</t>
  </si>
  <si>
    <t>NC and S Trevarthen</t>
  </si>
  <si>
    <t>DJ and EA Bosman</t>
  </si>
  <si>
    <t>CS and C Bradley</t>
  </si>
  <si>
    <t>AF and LS Fullard</t>
  </si>
  <si>
    <t>M and EJ Gouws</t>
  </si>
  <si>
    <t>AB &amp; KE Koorts</t>
  </si>
  <si>
    <t>F and CJ Louw</t>
  </si>
  <si>
    <t>RC and ZA Mack</t>
  </si>
  <si>
    <t>WH and MH Marks</t>
  </si>
  <si>
    <t>JW en LJ Nel</t>
  </si>
  <si>
    <t>RH Nautsch and HR Schon</t>
  </si>
  <si>
    <t>KR and MG Sinclair</t>
  </si>
  <si>
    <t>HPJ and Z Pretorius</t>
  </si>
  <si>
    <t>SJ and CM Schneider</t>
  </si>
  <si>
    <t>DE and O Van der Westhuizen</t>
  </si>
  <si>
    <t>J and A Van Eeden</t>
  </si>
  <si>
    <t>TJ and MC Visser</t>
  </si>
  <si>
    <t>Bonnet</t>
  </si>
  <si>
    <t>DR Mays</t>
  </si>
  <si>
    <t>MG</t>
  </si>
  <si>
    <t>Koorts (Jnr)</t>
  </si>
  <si>
    <t>AB Koorts (Jnr)</t>
  </si>
  <si>
    <t>EH</t>
  </si>
  <si>
    <t>355.95</t>
  </si>
  <si>
    <t>17588.81</t>
  </si>
  <si>
    <t>7763.8</t>
  </si>
  <si>
    <t>8146.23</t>
  </si>
  <si>
    <t>47446.69</t>
  </si>
  <si>
    <t>%</t>
  </si>
  <si>
    <t>Concern</t>
  </si>
  <si>
    <t>Check</t>
  </si>
  <si>
    <t>LA20014975</t>
  </si>
  <si>
    <t>AB Delport</t>
  </si>
  <si>
    <t>LA20014871</t>
  </si>
  <si>
    <t>LA20014985</t>
  </si>
  <si>
    <t>NJ Sparrow</t>
  </si>
  <si>
    <t>Sparrow</t>
  </si>
  <si>
    <t>NJ</t>
  </si>
  <si>
    <t>LA20015125</t>
  </si>
  <si>
    <t>CJ Du Toit</t>
  </si>
  <si>
    <t>IA10116050a</t>
  </si>
  <si>
    <t>CM Sparrow</t>
  </si>
  <si>
    <t>IA10116050b</t>
  </si>
  <si>
    <t>IA10111291a</t>
  </si>
  <si>
    <t>IA10111291b</t>
  </si>
  <si>
    <t>B Koorts</t>
  </si>
  <si>
    <t>DE VAN DER WESTHUIZEN</t>
  </si>
  <si>
    <t>IA10116852a</t>
  </si>
  <si>
    <t>IA10116852b</t>
  </si>
  <si>
    <t>LA00019329</t>
  </si>
  <si>
    <t>CM Van Rooyen</t>
  </si>
  <si>
    <t>CE Charlton</t>
  </si>
  <si>
    <t>LA20015512a</t>
  </si>
  <si>
    <t>LA20015512b</t>
  </si>
  <si>
    <t>MD Olsen</t>
  </si>
  <si>
    <t>A Delport</t>
  </si>
  <si>
    <t>HR Schon</t>
  </si>
  <si>
    <t>IA10116449a</t>
  </si>
  <si>
    <t>Stable SA</t>
  </si>
  <si>
    <t>Global SA</t>
  </si>
  <si>
    <t>ND Gray</t>
  </si>
  <si>
    <t>PJ Dennison</t>
  </si>
  <si>
    <t>Gray</t>
  </si>
  <si>
    <t>36One BCI Flex Opp</t>
  </si>
  <si>
    <t>LA00023469c</t>
  </si>
  <si>
    <t>LA20005639c</t>
  </si>
  <si>
    <t>LA20014937c</t>
  </si>
  <si>
    <t>LA20015029c</t>
  </si>
  <si>
    <t>LA20014803c</t>
  </si>
  <si>
    <t>LA20012231c</t>
  </si>
  <si>
    <t>LA20014928c</t>
  </si>
  <si>
    <t>LA20004188c</t>
  </si>
  <si>
    <t>LA20011592c</t>
  </si>
  <si>
    <t>LA20014961c</t>
  </si>
  <si>
    <t>LA20014821c</t>
  </si>
  <si>
    <t>LA20012663c</t>
  </si>
  <si>
    <t>LA20015967c</t>
  </si>
  <si>
    <t>LA00023469a</t>
  </si>
  <si>
    <t>LA20005639a</t>
  </si>
  <si>
    <t>IA10108878a</t>
  </si>
  <si>
    <t>LA20014937a</t>
  </si>
  <si>
    <t>LA20015029a</t>
  </si>
  <si>
    <t>LA20014803a</t>
  </si>
  <si>
    <t>LA20012231a</t>
  </si>
  <si>
    <t>IA10108396a</t>
  </si>
  <si>
    <t>LA20014928a</t>
  </si>
  <si>
    <t>LA20004188a</t>
  </si>
  <si>
    <t>LA20011592a</t>
  </si>
  <si>
    <t>IA10112964a</t>
  </si>
  <si>
    <t>IA10094665a</t>
  </si>
  <si>
    <t>IA10108777a</t>
  </si>
  <si>
    <t>LA20014961a</t>
  </si>
  <si>
    <t>LA20014821a</t>
  </si>
  <si>
    <t>LA20012663a</t>
  </si>
  <si>
    <t>IA10108394a</t>
  </si>
  <si>
    <t>IA10108397a</t>
  </si>
  <si>
    <t>IA10117703a</t>
  </si>
  <si>
    <t>LA20015543a</t>
  </si>
  <si>
    <t>IA10119516a</t>
  </si>
  <si>
    <t>LA20015967a</t>
  </si>
  <si>
    <t>LA00023469b</t>
  </si>
  <si>
    <t>LA20005639b</t>
  </si>
  <si>
    <t>LA20014937b</t>
  </si>
  <si>
    <t>LA20015029b</t>
  </si>
  <si>
    <t>IA10115750b</t>
  </si>
  <si>
    <t>LA20014803b</t>
  </si>
  <si>
    <t>IA10110602b</t>
  </si>
  <si>
    <t>LA20012231b</t>
  </si>
  <si>
    <t>IA10103425b</t>
  </si>
  <si>
    <t>LA20014928b</t>
  </si>
  <si>
    <t>LA20004188b</t>
  </si>
  <si>
    <t>LA20011592b</t>
  </si>
  <si>
    <t>IA10097773b</t>
  </si>
  <si>
    <t>LA20014961b</t>
  </si>
  <si>
    <t>LA20014821b</t>
  </si>
  <si>
    <t>IA10100758b</t>
  </si>
  <si>
    <t>LA20012663b</t>
  </si>
  <si>
    <t>IA10108750b</t>
  </si>
  <si>
    <t>IA10111228b</t>
  </si>
  <si>
    <t>IA10112887b</t>
  </si>
  <si>
    <t>IA10113979b</t>
  </si>
  <si>
    <t>IA10114323b</t>
  </si>
  <si>
    <t>IA10114327b</t>
  </si>
  <si>
    <t>IA10115675b</t>
  </si>
  <si>
    <t>LA20015967b</t>
  </si>
  <si>
    <t>Centaur BCI Flex</t>
  </si>
  <si>
    <t>NC Trevarthen</t>
  </si>
  <si>
    <t>LA20016187a</t>
  </si>
  <si>
    <t>LA20016165a</t>
  </si>
  <si>
    <t>IA00020582a</t>
  </si>
  <si>
    <t>LA20016183a</t>
  </si>
  <si>
    <t>MM Pretorius (Rita)01</t>
  </si>
  <si>
    <t>HL Higgins</t>
  </si>
  <si>
    <t>LA20016160a</t>
  </si>
  <si>
    <t>LA20016166a</t>
  </si>
  <si>
    <t>LA20016187b</t>
  </si>
  <si>
    <t>LA20016165b</t>
  </si>
  <si>
    <t>LA20016183b</t>
  </si>
  <si>
    <t>LA20016160b</t>
  </si>
  <si>
    <t>LA20016166b</t>
  </si>
  <si>
    <t>LA20016160c</t>
  </si>
  <si>
    <t>LA20016166c</t>
  </si>
  <si>
    <t>LA20016187c</t>
  </si>
  <si>
    <t>LA20016165c</t>
  </si>
  <si>
    <t>LA20016183c</t>
  </si>
  <si>
    <t>RA10010330d</t>
  </si>
  <si>
    <t>RA10010356d</t>
  </si>
  <si>
    <t>RA10006250d</t>
  </si>
  <si>
    <t>LA00016090f</t>
  </si>
  <si>
    <t>IA10119461f</t>
  </si>
  <si>
    <t>IA00020582</t>
  </si>
  <si>
    <t>IA10116050</t>
  </si>
  <si>
    <t>LA20014937</t>
  </si>
  <si>
    <t>LA20015029</t>
  </si>
  <si>
    <t>IA10115750</t>
  </si>
  <si>
    <t>LA20014928</t>
  </si>
  <si>
    <t>LA20014961</t>
  </si>
  <si>
    <t>IA10114882</t>
  </si>
  <si>
    <t>IA10116449</t>
  </si>
  <si>
    <t>IA10115675</t>
  </si>
  <si>
    <t>IA10116852</t>
  </si>
  <si>
    <t>LA20015512</t>
  </si>
  <si>
    <t>IA10117703</t>
  </si>
  <si>
    <t>RA10010330</t>
  </si>
  <si>
    <t>RA10010356</t>
  </si>
  <si>
    <t>LA20015543</t>
  </si>
  <si>
    <t>IA10119461</t>
  </si>
  <si>
    <t>IA10119516</t>
  </si>
  <si>
    <t>LA20015967</t>
  </si>
  <si>
    <t>LA20016187</t>
  </si>
  <si>
    <t>LA20016165</t>
  </si>
  <si>
    <t>LA20016183</t>
  </si>
  <si>
    <t>LA20016160</t>
  </si>
  <si>
    <t>LA20016166</t>
  </si>
  <si>
    <t>IA10122023</t>
  </si>
  <si>
    <t>IA10122116</t>
  </si>
  <si>
    <t>C Swartz</t>
  </si>
  <si>
    <t>IA10122046</t>
  </si>
  <si>
    <t>C Friederang</t>
  </si>
  <si>
    <t>GR Cavanagh</t>
  </si>
  <si>
    <t>IA10122131</t>
  </si>
  <si>
    <t>EMrs Louw</t>
  </si>
  <si>
    <t>IA10122115</t>
  </si>
  <si>
    <t>IA10122146</t>
  </si>
  <si>
    <t>IA10122489</t>
  </si>
  <si>
    <t>IA10122489a</t>
  </si>
  <si>
    <t>LA20016326</t>
  </si>
  <si>
    <t>LA20016326a</t>
  </si>
  <si>
    <t>LA20016233</t>
  </si>
  <si>
    <t>LA20016233a</t>
  </si>
  <si>
    <t>LA20016247</t>
  </si>
  <si>
    <t>LA20016247a</t>
  </si>
  <si>
    <t>LA20016288a</t>
  </si>
  <si>
    <t>J Caulkin</t>
  </si>
  <si>
    <t>LA20016255</t>
  </si>
  <si>
    <t>LA20016255a</t>
  </si>
  <si>
    <t>LA20016259</t>
  </si>
  <si>
    <t>LA20016259a</t>
  </si>
  <si>
    <t>LA20016232</t>
  </si>
  <si>
    <t>LA20016232a</t>
  </si>
  <si>
    <t>IE Venter</t>
  </si>
  <si>
    <t>LA20016190</t>
  </si>
  <si>
    <t>BO Nel</t>
  </si>
  <si>
    <t>LA20016290</t>
  </si>
  <si>
    <t>KA Moxham</t>
  </si>
  <si>
    <t>PE10006391</t>
  </si>
  <si>
    <t>RA10010754</t>
  </si>
  <si>
    <t>LA20016190a</t>
  </si>
  <si>
    <t>LA20016290a</t>
  </si>
  <si>
    <t>PE10006391d</t>
  </si>
  <si>
    <t>RA10010754d</t>
  </si>
  <si>
    <t>GG Meyer</t>
  </si>
  <si>
    <t>LA20016270</t>
  </si>
  <si>
    <t>HJ Zarnack</t>
  </si>
  <si>
    <t>LA20016270a</t>
  </si>
  <si>
    <t>HJT</t>
  </si>
  <si>
    <t>GN Cloete</t>
  </si>
  <si>
    <t>LA20016276</t>
  </si>
  <si>
    <t>LA20016276a</t>
  </si>
  <si>
    <t>W Enslin</t>
  </si>
  <si>
    <t>IA10121949</t>
  </si>
  <si>
    <t>IA10121949a</t>
  </si>
  <si>
    <t>LV Herbert</t>
  </si>
  <si>
    <t>IA10122381</t>
  </si>
  <si>
    <t>Herbert</t>
  </si>
  <si>
    <t>LV</t>
  </si>
  <si>
    <t>IA10122381a</t>
  </si>
  <si>
    <t>IA10122197</t>
  </si>
  <si>
    <t>WH Marks</t>
  </si>
  <si>
    <t>IA10122197a</t>
  </si>
  <si>
    <t>LA20016326b</t>
  </si>
  <si>
    <t>LA20016233b</t>
  </si>
  <si>
    <t>LA20016247b</t>
  </si>
  <si>
    <t>LA20016288b</t>
  </si>
  <si>
    <t>LA20016255b</t>
  </si>
  <si>
    <t>LA20016259b</t>
  </si>
  <si>
    <t>LA20016232b</t>
  </si>
  <si>
    <t>LA20016190b</t>
  </si>
  <si>
    <t>LA20016290b</t>
  </si>
  <si>
    <t>LA20016270b</t>
  </si>
  <si>
    <t>LA20016276b</t>
  </si>
  <si>
    <t>IA10121949b</t>
  </si>
  <si>
    <t>JS Schaffner</t>
  </si>
  <si>
    <t>IA10121627</t>
  </si>
  <si>
    <t>IA10121627b</t>
  </si>
  <si>
    <t>LA20016326c</t>
  </si>
  <si>
    <t>LA20016233c</t>
  </si>
  <si>
    <t>LA20016247c</t>
  </si>
  <si>
    <t>LA20016288c</t>
  </si>
  <si>
    <t>LA20016255c</t>
  </si>
  <si>
    <t>LA20016259c</t>
  </si>
  <si>
    <t>LA20016232c</t>
  </si>
  <si>
    <t>LA20016190c</t>
  </si>
  <si>
    <t>LA20016290c</t>
  </si>
  <si>
    <t>LA20016270c</t>
  </si>
  <si>
    <t>LA20016276c</t>
  </si>
  <si>
    <t>IA10121949c</t>
  </si>
  <si>
    <t>GE Woolridge</t>
  </si>
  <si>
    <t>LA20009873a</t>
  </si>
  <si>
    <t>LA00016039a</t>
  </si>
  <si>
    <t>LA20002682a</t>
  </si>
  <si>
    <t>LA20007114a</t>
  </si>
  <si>
    <t>RA10001586d</t>
  </si>
  <si>
    <t>RA10001587d</t>
  </si>
  <si>
    <t>PR10000526d</t>
  </si>
  <si>
    <t>LA20014975a</t>
  </si>
  <si>
    <t>WJ Kerr</t>
  </si>
  <si>
    <t>D Swanepoel</t>
  </si>
  <si>
    <t>LA00019329a</t>
  </si>
  <si>
    <t>LA00019822a</t>
  </si>
  <si>
    <t>LA20006897a</t>
  </si>
  <si>
    <t>LA20007196a</t>
  </si>
  <si>
    <t>LA20007895a</t>
  </si>
  <si>
    <t>LA20008067a</t>
  </si>
  <si>
    <t>RA00015185d</t>
  </si>
  <si>
    <t>LA00016024a</t>
  </si>
  <si>
    <t>LA00016036a</t>
  </si>
  <si>
    <t>LA00016038a</t>
  </si>
  <si>
    <t>LA00020890a</t>
  </si>
  <si>
    <t>LA00016368a</t>
  </si>
  <si>
    <t>LA00016092a</t>
  </si>
  <si>
    <t>LA20002615a</t>
  </si>
  <si>
    <t>LA00016370a</t>
  </si>
  <si>
    <t>LA00025665a</t>
  </si>
  <si>
    <t>RA10002722d</t>
  </si>
  <si>
    <t>LA20014871a</t>
  </si>
  <si>
    <t>LA20000773a</t>
  </si>
  <si>
    <t>RC Mack</t>
  </si>
  <si>
    <t>J DELPORT</t>
  </si>
  <si>
    <t>IA00052726a</t>
  </si>
  <si>
    <t>RA00016557d</t>
  </si>
  <si>
    <t>LA00021246a</t>
  </si>
  <si>
    <t>LA00026061a</t>
  </si>
  <si>
    <t>LA20008848a</t>
  </si>
  <si>
    <t>RA00020639d</t>
  </si>
  <si>
    <t>RA00020632d</t>
  </si>
  <si>
    <t>LA20001082a</t>
  </si>
  <si>
    <t>AD Neethling</t>
  </si>
  <si>
    <t>LA20002613a</t>
  </si>
  <si>
    <t>LA20002838a</t>
  </si>
  <si>
    <t>LA20007498a</t>
  </si>
  <si>
    <t>RA10003188d</t>
  </si>
  <si>
    <t>LA20005966a</t>
  </si>
  <si>
    <t>LA20012873a</t>
  </si>
  <si>
    <t>RA10004301d</t>
  </si>
  <si>
    <t>LA20014985a</t>
  </si>
  <si>
    <t>LA20007418a</t>
  </si>
  <si>
    <t>LA20008460a</t>
  </si>
  <si>
    <t>LA20008610a</t>
  </si>
  <si>
    <t>LA20009076a</t>
  </si>
  <si>
    <t>B Bradley</t>
  </si>
  <si>
    <t>LA20011329a</t>
  </si>
  <si>
    <t>RA10007673d</t>
  </si>
  <si>
    <t>RA10008524d</t>
  </si>
  <si>
    <t>LA20015125a</t>
  </si>
  <si>
    <t>IA10122116a</t>
  </si>
  <si>
    <t>IA10122349a</t>
  </si>
  <si>
    <t>IA10122515a</t>
  </si>
  <si>
    <t>IA10122046a</t>
  </si>
  <si>
    <t>IA10122115a</t>
  </si>
  <si>
    <t>IA10122146a</t>
  </si>
  <si>
    <t>LA20016395</t>
  </si>
  <si>
    <t>EA Bosman</t>
  </si>
  <si>
    <t>LA20016395a</t>
  </si>
  <si>
    <t>RS</t>
  </si>
  <si>
    <t>LA20009873b</t>
  </si>
  <si>
    <t>LA00016039b</t>
  </si>
  <si>
    <t>LA20002682b</t>
  </si>
  <si>
    <t>LA20007114b</t>
  </si>
  <si>
    <t>LA20014975b</t>
  </si>
  <si>
    <t>LA00019329b</t>
  </si>
  <si>
    <t>LA00019822b</t>
  </si>
  <si>
    <t>LA20006897b</t>
  </si>
  <si>
    <t>LA20007196b</t>
  </si>
  <si>
    <t>LA20007895b</t>
  </si>
  <si>
    <t>LA20008067b</t>
  </si>
  <si>
    <t>LA00016024b</t>
  </si>
  <si>
    <t>LA00016036b</t>
  </si>
  <si>
    <t>LA00016038b</t>
  </si>
  <si>
    <t>LA00020890b</t>
  </si>
  <si>
    <t>LA00016368b</t>
  </si>
  <si>
    <t>LA00016092b</t>
  </si>
  <si>
    <t>LA20002615b</t>
  </si>
  <si>
    <t>LA00016370b</t>
  </si>
  <si>
    <t>LA00025665b</t>
  </si>
  <si>
    <t>LA20014871b</t>
  </si>
  <si>
    <t>LA20000773b</t>
  </si>
  <si>
    <t>IA00052726b</t>
  </si>
  <si>
    <t>LA00021246b</t>
  </si>
  <si>
    <t>LA00026061b</t>
  </si>
  <si>
    <t>LA20008848b</t>
  </si>
  <si>
    <t>LA20001082b</t>
  </si>
  <si>
    <t>LA20002613b</t>
  </si>
  <si>
    <t>LA20002838b</t>
  </si>
  <si>
    <t>LA20007498b</t>
  </si>
  <si>
    <t>LA20005966b</t>
  </si>
  <si>
    <t>LA20012873b</t>
  </si>
  <si>
    <t>LA20014985b</t>
  </si>
  <si>
    <t>LA20007418b</t>
  </si>
  <si>
    <t>LA20008610b</t>
  </si>
  <si>
    <t>LA20008460b</t>
  </si>
  <si>
    <t>LA20009076b</t>
  </si>
  <si>
    <t>LA20011329b</t>
  </si>
  <si>
    <t>LA20015125b</t>
  </si>
  <si>
    <t>IA10122116b</t>
  </si>
  <si>
    <t>IA10122349b</t>
  </si>
  <si>
    <t>IA10122515b</t>
  </si>
  <si>
    <t>IA10122046b</t>
  </si>
  <si>
    <t>IA10122131b</t>
  </si>
  <si>
    <t>IA10122115b</t>
  </si>
  <si>
    <t>IA10122146b</t>
  </si>
  <si>
    <t>LA20016395b</t>
  </si>
  <si>
    <t>LA20009873c</t>
  </si>
  <si>
    <t>LA00016039c</t>
  </si>
  <si>
    <t>LA20002682c</t>
  </si>
  <si>
    <t>LA20007114c</t>
  </si>
  <si>
    <t>LA00019329c</t>
  </si>
  <si>
    <t>LA00019822c</t>
  </si>
  <si>
    <t>LA20006897c</t>
  </si>
  <si>
    <t>LA20007196c</t>
  </si>
  <si>
    <t>LA20007895c</t>
  </si>
  <si>
    <t>LA20008067c</t>
  </si>
  <si>
    <t>LA00016024c</t>
  </si>
  <si>
    <t>LA00016036c</t>
  </si>
  <si>
    <t>LA00016038c</t>
  </si>
  <si>
    <t>LA00020890c</t>
  </si>
  <si>
    <t>LA00016368c</t>
  </si>
  <si>
    <t>LA00016092c</t>
  </si>
  <si>
    <t>LA20002615c</t>
  </si>
  <si>
    <t>LA00016370c</t>
  </si>
  <si>
    <t>LA00025665c</t>
  </si>
  <si>
    <t>RA00016327d</t>
  </si>
  <si>
    <t>LA20014871c</t>
  </si>
  <si>
    <t>LA20000773c</t>
  </si>
  <si>
    <t>IA00052726c</t>
  </si>
  <si>
    <t>LA00021246c</t>
  </si>
  <si>
    <t>LA00026061c</t>
  </si>
  <si>
    <t>LA20008848c</t>
  </si>
  <si>
    <t>LA20001082c</t>
  </si>
  <si>
    <t>LA20002613c</t>
  </si>
  <si>
    <t>LA20002838c</t>
  </si>
  <si>
    <t>LA20007498c</t>
  </si>
  <si>
    <t>LA20005966c</t>
  </si>
  <si>
    <t>LA20012873c</t>
  </si>
  <si>
    <t>LA20014985c</t>
  </si>
  <si>
    <t>LA20007418c</t>
  </si>
  <si>
    <t>LA20008460c</t>
  </si>
  <si>
    <t>LA20008610c</t>
  </si>
  <si>
    <t>LA20009076c</t>
  </si>
  <si>
    <t>LA20011329c</t>
  </si>
  <si>
    <t>IA10122023c</t>
  </si>
  <si>
    <t>IA10122023a</t>
  </si>
  <si>
    <t>IA10122023b</t>
  </si>
  <si>
    <t>LA20015125c</t>
  </si>
  <si>
    <t>IA10122116c</t>
  </si>
  <si>
    <t>IA10122349c</t>
  </si>
  <si>
    <t>IA10122515c</t>
  </si>
  <si>
    <t>IA10122046c</t>
  </si>
  <si>
    <t>IA10122115c</t>
  </si>
  <si>
    <t>IA10122146c</t>
  </si>
  <si>
    <t>LA20014975c</t>
  </si>
  <si>
    <t>LA20016395c</t>
  </si>
  <si>
    <t>LA00016088a</t>
  </si>
  <si>
    <t>J Van Eeden</t>
  </si>
  <si>
    <t>LA20016442</t>
  </si>
  <si>
    <t>LA20016442a</t>
  </si>
  <si>
    <t>LA00016088b</t>
  </si>
  <si>
    <t>IA10098490b</t>
  </si>
  <si>
    <t>LA20016442b</t>
  </si>
  <si>
    <t>LA00016088c</t>
  </si>
  <si>
    <t>IA10098490c</t>
  </si>
  <si>
    <t>LA20016442c</t>
  </si>
  <si>
    <t>LA20016709a</t>
  </si>
  <si>
    <t>E Loots</t>
  </si>
  <si>
    <t>LA20016709b</t>
  </si>
  <si>
    <t>LA20016709c</t>
  </si>
  <si>
    <t>LA20016709</t>
  </si>
  <si>
    <t>Compulsory SA</t>
  </si>
  <si>
    <t>RA10011179</t>
  </si>
  <si>
    <t>RA10011179d</t>
  </si>
  <si>
    <t>LA20017038</t>
  </si>
  <si>
    <t>LA20017038a</t>
  </si>
  <si>
    <t>LA20017038b</t>
  </si>
  <si>
    <t>LA20017038c</t>
  </si>
  <si>
    <t>LA20017023</t>
  </si>
  <si>
    <t>LA20017023a</t>
  </si>
  <si>
    <t>LA20017023b</t>
  </si>
  <si>
    <t>LA20017023c</t>
  </si>
  <si>
    <t>LA20015543b</t>
  </si>
  <si>
    <t>IA10098490a</t>
  </si>
  <si>
    <t>LA20017143</t>
  </si>
  <si>
    <t>LA20017143a</t>
  </si>
  <si>
    <t>LA20017143b</t>
  </si>
  <si>
    <t>LA20017143c</t>
  </si>
  <si>
    <t>LA20017175</t>
  </si>
  <si>
    <t>IA10125446</t>
  </si>
  <si>
    <t>LA20017175a</t>
  </si>
  <si>
    <t>IA10125446a</t>
  </si>
  <si>
    <t>JL Schroder</t>
  </si>
  <si>
    <t>FM Jali</t>
  </si>
  <si>
    <t>Jali</t>
  </si>
  <si>
    <t>LA20017175c</t>
  </si>
  <si>
    <t>IA10125446c</t>
  </si>
  <si>
    <t>LA20017175b</t>
  </si>
  <si>
    <t>IA10125446b</t>
  </si>
  <si>
    <t>van Zyl</t>
  </si>
  <si>
    <t>IA10103425a</t>
  </si>
  <si>
    <t>IA10127431</t>
  </si>
  <si>
    <t>IA10127431b</t>
  </si>
  <si>
    <t>IA10114882b</t>
  </si>
  <si>
    <t>IA10116449b</t>
  </si>
  <si>
    <t>LA20017745</t>
  </si>
  <si>
    <t>LA20017745a</t>
  </si>
  <si>
    <t>IA10129029b</t>
  </si>
  <si>
    <t>IA10129029</t>
  </si>
  <si>
    <t>LA20015543c</t>
  </si>
  <si>
    <t>Absa Investment Account</t>
  </si>
  <si>
    <t>IA50130413b</t>
  </si>
  <si>
    <t>LA50018285</t>
  </si>
  <si>
    <t>LA50018286</t>
  </si>
  <si>
    <t>LA50018285a</t>
  </si>
  <si>
    <t>LA50018286a</t>
  </si>
  <si>
    <t>LA50018285b</t>
  </si>
  <si>
    <t>LA50018286b</t>
  </si>
  <si>
    <t>LA50018285c</t>
  </si>
  <si>
    <t>LA50018286c</t>
  </si>
  <si>
    <t>IA50131689</t>
  </si>
  <si>
    <t>IA50131689b</t>
  </si>
  <si>
    <t>IA50131689c</t>
  </si>
  <si>
    <t>IA50131689a</t>
  </si>
  <si>
    <t>IA50131485a</t>
  </si>
  <si>
    <t>Investment Account</t>
  </si>
  <si>
    <t>Voluntary</t>
  </si>
  <si>
    <t>Granate BCI Flexible A</t>
  </si>
  <si>
    <t>Satrix S&amp;P 500</t>
  </si>
  <si>
    <t>SIM Tactical Income Fund A</t>
  </si>
  <si>
    <t>IA10103279f</t>
  </si>
  <si>
    <t>IA50132038</t>
  </si>
  <si>
    <t>AJ Kijko</t>
  </si>
  <si>
    <t>IA50132038a</t>
  </si>
  <si>
    <t>IA50132038b</t>
  </si>
  <si>
    <t>IA50132038c</t>
  </si>
  <si>
    <t>LA50018808</t>
  </si>
  <si>
    <t>Absa Retirement Annuity - Savings Component</t>
  </si>
  <si>
    <t>Absa Retirement Annuity - Retirement Component</t>
  </si>
  <si>
    <t>SRA5056950d</t>
  </si>
  <si>
    <t>SRA5056951d</t>
  </si>
  <si>
    <t>RRA5056954d</t>
  </si>
  <si>
    <t>SRA5056942d</t>
  </si>
  <si>
    <t>SRA5057126d</t>
  </si>
  <si>
    <t>SRA5056943d</t>
  </si>
  <si>
    <t>SRA5056953d</t>
  </si>
  <si>
    <t>SRA5056944d</t>
  </si>
  <si>
    <t>SRA5056947d</t>
  </si>
  <si>
    <t>SRA5050497d</t>
  </si>
  <si>
    <t>SRA5056956</t>
  </si>
  <si>
    <t>Absa Pension Preservation Fund - Savings Component</t>
  </si>
  <si>
    <t>LA50018808a</t>
  </si>
  <si>
    <t>SRA5057213d</t>
  </si>
  <si>
    <t>SRA5057242d</t>
  </si>
  <si>
    <t>RRA5057246d</t>
  </si>
  <si>
    <t>SRA5057297d</t>
  </si>
  <si>
    <t>SRA5057298d</t>
  </si>
  <si>
    <t>SPE5028007d</t>
  </si>
  <si>
    <t>SRA5057309d</t>
  </si>
  <si>
    <t>SRA5057315d</t>
  </si>
  <si>
    <t>RRA5057319d</t>
  </si>
  <si>
    <t>LA50018808b</t>
  </si>
  <si>
    <t>LA50018808c</t>
  </si>
  <si>
    <t>IA50132667b</t>
  </si>
  <si>
    <t>HP Pretorius</t>
  </si>
  <si>
    <t>LA50018823</t>
  </si>
  <si>
    <t>IA50132667</t>
  </si>
  <si>
    <t>SRA5056942</t>
  </si>
  <si>
    <t>SRA5057126</t>
  </si>
  <si>
    <t>SRA5056943</t>
  </si>
  <si>
    <t>SRA5056953</t>
  </si>
  <si>
    <t>SRA5056944</t>
  </si>
  <si>
    <t>SRA5056947</t>
  </si>
  <si>
    <t>SRA5050497</t>
  </si>
  <si>
    <t>SRA5057213</t>
  </si>
  <si>
    <t>SRA5057242</t>
  </si>
  <si>
    <t>RRA5057246</t>
  </si>
  <si>
    <t>SRA5057297</t>
  </si>
  <si>
    <t>SRA5057298</t>
  </si>
  <si>
    <t>SPE5028007</t>
  </si>
  <si>
    <t>SRA5057309</t>
  </si>
  <si>
    <t>SRA5057315</t>
  </si>
  <si>
    <t>RRA5057319</t>
  </si>
  <si>
    <t>SRA5056956d</t>
  </si>
  <si>
    <t>LA50018823a</t>
  </si>
  <si>
    <t>LA50018823b</t>
  </si>
  <si>
    <t>LA50018823c</t>
  </si>
  <si>
    <t>LA20017745b</t>
  </si>
  <si>
    <t>Fairtree BCI Income Plus</t>
  </si>
  <si>
    <t>IA10114882a</t>
  </si>
  <si>
    <t>IA50134710a</t>
  </si>
  <si>
    <t>PN Zarnack</t>
  </si>
  <si>
    <t>IA50134711a</t>
  </si>
  <si>
    <t>IA50134710b</t>
  </si>
  <si>
    <t>IA50134711b</t>
  </si>
  <si>
    <t>IA50134711c</t>
  </si>
  <si>
    <t>IA50134710c</t>
  </si>
  <si>
    <t>Visio BCI Unconstrained Fixed Int</t>
  </si>
  <si>
    <t>LA50019136a</t>
  </si>
  <si>
    <t>LA50019136b</t>
  </si>
  <si>
    <t>LA50019136c</t>
  </si>
  <si>
    <t>IA10108394b</t>
  </si>
  <si>
    <t>Fairtree BCI Income Plus Fund A</t>
  </si>
  <si>
    <t>Equity SA</t>
  </si>
  <si>
    <t>Satrix S&amp;P 500 Feeder Portfolio</t>
  </si>
  <si>
    <t>PR Old Mutual Global Equity Fund B1</t>
  </si>
  <si>
    <t>Fairtree BCI Income Plus Fund C</t>
  </si>
  <si>
    <t>UM50007588</t>
  </si>
  <si>
    <t>100614597</t>
  </si>
  <si>
    <t>Old Mutual Money Market A</t>
  </si>
  <si>
    <t>100805763</t>
  </si>
  <si>
    <t>IA50135782</t>
  </si>
  <si>
    <t>SJ Schneider</t>
  </si>
  <si>
    <t>LA50019430</t>
  </si>
  <si>
    <t>IA50136528</t>
  </si>
  <si>
    <t>IA50136594</t>
  </si>
  <si>
    <t>IA50136964</t>
  </si>
  <si>
    <t>100813267</t>
  </si>
  <si>
    <t>A van Eeden</t>
  </si>
  <si>
    <t>PR Glacier Money Market Fund B1</t>
  </si>
  <si>
    <t>IA50137937</t>
  </si>
  <si>
    <t>Mi-Plan BCI Global Macro Fund Class B5</t>
  </si>
  <si>
    <t>Visio BCI Unconstrained Fixed Int C</t>
  </si>
  <si>
    <t>100813569</t>
  </si>
  <si>
    <t>LA50019582</t>
  </si>
  <si>
    <t>GF Jacobs</t>
  </si>
  <si>
    <t>GF</t>
  </si>
  <si>
    <t>Allan Gray Money Market</t>
  </si>
  <si>
    <t>Coronation Money Market A</t>
  </si>
  <si>
    <t>Ninety One Commodity R</t>
  </si>
  <si>
    <t>Old Mutual Gold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</si>
</sst>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&quot;\ #,##0.00;[Red]&quot;R&quot;\ \-#,##0.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4" fillId="0" borderId="0">
      <alignment vertical="center"/>
    </xf>
  </cellStyleXfs>
  <cellXfs count="36">
    <xf numFmtId="0" fontId="0" fillId="0" borderId="0" xfId="0"/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15" fontId="0" fillId="0" borderId="0" xfId="0" applyNumberFormat="1"/>
    <xf numFmtId="0" fontId="0" fillId="0" borderId="0" xfId="0" applyAlignment="1">
      <alignment vertical="center"/>
    </xf>
    <xf numFmtId="10" fontId="0" fillId="0" borderId="0" xfId="1" applyNumberFormat="1" applyFont="1"/>
    <xf numFmtId="0" fontId="2" fillId="0" borderId="0" xfId="0" applyFont="1"/>
    <xf numFmtId="0" fontId="0" fillId="0" borderId="0" xfId="0" quotePrefix="1"/>
    <xf numFmtId="0" fontId="5" fillId="0" borderId="0" xfId="2" applyFont="1" applyAlignment="1"/>
    <xf numFmtId="0" fontId="4" fillId="0" borderId="0" xfId="2">
      <alignment vertical="center"/>
    </xf>
    <xf numFmtId="0" fontId="6" fillId="0" borderId="0" xfId="2" applyFont="1" applyAlignment="1"/>
    <xf numFmtId="0" fontId="4" fillId="0" borderId="0" xfId="2" applyAlignment="1"/>
    <xf numFmtId="8" fontId="0" fillId="0" borderId="0" xfId="0" applyNumberFormat="1"/>
    <xf numFmtId="0" fontId="0" fillId="2" borderId="0" xfId="0" applyFill="1"/>
    <xf numFmtId="15" fontId="0" fillId="2" borderId="0" xfId="0" applyNumberFormat="1" applyFill="1"/>
    <xf numFmtId="0" fontId="0" fillId="2" borderId="0" xfId="0" applyFill="1" applyAlignment="1">
      <alignment vertical="center"/>
    </xf>
    <xf numFmtId="0" fontId="0" fillId="3" borderId="0" xfId="0" applyFill="1"/>
    <xf numFmtId="15" fontId="0" fillId="3" borderId="0" xfId="0" applyNumberFormat="1" applyFill="1"/>
    <xf numFmtId="0" fontId="0" fillId="3" borderId="0" xfId="0" applyFill="1" applyAlignment="1">
      <alignment vertical="center"/>
    </xf>
    <xf numFmtId="0" fontId="0" fillId="4" borderId="0" xfId="0" applyFill="1"/>
    <xf numFmtId="15" fontId="0" fillId="4" borderId="0" xfId="0" applyNumberFormat="1" applyFill="1"/>
    <xf numFmtId="0" fontId="0" fillId="4" borderId="0" xfId="0" applyFill="1" applyAlignment="1">
      <alignment vertical="center"/>
    </xf>
    <xf numFmtId="15" fontId="2" fillId="0" borderId="0" xfId="0" applyNumberFormat="1" applyFont="1"/>
    <xf numFmtId="0" fontId="2" fillId="0" borderId="0" xfId="0" applyFont="1" applyAlignment="1">
      <alignment vertical="center"/>
    </xf>
    <xf numFmtId="8" fontId="2" fillId="0" borderId="0" xfId="0" applyNumberFormat="1" applyFont="1"/>
    <xf numFmtId="0" fontId="0" fillId="0" borderId="3" xfId="0" applyBorder="1" applyAlignment="1">
      <alignment wrapText="1"/>
    </xf>
    <xf numFmtId="0" fontId="0" fillId="0" borderId="3" xfId="0" quotePrefix="1" applyBorder="1" applyAlignment="1">
      <alignment wrapText="1"/>
    </xf>
    <xf numFmtId="0" fontId="0" fillId="2" borderId="3" xfId="0" applyFill="1" applyBorder="1" applyAlignment="1">
      <alignment wrapText="1"/>
    </xf>
    <xf numFmtId="0" fontId="0" fillId="2" borderId="3" xfId="0" quotePrefix="1" applyFill="1" applyBorder="1" applyAlignment="1">
      <alignment wrapText="1"/>
    </xf>
    <xf numFmtId="0" fontId="0" fillId="4" borderId="3" xfId="0" quotePrefix="1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2" fillId="0" borderId="3" xfId="0" applyFont="1" applyBorder="1" applyAlignment="1">
      <alignment wrapText="1"/>
    </xf>
    <xf numFmtId="0" fontId="2" fillId="0" borderId="3" xfId="0" quotePrefix="1" applyFont="1" applyBorder="1" applyAlignment="1">
      <alignment wrapText="1"/>
    </xf>
    <xf numFmtId="0" fontId="0" fillId="3" borderId="3" xfId="0" applyFill="1" applyBorder="1" applyAlignment="1">
      <alignment wrapText="1"/>
    </xf>
    <xf numFmtId="0" fontId="0" fillId="0" borderId="3" xfId="0" applyBorder="1"/>
    <xf numFmtId="0" fontId="0" fillId="0" borderId="0" xfId="0" quotePrefix="1" applyAlignment="1">
      <alignment wrapText="1"/>
    </xf>
  </cellXfs>
  <cellStyles count="3">
    <cellStyle name="Normal" xfId="0" builtinId="0"/>
    <cellStyle name="Normal 2" xfId="2" xr:uid="{EC32688A-AF74-472B-A312-10BBC6DE2511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197EA-5486-476D-8869-F0CE5141DE9B}">
  <sheetPr codeName="Sheet4"/>
  <dimension ref="A1:O1317"/>
  <sheetViews>
    <sheetView topLeftCell="A1284" workbookViewId="0">
      <selection activeCell="E1319" sqref="E1319"/>
    </sheetView>
  </sheetViews>
  <sheetFormatPr defaultRowHeight="14.4" x14ac:dyDescent="0.3"/>
  <cols>
    <col min="1" max="1" width="11.6640625" customWidth="1"/>
    <col min="2" max="2" width="15.109375" customWidth="1"/>
    <col min="4" max="4" width="23.88671875" bestFit="1" customWidth="1"/>
    <col min="5" max="5" width="32.5546875" bestFit="1" customWidth="1"/>
    <col min="6" max="6" width="13.44140625" bestFit="1" customWidth="1"/>
    <col min="7" max="7" width="10.88671875" style="3" customWidth="1"/>
    <col min="8" max="8" width="36.44140625" bestFit="1" customWidth="1"/>
    <col min="9" max="9" width="31.33203125" bestFit="1" customWidth="1"/>
    <col min="10" max="10" width="26.109375" bestFit="1" customWidth="1"/>
    <col min="13" max="13" width="11" bestFit="1" customWidth="1"/>
  </cols>
  <sheetData>
    <row r="1" spans="1:15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10</v>
      </c>
    </row>
    <row r="2" spans="1:15" x14ac:dyDescent="0.3">
      <c r="A2">
        <v>32490</v>
      </c>
      <c r="B2" t="s">
        <v>711</v>
      </c>
      <c r="C2">
        <v>126</v>
      </c>
      <c r="D2" t="s">
        <v>12</v>
      </c>
      <c r="E2" t="s">
        <v>1225</v>
      </c>
      <c r="F2" s="25">
        <v>263.63</v>
      </c>
      <c r="G2" s="3">
        <v>45804</v>
      </c>
      <c r="H2" s="12" t="s">
        <v>31</v>
      </c>
      <c r="I2" s="4" t="str">
        <f t="shared" ref="I2" si="0">MID(H2,6,30)</f>
        <v>Investment Account</v>
      </c>
      <c r="J2" t="str">
        <f t="shared" ref="J2" si="1">IF(LEFT(I2)="L","Compulsory, LA",IF(LEFT(I2)="R","Compulsory, RA",IF(LEFT(I2,2)="Pe","Compulsory, Pens","Voluntary")))</f>
        <v>Voluntary</v>
      </c>
      <c r="K2" t="s">
        <v>15</v>
      </c>
      <c r="M2" t="str">
        <f>RIGHT(B2,1)</f>
        <v>a</v>
      </c>
      <c r="N2" t="str">
        <f>IF(M2="f","FFFF","")</f>
        <v/>
      </c>
      <c r="O2" t="str">
        <f>IF(M2="I","IIII","")</f>
        <v/>
      </c>
    </row>
    <row r="3" spans="1:15" x14ac:dyDescent="0.3">
      <c r="A3">
        <v>33672</v>
      </c>
      <c r="B3" t="s">
        <v>929</v>
      </c>
      <c r="C3">
        <v>87</v>
      </c>
      <c r="D3" t="s">
        <v>18</v>
      </c>
      <c r="E3" t="s">
        <v>1225</v>
      </c>
      <c r="F3" s="25">
        <v>35987.19</v>
      </c>
      <c r="G3" s="3">
        <v>45804</v>
      </c>
      <c r="H3" t="s">
        <v>14</v>
      </c>
      <c r="I3" s="4" t="str">
        <f t="shared" ref="I3" si="2">MID(H3,6,30)</f>
        <v>Living Annuity</v>
      </c>
      <c r="J3" t="str">
        <f t="shared" ref="J3" si="3">IF(LEFT(I3)="L","Compulsory, LA",IF(LEFT(I3)="R","Compulsory, RA",IF(LEFT(I3,2)="Pe","Compulsory, Pens","Voluntary")))</f>
        <v>Compulsory, LA</v>
      </c>
      <c r="K3" t="s">
        <v>15</v>
      </c>
      <c r="M3" t="str">
        <f t="shared" ref="M3:M33" si="4">RIGHT(B3,1)</f>
        <v>a</v>
      </c>
      <c r="N3" t="str">
        <f t="shared" ref="N3:N33" si="5">IF(M3="f","FFFF","")</f>
        <v/>
      </c>
      <c r="O3" t="str">
        <f t="shared" ref="O3:O33" si="6">IF(M3="I","IIII","")</f>
        <v/>
      </c>
    </row>
    <row r="4" spans="1:15" x14ac:dyDescent="0.3">
      <c r="A4">
        <v>34171</v>
      </c>
      <c r="B4" t="s">
        <v>930</v>
      </c>
      <c r="C4">
        <v>268</v>
      </c>
      <c r="D4" t="s">
        <v>928</v>
      </c>
      <c r="E4" t="s">
        <v>1225</v>
      </c>
      <c r="F4" s="25">
        <v>40100.539999999994</v>
      </c>
      <c r="G4" s="3">
        <v>45804</v>
      </c>
      <c r="H4" t="s">
        <v>14</v>
      </c>
      <c r="I4" s="4" t="str">
        <f t="shared" ref="I4" si="7">MID(H4,6,30)</f>
        <v>Living Annuity</v>
      </c>
      <c r="J4" t="str">
        <f t="shared" ref="J4" si="8">IF(LEFT(I4)="L","Compulsory, LA",IF(LEFT(I4)="R","Compulsory, RA",IF(LEFT(I4,2)="Pe","Compulsory, Pens","Voluntary")))</f>
        <v>Compulsory, LA</v>
      </c>
      <c r="K4" t="s">
        <v>15</v>
      </c>
      <c r="M4" t="str">
        <f t="shared" si="4"/>
        <v>a</v>
      </c>
      <c r="N4" t="str">
        <f t="shared" si="5"/>
        <v/>
      </c>
      <c r="O4" t="str">
        <f t="shared" si="6"/>
        <v/>
      </c>
    </row>
    <row r="5" spans="1:15" x14ac:dyDescent="0.3">
      <c r="A5">
        <v>34196</v>
      </c>
      <c r="B5" t="s">
        <v>750</v>
      </c>
      <c r="C5">
        <v>169</v>
      </c>
      <c r="D5" t="s">
        <v>614</v>
      </c>
      <c r="E5" t="s">
        <v>1225</v>
      </c>
      <c r="F5" s="25">
        <v>18803.009999999998</v>
      </c>
      <c r="G5" s="3">
        <v>45804</v>
      </c>
      <c r="H5" t="s">
        <v>31</v>
      </c>
      <c r="I5" s="4" t="str">
        <f t="shared" ref="I5" si="9">MID(H5,6,30)</f>
        <v>Investment Account</v>
      </c>
      <c r="J5" t="str">
        <f t="shared" ref="J5" si="10">IF(LEFT(I5)="L","Compulsory, LA",IF(LEFT(I5)="R","Compulsory, RA",IF(LEFT(I5,2)="Pe","Compulsory, Pens","Voluntary")))</f>
        <v>Voluntary</v>
      </c>
      <c r="K5" t="s">
        <v>15</v>
      </c>
      <c r="M5" t="str">
        <f t="shared" si="4"/>
        <v>a</v>
      </c>
      <c r="N5" t="str">
        <f t="shared" si="5"/>
        <v/>
      </c>
      <c r="O5" t="str">
        <f t="shared" si="6"/>
        <v/>
      </c>
    </row>
    <row r="6" spans="1:15" s="13" customFormat="1" x14ac:dyDescent="0.3">
      <c r="A6" s="13">
        <v>34199</v>
      </c>
      <c r="B6" s="13" t="s">
        <v>856</v>
      </c>
      <c r="C6" s="13">
        <v>240</v>
      </c>
      <c r="D6" s="13" t="s">
        <v>24</v>
      </c>
      <c r="E6" s="13" t="s">
        <v>1225</v>
      </c>
      <c r="F6" s="28">
        <v>24200.53</v>
      </c>
      <c r="G6" s="14">
        <v>45804</v>
      </c>
      <c r="H6" s="13" t="s">
        <v>31</v>
      </c>
      <c r="I6" s="15" t="str">
        <f t="shared" ref="I6" si="11">MID(H6,6,30)</f>
        <v>Investment Account</v>
      </c>
      <c r="J6" s="13" t="str">
        <f t="shared" ref="J6" si="12">IF(LEFT(I6)="L","Compulsory, LA",IF(LEFT(I6)="R","Compulsory, RA",IF(LEFT(I6,2)="Pe","Compulsory, Pens","Voluntary")))</f>
        <v>Voluntary</v>
      </c>
      <c r="K6" s="13" t="s">
        <v>15</v>
      </c>
      <c r="M6" t="str">
        <f t="shared" si="4"/>
        <v>a</v>
      </c>
      <c r="N6" t="str">
        <f t="shared" si="5"/>
        <v/>
      </c>
      <c r="O6" t="str">
        <f t="shared" si="6"/>
        <v/>
      </c>
    </row>
    <row r="7" spans="1:15" x14ac:dyDescent="0.3">
      <c r="A7">
        <v>34199</v>
      </c>
      <c r="B7" t="s">
        <v>932</v>
      </c>
      <c r="C7">
        <v>240</v>
      </c>
      <c r="D7" t="s">
        <v>24</v>
      </c>
      <c r="E7" t="s">
        <v>1225</v>
      </c>
      <c r="F7" s="25">
        <v>2826.7799999999997</v>
      </c>
      <c r="G7" s="3">
        <v>45804</v>
      </c>
      <c r="H7" t="s">
        <v>14</v>
      </c>
      <c r="I7" s="4" t="str">
        <f t="shared" ref="I7:I42" si="13">MID(H7,6,30)</f>
        <v>Living Annuity</v>
      </c>
      <c r="J7" t="str">
        <f t="shared" ref="J7:J42" si="14">IF(LEFT(I7)="L","Compulsory, LA",IF(LEFT(I7)="R","Compulsory, RA",IF(LEFT(I7,2)="Pe","Compulsory, Pens","Voluntary")))</f>
        <v>Compulsory, LA</v>
      </c>
      <c r="K7" t="s">
        <v>15</v>
      </c>
      <c r="M7" t="str">
        <f t="shared" si="4"/>
        <v>a</v>
      </c>
      <c r="N7" t="str">
        <f t="shared" si="5"/>
        <v/>
      </c>
      <c r="O7" t="str">
        <f t="shared" si="6"/>
        <v/>
      </c>
    </row>
    <row r="8" spans="1:15" x14ac:dyDescent="0.3">
      <c r="A8">
        <v>34200</v>
      </c>
      <c r="B8" t="s">
        <v>933</v>
      </c>
      <c r="C8">
        <v>99</v>
      </c>
      <c r="D8" t="s">
        <v>25</v>
      </c>
      <c r="E8" t="s">
        <v>1225</v>
      </c>
      <c r="F8" s="26">
        <v>68273.45</v>
      </c>
      <c r="G8" s="3">
        <v>45804</v>
      </c>
      <c r="H8" t="s">
        <v>26</v>
      </c>
      <c r="I8" s="4" t="str">
        <f t="shared" ref="I8" si="15">MID(H8,6,30)</f>
        <v>Retirement Annuity</v>
      </c>
      <c r="J8" t="str">
        <f t="shared" ref="J8" si="16">IF(LEFT(I8)="L","Compulsory, LA",IF(LEFT(I8)="R","Compulsory, RA",IF(LEFT(I8,2)="Pe","Compulsory, Pens","Voluntary")))</f>
        <v>Compulsory, RA</v>
      </c>
      <c r="K8" t="s">
        <v>15</v>
      </c>
      <c r="M8" t="str">
        <f t="shared" si="4"/>
        <v>d</v>
      </c>
      <c r="N8" t="str">
        <f t="shared" si="5"/>
        <v/>
      </c>
      <c r="O8" t="str">
        <f t="shared" si="6"/>
        <v/>
      </c>
    </row>
    <row r="9" spans="1:15" x14ac:dyDescent="0.3">
      <c r="A9">
        <v>34200</v>
      </c>
      <c r="B9" t="s">
        <v>934</v>
      </c>
      <c r="C9">
        <v>99</v>
      </c>
      <c r="D9" t="s">
        <v>25</v>
      </c>
      <c r="E9" t="s">
        <v>1225</v>
      </c>
      <c r="F9" s="26">
        <v>94593.76</v>
      </c>
      <c r="G9" s="3">
        <v>45804</v>
      </c>
      <c r="H9" t="s">
        <v>26</v>
      </c>
      <c r="I9" s="4" t="str">
        <f>MID(H9,6,30)</f>
        <v>Retirement Annuity</v>
      </c>
      <c r="J9" t="str">
        <f>IF(LEFT(I9)="L","Compulsory, LA",IF(LEFT(I9)="R","Compulsory, RA",IF(LEFT(I9,2)="Pe","Compulsory, Pens","Voluntary")))</f>
        <v>Compulsory, RA</v>
      </c>
      <c r="K9" t="s">
        <v>15</v>
      </c>
      <c r="M9" t="str">
        <f t="shared" si="4"/>
        <v>d</v>
      </c>
      <c r="N9" t="str">
        <f t="shared" si="5"/>
        <v/>
      </c>
      <c r="O9" t="str">
        <f t="shared" si="6"/>
        <v/>
      </c>
    </row>
    <row r="10" spans="1:15" x14ac:dyDescent="0.3">
      <c r="A10">
        <v>34200</v>
      </c>
      <c r="B10" t="s">
        <v>1178</v>
      </c>
      <c r="C10">
        <v>99</v>
      </c>
      <c r="D10" t="s">
        <v>25</v>
      </c>
      <c r="E10" t="s">
        <v>1225</v>
      </c>
      <c r="F10" s="26">
        <v>7785.03</v>
      </c>
      <c r="G10" s="3">
        <v>45804</v>
      </c>
      <c r="H10" t="s">
        <v>1175</v>
      </c>
      <c r="I10" s="4" t="str">
        <f>MID(H10,6,30)</f>
        <v>Retirement Annuity - Retiremen</v>
      </c>
      <c r="J10" t="str">
        <f>IF(LEFT(I10)="L","Compulsory, LA",IF(LEFT(I10)="R","Compulsory, RA",IF(LEFT(I10,2)="Pe","Compulsory, Pens","Voluntary")))</f>
        <v>Compulsory, RA</v>
      </c>
      <c r="K10" t="s">
        <v>15</v>
      </c>
      <c r="M10" t="str">
        <f t="shared" si="4"/>
        <v>d</v>
      </c>
      <c r="N10" t="str">
        <f t="shared" si="5"/>
        <v/>
      </c>
      <c r="O10" t="str">
        <f t="shared" si="6"/>
        <v/>
      </c>
    </row>
    <row r="11" spans="1:15" x14ac:dyDescent="0.3">
      <c r="A11">
        <v>34200</v>
      </c>
      <c r="B11" t="s">
        <v>1176</v>
      </c>
      <c r="C11">
        <v>99</v>
      </c>
      <c r="D11" t="s">
        <v>25</v>
      </c>
      <c r="E11" t="s">
        <v>1225</v>
      </c>
      <c r="F11" s="26">
        <v>171889.23</v>
      </c>
      <c r="G11" s="3">
        <v>45804</v>
      </c>
      <c r="H11" t="s">
        <v>1174</v>
      </c>
      <c r="I11" s="4" t="str">
        <f t="shared" ref="I11:I14" si="17">MID(H11,6,30)</f>
        <v>Retirement Annuity - Savings C</v>
      </c>
      <c r="J11" t="str">
        <f t="shared" ref="J11:J14" si="18">IF(LEFT(I11)="L","Compulsory, LA",IF(LEFT(I11)="R","Compulsory, RA",IF(LEFT(I11,2)="Pe","Compulsory, Pens","Voluntary")))</f>
        <v>Compulsory, RA</v>
      </c>
      <c r="K11" t="s">
        <v>15</v>
      </c>
      <c r="M11" t="str">
        <f t="shared" si="4"/>
        <v>d</v>
      </c>
      <c r="N11" t="str">
        <f t="shared" si="5"/>
        <v/>
      </c>
      <c r="O11" t="str">
        <f t="shared" si="6"/>
        <v/>
      </c>
    </row>
    <row r="12" spans="1:15" x14ac:dyDescent="0.3">
      <c r="A12">
        <v>34200</v>
      </c>
      <c r="B12" t="s">
        <v>1176</v>
      </c>
      <c r="C12">
        <v>99</v>
      </c>
      <c r="D12" t="s">
        <v>25</v>
      </c>
      <c r="E12" t="s">
        <v>1225</v>
      </c>
      <c r="F12" s="26">
        <v>646.79999999999995</v>
      </c>
      <c r="G12" s="3">
        <v>45804</v>
      </c>
      <c r="H12" t="s">
        <v>1174</v>
      </c>
      <c r="I12" s="4" t="str">
        <f t="shared" si="17"/>
        <v>Retirement Annuity - Savings C</v>
      </c>
      <c r="J12" t="str">
        <f t="shared" si="18"/>
        <v>Compulsory, RA</v>
      </c>
      <c r="K12" t="s">
        <v>15</v>
      </c>
      <c r="M12" t="str">
        <f t="shared" si="4"/>
        <v>d</v>
      </c>
      <c r="N12" t="str">
        <f t="shared" si="5"/>
        <v/>
      </c>
      <c r="O12" t="str">
        <f t="shared" si="6"/>
        <v/>
      </c>
    </row>
    <row r="13" spans="1:15" x14ac:dyDescent="0.3">
      <c r="A13">
        <v>34200</v>
      </c>
      <c r="B13" t="s">
        <v>1177</v>
      </c>
      <c r="C13">
        <v>99</v>
      </c>
      <c r="D13" t="s">
        <v>25</v>
      </c>
      <c r="E13" t="s">
        <v>1225</v>
      </c>
      <c r="F13" s="26">
        <v>505455.1</v>
      </c>
      <c r="G13" s="3">
        <v>45804</v>
      </c>
      <c r="H13" t="s">
        <v>1174</v>
      </c>
      <c r="I13" s="4" t="str">
        <f t="shared" si="17"/>
        <v>Retirement Annuity - Savings C</v>
      </c>
      <c r="J13" t="str">
        <f t="shared" si="18"/>
        <v>Compulsory, RA</v>
      </c>
      <c r="K13" t="s">
        <v>15</v>
      </c>
      <c r="M13" t="str">
        <f t="shared" si="4"/>
        <v>d</v>
      </c>
      <c r="N13" t="str">
        <f t="shared" si="5"/>
        <v/>
      </c>
      <c r="O13" t="str">
        <f t="shared" si="6"/>
        <v/>
      </c>
    </row>
    <row r="14" spans="1:15" x14ac:dyDescent="0.3">
      <c r="A14">
        <v>34200</v>
      </c>
      <c r="B14" t="s">
        <v>1177</v>
      </c>
      <c r="C14">
        <v>99</v>
      </c>
      <c r="D14" t="s">
        <v>25</v>
      </c>
      <c r="E14" t="s">
        <v>1225</v>
      </c>
      <c r="F14" s="26">
        <v>56105.619999999995</v>
      </c>
      <c r="G14" s="3">
        <v>45804</v>
      </c>
      <c r="H14" t="s">
        <v>1174</v>
      </c>
      <c r="I14" s="4" t="str">
        <f t="shared" si="17"/>
        <v>Retirement Annuity - Savings C</v>
      </c>
      <c r="J14" t="str">
        <f t="shared" si="18"/>
        <v>Compulsory, RA</v>
      </c>
      <c r="K14" t="s">
        <v>15</v>
      </c>
      <c r="M14" t="str">
        <f t="shared" si="4"/>
        <v>d</v>
      </c>
      <c r="N14" t="str">
        <f t="shared" si="5"/>
        <v/>
      </c>
      <c r="O14" t="str">
        <f t="shared" si="6"/>
        <v/>
      </c>
    </row>
    <row r="15" spans="1:15" s="13" customFormat="1" x14ac:dyDescent="0.3">
      <c r="A15" s="13">
        <v>34202</v>
      </c>
      <c r="B15" s="13" t="s">
        <v>799</v>
      </c>
      <c r="C15" s="13">
        <v>104</v>
      </c>
      <c r="D15" s="13" t="s">
        <v>797</v>
      </c>
      <c r="E15" s="13" t="s">
        <v>1225</v>
      </c>
      <c r="F15" s="28">
        <v>10835.39</v>
      </c>
      <c r="G15" s="14">
        <v>45804</v>
      </c>
      <c r="H15" s="13" t="s">
        <v>14</v>
      </c>
      <c r="I15" s="15" t="str">
        <f t="shared" ref="I15" si="19">MID(H15,6,30)</f>
        <v>Living Annuity</v>
      </c>
      <c r="J15" s="13" t="str">
        <f t="shared" ref="J15" si="20">IF(LEFT(I15)="L","Compulsory, LA",IF(LEFT(I15)="R","Compulsory, RA",IF(LEFT(I15,2)="Pe","Compulsory, Pens","Voluntary")))</f>
        <v>Compulsory, LA</v>
      </c>
      <c r="K15" s="13" t="s">
        <v>15</v>
      </c>
      <c r="M15" t="str">
        <f t="shared" si="4"/>
        <v>a</v>
      </c>
      <c r="N15" t="str">
        <f t="shared" si="5"/>
        <v/>
      </c>
      <c r="O15" t="str">
        <f t="shared" si="6"/>
        <v/>
      </c>
    </row>
    <row r="16" spans="1:15" s="13" customFormat="1" x14ac:dyDescent="0.3">
      <c r="A16" s="13">
        <v>34202</v>
      </c>
      <c r="B16" s="13" t="s">
        <v>798</v>
      </c>
      <c r="C16" s="13">
        <v>104</v>
      </c>
      <c r="D16" s="13" t="s">
        <v>797</v>
      </c>
      <c r="E16" s="13" t="s">
        <v>1225</v>
      </c>
      <c r="F16" s="28">
        <v>134.27000000000001</v>
      </c>
      <c r="G16" s="14">
        <v>45804</v>
      </c>
      <c r="H16" s="13" t="s">
        <v>14</v>
      </c>
      <c r="I16" s="15" t="str">
        <f t="shared" si="13"/>
        <v>Living Annuity</v>
      </c>
      <c r="J16" s="13" t="str">
        <f t="shared" si="14"/>
        <v>Compulsory, LA</v>
      </c>
      <c r="K16" s="13" t="s">
        <v>15</v>
      </c>
      <c r="M16" t="str">
        <f t="shared" si="4"/>
        <v>a</v>
      </c>
      <c r="N16" t="str">
        <f t="shared" si="5"/>
        <v/>
      </c>
      <c r="O16" t="str">
        <f t="shared" si="6"/>
        <v/>
      </c>
    </row>
    <row r="17" spans="1:15" x14ac:dyDescent="0.3">
      <c r="A17">
        <v>34209</v>
      </c>
      <c r="B17" t="s">
        <v>935</v>
      </c>
      <c r="C17">
        <v>25</v>
      </c>
      <c r="D17" t="s">
        <v>28</v>
      </c>
      <c r="E17" t="s">
        <v>1225</v>
      </c>
      <c r="F17" s="25">
        <v>75558.179999999993</v>
      </c>
      <c r="G17" s="3">
        <v>45804</v>
      </c>
      <c r="H17" t="s">
        <v>29</v>
      </c>
      <c r="I17" s="4" t="str">
        <f t="shared" ref="I17" si="21">MID(H17,6,30)</f>
        <v>Provident Preservation Fund</v>
      </c>
      <c r="J17" t="str">
        <f t="shared" ref="J17" si="22">IF(LEFT(I17)="L","Compulsory, LA",IF(LEFT(I17)="R","Compulsory, RA",IF(LEFT(I17,2)="Pe","Compulsory, Pens","Voluntary")))</f>
        <v>Voluntary</v>
      </c>
      <c r="K17" t="s">
        <v>15</v>
      </c>
      <c r="M17" t="str">
        <f t="shared" si="4"/>
        <v>d</v>
      </c>
      <c r="N17" t="str">
        <f t="shared" si="5"/>
        <v/>
      </c>
      <c r="O17" t="str">
        <f t="shared" si="6"/>
        <v/>
      </c>
    </row>
    <row r="18" spans="1:15" x14ac:dyDescent="0.3">
      <c r="A18">
        <v>34216</v>
      </c>
      <c r="B18" t="s">
        <v>800</v>
      </c>
      <c r="C18">
        <v>95</v>
      </c>
      <c r="D18" t="s">
        <v>30</v>
      </c>
      <c r="E18" t="s">
        <v>1225</v>
      </c>
      <c r="F18" s="25">
        <v>20577.3</v>
      </c>
      <c r="G18" s="3">
        <v>45804</v>
      </c>
      <c r="H18" t="s">
        <v>31</v>
      </c>
      <c r="I18" s="4" t="str">
        <f t="shared" ref="I18" si="23">MID(H18,6,30)</f>
        <v>Investment Account</v>
      </c>
      <c r="J18" t="str">
        <f t="shared" ref="J18" si="24">IF(LEFT(I18)="L","Compulsory, LA",IF(LEFT(I18)="R","Compulsory, RA",IF(LEFT(I18,2)="Pe","Compulsory, Pens","Voluntary")))</f>
        <v>Voluntary</v>
      </c>
      <c r="K18" t="s">
        <v>15</v>
      </c>
      <c r="M18" t="str">
        <f t="shared" si="4"/>
        <v>a</v>
      </c>
      <c r="N18" t="str">
        <f t="shared" si="5"/>
        <v/>
      </c>
      <c r="O18" t="str">
        <f t="shared" si="6"/>
        <v/>
      </c>
    </row>
    <row r="19" spans="1:15" s="13" customFormat="1" x14ac:dyDescent="0.3">
      <c r="A19" s="13">
        <v>34337</v>
      </c>
      <c r="B19" s="13" t="s">
        <v>718</v>
      </c>
      <c r="C19" s="13">
        <v>243</v>
      </c>
      <c r="D19" s="13" t="s">
        <v>717</v>
      </c>
      <c r="E19" s="13" t="s">
        <v>1225</v>
      </c>
      <c r="F19" s="28">
        <v>63103</v>
      </c>
      <c r="G19" s="14">
        <v>45804</v>
      </c>
      <c r="H19" s="13" t="s">
        <v>31</v>
      </c>
      <c r="I19" s="15" t="str">
        <f t="shared" ref="I19" si="25">MID(H19,6,30)</f>
        <v>Investment Account</v>
      </c>
      <c r="J19" s="13" t="str">
        <f t="shared" ref="J19" si="26">IF(LEFT(I19)="L","Compulsory, LA",IF(LEFT(I19)="R","Compulsory, RA",IF(LEFT(I19,2)="Pe","Compulsory, Pens","Voluntary")))</f>
        <v>Voluntary</v>
      </c>
      <c r="K19" s="13" t="s">
        <v>15</v>
      </c>
      <c r="M19" t="str">
        <f t="shared" si="4"/>
        <v>a</v>
      </c>
      <c r="N19" t="str">
        <f t="shared" si="5"/>
        <v/>
      </c>
      <c r="O19" t="str">
        <f t="shared" si="6"/>
        <v/>
      </c>
    </row>
    <row r="20" spans="1:15" x14ac:dyDescent="0.3">
      <c r="A20">
        <v>34337</v>
      </c>
      <c r="B20" t="s">
        <v>723</v>
      </c>
      <c r="C20">
        <v>243</v>
      </c>
      <c r="D20" t="s">
        <v>717</v>
      </c>
      <c r="E20" t="s">
        <v>1225</v>
      </c>
      <c r="F20" s="25">
        <v>300565.81999999995</v>
      </c>
      <c r="G20" s="3">
        <v>45804</v>
      </c>
      <c r="H20" t="s">
        <v>14</v>
      </c>
      <c r="I20" s="4" t="str">
        <f t="shared" ref="I20" si="27">MID(H20,6,30)</f>
        <v>Living Annuity</v>
      </c>
      <c r="J20" t="str">
        <f t="shared" ref="J20" si="28">IF(LEFT(I20)="L","Compulsory, LA",IF(LEFT(I20)="R","Compulsory, RA",IF(LEFT(I20,2)="Pe","Compulsory, Pens","Voluntary")))</f>
        <v>Compulsory, LA</v>
      </c>
      <c r="K20" t="s">
        <v>15</v>
      </c>
      <c r="M20" t="str">
        <f t="shared" si="4"/>
        <v>a</v>
      </c>
      <c r="N20" t="str">
        <f t="shared" si="5"/>
        <v/>
      </c>
      <c r="O20" t="str">
        <f t="shared" si="6"/>
        <v/>
      </c>
    </row>
    <row r="21" spans="1:15" s="13" customFormat="1" x14ac:dyDescent="0.3">
      <c r="A21" s="13">
        <v>34395</v>
      </c>
      <c r="B21" s="13" t="s">
        <v>936</v>
      </c>
      <c r="C21" s="13">
        <v>168</v>
      </c>
      <c r="D21" s="13" t="s">
        <v>111</v>
      </c>
      <c r="E21" s="13" t="s">
        <v>1225</v>
      </c>
      <c r="F21" s="28">
        <v>24429.379999999997</v>
      </c>
      <c r="G21" s="14">
        <v>45804</v>
      </c>
      <c r="H21" s="13" t="s">
        <v>14</v>
      </c>
      <c r="I21" s="15" t="str">
        <f t="shared" ref="I21" si="29">MID(H21,6,30)</f>
        <v>Living Annuity</v>
      </c>
      <c r="J21" s="13" t="str">
        <f t="shared" ref="J21" si="30">IF(LEFT(I21)="L","Compulsory, LA",IF(LEFT(I21)="R","Compulsory, RA",IF(LEFT(I21,2)="Pe","Compulsory, Pens","Voluntary")))</f>
        <v>Compulsory, LA</v>
      </c>
      <c r="K21" s="13" t="s">
        <v>15</v>
      </c>
      <c r="M21" t="str">
        <f t="shared" si="4"/>
        <v>a</v>
      </c>
      <c r="N21" t="str">
        <f t="shared" si="5"/>
        <v/>
      </c>
      <c r="O21" t="str">
        <f t="shared" si="6"/>
        <v/>
      </c>
    </row>
    <row r="22" spans="1:15" x14ac:dyDescent="0.3">
      <c r="A22">
        <v>34395</v>
      </c>
      <c r="B22" t="s">
        <v>858</v>
      </c>
      <c r="C22">
        <v>168</v>
      </c>
      <c r="D22" t="s">
        <v>111</v>
      </c>
      <c r="E22" t="s">
        <v>1225</v>
      </c>
      <c r="F22" s="26">
        <v>3654.15</v>
      </c>
      <c r="G22" s="3">
        <v>45804</v>
      </c>
      <c r="H22" t="s">
        <v>14</v>
      </c>
      <c r="I22" s="4" t="str">
        <f t="shared" ref="I22" si="31">MID(H22,6,30)</f>
        <v>Living Annuity</v>
      </c>
      <c r="J22" t="str">
        <f t="shared" ref="J22" si="32">IF(LEFT(I22)="L","Compulsory, LA",IF(LEFT(I22)="R","Compulsory, RA",IF(LEFT(I22,2)="Pe","Compulsory, Pens","Voluntary")))</f>
        <v>Compulsory, LA</v>
      </c>
      <c r="K22" t="s">
        <v>15</v>
      </c>
      <c r="M22" t="str">
        <f t="shared" si="4"/>
        <v>a</v>
      </c>
      <c r="N22" t="str">
        <f t="shared" si="5"/>
        <v/>
      </c>
      <c r="O22" t="str">
        <f t="shared" si="6"/>
        <v/>
      </c>
    </row>
    <row r="23" spans="1:15" s="19" customFormat="1" x14ac:dyDescent="0.3">
      <c r="A23" s="19">
        <v>36059</v>
      </c>
      <c r="B23" s="19" t="s">
        <v>941</v>
      </c>
      <c r="C23" s="19">
        <v>4</v>
      </c>
      <c r="D23" s="19" t="s">
        <v>35</v>
      </c>
      <c r="E23" s="19" t="s">
        <v>1225</v>
      </c>
      <c r="F23" s="29">
        <v>459.53</v>
      </c>
      <c r="G23" s="20">
        <v>45804</v>
      </c>
      <c r="H23" s="19" t="s">
        <v>14</v>
      </c>
      <c r="I23" s="21" t="str">
        <f>MID(H23,6,30)</f>
        <v>Living Annuity</v>
      </c>
      <c r="J23" s="19" t="str">
        <f>IF(LEFT(I23)="L","Compulsory, LA",IF(LEFT(I23)="R","Compulsory, RA",IF(LEFT(I23,2)="Pe","Compulsory, Pens","Voluntary")))</f>
        <v>Compulsory, LA</v>
      </c>
      <c r="K23" s="19" t="s">
        <v>15</v>
      </c>
      <c r="M23" t="str">
        <f t="shared" si="4"/>
        <v>a</v>
      </c>
      <c r="N23" t="str">
        <f t="shared" si="5"/>
        <v/>
      </c>
      <c r="O23" t="str">
        <f t="shared" si="6"/>
        <v/>
      </c>
    </row>
    <row r="24" spans="1:15" s="19" customFormat="1" x14ac:dyDescent="0.3">
      <c r="A24" s="19">
        <v>36059</v>
      </c>
      <c r="B24" s="19" t="s">
        <v>942</v>
      </c>
      <c r="C24" s="19">
        <v>4</v>
      </c>
      <c r="D24" s="19" t="s">
        <v>35</v>
      </c>
      <c r="E24" s="19" t="s">
        <v>1225</v>
      </c>
      <c r="F24" s="29">
        <v>555129.41999999993</v>
      </c>
      <c r="G24" s="20">
        <v>45804</v>
      </c>
      <c r="H24" s="19" t="s">
        <v>14</v>
      </c>
      <c r="I24" s="21" t="str">
        <f>MID(H24,6,30)</f>
        <v>Living Annuity</v>
      </c>
      <c r="J24" s="19" t="str">
        <f>IF(LEFT(I24)="L","Compulsory, LA",IF(LEFT(I24)="R","Compulsory, RA",IF(LEFT(I24,2)="Pe","Compulsory, Pens","Voluntary")))</f>
        <v>Compulsory, LA</v>
      </c>
      <c r="K24" s="19" t="s">
        <v>15</v>
      </c>
      <c r="M24" t="str">
        <f t="shared" si="4"/>
        <v>a</v>
      </c>
      <c r="N24" t="str">
        <f t="shared" si="5"/>
        <v/>
      </c>
      <c r="O24" t="str">
        <f t="shared" si="6"/>
        <v/>
      </c>
    </row>
    <row r="25" spans="1:15" s="19" customFormat="1" x14ac:dyDescent="0.3">
      <c r="A25" s="19">
        <v>36060</v>
      </c>
      <c r="B25" s="19" t="s">
        <v>943</v>
      </c>
      <c r="C25" s="19">
        <v>2</v>
      </c>
      <c r="D25" s="19" t="s">
        <v>38</v>
      </c>
      <c r="E25" s="19" t="s">
        <v>1225</v>
      </c>
      <c r="F25" s="29">
        <v>258.20999999999998</v>
      </c>
      <c r="G25" s="20">
        <v>45804</v>
      </c>
      <c r="H25" s="19" t="s">
        <v>14</v>
      </c>
      <c r="I25" s="21" t="str">
        <f t="shared" ref="I25:I30" si="33">MID(H25,6,30)</f>
        <v>Living Annuity</v>
      </c>
      <c r="J25" s="19" t="str">
        <f t="shared" ref="J25:J30" si="34">IF(LEFT(I25)="L","Compulsory, LA",IF(LEFT(I25)="R","Compulsory, RA",IF(LEFT(I25,2)="Pe","Compulsory, Pens","Voluntary")))</f>
        <v>Compulsory, LA</v>
      </c>
      <c r="K25" s="19" t="s">
        <v>15</v>
      </c>
      <c r="M25" t="str">
        <f t="shared" si="4"/>
        <v>a</v>
      </c>
      <c r="N25" t="str">
        <f t="shared" si="5"/>
        <v/>
      </c>
      <c r="O25" t="str">
        <f t="shared" si="6"/>
        <v/>
      </c>
    </row>
    <row r="26" spans="1:15" x14ac:dyDescent="0.3">
      <c r="A26">
        <v>36062</v>
      </c>
      <c r="B26" t="s">
        <v>945</v>
      </c>
      <c r="C26">
        <v>224</v>
      </c>
      <c r="D26" t="s">
        <v>938</v>
      </c>
      <c r="E26" t="s">
        <v>1225</v>
      </c>
      <c r="F26" s="26">
        <v>15229.900000000001</v>
      </c>
      <c r="G26" s="3">
        <v>45804</v>
      </c>
      <c r="H26" t="s">
        <v>26</v>
      </c>
      <c r="I26" s="4" t="str">
        <f t="shared" si="33"/>
        <v>Retirement Annuity</v>
      </c>
      <c r="J26" t="str">
        <f t="shared" si="34"/>
        <v>Compulsory, RA</v>
      </c>
      <c r="K26" t="s">
        <v>15</v>
      </c>
      <c r="M26" t="str">
        <f t="shared" si="4"/>
        <v>d</v>
      </c>
      <c r="N26" t="str">
        <f t="shared" si="5"/>
        <v/>
      </c>
      <c r="O26" t="str">
        <f t="shared" si="6"/>
        <v/>
      </c>
    </row>
    <row r="27" spans="1:15" x14ac:dyDescent="0.3">
      <c r="A27">
        <v>36062</v>
      </c>
      <c r="B27" t="s">
        <v>1179</v>
      </c>
      <c r="C27">
        <v>224</v>
      </c>
      <c r="D27" t="s">
        <v>938</v>
      </c>
      <c r="E27" t="s">
        <v>1225</v>
      </c>
      <c r="F27" s="26">
        <v>9861.35</v>
      </c>
      <c r="G27" s="3">
        <v>45804</v>
      </c>
      <c r="H27" t="s">
        <v>1174</v>
      </c>
      <c r="I27" s="4" t="str">
        <f t="shared" ref="I27:I28" si="35">MID(H27,6,30)</f>
        <v>Retirement Annuity - Savings C</v>
      </c>
      <c r="J27" t="str">
        <f t="shared" ref="J27:J28" si="36">IF(LEFT(I27)="L","Compulsory, LA",IF(LEFT(I27)="R","Compulsory, RA",IF(LEFT(I27,2)="Pe","Compulsory, Pens","Voluntary")))</f>
        <v>Compulsory, RA</v>
      </c>
      <c r="K27" t="s">
        <v>15</v>
      </c>
      <c r="M27" t="str">
        <f t="shared" si="4"/>
        <v>d</v>
      </c>
      <c r="N27" t="str">
        <f t="shared" si="5"/>
        <v/>
      </c>
      <c r="O27" t="str">
        <f t="shared" si="6"/>
        <v/>
      </c>
    </row>
    <row r="28" spans="1:15" x14ac:dyDescent="0.3">
      <c r="A28">
        <v>36062</v>
      </c>
      <c r="B28" t="s">
        <v>1179</v>
      </c>
      <c r="C28">
        <v>224</v>
      </c>
      <c r="D28" t="s">
        <v>938</v>
      </c>
      <c r="E28" t="s">
        <v>1225</v>
      </c>
      <c r="F28" s="26">
        <v>124.15</v>
      </c>
      <c r="G28" s="3">
        <v>45804</v>
      </c>
      <c r="H28" t="s">
        <v>1174</v>
      </c>
      <c r="I28" s="4" t="str">
        <f t="shared" si="35"/>
        <v>Retirement Annuity - Savings C</v>
      </c>
      <c r="J28" t="str">
        <f t="shared" si="36"/>
        <v>Compulsory, RA</v>
      </c>
      <c r="K28" t="s">
        <v>15</v>
      </c>
      <c r="M28" t="str">
        <f t="shared" si="4"/>
        <v>d</v>
      </c>
      <c r="N28" t="str">
        <f t="shared" si="5"/>
        <v/>
      </c>
      <c r="O28" t="str">
        <f t="shared" si="6"/>
        <v/>
      </c>
    </row>
    <row r="29" spans="1:15" s="13" customFormat="1" x14ac:dyDescent="0.3">
      <c r="A29" s="13">
        <v>37040</v>
      </c>
      <c r="B29" s="13" t="s">
        <v>947</v>
      </c>
      <c r="C29" s="13">
        <v>263</v>
      </c>
      <c r="D29" s="13" t="s">
        <v>44</v>
      </c>
      <c r="E29" s="13" t="s">
        <v>1225</v>
      </c>
      <c r="F29" s="28">
        <v>65956.209999999992</v>
      </c>
      <c r="G29" s="14">
        <v>45804</v>
      </c>
      <c r="H29" s="13" t="s">
        <v>14</v>
      </c>
      <c r="I29" s="15" t="str">
        <f t="shared" si="33"/>
        <v>Living Annuity</v>
      </c>
      <c r="J29" s="13" t="str">
        <f t="shared" si="34"/>
        <v>Compulsory, LA</v>
      </c>
      <c r="K29" s="13" t="s">
        <v>15</v>
      </c>
      <c r="M29" t="str">
        <f t="shared" si="4"/>
        <v>a</v>
      </c>
      <c r="N29" t="str">
        <f t="shared" si="5"/>
        <v/>
      </c>
      <c r="O29" t="str">
        <f t="shared" si="6"/>
        <v/>
      </c>
    </row>
    <row r="30" spans="1:15" x14ac:dyDescent="0.3">
      <c r="A30">
        <v>37041</v>
      </c>
      <c r="B30" t="s">
        <v>948</v>
      </c>
      <c r="C30">
        <v>84</v>
      </c>
      <c r="D30" t="s">
        <v>46</v>
      </c>
      <c r="E30" t="s">
        <v>1225</v>
      </c>
      <c r="F30" s="26">
        <v>18957.919999999998</v>
      </c>
      <c r="G30" s="3">
        <v>45804</v>
      </c>
      <c r="H30" t="s">
        <v>14</v>
      </c>
      <c r="I30" s="4" t="str">
        <f t="shared" si="33"/>
        <v>Living Annuity</v>
      </c>
      <c r="J30" t="str">
        <f t="shared" si="34"/>
        <v>Compulsory, LA</v>
      </c>
      <c r="K30" t="s">
        <v>15</v>
      </c>
      <c r="M30" t="str">
        <f t="shared" si="4"/>
        <v>a</v>
      </c>
      <c r="N30" t="str">
        <f t="shared" si="5"/>
        <v/>
      </c>
      <c r="O30" t="str">
        <f t="shared" si="6"/>
        <v/>
      </c>
    </row>
    <row r="31" spans="1:15" x14ac:dyDescent="0.3">
      <c r="A31">
        <v>41695</v>
      </c>
      <c r="B31" t="s">
        <v>1137</v>
      </c>
      <c r="C31">
        <v>278</v>
      </c>
      <c r="D31" t="s">
        <v>56</v>
      </c>
      <c r="E31" t="s">
        <v>1225</v>
      </c>
      <c r="F31" s="26">
        <v>87599.489999999991</v>
      </c>
      <c r="G31" s="3">
        <v>45804</v>
      </c>
      <c r="H31" t="s">
        <v>31</v>
      </c>
      <c r="I31" s="4" t="str">
        <f>MID(H31,6,30)</f>
        <v>Investment Account</v>
      </c>
      <c r="J31" t="str">
        <f>IF(LEFT(I31)="L","Compulsory, LA",IF(LEFT(I31)="R","Compulsory, RA",IF(LEFT(I31,2)="Pe","Compulsory, Pens","Voluntary")))</f>
        <v>Voluntary</v>
      </c>
      <c r="K31" t="s">
        <v>15</v>
      </c>
      <c r="M31" t="str">
        <f t="shared" si="4"/>
        <v>a</v>
      </c>
      <c r="N31" t="str">
        <f t="shared" si="5"/>
        <v/>
      </c>
      <c r="O31" t="str">
        <f t="shared" si="6"/>
        <v/>
      </c>
    </row>
    <row r="32" spans="1:15" x14ac:dyDescent="0.3">
      <c r="A32">
        <v>41695</v>
      </c>
      <c r="B32" t="s">
        <v>818</v>
      </c>
      <c r="C32">
        <v>278</v>
      </c>
      <c r="D32" t="s">
        <v>56</v>
      </c>
      <c r="E32" t="s">
        <v>1225</v>
      </c>
      <c r="F32" s="25">
        <v>651508.56999999995</v>
      </c>
      <c r="G32" s="3">
        <v>45804</v>
      </c>
      <c r="H32" t="s">
        <v>26</v>
      </c>
      <c r="I32" s="4" t="str">
        <f t="shared" si="13"/>
        <v>Retirement Annuity</v>
      </c>
      <c r="J32" t="str">
        <f t="shared" si="14"/>
        <v>Compulsory, RA</v>
      </c>
      <c r="K32" t="s">
        <v>15</v>
      </c>
      <c r="M32" t="str">
        <f t="shared" si="4"/>
        <v>d</v>
      </c>
      <c r="N32" t="str">
        <f t="shared" si="5"/>
        <v/>
      </c>
      <c r="O32" t="str">
        <f t="shared" si="6"/>
        <v/>
      </c>
    </row>
    <row r="33" spans="1:15" x14ac:dyDescent="0.3">
      <c r="A33">
        <v>41695</v>
      </c>
      <c r="B33" t="s">
        <v>1180</v>
      </c>
      <c r="C33">
        <v>278</v>
      </c>
      <c r="D33" t="s">
        <v>56</v>
      </c>
      <c r="E33" t="s">
        <v>1225</v>
      </c>
      <c r="F33" s="25">
        <v>360003.77999999997</v>
      </c>
      <c r="G33" s="3">
        <v>45804</v>
      </c>
      <c r="H33" t="s">
        <v>1174</v>
      </c>
      <c r="I33" s="4" t="str">
        <f t="shared" ref="I33" si="37">MID(H33,6,30)</f>
        <v>Retirement Annuity - Savings C</v>
      </c>
      <c r="J33" t="str">
        <f t="shared" ref="J33" si="38">IF(LEFT(I33)="L","Compulsory, LA",IF(LEFT(I33)="R","Compulsory, RA",IF(LEFT(I33,2)="Pe","Compulsory, Pens","Voluntary")))</f>
        <v>Compulsory, RA</v>
      </c>
      <c r="K33" t="s">
        <v>15</v>
      </c>
      <c r="M33" t="str">
        <f t="shared" si="4"/>
        <v>d</v>
      </c>
      <c r="N33" t="str">
        <f t="shared" si="5"/>
        <v/>
      </c>
      <c r="O33" t="str">
        <f t="shared" si="6"/>
        <v/>
      </c>
    </row>
    <row r="34" spans="1:15" x14ac:dyDescent="0.3">
      <c r="A34">
        <v>61172</v>
      </c>
      <c r="B34" t="s">
        <v>1062</v>
      </c>
      <c r="C34">
        <v>272</v>
      </c>
      <c r="D34" t="s">
        <v>62</v>
      </c>
      <c r="E34" t="s">
        <v>1225</v>
      </c>
      <c r="F34" s="25">
        <v>51114.30999999999</v>
      </c>
      <c r="G34" s="3">
        <v>45804</v>
      </c>
      <c r="H34" t="s">
        <v>26</v>
      </c>
      <c r="I34" s="4" t="str">
        <f>MID(H34,6,30)</f>
        <v>Retirement Annuity</v>
      </c>
      <c r="J34" t="str">
        <f>IF(LEFT(I34)="L","Compulsory, LA",IF(LEFT(I34)="R","Compulsory, RA",IF(LEFT(I34,2)="Pe","Compulsory, Pens",IF(LEFT(I34,2)="Pr","Compulsory, Prov","Voluntary"))))</f>
        <v>Compulsory, RA</v>
      </c>
      <c r="K34" t="s">
        <v>15</v>
      </c>
      <c r="M34" t="str">
        <f t="shared" ref="M34:M65" si="39">RIGHT(B34,1)</f>
        <v>d</v>
      </c>
      <c r="N34" t="str">
        <f t="shared" ref="N34:N65" si="40">IF(M34="f","FFFF","")</f>
        <v/>
      </c>
      <c r="O34" t="str">
        <f t="shared" ref="O34:O65" si="41">IF(M34="I","IIII","")</f>
        <v/>
      </c>
    </row>
    <row r="35" spans="1:15" x14ac:dyDescent="0.3">
      <c r="A35">
        <v>61172</v>
      </c>
      <c r="B35" t="s">
        <v>1181</v>
      </c>
      <c r="C35">
        <v>272</v>
      </c>
      <c r="D35" t="s">
        <v>62</v>
      </c>
      <c r="E35" t="s">
        <v>1225</v>
      </c>
      <c r="F35" s="25">
        <v>174.05</v>
      </c>
      <c r="G35" s="3">
        <v>45804</v>
      </c>
      <c r="H35" t="s">
        <v>1174</v>
      </c>
      <c r="I35" s="4" t="str">
        <f t="shared" ref="I35:I36" si="42">MID(H35,6,30)</f>
        <v>Retirement Annuity - Savings C</v>
      </c>
      <c r="J35" t="str">
        <f t="shared" ref="J35:J36" si="43">IF(LEFT(I35)="L","Compulsory, LA",IF(LEFT(I35)="R","Compulsory, RA",IF(LEFT(I35,2)="Pe","Compulsory, Pens",IF(LEFT(I35,2)="Pr","Compulsory, Prov","Voluntary"))))</f>
        <v>Compulsory, RA</v>
      </c>
      <c r="K35" t="s">
        <v>15</v>
      </c>
      <c r="M35" t="str">
        <f t="shared" si="39"/>
        <v>d</v>
      </c>
      <c r="N35" t="str">
        <f t="shared" si="40"/>
        <v/>
      </c>
      <c r="O35" t="str">
        <f t="shared" si="41"/>
        <v/>
      </c>
    </row>
    <row r="36" spans="1:15" x14ac:dyDescent="0.3">
      <c r="A36">
        <v>61172</v>
      </c>
      <c r="B36" t="s">
        <v>1181</v>
      </c>
      <c r="C36">
        <v>272</v>
      </c>
      <c r="D36" t="s">
        <v>62</v>
      </c>
      <c r="E36" t="s">
        <v>1225</v>
      </c>
      <c r="F36" s="25">
        <v>31439.97</v>
      </c>
      <c r="G36" s="3">
        <v>45804</v>
      </c>
      <c r="H36" t="s">
        <v>1174</v>
      </c>
      <c r="I36" s="4" t="str">
        <f t="shared" si="42"/>
        <v>Retirement Annuity - Savings C</v>
      </c>
      <c r="J36" t="str">
        <f t="shared" si="43"/>
        <v>Compulsory, RA</v>
      </c>
      <c r="K36" t="s">
        <v>15</v>
      </c>
      <c r="M36" t="str">
        <f t="shared" si="39"/>
        <v>d</v>
      </c>
      <c r="N36" t="str">
        <f t="shared" si="40"/>
        <v/>
      </c>
      <c r="O36" t="str">
        <f t="shared" si="41"/>
        <v/>
      </c>
    </row>
    <row r="37" spans="1:15" x14ac:dyDescent="0.3">
      <c r="A37">
        <v>62166</v>
      </c>
      <c r="B37" t="s">
        <v>1182</v>
      </c>
      <c r="C37">
        <v>153</v>
      </c>
      <c r="D37" t="s">
        <v>64</v>
      </c>
      <c r="E37" t="s">
        <v>1225</v>
      </c>
      <c r="F37" s="25">
        <v>158.37</v>
      </c>
      <c r="G37" s="3">
        <v>45804</v>
      </c>
      <c r="H37" t="s">
        <v>1174</v>
      </c>
      <c r="I37" s="4" t="str">
        <f t="shared" ref="I37:I40" si="44">MID(H37,6,30)</f>
        <v>Retirement Annuity - Savings C</v>
      </c>
      <c r="J37" t="str">
        <f t="shared" ref="J37:J40" si="45">IF(LEFT(I37)="L","Compulsory, LA",IF(LEFT(I37)="R","Compulsory, RA",IF(LEFT(I37,2)="Pe","Compulsory, Pens",IF(LEFT(I37,2)="Pr","Compulsory, Prov","Voluntary"))))</f>
        <v>Compulsory, RA</v>
      </c>
      <c r="K37" t="s">
        <v>15</v>
      </c>
      <c r="M37" t="str">
        <f t="shared" si="39"/>
        <v>d</v>
      </c>
      <c r="N37" t="str">
        <f t="shared" si="40"/>
        <v/>
      </c>
      <c r="O37" t="str">
        <f t="shared" si="41"/>
        <v/>
      </c>
    </row>
    <row r="38" spans="1:15" x14ac:dyDescent="0.3">
      <c r="A38">
        <v>62166</v>
      </c>
      <c r="B38" t="s">
        <v>1182</v>
      </c>
      <c r="C38">
        <v>153</v>
      </c>
      <c r="D38" t="s">
        <v>64</v>
      </c>
      <c r="E38" t="s">
        <v>1225</v>
      </c>
      <c r="F38" s="25">
        <v>367416.08999999997</v>
      </c>
      <c r="G38" s="3">
        <v>45804</v>
      </c>
      <c r="H38" t="s">
        <v>1174</v>
      </c>
      <c r="I38" s="4" t="str">
        <f t="shared" ref="I38:I39" si="46">MID(H38,6,30)</f>
        <v>Retirement Annuity - Savings C</v>
      </c>
      <c r="J38" t="str">
        <f t="shared" ref="J38:J39" si="47">IF(LEFT(I38)="L","Compulsory, LA",IF(LEFT(I38)="R","Compulsory, RA",IF(LEFT(I38,2)="Pe","Compulsory, Pens",IF(LEFT(I38,2)="Pr","Compulsory, Prov","Voluntary"))))</f>
        <v>Compulsory, RA</v>
      </c>
      <c r="K38" t="s">
        <v>15</v>
      </c>
      <c r="M38" t="str">
        <f t="shared" si="39"/>
        <v>d</v>
      </c>
      <c r="N38" t="str">
        <f t="shared" si="40"/>
        <v/>
      </c>
      <c r="O38" t="str">
        <f t="shared" si="41"/>
        <v/>
      </c>
    </row>
    <row r="39" spans="1:15" x14ac:dyDescent="0.3">
      <c r="A39">
        <v>62166</v>
      </c>
      <c r="B39" t="s">
        <v>955</v>
      </c>
      <c r="C39">
        <v>153</v>
      </c>
      <c r="D39" t="s">
        <v>64</v>
      </c>
      <c r="E39" t="s">
        <v>1225</v>
      </c>
      <c r="F39" s="25">
        <v>1301.17</v>
      </c>
      <c r="G39" s="3">
        <v>45804</v>
      </c>
      <c r="H39" t="s">
        <v>26</v>
      </c>
      <c r="I39" s="4" t="str">
        <f t="shared" si="46"/>
        <v>Retirement Annuity</v>
      </c>
      <c r="J39" t="str">
        <f t="shared" si="47"/>
        <v>Compulsory, RA</v>
      </c>
      <c r="K39" t="s">
        <v>15</v>
      </c>
      <c r="M39" t="str">
        <f t="shared" si="39"/>
        <v>d</v>
      </c>
      <c r="N39" t="str">
        <f t="shared" si="40"/>
        <v/>
      </c>
      <c r="O39" t="str">
        <f t="shared" si="41"/>
        <v/>
      </c>
    </row>
    <row r="40" spans="1:15" s="13" customFormat="1" x14ac:dyDescent="0.3">
      <c r="A40" s="13">
        <v>69046</v>
      </c>
      <c r="B40" s="13" t="s">
        <v>956</v>
      </c>
      <c r="C40" s="13">
        <v>167</v>
      </c>
      <c r="D40" s="13" t="s">
        <v>703</v>
      </c>
      <c r="E40" s="13" t="s">
        <v>1225</v>
      </c>
      <c r="F40" s="27">
        <v>1470678.2400000002</v>
      </c>
      <c r="G40" s="14">
        <v>45804</v>
      </c>
      <c r="H40" s="13" t="s">
        <v>14</v>
      </c>
      <c r="I40" s="15" t="str">
        <f t="shared" si="44"/>
        <v>Living Annuity</v>
      </c>
      <c r="J40" s="13" t="str">
        <f t="shared" si="45"/>
        <v>Compulsory, LA</v>
      </c>
      <c r="K40" s="13" t="s">
        <v>15</v>
      </c>
      <c r="M40" t="str">
        <f t="shared" si="39"/>
        <v>a</v>
      </c>
      <c r="N40" t="str">
        <f t="shared" si="40"/>
        <v/>
      </c>
      <c r="O40" t="str">
        <f t="shared" si="41"/>
        <v/>
      </c>
    </row>
    <row r="41" spans="1:15" s="13" customFormat="1" x14ac:dyDescent="0.3">
      <c r="A41" s="13">
        <v>72002</v>
      </c>
      <c r="B41" s="13" t="s">
        <v>714</v>
      </c>
      <c r="C41" s="13">
        <v>67</v>
      </c>
      <c r="D41" s="13" t="s">
        <v>66</v>
      </c>
      <c r="E41" s="13" t="s">
        <v>1225</v>
      </c>
      <c r="F41" s="27">
        <v>14510.189999999999</v>
      </c>
      <c r="G41" s="14">
        <v>45804</v>
      </c>
      <c r="H41" s="13" t="s">
        <v>31</v>
      </c>
      <c r="I41" s="15" t="str">
        <f t="shared" si="13"/>
        <v>Investment Account</v>
      </c>
      <c r="J41" s="13" t="str">
        <f t="shared" si="14"/>
        <v>Voluntary</v>
      </c>
      <c r="K41" s="13" t="s">
        <v>15</v>
      </c>
      <c r="M41" t="str">
        <f t="shared" si="39"/>
        <v>a</v>
      </c>
      <c r="N41" t="str">
        <f t="shared" si="40"/>
        <v/>
      </c>
      <c r="O41" t="str">
        <f t="shared" si="41"/>
        <v/>
      </c>
    </row>
    <row r="42" spans="1:15" s="13" customFormat="1" x14ac:dyDescent="0.3">
      <c r="A42" s="13">
        <v>72002</v>
      </c>
      <c r="B42" s="13" t="s">
        <v>957</v>
      </c>
      <c r="C42" s="13">
        <v>67</v>
      </c>
      <c r="D42" s="13" t="s">
        <v>66</v>
      </c>
      <c r="E42" s="13" t="s">
        <v>1225</v>
      </c>
      <c r="F42" s="27">
        <v>70499.88</v>
      </c>
      <c r="G42" s="14">
        <v>45804</v>
      </c>
      <c r="H42" s="13" t="s">
        <v>14</v>
      </c>
      <c r="I42" s="15" t="str">
        <f t="shared" si="13"/>
        <v>Living Annuity</v>
      </c>
      <c r="J42" s="13" t="str">
        <f t="shared" si="14"/>
        <v>Compulsory, LA</v>
      </c>
      <c r="K42" s="13" t="s">
        <v>15</v>
      </c>
      <c r="M42" t="str">
        <f t="shared" si="39"/>
        <v>a</v>
      </c>
      <c r="N42" t="str">
        <f t="shared" si="40"/>
        <v/>
      </c>
      <c r="O42" t="str">
        <f t="shared" si="41"/>
        <v/>
      </c>
    </row>
    <row r="43" spans="1:15" x14ac:dyDescent="0.3">
      <c r="A43">
        <v>72002</v>
      </c>
      <c r="B43" t="s">
        <v>860</v>
      </c>
      <c r="C43">
        <v>67</v>
      </c>
      <c r="D43" t="s">
        <v>66</v>
      </c>
      <c r="E43" t="s">
        <v>1225</v>
      </c>
      <c r="F43" s="26">
        <v>269.10000000000002</v>
      </c>
      <c r="G43" s="3">
        <v>45804</v>
      </c>
      <c r="H43" t="s">
        <v>14</v>
      </c>
      <c r="I43" s="4" t="str">
        <f t="shared" ref="I43" si="48">MID(H43,6,30)</f>
        <v>Living Annuity</v>
      </c>
      <c r="J43" t="str">
        <f t="shared" ref="J43" si="49">IF(LEFT(I43)="L","Compulsory, LA",IF(LEFT(I43)="R","Compulsory, RA",IF(LEFT(I43,2)="Pe","Compulsory, Pens","Voluntary")))</f>
        <v>Compulsory, LA</v>
      </c>
      <c r="K43" t="s">
        <v>15</v>
      </c>
      <c r="M43" t="str">
        <f t="shared" si="39"/>
        <v>a</v>
      </c>
      <c r="N43" t="str">
        <f t="shared" si="40"/>
        <v/>
      </c>
      <c r="O43" t="str">
        <f t="shared" si="41"/>
        <v/>
      </c>
    </row>
    <row r="44" spans="1:15" x14ac:dyDescent="0.3">
      <c r="A44">
        <v>80212</v>
      </c>
      <c r="B44" t="s">
        <v>961</v>
      </c>
      <c r="C44">
        <v>372</v>
      </c>
      <c r="D44" t="s">
        <v>68</v>
      </c>
      <c r="E44" t="s">
        <v>1225</v>
      </c>
      <c r="F44" s="26">
        <v>279492.49</v>
      </c>
      <c r="G44" s="3">
        <v>45804</v>
      </c>
      <c r="H44" t="s">
        <v>26</v>
      </c>
      <c r="I44" s="4" t="str">
        <f>MID(H44,6,30)</f>
        <v>Retirement Annuity</v>
      </c>
      <c r="J44" t="str">
        <f>IF(LEFT(I44)="L","Compulsory, LA",IF(LEFT(I44)="R","Compulsory, RA",IF(LEFT(I44,2)="Pe","Compulsory, Pens","Voluntary")))</f>
        <v>Compulsory, RA</v>
      </c>
      <c r="K44" t="s">
        <v>15</v>
      </c>
      <c r="M44" t="str">
        <f t="shared" si="39"/>
        <v>d</v>
      </c>
      <c r="N44" t="str">
        <f t="shared" si="40"/>
        <v/>
      </c>
      <c r="O44" t="str">
        <f t="shared" si="41"/>
        <v/>
      </c>
    </row>
    <row r="45" spans="1:15" x14ac:dyDescent="0.3">
      <c r="A45">
        <v>80212</v>
      </c>
      <c r="B45" t="s">
        <v>1183</v>
      </c>
      <c r="C45">
        <v>372</v>
      </c>
      <c r="D45" t="s">
        <v>68</v>
      </c>
      <c r="E45" t="s">
        <v>1225</v>
      </c>
      <c r="F45" s="26">
        <v>1152.08</v>
      </c>
      <c r="G45" s="3">
        <v>45804</v>
      </c>
      <c r="H45" t="s">
        <v>1174</v>
      </c>
      <c r="I45" s="4" t="str">
        <f t="shared" ref="I45:I46" si="50">MID(H45,6,30)</f>
        <v>Retirement Annuity - Savings C</v>
      </c>
      <c r="J45" t="str">
        <f t="shared" ref="J45:J46" si="51">IF(LEFT(I45)="L","Compulsory, LA",IF(LEFT(I45)="R","Compulsory, RA",IF(LEFT(I45,2)="Pe","Compulsory, Pens","Voluntary")))</f>
        <v>Compulsory, RA</v>
      </c>
      <c r="K45" t="s">
        <v>15</v>
      </c>
      <c r="M45" t="str">
        <f t="shared" si="39"/>
        <v>d</v>
      </c>
      <c r="N45" t="str">
        <f t="shared" si="40"/>
        <v/>
      </c>
      <c r="O45" t="str">
        <f t="shared" si="41"/>
        <v/>
      </c>
    </row>
    <row r="46" spans="1:15" x14ac:dyDescent="0.3">
      <c r="A46">
        <v>80212</v>
      </c>
      <c r="B46" t="s">
        <v>1183</v>
      </c>
      <c r="C46">
        <v>372</v>
      </c>
      <c r="D46" t="s">
        <v>68</v>
      </c>
      <c r="E46" t="s">
        <v>1225</v>
      </c>
      <c r="F46" s="26">
        <v>1197.82</v>
      </c>
      <c r="G46" s="3">
        <v>45804</v>
      </c>
      <c r="H46" t="s">
        <v>1174</v>
      </c>
      <c r="I46" s="4" t="str">
        <f t="shared" si="50"/>
        <v>Retirement Annuity - Savings C</v>
      </c>
      <c r="J46" t="str">
        <f t="shared" si="51"/>
        <v>Compulsory, RA</v>
      </c>
      <c r="K46" t="s">
        <v>15</v>
      </c>
      <c r="M46" t="str">
        <f t="shared" si="39"/>
        <v>d</v>
      </c>
      <c r="N46" t="str">
        <f t="shared" si="40"/>
        <v/>
      </c>
      <c r="O46" t="str">
        <f t="shared" si="41"/>
        <v/>
      </c>
    </row>
    <row r="47" spans="1:15" x14ac:dyDescent="0.3">
      <c r="A47">
        <v>81381</v>
      </c>
      <c r="B47" t="s">
        <v>962</v>
      </c>
      <c r="C47">
        <v>183</v>
      </c>
      <c r="D47" t="s">
        <v>71</v>
      </c>
      <c r="E47" t="s">
        <v>1225</v>
      </c>
      <c r="F47" s="26">
        <v>986.45</v>
      </c>
      <c r="G47" s="3">
        <v>45804</v>
      </c>
      <c r="H47" t="s">
        <v>14</v>
      </c>
      <c r="I47" s="4" t="str">
        <f t="shared" ref="I47:I53" si="52">MID(H47,6,30)</f>
        <v>Living Annuity</v>
      </c>
      <c r="J47" t="str">
        <f t="shared" ref="J47:J53" si="53">IF(LEFT(I47)="L","Compulsory, LA",IF(LEFT(I47)="R","Compulsory, RA",IF(LEFT(I47,2)="Pe","Compulsory, Pens","Voluntary")))</f>
        <v>Compulsory, LA</v>
      </c>
      <c r="K47" t="s">
        <v>15</v>
      </c>
      <c r="M47" t="str">
        <f t="shared" si="39"/>
        <v>a</v>
      </c>
      <c r="N47" t="str">
        <f t="shared" si="40"/>
        <v/>
      </c>
      <c r="O47" t="str">
        <f t="shared" si="41"/>
        <v/>
      </c>
    </row>
    <row r="48" spans="1:15" s="13" customFormat="1" x14ac:dyDescent="0.3">
      <c r="A48" s="13">
        <v>81381</v>
      </c>
      <c r="B48" s="13" t="s">
        <v>963</v>
      </c>
      <c r="C48" s="13">
        <v>183</v>
      </c>
      <c r="D48" s="13" t="s">
        <v>71</v>
      </c>
      <c r="E48" s="13" t="s">
        <v>1225</v>
      </c>
      <c r="F48" s="28">
        <v>4459.76</v>
      </c>
      <c r="G48" s="14">
        <v>45804</v>
      </c>
      <c r="H48" s="13" t="s">
        <v>14</v>
      </c>
      <c r="I48" s="15" t="str">
        <f t="shared" si="52"/>
        <v>Living Annuity</v>
      </c>
      <c r="J48" s="13" t="str">
        <f t="shared" si="53"/>
        <v>Compulsory, LA</v>
      </c>
      <c r="K48" s="13" t="s">
        <v>15</v>
      </c>
      <c r="M48" t="str">
        <f t="shared" si="39"/>
        <v>a</v>
      </c>
      <c r="N48" t="str">
        <f t="shared" si="40"/>
        <v/>
      </c>
      <c r="O48" t="str">
        <f t="shared" si="41"/>
        <v/>
      </c>
    </row>
    <row r="49" spans="1:15" s="13" customFormat="1" x14ac:dyDescent="0.3">
      <c r="A49" s="13">
        <v>113590</v>
      </c>
      <c r="B49" s="13" t="s">
        <v>964</v>
      </c>
      <c r="C49" s="13">
        <v>44</v>
      </c>
      <c r="D49" s="13" t="s">
        <v>958</v>
      </c>
      <c r="E49" s="13" t="s">
        <v>1225</v>
      </c>
      <c r="F49" s="28">
        <v>187259.76</v>
      </c>
      <c r="G49" s="14">
        <v>45804</v>
      </c>
      <c r="H49" s="13" t="s">
        <v>14</v>
      </c>
      <c r="I49" s="15" t="str">
        <f t="shared" si="52"/>
        <v>Living Annuity</v>
      </c>
      <c r="J49" s="13" t="str">
        <f t="shared" si="53"/>
        <v>Compulsory, LA</v>
      </c>
      <c r="K49" s="13" t="s">
        <v>15</v>
      </c>
      <c r="M49" t="str">
        <f t="shared" si="39"/>
        <v>a</v>
      </c>
      <c r="N49" t="str">
        <f t="shared" si="40"/>
        <v/>
      </c>
      <c r="O49" t="str">
        <f t="shared" si="41"/>
        <v/>
      </c>
    </row>
    <row r="50" spans="1:15" x14ac:dyDescent="0.3">
      <c r="A50">
        <v>130912</v>
      </c>
      <c r="B50" t="s">
        <v>1170</v>
      </c>
      <c r="C50">
        <v>35</v>
      </c>
      <c r="D50" t="s">
        <v>1169</v>
      </c>
      <c r="E50" t="s">
        <v>1225</v>
      </c>
      <c r="F50" s="26">
        <v>129104.61</v>
      </c>
      <c r="G50" s="3">
        <v>45804</v>
      </c>
      <c r="H50" t="s">
        <v>1147</v>
      </c>
      <c r="I50" s="4" t="str">
        <f t="shared" ref="I50" si="54">MID(H50,6,30)</f>
        <v>Investment Account</v>
      </c>
      <c r="J50" t="str">
        <f t="shared" ref="J50" si="55">IF(LEFT(I50)="L","Compulsory, LA",IF(LEFT(I50)="R","Compulsory, RA",IF(LEFT(I50,2)="Pe","Compulsory, Pens","Voluntary")))</f>
        <v>Voluntary</v>
      </c>
      <c r="K50" t="s">
        <v>15</v>
      </c>
      <c r="M50" t="str">
        <f t="shared" si="39"/>
        <v>a</v>
      </c>
      <c r="N50" t="str">
        <f t="shared" si="40"/>
        <v/>
      </c>
      <c r="O50" t="str">
        <f t="shared" si="41"/>
        <v/>
      </c>
    </row>
    <row r="51" spans="1:15" x14ac:dyDescent="0.3">
      <c r="A51">
        <v>133380</v>
      </c>
      <c r="B51" t="s">
        <v>965</v>
      </c>
      <c r="C51">
        <v>298</v>
      </c>
      <c r="D51" t="s">
        <v>959</v>
      </c>
      <c r="E51" t="s">
        <v>1225</v>
      </c>
      <c r="F51" s="26">
        <v>340336.72</v>
      </c>
      <c r="G51" s="3">
        <v>45804</v>
      </c>
      <c r="H51" t="s">
        <v>26</v>
      </c>
      <c r="I51" s="4" t="str">
        <f t="shared" si="52"/>
        <v>Retirement Annuity</v>
      </c>
      <c r="J51" t="str">
        <f t="shared" si="53"/>
        <v>Compulsory, RA</v>
      </c>
      <c r="K51" t="s">
        <v>15</v>
      </c>
      <c r="M51" t="str">
        <f t="shared" si="39"/>
        <v>d</v>
      </c>
      <c r="N51" t="str">
        <f t="shared" si="40"/>
        <v/>
      </c>
      <c r="O51" t="str">
        <f t="shared" si="41"/>
        <v/>
      </c>
    </row>
    <row r="52" spans="1:15" x14ac:dyDescent="0.3">
      <c r="A52">
        <v>133380</v>
      </c>
      <c r="B52" t="s">
        <v>1184</v>
      </c>
      <c r="C52">
        <v>298</v>
      </c>
      <c r="D52" t="s">
        <v>959</v>
      </c>
      <c r="E52" t="s">
        <v>1225</v>
      </c>
      <c r="F52" s="26">
        <v>160508.5</v>
      </c>
      <c r="G52" s="3">
        <v>45804</v>
      </c>
      <c r="H52" t="s">
        <v>1174</v>
      </c>
      <c r="I52" s="4" t="str">
        <f t="shared" ref="I52" si="56">MID(H52,6,30)</f>
        <v>Retirement Annuity - Savings C</v>
      </c>
      <c r="J52" t="str">
        <f t="shared" ref="J52" si="57">IF(LEFT(I52)="L","Compulsory, LA",IF(LEFT(I52)="R","Compulsory, RA",IF(LEFT(I52,2)="Pe","Compulsory, Pens","Voluntary")))</f>
        <v>Compulsory, RA</v>
      </c>
      <c r="K52" t="s">
        <v>15</v>
      </c>
      <c r="M52" t="str">
        <f t="shared" si="39"/>
        <v>d</v>
      </c>
      <c r="N52" t="str">
        <f t="shared" si="40"/>
        <v/>
      </c>
      <c r="O52" t="str">
        <f t="shared" si="41"/>
        <v/>
      </c>
    </row>
    <row r="53" spans="1:15" x14ac:dyDescent="0.3">
      <c r="A53">
        <v>133382</v>
      </c>
      <c r="B53" t="s">
        <v>966</v>
      </c>
      <c r="C53">
        <v>202</v>
      </c>
      <c r="D53" t="s">
        <v>78</v>
      </c>
      <c r="E53" t="s">
        <v>1225</v>
      </c>
      <c r="F53" s="26">
        <v>166145.82</v>
      </c>
      <c r="G53" s="3">
        <v>45804</v>
      </c>
      <c r="H53" t="s">
        <v>26</v>
      </c>
      <c r="I53" s="4" t="str">
        <f t="shared" si="52"/>
        <v>Retirement Annuity</v>
      </c>
      <c r="J53" t="str">
        <f t="shared" si="53"/>
        <v>Compulsory, RA</v>
      </c>
      <c r="K53" t="s">
        <v>15</v>
      </c>
      <c r="M53" t="str">
        <f t="shared" si="39"/>
        <v>d</v>
      </c>
      <c r="N53" t="str">
        <f t="shared" si="40"/>
        <v/>
      </c>
      <c r="O53" t="str">
        <f t="shared" si="41"/>
        <v/>
      </c>
    </row>
    <row r="54" spans="1:15" x14ac:dyDescent="0.3">
      <c r="A54">
        <v>133382</v>
      </c>
      <c r="B54" t="s">
        <v>1185</v>
      </c>
      <c r="C54">
        <v>202</v>
      </c>
      <c r="D54" t="s">
        <v>78</v>
      </c>
      <c r="E54" t="s">
        <v>1225</v>
      </c>
      <c r="F54" s="26">
        <v>439017.76</v>
      </c>
      <c r="G54" s="3">
        <v>45804</v>
      </c>
      <c r="H54" t="s">
        <v>1174</v>
      </c>
      <c r="I54" s="4" t="str">
        <f t="shared" ref="I54" si="58">MID(H54,6,30)</f>
        <v>Retirement Annuity - Savings C</v>
      </c>
      <c r="J54" t="str">
        <f t="shared" ref="J54" si="59">IF(LEFT(I54)="L","Compulsory, LA",IF(LEFT(I54)="R","Compulsory, RA",IF(LEFT(I54,2)="Pe","Compulsory, Pens","Voluntary")))</f>
        <v>Compulsory, RA</v>
      </c>
      <c r="K54" t="s">
        <v>15</v>
      </c>
      <c r="M54" t="str">
        <f t="shared" si="39"/>
        <v>d</v>
      </c>
      <c r="N54" t="str">
        <f t="shared" si="40"/>
        <v/>
      </c>
      <c r="O54" t="str">
        <f t="shared" si="41"/>
        <v/>
      </c>
    </row>
    <row r="55" spans="1:15" x14ac:dyDescent="0.3">
      <c r="A55">
        <v>100202693</v>
      </c>
      <c r="B55" t="s">
        <v>1160</v>
      </c>
      <c r="C55">
        <v>92</v>
      </c>
      <c r="D55" t="s">
        <v>79</v>
      </c>
      <c r="E55" t="s">
        <v>1225</v>
      </c>
      <c r="F55" s="26">
        <v>202411.41</v>
      </c>
      <c r="G55" s="3">
        <v>45804</v>
      </c>
      <c r="H55" t="s">
        <v>1147</v>
      </c>
      <c r="I55" s="4" t="str">
        <f t="shared" ref="I55" si="60">MID(H55,6,30)</f>
        <v>Investment Account</v>
      </c>
      <c r="J55" t="str">
        <f t="shared" ref="J55" si="61">IF(LEFT(I55)="L","Compulsory, LA",IF(LEFT(I55)="R","Compulsory, RA",IF(LEFT(I55,2)="Pe","Compulsory, Pens","Voluntary")))</f>
        <v>Voluntary</v>
      </c>
      <c r="K55" t="s">
        <v>15</v>
      </c>
      <c r="M55" t="str">
        <f t="shared" si="39"/>
        <v>a</v>
      </c>
      <c r="N55" t="str">
        <f t="shared" si="40"/>
        <v/>
      </c>
      <c r="O55" t="str">
        <f t="shared" si="41"/>
        <v/>
      </c>
    </row>
    <row r="56" spans="1:15" x14ac:dyDescent="0.3">
      <c r="A56">
        <v>100202693</v>
      </c>
      <c r="B56" t="s">
        <v>1151</v>
      </c>
      <c r="C56">
        <v>92</v>
      </c>
      <c r="D56" t="s">
        <v>79</v>
      </c>
      <c r="E56" t="s">
        <v>1225</v>
      </c>
      <c r="F56" s="26">
        <v>126178.95999999999</v>
      </c>
      <c r="G56" s="3">
        <v>45804</v>
      </c>
      <c r="H56" t="s">
        <v>14</v>
      </c>
      <c r="I56" s="4" t="str">
        <f t="shared" ref="I56" si="62">MID(H56,6,30)</f>
        <v>Living Annuity</v>
      </c>
      <c r="J56" t="str">
        <f t="shared" ref="J56" si="63">IF(LEFT(I56)="L","Compulsory, LA",IF(LEFT(I56)="R","Compulsory, RA",IF(LEFT(I56,2)="Pe","Compulsory, Pens","Voluntary")))</f>
        <v>Compulsory, LA</v>
      </c>
      <c r="K56" t="s">
        <v>15</v>
      </c>
      <c r="M56" t="str">
        <f t="shared" si="39"/>
        <v>a</v>
      </c>
      <c r="N56" t="str">
        <f t="shared" si="40"/>
        <v/>
      </c>
      <c r="O56" t="str">
        <f t="shared" si="41"/>
        <v/>
      </c>
    </row>
    <row r="57" spans="1:15" x14ac:dyDescent="0.3">
      <c r="A57">
        <v>100202693</v>
      </c>
      <c r="B57" t="s">
        <v>1152</v>
      </c>
      <c r="C57">
        <v>92</v>
      </c>
      <c r="D57" t="s">
        <v>79</v>
      </c>
      <c r="E57" t="s">
        <v>1225</v>
      </c>
      <c r="F57" s="26">
        <v>253.22</v>
      </c>
      <c r="G57" s="3">
        <v>45804</v>
      </c>
      <c r="H57" t="s">
        <v>14</v>
      </c>
      <c r="I57" s="4" t="str">
        <f>MID(H57,6,30)</f>
        <v>Living Annuity</v>
      </c>
      <c r="J57" t="str">
        <f>IF(LEFT(I57)="L","Compulsory, LA",IF(LEFT(I57)="R","Compulsory, RA",IF(LEFT(I57,2)="Pe","Compulsory, Pens","Voluntary")))</f>
        <v>Compulsory, LA</v>
      </c>
      <c r="K57" t="s">
        <v>15</v>
      </c>
      <c r="M57" t="str">
        <f t="shared" si="39"/>
        <v>a</v>
      </c>
      <c r="N57" t="str">
        <f t="shared" si="40"/>
        <v/>
      </c>
      <c r="O57" t="str">
        <f t="shared" si="41"/>
        <v/>
      </c>
    </row>
    <row r="58" spans="1:15" x14ac:dyDescent="0.3">
      <c r="A58">
        <v>100220898</v>
      </c>
      <c r="B58" t="s">
        <v>967</v>
      </c>
      <c r="C58">
        <v>115</v>
      </c>
      <c r="D58" t="s">
        <v>83</v>
      </c>
      <c r="E58" t="s">
        <v>1225</v>
      </c>
      <c r="F58" s="25">
        <v>38471.549999999996</v>
      </c>
      <c r="G58" s="3">
        <v>45804</v>
      </c>
      <c r="H58" t="s">
        <v>14</v>
      </c>
      <c r="I58" s="4" t="str">
        <f t="shared" ref="I58" si="64">MID(H58,6,30)</f>
        <v>Living Annuity</v>
      </c>
      <c r="J58" t="str">
        <f t="shared" ref="J58" si="65">IF(LEFT(I58)="L","Compulsory, LA",IF(LEFT(I58)="R","Compulsory, RA",IF(LEFT(I58,2)="Pe","Compulsory, Pens","Voluntary")))</f>
        <v>Compulsory, LA</v>
      </c>
      <c r="K58" t="s">
        <v>15</v>
      </c>
      <c r="M58" t="str">
        <f t="shared" si="39"/>
        <v>a</v>
      </c>
      <c r="N58" t="str">
        <f t="shared" si="40"/>
        <v/>
      </c>
      <c r="O58" t="str">
        <f t="shared" si="41"/>
        <v/>
      </c>
    </row>
    <row r="59" spans="1:15" s="13" customFormat="1" x14ac:dyDescent="0.3">
      <c r="A59" s="13">
        <v>100249944</v>
      </c>
      <c r="B59" s="13" t="s">
        <v>970</v>
      </c>
      <c r="C59" s="13">
        <v>56</v>
      </c>
      <c r="D59" s="13" t="s">
        <v>86</v>
      </c>
      <c r="E59" s="13" t="s">
        <v>1225</v>
      </c>
      <c r="F59" s="28">
        <v>86155.42</v>
      </c>
      <c r="G59" s="14">
        <v>45804</v>
      </c>
      <c r="H59" s="13" t="s">
        <v>14</v>
      </c>
      <c r="I59" s="15" t="str">
        <f t="shared" ref="I59:I61" si="66">MID(H59,6,30)</f>
        <v>Living Annuity</v>
      </c>
      <c r="J59" s="13" t="str">
        <f t="shared" ref="J59:J61" si="67">IF(LEFT(I59)="L","Compulsory, LA",IF(LEFT(I59)="R","Compulsory, RA",IF(LEFT(I59,2)="Pe","Compulsory, Pens","Voluntary")))</f>
        <v>Compulsory, LA</v>
      </c>
      <c r="K59" s="13" t="s">
        <v>15</v>
      </c>
      <c r="M59" t="str">
        <f t="shared" si="39"/>
        <v>a</v>
      </c>
      <c r="N59" t="str">
        <f t="shared" si="40"/>
        <v/>
      </c>
      <c r="O59" t="str">
        <f t="shared" si="41"/>
        <v/>
      </c>
    </row>
    <row r="60" spans="1:15" x14ac:dyDescent="0.3">
      <c r="A60">
        <v>100250182</v>
      </c>
      <c r="B60" t="s">
        <v>971</v>
      </c>
      <c r="C60">
        <v>193</v>
      </c>
      <c r="D60" t="s">
        <v>968</v>
      </c>
      <c r="E60" t="s">
        <v>1225</v>
      </c>
      <c r="F60" s="25">
        <v>192622.29</v>
      </c>
      <c r="G60" s="3">
        <v>45804</v>
      </c>
      <c r="H60" t="s">
        <v>14</v>
      </c>
      <c r="I60" s="4" t="str">
        <f t="shared" si="66"/>
        <v>Living Annuity</v>
      </c>
      <c r="J60" t="str">
        <f t="shared" si="67"/>
        <v>Compulsory, LA</v>
      </c>
      <c r="K60" t="s">
        <v>15</v>
      </c>
      <c r="M60" t="str">
        <f t="shared" si="39"/>
        <v>a</v>
      </c>
      <c r="N60" t="str">
        <f t="shared" si="40"/>
        <v/>
      </c>
      <c r="O60" t="str">
        <f t="shared" si="41"/>
        <v/>
      </c>
    </row>
    <row r="61" spans="1:15" x14ac:dyDescent="0.3">
      <c r="A61">
        <v>100271808</v>
      </c>
      <c r="B61" t="s">
        <v>972</v>
      </c>
      <c r="C61">
        <v>144</v>
      </c>
      <c r="D61" t="s">
        <v>90</v>
      </c>
      <c r="E61" t="s">
        <v>1225</v>
      </c>
      <c r="F61" s="25">
        <v>12164.61</v>
      </c>
      <c r="G61" s="3">
        <v>45804</v>
      </c>
      <c r="H61" t="s">
        <v>26</v>
      </c>
      <c r="I61" s="4" t="str">
        <f t="shared" si="66"/>
        <v>Retirement Annuity</v>
      </c>
      <c r="J61" t="str">
        <f t="shared" si="67"/>
        <v>Compulsory, RA</v>
      </c>
      <c r="K61" t="s">
        <v>15</v>
      </c>
      <c r="M61" t="str">
        <f t="shared" si="39"/>
        <v>d</v>
      </c>
      <c r="N61" t="str">
        <f t="shared" si="40"/>
        <v/>
      </c>
      <c r="O61" t="str">
        <f t="shared" si="41"/>
        <v/>
      </c>
    </row>
    <row r="62" spans="1:15" x14ac:dyDescent="0.3">
      <c r="A62">
        <v>100278188</v>
      </c>
      <c r="B62" t="s">
        <v>759</v>
      </c>
      <c r="C62">
        <v>300</v>
      </c>
      <c r="D62" t="s">
        <v>92</v>
      </c>
      <c r="E62" t="s">
        <v>1225</v>
      </c>
      <c r="F62" s="25">
        <v>120.93</v>
      </c>
      <c r="G62" s="3">
        <v>45804</v>
      </c>
      <c r="H62" t="s">
        <v>31</v>
      </c>
      <c r="I62" s="4" t="str">
        <f>MID(H62,6,30)</f>
        <v>Investment Account</v>
      </c>
      <c r="J62" t="str">
        <f>IF(LEFT(I62)="L","Compulsory, LA",IF(LEFT(I62)="R","Compulsory, RA",IF(LEFT(I62,2)="Pe","Compulsory, Pens","Voluntary")))</f>
        <v>Voluntary</v>
      </c>
      <c r="K62" t="s">
        <v>15</v>
      </c>
      <c r="M62" t="str">
        <f t="shared" si="39"/>
        <v>a</v>
      </c>
      <c r="N62" t="str">
        <f t="shared" si="40"/>
        <v/>
      </c>
      <c r="O62" t="str">
        <f t="shared" si="41"/>
        <v/>
      </c>
    </row>
    <row r="63" spans="1:15" x14ac:dyDescent="0.3">
      <c r="A63">
        <v>100278188</v>
      </c>
      <c r="B63" t="s">
        <v>973</v>
      </c>
      <c r="C63">
        <v>300</v>
      </c>
      <c r="D63" t="s">
        <v>92</v>
      </c>
      <c r="E63" t="s">
        <v>1225</v>
      </c>
      <c r="F63" s="25">
        <v>4764.2699999999995</v>
      </c>
      <c r="G63" s="3">
        <v>45804</v>
      </c>
      <c r="H63" t="s">
        <v>14</v>
      </c>
      <c r="I63" s="4" t="str">
        <f t="shared" ref="I63" si="68">MID(H63,6,30)</f>
        <v>Living Annuity</v>
      </c>
      <c r="J63" t="str">
        <f t="shared" ref="J63" si="69">IF(LEFT(I63)="L","Compulsory, LA",IF(LEFT(I63)="R","Compulsory, RA",IF(LEFT(I63,2)="Pe","Compulsory, Pens","Voluntary")))</f>
        <v>Compulsory, LA</v>
      </c>
      <c r="K63" t="s">
        <v>15</v>
      </c>
      <c r="M63" t="str">
        <f t="shared" si="39"/>
        <v>a</v>
      </c>
      <c r="N63" t="str">
        <f t="shared" si="40"/>
        <v/>
      </c>
      <c r="O63" t="str">
        <f t="shared" si="41"/>
        <v/>
      </c>
    </row>
    <row r="64" spans="1:15" s="13" customFormat="1" x14ac:dyDescent="0.3">
      <c r="A64" s="13">
        <v>100278188</v>
      </c>
      <c r="B64" s="13" t="s">
        <v>974</v>
      </c>
      <c r="C64" s="13">
        <v>300</v>
      </c>
      <c r="D64" s="13" t="s">
        <v>92</v>
      </c>
      <c r="E64" s="13" t="s">
        <v>1225</v>
      </c>
      <c r="F64" s="27">
        <v>2171.75</v>
      </c>
      <c r="G64" s="14">
        <v>45804</v>
      </c>
      <c r="H64" s="13" t="s">
        <v>14</v>
      </c>
      <c r="I64" s="15" t="str">
        <f>MID(H64,6,30)</f>
        <v>Living Annuity</v>
      </c>
      <c r="J64" s="13" t="str">
        <f>IF(LEFT(I64)="L","Compulsory, LA",IF(LEFT(I64)="R","Compulsory, RA",IF(LEFT(I64,2)="Pe","Compulsory, Pens","Voluntary")))</f>
        <v>Compulsory, LA</v>
      </c>
      <c r="K64" s="13" t="s">
        <v>15</v>
      </c>
      <c r="M64" t="str">
        <f t="shared" si="39"/>
        <v>a</v>
      </c>
      <c r="N64" t="str">
        <f t="shared" si="40"/>
        <v/>
      </c>
      <c r="O64" t="str">
        <f t="shared" si="41"/>
        <v/>
      </c>
    </row>
    <row r="65" spans="1:15" s="19" customFormat="1" x14ac:dyDescent="0.3">
      <c r="A65" s="19">
        <v>100278188</v>
      </c>
      <c r="B65" s="19" t="s">
        <v>862</v>
      </c>
      <c r="C65" s="19">
        <v>300</v>
      </c>
      <c r="D65" s="19" t="s">
        <v>92</v>
      </c>
      <c r="E65" s="19" t="s">
        <v>1225</v>
      </c>
      <c r="F65" s="30">
        <v>1189.1500000000001</v>
      </c>
      <c r="G65" s="20">
        <v>45804</v>
      </c>
      <c r="H65" s="19" t="s">
        <v>14</v>
      </c>
      <c r="I65" s="21" t="str">
        <f t="shared" ref="I65" si="70">MID(H65,6,30)</f>
        <v>Living Annuity</v>
      </c>
      <c r="J65" s="19" t="str">
        <f t="shared" ref="J65" si="71">IF(LEFT(I65)="L","Compulsory, LA",IF(LEFT(I65)="R","Compulsory, RA",IF(LEFT(I65,2)="Pe","Compulsory, Pens","Voluntary")))</f>
        <v>Compulsory, LA</v>
      </c>
      <c r="K65" s="19" t="s">
        <v>15</v>
      </c>
      <c r="M65" t="str">
        <f t="shared" si="39"/>
        <v>a</v>
      </c>
      <c r="N65" t="str">
        <f t="shared" si="40"/>
        <v/>
      </c>
      <c r="O65" t="str">
        <f t="shared" si="41"/>
        <v/>
      </c>
    </row>
    <row r="66" spans="1:15" x14ac:dyDescent="0.3">
      <c r="A66">
        <v>100317997</v>
      </c>
      <c r="B66" t="s">
        <v>1220</v>
      </c>
      <c r="C66">
        <v>32</v>
      </c>
      <c r="D66" t="s">
        <v>96</v>
      </c>
      <c r="E66" t="s">
        <v>1225</v>
      </c>
      <c r="F66" s="26">
        <v>109309.34</v>
      </c>
      <c r="G66" s="3">
        <v>45804</v>
      </c>
      <c r="H66" t="s">
        <v>1174</v>
      </c>
      <c r="I66" s="4" t="str">
        <f>MID(H66,6,30)</f>
        <v>Retirement Annuity - Savings C</v>
      </c>
      <c r="J66" t="str">
        <f>IF(LEFT(I66)="L","Compulsory, LA",IF(LEFT(I66)="R","Compulsory, RA",IF(LEFT(I66,2)="Pe","Compulsory, Pens","Voluntary")))</f>
        <v>Compulsory, RA</v>
      </c>
      <c r="K66" t="s">
        <v>15</v>
      </c>
      <c r="M66" t="str">
        <f t="shared" ref="M66" si="72">RIGHT(B66,1)</f>
        <v>d</v>
      </c>
      <c r="N66" t="str">
        <f t="shared" ref="N66" si="73">IF(M66="f","FFFF","")</f>
        <v/>
      </c>
      <c r="O66" t="str">
        <f t="shared" ref="O66" si="74">IF(M66="I","IIII","")</f>
        <v/>
      </c>
    </row>
    <row r="67" spans="1:15" x14ac:dyDescent="0.3">
      <c r="A67">
        <v>100317997</v>
      </c>
      <c r="B67" t="s">
        <v>975</v>
      </c>
      <c r="C67">
        <v>32</v>
      </c>
      <c r="D67" t="s">
        <v>96</v>
      </c>
      <c r="E67" t="s">
        <v>1225</v>
      </c>
      <c r="F67" s="26">
        <v>146123.91</v>
      </c>
      <c r="G67" s="3">
        <v>45804</v>
      </c>
      <c r="H67" t="s">
        <v>26</v>
      </c>
      <c r="I67" s="4" t="str">
        <f t="shared" ref="I67" si="75">MID(H67,6,30)</f>
        <v>Retirement Annuity</v>
      </c>
      <c r="J67" t="str">
        <f t="shared" ref="J67" si="76">IF(LEFT(I67)="L","Compulsory, LA",IF(LEFT(I67)="R","Compulsory, RA",IF(LEFT(I67,2)="Pe","Compulsory, Pens","Voluntary")))</f>
        <v>Compulsory, RA</v>
      </c>
      <c r="K67" t="s">
        <v>15</v>
      </c>
      <c r="M67" t="str">
        <f t="shared" ref="M67:M96" si="77">RIGHT(B67,1)</f>
        <v>d</v>
      </c>
      <c r="N67" t="str">
        <f t="shared" ref="N67:N96" si="78">IF(M67="f","FFFF","")</f>
        <v/>
      </c>
      <c r="O67" t="str">
        <f t="shared" ref="O67:O96" si="79">IF(M67="I","IIII","")</f>
        <v/>
      </c>
    </row>
    <row r="68" spans="1:15" x14ac:dyDescent="0.3">
      <c r="A68">
        <v>100325823</v>
      </c>
      <c r="B68" t="s">
        <v>976</v>
      </c>
      <c r="C68">
        <v>114</v>
      </c>
      <c r="D68" t="s">
        <v>97</v>
      </c>
      <c r="E68" t="s">
        <v>1225</v>
      </c>
      <c r="F68" s="26">
        <v>46584.1</v>
      </c>
      <c r="G68" s="3">
        <v>45804</v>
      </c>
      <c r="H68" t="s">
        <v>14</v>
      </c>
      <c r="I68" s="4" t="str">
        <f>MID(H68,6,30)</f>
        <v>Living Annuity</v>
      </c>
      <c r="J68" t="str">
        <f>IF(LEFT(I68)="L","Compulsory, LA",IF(LEFT(I68)="R","Compulsory, RA",IF(LEFT(I68,2)="Pe","Compulsory, Pens","Voluntary")))</f>
        <v>Compulsory, LA</v>
      </c>
      <c r="K68" t="s">
        <v>15</v>
      </c>
      <c r="M68" t="str">
        <f t="shared" si="77"/>
        <v>a</v>
      </c>
      <c r="N68" t="str">
        <f t="shared" si="78"/>
        <v/>
      </c>
      <c r="O68" t="str">
        <f t="shared" si="79"/>
        <v/>
      </c>
    </row>
    <row r="69" spans="1:15" x14ac:dyDescent="0.3">
      <c r="A69">
        <v>100376880</v>
      </c>
      <c r="B69" t="s">
        <v>761</v>
      </c>
      <c r="C69">
        <v>97</v>
      </c>
      <c r="D69" t="s">
        <v>618</v>
      </c>
      <c r="E69" t="s">
        <v>1225</v>
      </c>
      <c r="F69" s="26">
        <v>265252.13</v>
      </c>
      <c r="G69" s="3">
        <v>45804</v>
      </c>
      <c r="H69" t="s">
        <v>31</v>
      </c>
      <c r="I69" s="4" t="str">
        <f t="shared" ref="I69" si="80">MID(H69,6,30)</f>
        <v>Investment Account</v>
      </c>
      <c r="J69" t="str">
        <f t="shared" ref="J69" si="81">IF(LEFT(I69)="L","Compulsory, LA",IF(LEFT(I69)="R","Compulsory, RA",IF(LEFT(I69,2)="Pe","Compulsory, Pens","Voluntary")))</f>
        <v>Voluntary</v>
      </c>
      <c r="K69" t="s">
        <v>15</v>
      </c>
      <c r="M69" t="str">
        <f t="shared" si="77"/>
        <v>a</v>
      </c>
      <c r="N69" t="str">
        <f t="shared" si="78"/>
        <v/>
      </c>
      <c r="O69" t="str">
        <f t="shared" si="79"/>
        <v/>
      </c>
    </row>
    <row r="70" spans="1:15" x14ac:dyDescent="0.3">
      <c r="A70">
        <v>100408912</v>
      </c>
      <c r="B70" t="s">
        <v>979</v>
      </c>
      <c r="C70">
        <v>297</v>
      </c>
      <c r="D70" t="s">
        <v>103</v>
      </c>
      <c r="E70" t="s">
        <v>1225</v>
      </c>
      <c r="F70" s="25">
        <v>420721.83999999997</v>
      </c>
      <c r="G70" s="3">
        <v>45804</v>
      </c>
      <c r="H70" t="s">
        <v>14</v>
      </c>
      <c r="I70" s="4" t="str">
        <f t="shared" ref="I70" si="82">MID(H70,6,30)</f>
        <v>Living Annuity</v>
      </c>
      <c r="J70" t="str">
        <f t="shared" ref="J70" si="83">IF(LEFT(I70)="L","Compulsory, LA",IF(LEFT(I70)="R","Compulsory, RA",IF(LEFT(I70,2)="Pe","Compulsory, Pens","Voluntary")))</f>
        <v>Compulsory, LA</v>
      </c>
      <c r="K70" t="s">
        <v>15</v>
      </c>
      <c r="M70" t="str">
        <f t="shared" si="77"/>
        <v>a</v>
      </c>
      <c r="N70" t="str">
        <f t="shared" si="78"/>
        <v/>
      </c>
      <c r="O70" t="str">
        <f t="shared" si="79"/>
        <v/>
      </c>
    </row>
    <row r="71" spans="1:15" x14ac:dyDescent="0.3">
      <c r="A71">
        <v>100421069</v>
      </c>
      <c r="B71" t="s">
        <v>1167</v>
      </c>
      <c r="C71">
        <v>37</v>
      </c>
      <c r="D71" t="s">
        <v>105</v>
      </c>
      <c r="E71" t="s">
        <v>1225</v>
      </c>
      <c r="F71" s="26">
        <v>345444.95999999996</v>
      </c>
      <c r="G71" s="3">
        <v>45804</v>
      </c>
      <c r="H71" t="s">
        <v>31</v>
      </c>
      <c r="I71" s="4" t="str">
        <f t="shared" ref="I71" si="84">MID(H71,6,30)</f>
        <v>Investment Account</v>
      </c>
      <c r="J71" t="str">
        <f t="shared" ref="J71" si="85">IF(LEFT(I71)="L","Compulsory, LA",IF(LEFT(I71)="R","Compulsory, RA",IF(LEFT(I71,2)="Pe","Compulsory, Pens","Voluntary")))</f>
        <v>Voluntary</v>
      </c>
      <c r="K71" t="s">
        <v>15</v>
      </c>
      <c r="M71" t="str">
        <f t="shared" si="77"/>
        <v>f</v>
      </c>
      <c r="N71" t="str">
        <f t="shared" si="78"/>
        <v>FFFF</v>
      </c>
      <c r="O71" t="str">
        <f t="shared" si="79"/>
        <v/>
      </c>
    </row>
    <row r="72" spans="1:15" s="13" customFormat="1" x14ac:dyDescent="0.3">
      <c r="A72" s="13">
        <v>100421069</v>
      </c>
      <c r="B72" s="13" t="s">
        <v>980</v>
      </c>
      <c r="C72" s="13">
        <v>37</v>
      </c>
      <c r="D72" s="13" t="s">
        <v>105</v>
      </c>
      <c r="E72" s="13" t="s">
        <v>1225</v>
      </c>
      <c r="F72" s="27">
        <v>28193.65</v>
      </c>
      <c r="G72" s="14">
        <v>45804</v>
      </c>
      <c r="H72" s="13" t="s">
        <v>14</v>
      </c>
      <c r="I72" s="15" t="str">
        <f t="shared" ref="I72" si="86">MID(H72,6,30)</f>
        <v>Living Annuity</v>
      </c>
      <c r="J72" s="13" t="str">
        <f t="shared" ref="J72" si="87">IF(LEFT(I72)="L","Compulsory, LA",IF(LEFT(I72)="R","Compulsory, RA",IF(LEFT(I72,2)="Pe","Compulsory, Pens","Voluntary")))</f>
        <v>Compulsory, LA</v>
      </c>
      <c r="K72" s="13" t="s">
        <v>15</v>
      </c>
      <c r="M72" t="str">
        <f t="shared" si="77"/>
        <v>a</v>
      </c>
      <c r="N72" t="str">
        <f t="shared" si="78"/>
        <v/>
      </c>
      <c r="O72" t="str">
        <f t="shared" si="79"/>
        <v/>
      </c>
    </row>
    <row r="73" spans="1:15" x14ac:dyDescent="0.3">
      <c r="A73">
        <v>100421069</v>
      </c>
      <c r="B73" t="s">
        <v>801</v>
      </c>
      <c r="C73">
        <v>37</v>
      </c>
      <c r="D73" t="s">
        <v>105</v>
      </c>
      <c r="E73" t="s">
        <v>1225</v>
      </c>
      <c r="F73" s="26">
        <v>290.02</v>
      </c>
      <c r="G73" s="3">
        <v>45804</v>
      </c>
      <c r="H73" t="s">
        <v>14</v>
      </c>
      <c r="I73" s="4" t="str">
        <f t="shared" ref="I73" si="88">MID(H73,6,30)</f>
        <v>Living Annuity</v>
      </c>
      <c r="J73" t="str">
        <f t="shared" ref="J73" si="89">IF(LEFT(I73)="L","Compulsory, LA",IF(LEFT(I73)="R","Compulsory, RA",IF(LEFT(I73,2)="Pe","Compulsory, Pens","Voluntary")))</f>
        <v>Compulsory, LA</v>
      </c>
      <c r="K73" t="s">
        <v>15</v>
      </c>
      <c r="M73" t="str">
        <f t="shared" si="77"/>
        <v>a</v>
      </c>
      <c r="N73" t="str">
        <f t="shared" si="78"/>
        <v/>
      </c>
      <c r="O73" t="str">
        <f t="shared" si="79"/>
        <v/>
      </c>
    </row>
    <row r="74" spans="1:15" x14ac:dyDescent="0.3">
      <c r="A74">
        <v>100463771</v>
      </c>
      <c r="B74" t="s">
        <v>820</v>
      </c>
      <c r="C74">
        <v>42</v>
      </c>
      <c r="D74" t="s">
        <v>726</v>
      </c>
      <c r="E74" t="s">
        <v>1225</v>
      </c>
      <c r="F74" s="26">
        <v>40964.03</v>
      </c>
      <c r="G74" s="3">
        <v>45804</v>
      </c>
      <c r="H74" t="s">
        <v>31</v>
      </c>
      <c r="I74" s="4" t="str">
        <f t="shared" ref="I74" si="90">MID(H74,6,30)</f>
        <v>Investment Account</v>
      </c>
      <c r="J74" t="str">
        <f t="shared" ref="J74" si="91">IF(LEFT(I74)="L","Compulsory, LA",IF(LEFT(I74)="R","Compulsory, RA",IF(LEFT(I74,2)="Pe","Compulsory, Pens","Voluntary")))</f>
        <v>Voluntary</v>
      </c>
      <c r="K74" t="s">
        <v>15</v>
      </c>
      <c r="M74" t="str">
        <f t="shared" si="77"/>
        <v>f</v>
      </c>
      <c r="N74" t="str">
        <f t="shared" si="78"/>
        <v>FFFF</v>
      </c>
      <c r="O74" t="str">
        <f t="shared" si="79"/>
        <v/>
      </c>
    </row>
    <row r="75" spans="1:15" x14ac:dyDescent="0.3">
      <c r="A75">
        <v>100492707</v>
      </c>
      <c r="B75" t="s">
        <v>982</v>
      </c>
      <c r="C75">
        <v>233</v>
      </c>
      <c r="D75" t="s">
        <v>107</v>
      </c>
      <c r="E75" t="s">
        <v>1225</v>
      </c>
      <c r="F75" s="26">
        <v>30517.300000000003</v>
      </c>
      <c r="G75" s="3">
        <v>45804</v>
      </c>
      <c r="H75" t="s">
        <v>14</v>
      </c>
      <c r="I75" s="4" t="str">
        <f t="shared" ref="I75:I80" si="92">MID(H75,6,30)</f>
        <v>Living Annuity</v>
      </c>
      <c r="J75" t="str">
        <f t="shared" ref="J75:J80" si="93">IF(LEFT(I75)="L","Compulsory, LA",IF(LEFT(I75)="R","Compulsory, RA",IF(LEFT(I75,2)="Pe","Compulsory, Pens","Voluntary")))</f>
        <v>Compulsory, LA</v>
      </c>
      <c r="K75" t="s">
        <v>15</v>
      </c>
      <c r="M75" t="str">
        <f t="shared" si="77"/>
        <v>a</v>
      </c>
      <c r="N75" t="str">
        <f t="shared" si="78"/>
        <v/>
      </c>
      <c r="O75" t="str">
        <f t="shared" si="79"/>
        <v/>
      </c>
    </row>
    <row r="76" spans="1:15" x14ac:dyDescent="0.3">
      <c r="A76">
        <v>100497270</v>
      </c>
      <c r="B76" t="s">
        <v>1189</v>
      </c>
      <c r="C76">
        <v>364</v>
      </c>
      <c r="D76" t="s">
        <v>109</v>
      </c>
      <c r="E76" t="s">
        <v>1225</v>
      </c>
      <c r="F76" s="26">
        <v>16994.329999999998</v>
      </c>
      <c r="G76" s="3">
        <v>45804</v>
      </c>
      <c r="H76" t="s">
        <v>1174</v>
      </c>
      <c r="I76" s="4" t="str">
        <f t="shared" si="92"/>
        <v>Retirement Annuity - Savings C</v>
      </c>
      <c r="J76" t="str">
        <f t="shared" si="93"/>
        <v>Compulsory, RA</v>
      </c>
      <c r="K76" t="s">
        <v>15</v>
      </c>
      <c r="M76" t="str">
        <f t="shared" si="77"/>
        <v>d</v>
      </c>
      <c r="N76" t="str">
        <f t="shared" si="78"/>
        <v/>
      </c>
      <c r="O76" t="str">
        <f t="shared" si="79"/>
        <v/>
      </c>
    </row>
    <row r="77" spans="1:15" x14ac:dyDescent="0.3">
      <c r="A77">
        <v>100497270</v>
      </c>
      <c r="B77" t="s">
        <v>1189</v>
      </c>
      <c r="C77">
        <v>364</v>
      </c>
      <c r="D77" t="s">
        <v>109</v>
      </c>
      <c r="E77" t="s">
        <v>1225</v>
      </c>
      <c r="F77" s="26">
        <v>181.12</v>
      </c>
      <c r="G77" s="3">
        <v>45804</v>
      </c>
      <c r="H77" t="s">
        <v>1174</v>
      </c>
      <c r="I77" s="4" t="str">
        <f t="shared" ref="I77:I78" si="94">MID(H77,6,30)</f>
        <v>Retirement Annuity - Savings C</v>
      </c>
      <c r="J77" t="str">
        <f t="shared" ref="J77:J78" si="95">IF(LEFT(I77)="L","Compulsory, LA",IF(LEFT(I77)="R","Compulsory, RA",IF(LEFT(I77,2)="Pe","Compulsory, Pens","Voluntary")))</f>
        <v>Compulsory, RA</v>
      </c>
      <c r="K77" t="s">
        <v>15</v>
      </c>
      <c r="M77" t="str">
        <f t="shared" si="77"/>
        <v>d</v>
      </c>
      <c r="N77" t="str">
        <f t="shared" si="78"/>
        <v/>
      </c>
      <c r="O77" t="str">
        <f t="shared" si="79"/>
        <v/>
      </c>
    </row>
    <row r="78" spans="1:15" x14ac:dyDescent="0.3">
      <c r="A78">
        <v>100497270</v>
      </c>
      <c r="B78" t="s">
        <v>983</v>
      </c>
      <c r="C78">
        <v>364</v>
      </c>
      <c r="D78" t="s">
        <v>109</v>
      </c>
      <c r="E78" t="s">
        <v>1225</v>
      </c>
      <c r="F78" s="26">
        <v>24062.07</v>
      </c>
      <c r="G78" s="3">
        <v>45804</v>
      </c>
      <c r="H78" t="s">
        <v>26</v>
      </c>
      <c r="I78" s="4" t="str">
        <f t="shared" si="94"/>
        <v>Retirement Annuity</v>
      </c>
      <c r="J78" t="str">
        <f t="shared" si="95"/>
        <v>Compulsory, RA</v>
      </c>
      <c r="K78" t="s">
        <v>15</v>
      </c>
      <c r="M78" t="str">
        <f t="shared" si="77"/>
        <v>d</v>
      </c>
      <c r="N78" t="str">
        <f t="shared" si="78"/>
        <v/>
      </c>
      <c r="O78" t="str">
        <f t="shared" si="79"/>
        <v/>
      </c>
    </row>
    <row r="79" spans="1:15" x14ac:dyDescent="0.3">
      <c r="A79">
        <v>100562496</v>
      </c>
      <c r="B79" t="s">
        <v>984</v>
      </c>
      <c r="C79">
        <v>381</v>
      </c>
      <c r="D79" t="s">
        <v>981</v>
      </c>
      <c r="E79" t="s">
        <v>1225</v>
      </c>
      <c r="F79" s="26">
        <v>19370.160000000003</v>
      </c>
      <c r="G79" s="3">
        <v>45804</v>
      </c>
      <c r="H79" t="s">
        <v>26</v>
      </c>
      <c r="I79" s="4" t="str">
        <f t="shared" si="92"/>
        <v>Retirement Annuity</v>
      </c>
      <c r="J79" t="str">
        <f t="shared" si="93"/>
        <v>Compulsory, RA</v>
      </c>
      <c r="K79" t="s">
        <v>15</v>
      </c>
      <c r="M79" t="str">
        <f t="shared" si="77"/>
        <v>d</v>
      </c>
      <c r="N79" t="str">
        <f t="shared" si="78"/>
        <v/>
      </c>
      <c r="O79" t="str">
        <f t="shared" si="79"/>
        <v/>
      </c>
    </row>
    <row r="80" spans="1:15" x14ac:dyDescent="0.3">
      <c r="A80">
        <v>100562496</v>
      </c>
      <c r="B80" t="s">
        <v>1191</v>
      </c>
      <c r="C80">
        <v>381</v>
      </c>
      <c r="D80" t="s">
        <v>981</v>
      </c>
      <c r="E80" t="s">
        <v>1225</v>
      </c>
      <c r="F80" s="26">
        <v>17168.47</v>
      </c>
      <c r="G80" s="3">
        <v>45804</v>
      </c>
      <c r="H80" t="s">
        <v>1175</v>
      </c>
      <c r="I80" s="4" t="str">
        <f t="shared" si="92"/>
        <v>Retirement Annuity - Retiremen</v>
      </c>
      <c r="J80" t="str">
        <f t="shared" si="93"/>
        <v>Compulsory, RA</v>
      </c>
      <c r="K80" t="s">
        <v>15</v>
      </c>
      <c r="M80" t="str">
        <f>RIGHT(B80,1)</f>
        <v>d</v>
      </c>
      <c r="N80" t="str">
        <f>IF(M80="f","FFFF","")</f>
        <v/>
      </c>
      <c r="O80" t="str">
        <f>IF(M80="I","IIII","")</f>
        <v/>
      </c>
    </row>
    <row r="81" spans="1:15" x14ac:dyDescent="0.3">
      <c r="A81">
        <v>100562496</v>
      </c>
      <c r="B81" t="s">
        <v>1190</v>
      </c>
      <c r="C81">
        <v>381</v>
      </c>
      <c r="D81" t="s">
        <v>981</v>
      </c>
      <c r="E81" t="s">
        <v>1225</v>
      </c>
      <c r="F81" s="26">
        <v>21412.48</v>
      </c>
      <c r="G81" s="3">
        <v>45804</v>
      </c>
      <c r="H81" t="s">
        <v>1174</v>
      </c>
      <c r="I81" s="4" t="str">
        <f t="shared" ref="I81:I82" si="96">MID(H81,6,30)</f>
        <v>Retirement Annuity - Savings C</v>
      </c>
      <c r="J81" t="str">
        <f t="shared" ref="J81:J82" si="97">IF(LEFT(I81)="L","Compulsory, LA",IF(LEFT(I81)="R","Compulsory, RA",IF(LEFT(I81,2)="Pe","Compulsory, Pens","Voluntary")))</f>
        <v>Compulsory, RA</v>
      </c>
      <c r="K81" t="s">
        <v>15</v>
      </c>
      <c r="M81" t="str">
        <f t="shared" si="77"/>
        <v>d</v>
      </c>
      <c r="N81" t="str">
        <f t="shared" si="78"/>
        <v/>
      </c>
      <c r="O81" t="str">
        <f t="shared" si="79"/>
        <v/>
      </c>
    </row>
    <row r="82" spans="1:15" x14ac:dyDescent="0.3">
      <c r="A82">
        <v>100562496</v>
      </c>
      <c r="B82" t="s">
        <v>1190</v>
      </c>
      <c r="C82">
        <v>381</v>
      </c>
      <c r="D82" t="s">
        <v>981</v>
      </c>
      <c r="E82" t="s">
        <v>1225</v>
      </c>
      <c r="F82" s="26">
        <v>3043.6000000000004</v>
      </c>
      <c r="G82" s="3">
        <v>45804</v>
      </c>
      <c r="H82" t="s">
        <v>1174</v>
      </c>
      <c r="I82" s="4" t="str">
        <f t="shared" si="96"/>
        <v>Retirement Annuity - Savings C</v>
      </c>
      <c r="J82" t="str">
        <f t="shared" si="97"/>
        <v>Compulsory, RA</v>
      </c>
      <c r="K82" t="s">
        <v>15</v>
      </c>
      <c r="M82" t="str">
        <f t="shared" si="77"/>
        <v>d</v>
      </c>
      <c r="N82" t="str">
        <f t="shared" si="78"/>
        <v/>
      </c>
      <c r="O82" t="str">
        <f t="shared" si="79"/>
        <v/>
      </c>
    </row>
    <row r="83" spans="1:15" s="13" customFormat="1" x14ac:dyDescent="0.3">
      <c r="A83" s="13">
        <v>100596197</v>
      </c>
      <c r="B83" s="13" t="s">
        <v>766</v>
      </c>
      <c r="C83" s="13">
        <v>50</v>
      </c>
      <c r="D83" s="13" t="s">
        <v>622</v>
      </c>
      <c r="E83" s="13" t="s">
        <v>1225</v>
      </c>
      <c r="F83" s="28">
        <v>50052.790000000008</v>
      </c>
      <c r="G83" s="14">
        <v>45804</v>
      </c>
      <c r="H83" s="13" t="s">
        <v>31</v>
      </c>
      <c r="I83" s="15" t="str">
        <f t="shared" ref="I83:I183" si="98">MID(H83,6,30)</f>
        <v>Investment Account</v>
      </c>
      <c r="J83" s="13" t="str">
        <f t="shared" ref="J83:J183" si="99">IF(LEFT(I83)="L","Compulsory, LA",IF(LEFT(I83)="R","Compulsory, RA",IF(LEFT(I83,2)="Pe","Compulsory, Pens","Voluntary")))</f>
        <v>Voluntary</v>
      </c>
      <c r="K83" s="13" t="s">
        <v>15</v>
      </c>
      <c r="M83" t="str">
        <f t="shared" si="77"/>
        <v>a</v>
      </c>
      <c r="N83" t="str">
        <f t="shared" si="78"/>
        <v/>
      </c>
      <c r="O83" t="str">
        <f t="shared" si="79"/>
        <v/>
      </c>
    </row>
    <row r="84" spans="1:15" x14ac:dyDescent="0.3">
      <c r="A84">
        <v>100630705</v>
      </c>
      <c r="B84" t="s">
        <v>767</v>
      </c>
      <c r="C84">
        <v>248</v>
      </c>
      <c r="D84" t="s">
        <v>721</v>
      </c>
      <c r="E84" t="s">
        <v>1225</v>
      </c>
      <c r="F84" s="26">
        <v>68460.89</v>
      </c>
      <c r="G84" s="3">
        <v>45804</v>
      </c>
      <c r="H84" t="s">
        <v>31</v>
      </c>
      <c r="I84" s="4" t="str">
        <f t="shared" ref="I84" si="100">MID(H84,6,30)</f>
        <v>Investment Account</v>
      </c>
      <c r="J84" t="str">
        <f t="shared" ref="J84" si="101">IF(LEFT(I84)="L","Compulsory, LA",IF(LEFT(I84)="R","Compulsory, RA",IF(LEFT(I84,2)="Pe","Compulsory, Pens","Voluntary")))</f>
        <v>Voluntary</v>
      </c>
      <c r="K84" t="s">
        <v>15</v>
      </c>
      <c r="M84" t="str">
        <f t="shared" si="77"/>
        <v>a</v>
      </c>
      <c r="N84" t="str">
        <f t="shared" si="78"/>
        <v/>
      </c>
      <c r="O84" t="str">
        <f t="shared" si="79"/>
        <v/>
      </c>
    </row>
    <row r="85" spans="1:15" x14ac:dyDescent="0.3">
      <c r="A85">
        <v>100637079</v>
      </c>
      <c r="B85" t="s">
        <v>816</v>
      </c>
      <c r="C85">
        <v>7</v>
      </c>
      <c r="D85" t="s">
        <v>722</v>
      </c>
      <c r="E85" t="s">
        <v>1225</v>
      </c>
      <c r="F85" s="26">
        <v>7014.09</v>
      </c>
      <c r="G85" s="3">
        <v>45804</v>
      </c>
      <c r="H85" t="s">
        <v>26</v>
      </c>
      <c r="I85" s="4" t="str">
        <f t="shared" ref="I85" si="102">MID(H85,6,30)</f>
        <v>Retirement Annuity</v>
      </c>
      <c r="J85" t="str">
        <f t="shared" ref="J85" si="103">IF(LEFT(I85)="L","Compulsory, LA",IF(LEFT(I85)="R","Compulsory, RA",IF(LEFT(I85,2)="Pe","Compulsory, Pens","Voluntary")))</f>
        <v>Compulsory, RA</v>
      </c>
      <c r="K85" t="s">
        <v>15</v>
      </c>
      <c r="M85" t="str">
        <f t="shared" si="77"/>
        <v>d</v>
      </c>
      <c r="N85" t="str">
        <f t="shared" si="78"/>
        <v/>
      </c>
      <c r="O85" t="str">
        <f t="shared" si="79"/>
        <v/>
      </c>
    </row>
    <row r="86" spans="1:15" x14ac:dyDescent="0.3">
      <c r="A86">
        <v>100637079</v>
      </c>
      <c r="B86" t="s">
        <v>817</v>
      </c>
      <c r="C86">
        <v>7</v>
      </c>
      <c r="D86" t="s">
        <v>722</v>
      </c>
      <c r="E86" t="s">
        <v>1225</v>
      </c>
      <c r="F86" s="26">
        <v>102637.05</v>
      </c>
      <c r="G86" s="3">
        <v>45804</v>
      </c>
      <c r="H86" t="s">
        <v>26</v>
      </c>
      <c r="I86" s="4" t="str">
        <f t="shared" ref="I86:I91" si="104">MID(H86,6,30)</f>
        <v>Retirement Annuity</v>
      </c>
      <c r="J86" t="str">
        <f t="shared" ref="J86:J91" si="105">IF(LEFT(I86)="L","Compulsory, LA",IF(LEFT(I86)="R","Compulsory, RA",IF(LEFT(I86,2)="Pe","Compulsory, Pens","Voluntary")))</f>
        <v>Compulsory, RA</v>
      </c>
      <c r="K86" t="s">
        <v>15</v>
      </c>
      <c r="M86" t="str">
        <f t="shared" si="77"/>
        <v>d</v>
      </c>
      <c r="N86" t="str">
        <f t="shared" si="78"/>
        <v/>
      </c>
      <c r="O86" t="str">
        <f t="shared" si="79"/>
        <v/>
      </c>
    </row>
    <row r="87" spans="1:15" x14ac:dyDescent="0.3">
      <c r="A87">
        <v>100637079</v>
      </c>
      <c r="B87" t="s">
        <v>1192</v>
      </c>
      <c r="C87">
        <v>7</v>
      </c>
      <c r="D87" t="s">
        <v>722</v>
      </c>
      <c r="E87" t="s">
        <v>1225</v>
      </c>
      <c r="F87" s="26">
        <v>532.42999999999995</v>
      </c>
      <c r="G87" s="3">
        <v>45804</v>
      </c>
      <c r="H87" t="s">
        <v>1174</v>
      </c>
      <c r="I87" s="4" t="str">
        <f t="shared" ref="I87:I90" si="106">MID(H87,6,30)</f>
        <v>Retirement Annuity - Savings C</v>
      </c>
      <c r="J87" t="str">
        <f t="shared" ref="J87:J90" si="107">IF(LEFT(I87)="L","Compulsory, LA",IF(LEFT(I87)="R","Compulsory, RA",IF(LEFT(I87,2)="Pe","Compulsory, Pens","Voluntary")))</f>
        <v>Compulsory, RA</v>
      </c>
      <c r="K87" t="s">
        <v>15</v>
      </c>
      <c r="M87" t="str">
        <f t="shared" si="77"/>
        <v>d</v>
      </c>
      <c r="N87" t="str">
        <f t="shared" si="78"/>
        <v/>
      </c>
      <c r="O87" t="str">
        <f t="shared" si="79"/>
        <v/>
      </c>
    </row>
    <row r="88" spans="1:15" x14ac:dyDescent="0.3">
      <c r="A88">
        <v>100637079</v>
      </c>
      <c r="B88" t="s">
        <v>1192</v>
      </c>
      <c r="C88">
        <v>7</v>
      </c>
      <c r="D88" t="s">
        <v>722</v>
      </c>
      <c r="E88" t="s">
        <v>1225</v>
      </c>
      <c r="F88" s="26">
        <v>101621.01</v>
      </c>
      <c r="G88" s="3">
        <v>45804</v>
      </c>
      <c r="H88" t="s">
        <v>1174</v>
      </c>
      <c r="I88" s="4" t="str">
        <f t="shared" si="106"/>
        <v>Retirement Annuity - Savings C</v>
      </c>
      <c r="J88" t="str">
        <f t="shared" si="107"/>
        <v>Compulsory, RA</v>
      </c>
      <c r="K88" t="s">
        <v>15</v>
      </c>
      <c r="M88" t="str">
        <f t="shared" si="77"/>
        <v>d</v>
      </c>
      <c r="N88" t="str">
        <f t="shared" si="78"/>
        <v/>
      </c>
      <c r="O88" t="str">
        <f t="shared" si="79"/>
        <v/>
      </c>
    </row>
    <row r="89" spans="1:15" x14ac:dyDescent="0.3">
      <c r="A89">
        <v>100637079</v>
      </c>
      <c r="B89" t="s">
        <v>1193</v>
      </c>
      <c r="C89">
        <v>7</v>
      </c>
      <c r="D89" t="s">
        <v>722</v>
      </c>
      <c r="E89" t="s">
        <v>1225</v>
      </c>
      <c r="F89" s="26">
        <v>44431.83</v>
      </c>
      <c r="G89" s="3">
        <v>45804</v>
      </c>
      <c r="H89" t="s">
        <v>1174</v>
      </c>
      <c r="I89" s="4" t="str">
        <f t="shared" si="106"/>
        <v>Retirement Annuity - Savings C</v>
      </c>
      <c r="J89" t="str">
        <f t="shared" si="107"/>
        <v>Compulsory, RA</v>
      </c>
      <c r="K89" t="s">
        <v>15</v>
      </c>
      <c r="M89" t="str">
        <f t="shared" si="77"/>
        <v>d</v>
      </c>
      <c r="N89" t="str">
        <f t="shared" si="78"/>
        <v/>
      </c>
      <c r="O89" t="str">
        <f t="shared" si="79"/>
        <v/>
      </c>
    </row>
    <row r="90" spans="1:15" x14ac:dyDescent="0.3">
      <c r="A90">
        <v>100637079</v>
      </c>
      <c r="B90" t="s">
        <v>1193</v>
      </c>
      <c r="C90">
        <v>7</v>
      </c>
      <c r="D90" t="s">
        <v>722</v>
      </c>
      <c r="E90" t="s">
        <v>1225</v>
      </c>
      <c r="F90" s="26">
        <v>66240.92</v>
      </c>
      <c r="G90" s="3">
        <v>45804</v>
      </c>
      <c r="H90" t="s">
        <v>1174</v>
      </c>
      <c r="I90" s="4" t="str">
        <f t="shared" si="106"/>
        <v>Retirement Annuity - Savings C</v>
      </c>
      <c r="J90" t="str">
        <f t="shared" si="107"/>
        <v>Compulsory, RA</v>
      </c>
      <c r="K90" t="s">
        <v>15</v>
      </c>
      <c r="M90" t="str">
        <f t="shared" si="77"/>
        <v>d</v>
      </c>
      <c r="N90" t="str">
        <f t="shared" si="78"/>
        <v/>
      </c>
      <c r="O90" t="str">
        <f t="shared" si="79"/>
        <v/>
      </c>
    </row>
    <row r="91" spans="1:15" x14ac:dyDescent="0.3">
      <c r="A91">
        <v>100641153</v>
      </c>
      <c r="B91" t="s">
        <v>768</v>
      </c>
      <c r="C91">
        <v>455</v>
      </c>
      <c r="D91" t="s">
        <v>725</v>
      </c>
      <c r="E91" t="s">
        <v>1225</v>
      </c>
      <c r="F91" s="26">
        <v>332.26</v>
      </c>
      <c r="G91" s="3">
        <v>45804</v>
      </c>
      <c r="H91" t="s">
        <v>14</v>
      </c>
      <c r="I91" s="4" t="str">
        <f t="shared" si="104"/>
        <v>Living Annuity</v>
      </c>
      <c r="J91" t="str">
        <f t="shared" si="105"/>
        <v>Compulsory, LA</v>
      </c>
      <c r="K91" t="s">
        <v>15</v>
      </c>
      <c r="M91" t="str">
        <f t="shared" si="77"/>
        <v>a</v>
      </c>
      <c r="N91" t="str">
        <f t="shared" si="78"/>
        <v/>
      </c>
      <c r="O91" t="str">
        <f t="shared" si="79"/>
        <v/>
      </c>
    </row>
    <row r="92" spans="1:15" s="13" customFormat="1" x14ac:dyDescent="0.3">
      <c r="A92" s="13">
        <v>100651305</v>
      </c>
      <c r="B92" s="13" t="s">
        <v>769</v>
      </c>
      <c r="C92" s="13">
        <v>82</v>
      </c>
      <c r="D92" s="13" t="s">
        <v>727</v>
      </c>
      <c r="E92" s="13" t="s">
        <v>1225</v>
      </c>
      <c r="F92" s="28">
        <v>65106.310000000005</v>
      </c>
      <c r="G92" s="14">
        <v>45804</v>
      </c>
      <c r="H92" s="13" t="s">
        <v>31</v>
      </c>
      <c r="I92" s="15" t="str">
        <f t="shared" ref="I92" si="108">MID(H92,6,30)</f>
        <v>Investment Account</v>
      </c>
      <c r="J92" s="13" t="str">
        <f t="shared" ref="J92" si="109">IF(LEFT(I92)="L","Compulsory, LA",IF(LEFT(I92)="R","Compulsory, RA",IF(LEFT(I92,2)="Pe","Compulsory, Pens","Voluntary")))</f>
        <v>Voluntary</v>
      </c>
      <c r="K92" s="13" t="s">
        <v>15</v>
      </c>
      <c r="M92" t="str">
        <f t="shared" si="77"/>
        <v>a</v>
      </c>
      <c r="N92" t="str">
        <f t="shared" si="78"/>
        <v/>
      </c>
      <c r="O92" t="str">
        <f t="shared" si="79"/>
        <v/>
      </c>
    </row>
    <row r="93" spans="1:15" x14ac:dyDescent="0.3">
      <c r="A93">
        <v>100651921</v>
      </c>
      <c r="B93" t="s">
        <v>987</v>
      </c>
      <c r="C93">
        <v>13</v>
      </c>
      <c r="D93" t="s">
        <v>732</v>
      </c>
      <c r="E93" t="s">
        <v>1225</v>
      </c>
      <c r="F93" s="26">
        <v>29779.35</v>
      </c>
      <c r="G93" s="3">
        <v>45804</v>
      </c>
      <c r="H93" t="s">
        <v>31</v>
      </c>
      <c r="I93" s="4" t="str">
        <f>MID(H93,6,30)</f>
        <v>Investment Account</v>
      </c>
      <c r="J93" t="str">
        <f>IF(LEFT(I93)="L","Compulsory, LA",IF(LEFT(I93)="R","Compulsory, RA",IF(LEFT(I93,2)="Pe","Compulsory, Pens","Voluntary")))</f>
        <v>Voluntary</v>
      </c>
      <c r="K93" t="s">
        <v>15</v>
      </c>
      <c r="M93" t="str">
        <f t="shared" si="77"/>
        <v>a</v>
      </c>
      <c r="N93" t="str">
        <f t="shared" si="78"/>
        <v/>
      </c>
      <c r="O93" t="str">
        <f t="shared" si="79"/>
        <v/>
      </c>
    </row>
    <row r="94" spans="1:15" x14ac:dyDescent="0.3">
      <c r="A94">
        <v>100651921</v>
      </c>
      <c r="B94" t="s">
        <v>988</v>
      </c>
      <c r="C94">
        <v>13</v>
      </c>
      <c r="D94" t="s">
        <v>732</v>
      </c>
      <c r="E94" t="s">
        <v>1225</v>
      </c>
      <c r="F94" s="26">
        <v>137927.35999999999</v>
      </c>
      <c r="G94" s="3">
        <v>45804</v>
      </c>
      <c r="H94" t="s">
        <v>31</v>
      </c>
      <c r="I94" s="4" t="str">
        <f t="shared" ref="I94" si="110">MID(H94,6,30)</f>
        <v>Investment Account</v>
      </c>
      <c r="J94" t="str">
        <f t="shared" ref="J94" si="111">IF(LEFT(I94)="L","Compulsory, LA",IF(LEFT(I94)="R","Compulsory, RA",IF(LEFT(I94,2)="Pe","Compulsory, Pens","Voluntary")))</f>
        <v>Voluntary</v>
      </c>
      <c r="K94" t="s">
        <v>15</v>
      </c>
      <c r="M94" t="str">
        <f t="shared" si="77"/>
        <v>a</v>
      </c>
      <c r="N94" t="str">
        <f t="shared" si="78"/>
        <v/>
      </c>
      <c r="O94" t="str">
        <f t="shared" si="79"/>
        <v/>
      </c>
    </row>
    <row r="95" spans="1:15" x14ac:dyDescent="0.3">
      <c r="A95">
        <v>100655835</v>
      </c>
      <c r="B95" t="s">
        <v>770</v>
      </c>
      <c r="C95">
        <v>456</v>
      </c>
      <c r="D95" t="s">
        <v>731</v>
      </c>
      <c r="E95" t="s">
        <v>1225</v>
      </c>
      <c r="F95" s="26">
        <v>210.16</v>
      </c>
      <c r="G95" s="3">
        <v>45804</v>
      </c>
      <c r="H95" t="s">
        <v>14</v>
      </c>
      <c r="I95" s="4" t="str">
        <f t="shared" ref="I95" si="112">MID(H95,6,30)</f>
        <v>Living Annuity</v>
      </c>
      <c r="J95" t="str">
        <f t="shared" ref="J95" si="113">IF(LEFT(I95)="L","Compulsory, LA",IF(LEFT(I95)="R","Compulsory, RA",IF(LEFT(I95,2)="Pe","Compulsory, Pens","Voluntary")))</f>
        <v>Compulsory, LA</v>
      </c>
      <c r="K95" t="s">
        <v>15</v>
      </c>
      <c r="M95" t="str">
        <f t="shared" si="77"/>
        <v>a</v>
      </c>
      <c r="N95" t="str">
        <f t="shared" si="78"/>
        <v/>
      </c>
      <c r="O95" t="str">
        <f t="shared" si="79"/>
        <v/>
      </c>
    </row>
    <row r="96" spans="1:15" x14ac:dyDescent="0.3">
      <c r="A96">
        <v>100663638</v>
      </c>
      <c r="B96" t="s">
        <v>1161</v>
      </c>
      <c r="C96">
        <v>58</v>
      </c>
      <c r="D96" t="s">
        <v>802</v>
      </c>
      <c r="E96" t="s">
        <v>1225</v>
      </c>
      <c r="F96" s="26">
        <v>156258.72</v>
      </c>
      <c r="G96" s="3">
        <v>45804</v>
      </c>
      <c r="H96" t="s">
        <v>1147</v>
      </c>
      <c r="I96" s="4" t="str">
        <f t="shared" ref="I96" si="114">MID(H96,6,30)</f>
        <v>Investment Account</v>
      </c>
      <c r="J96" t="str">
        <f t="shared" ref="J96" si="115">IF(LEFT(I96)="L","Compulsory, LA",IF(LEFT(I96)="R","Compulsory, RA",IF(LEFT(I96,2)="Pe","Compulsory, Pens","Voluntary")))</f>
        <v>Voluntary</v>
      </c>
      <c r="K96" t="s">
        <v>15</v>
      </c>
      <c r="M96" t="str">
        <f t="shared" si="77"/>
        <v>a</v>
      </c>
      <c r="N96" t="str">
        <f t="shared" si="78"/>
        <v/>
      </c>
      <c r="O96" t="str">
        <f t="shared" si="79"/>
        <v/>
      </c>
    </row>
    <row r="97" spans="1:15" x14ac:dyDescent="0.3">
      <c r="A97">
        <v>100663638</v>
      </c>
      <c r="B97" t="s">
        <v>804</v>
      </c>
      <c r="C97">
        <v>58</v>
      </c>
      <c r="D97" t="s">
        <v>802</v>
      </c>
      <c r="E97" t="s">
        <v>1225</v>
      </c>
      <c r="F97" s="26">
        <v>2060.6999999999998</v>
      </c>
      <c r="G97" s="3">
        <v>45804</v>
      </c>
      <c r="H97" t="s">
        <v>14</v>
      </c>
      <c r="I97" s="4" t="str">
        <f t="shared" ref="I97" si="116">MID(H97,6,30)</f>
        <v>Living Annuity</v>
      </c>
      <c r="J97" t="str">
        <f t="shared" ref="J97" si="117">IF(LEFT(I97)="L","Compulsory, LA",IF(LEFT(I97)="R","Compulsory, RA",IF(LEFT(I97,2)="Pe","Compulsory, Pens","Voluntary")))</f>
        <v>Compulsory, LA</v>
      </c>
      <c r="K97" t="s">
        <v>15</v>
      </c>
      <c r="M97" t="str">
        <f t="shared" ref="M97:M133" si="118">RIGHT(B97,1)</f>
        <v>a</v>
      </c>
      <c r="N97" t="str">
        <f t="shared" ref="N97:N133" si="119">IF(M97="f","FFFF","")</f>
        <v/>
      </c>
      <c r="O97" t="str">
        <f t="shared" ref="O97:O133" si="120">IF(M97="I","IIII","")</f>
        <v/>
      </c>
    </row>
    <row r="98" spans="1:15" x14ac:dyDescent="0.3">
      <c r="A98">
        <v>100663638</v>
      </c>
      <c r="B98" t="s">
        <v>863</v>
      </c>
      <c r="C98">
        <v>58</v>
      </c>
      <c r="D98" t="s">
        <v>802</v>
      </c>
      <c r="E98" t="s">
        <v>1225</v>
      </c>
      <c r="F98" s="26">
        <v>20359.22</v>
      </c>
      <c r="G98" s="3">
        <v>45804</v>
      </c>
      <c r="H98" t="s">
        <v>14</v>
      </c>
      <c r="I98" s="4" t="str">
        <f t="shared" ref="I98" si="121">MID(H98,6,30)</f>
        <v>Living Annuity</v>
      </c>
      <c r="J98" t="str">
        <f t="shared" ref="J98" si="122">IF(LEFT(I98)="L","Compulsory, LA",IF(LEFT(I98)="R","Compulsory, RA",IF(LEFT(I98,2)="Pe","Compulsory, Pens","Voluntary")))</f>
        <v>Compulsory, LA</v>
      </c>
      <c r="K98" t="s">
        <v>15</v>
      </c>
      <c r="M98" t="str">
        <f t="shared" si="118"/>
        <v>a</v>
      </c>
      <c r="N98" t="str">
        <f t="shared" si="119"/>
        <v/>
      </c>
      <c r="O98" t="str">
        <f t="shared" si="120"/>
        <v/>
      </c>
    </row>
    <row r="99" spans="1:15" x14ac:dyDescent="0.3">
      <c r="A99">
        <v>100664029</v>
      </c>
      <c r="B99" t="s">
        <v>866</v>
      </c>
      <c r="C99">
        <v>5</v>
      </c>
      <c r="D99" t="s">
        <v>864</v>
      </c>
      <c r="E99" t="s">
        <v>1225</v>
      </c>
      <c r="F99" s="26">
        <v>21302.219999999998</v>
      </c>
      <c r="G99" s="3">
        <v>45804</v>
      </c>
      <c r="H99" t="s">
        <v>14</v>
      </c>
      <c r="I99" s="4" t="str">
        <f t="shared" ref="I99" si="123">MID(H99,6,30)</f>
        <v>Living Annuity</v>
      </c>
      <c r="J99" t="str">
        <f t="shared" ref="J99" si="124">IF(LEFT(I99)="L","Compulsory, LA",IF(LEFT(I99)="R","Compulsory, RA",IF(LEFT(I99,2)="Pe","Compulsory, Pens","Voluntary")))</f>
        <v>Compulsory, LA</v>
      </c>
      <c r="K99" t="s">
        <v>15</v>
      </c>
      <c r="M99" t="str">
        <f t="shared" si="118"/>
        <v>a</v>
      </c>
      <c r="N99" t="str">
        <f t="shared" si="119"/>
        <v/>
      </c>
      <c r="O99" t="str">
        <f t="shared" si="120"/>
        <v/>
      </c>
    </row>
    <row r="100" spans="1:15" x14ac:dyDescent="0.3">
      <c r="A100">
        <v>100664029</v>
      </c>
      <c r="B100" t="s">
        <v>868</v>
      </c>
      <c r="C100">
        <v>5</v>
      </c>
      <c r="D100" t="s">
        <v>864</v>
      </c>
      <c r="E100" t="s">
        <v>1225</v>
      </c>
      <c r="F100" s="26">
        <v>3868.21</v>
      </c>
      <c r="G100" s="3">
        <v>45804</v>
      </c>
      <c r="H100" t="s">
        <v>14</v>
      </c>
      <c r="I100" s="4" t="str">
        <f>MID(H100,6,30)</f>
        <v>Living Annuity</v>
      </c>
      <c r="J100" t="str">
        <f>IF(LEFT(I100)="L","Compulsory, LA",IF(LEFT(I100)="R","Compulsory, RA",IF(LEFT(I100,2)="Pe","Compulsory, Pens","Voluntary")))</f>
        <v>Compulsory, LA</v>
      </c>
      <c r="K100" t="s">
        <v>15</v>
      </c>
      <c r="M100" t="str">
        <f t="shared" si="118"/>
        <v>a</v>
      </c>
      <c r="N100" t="str">
        <f t="shared" si="119"/>
        <v/>
      </c>
      <c r="O100" t="str">
        <f t="shared" si="120"/>
        <v/>
      </c>
    </row>
    <row r="101" spans="1:15" x14ac:dyDescent="0.3">
      <c r="A101">
        <v>100664292</v>
      </c>
      <c r="B101" t="s">
        <v>989</v>
      </c>
      <c r="C101">
        <v>21</v>
      </c>
      <c r="D101" t="s">
        <v>849</v>
      </c>
      <c r="E101" t="s">
        <v>1225</v>
      </c>
      <c r="F101" s="25">
        <v>8367.67</v>
      </c>
      <c r="G101" s="3">
        <v>45804</v>
      </c>
      <c r="H101" t="s">
        <v>31</v>
      </c>
      <c r="I101" s="4" t="str">
        <f t="shared" ref="I101" si="125">MID(H101,6,30)</f>
        <v>Investment Account</v>
      </c>
      <c r="J101" t="str">
        <f t="shared" ref="J101" si="126">IF(LEFT(I101)="L","Compulsory, LA",IF(LEFT(I101)="R","Compulsory, RA",IF(LEFT(I101,2)="Pe","Compulsory, Pens","Voluntary")))</f>
        <v>Voluntary</v>
      </c>
      <c r="K101" t="s">
        <v>15</v>
      </c>
      <c r="M101" t="str">
        <f t="shared" si="118"/>
        <v>a</v>
      </c>
      <c r="N101" t="str">
        <f t="shared" si="119"/>
        <v/>
      </c>
      <c r="O101" t="str">
        <f t="shared" si="120"/>
        <v/>
      </c>
    </row>
    <row r="102" spans="1:15" s="13" customFormat="1" x14ac:dyDescent="0.3">
      <c r="A102" s="13">
        <v>100664292</v>
      </c>
      <c r="B102" s="13" t="s">
        <v>870</v>
      </c>
      <c r="C102" s="13">
        <v>21</v>
      </c>
      <c r="D102" s="13" t="s">
        <v>849</v>
      </c>
      <c r="E102" s="13" t="s">
        <v>1225</v>
      </c>
      <c r="F102" s="27">
        <v>184985.57000000004</v>
      </c>
      <c r="G102" s="14">
        <v>45804</v>
      </c>
      <c r="H102" s="13" t="s">
        <v>14</v>
      </c>
      <c r="I102" s="15" t="str">
        <f t="shared" ref="I102" si="127">MID(H102,6,30)</f>
        <v>Living Annuity</v>
      </c>
      <c r="J102" s="13" t="str">
        <f t="shared" ref="J102" si="128">IF(LEFT(I102)="L","Compulsory, LA",IF(LEFT(I102)="R","Compulsory, RA",IF(LEFT(I102,2)="Pe","Compulsory, Pens","Voluntary")))</f>
        <v>Compulsory, LA</v>
      </c>
      <c r="K102" s="13" t="s">
        <v>15</v>
      </c>
      <c r="M102" t="str">
        <f t="shared" si="118"/>
        <v>a</v>
      </c>
      <c r="N102" t="str">
        <f t="shared" si="119"/>
        <v/>
      </c>
      <c r="O102" t="str">
        <f t="shared" si="120"/>
        <v/>
      </c>
    </row>
    <row r="103" spans="1:15" x14ac:dyDescent="0.3">
      <c r="A103">
        <v>100664348</v>
      </c>
      <c r="B103" t="s">
        <v>878</v>
      </c>
      <c r="C103">
        <v>257</v>
      </c>
      <c r="D103" t="s">
        <v>871</v>
      </c>
      <c r="E103" t="s">
        <v>1225</v>
      </c>
      <c r="F103" s="25">
        <v>20433.32</v>
      </c>
      <c r="G103" s="3">
        <v>45804</v>
      </c>
      <c r="H103" t="s">
        <v>14</v>
      </c>
      <c r="I103" s="4" t="str">
        <f t="shared" ref="I103" si="129">MID(H103,6,30)</f>
        <v>Living Annuity</v>
      </c>
      <c r="J103" t="str">
        <f t="shared" ref="J103" si="130">IF(LEFT(I103)="L","Compulsory, LA",IF(LEFT(I103)="R","Compulsory, RA",IF(LEFT(I103,2)="Pe","Compulsory, Pens","Voluntary")))</f>
        <v>Compulsory, LA</v>
      </c>
      <c r="K103" t="s">
        <v>15</v>
      </c>
      <c r="M103" t="str">
        <f t="shared" si="118"/>
        <v>a</v>
      </c>
      <c r="N103" t="str">
        <f t="shared" si="119"/>
        <v/>
      </c>
      <c r="O103" t="str">
        <f t="shared" si="120"/>
        <v/>
      </c>
    </row>
    <row r="104" spans="1:15" x14ac:dyDescent="0.3">
      <c r="A104">
        <v>100664601</v>
      </c>
      <c r="B104" t="s">
        <v>880</v>
      </c>
      <c r="C104">
        <v>60</v>
      </c>
      <c r="D104" t="s">
        <v>875</v>
      </c>
      <c r="E104" t="s">
        <v>1225</v>
      </c>
      <c r="F104" s="25">
        <v>105.57</v>
      </c>
      <c r="G104" s="3">
        <v>45804</v>
      </c>
      <c r="H104" t="s">
        <v>80</v>
      </c>
      <c r="I104" s="4" t="str">
        <f t="shared" ref="I104" si="131">MID(H104,6,30)</f>
        <v>Pension Preservation Fund</v>
      </c>
      <c r="J104" t="str">
        <f t="shared" ref="J104" si="132">IF(LEFT(I104)="L","Compulsory, LA",IF(LEFT(I104)="R","Compulsory, RA",IF(LEFT(I104,2)="Pe","Compulsory, Pens","Voluntary")))</f>
        <v>Compulsory, Pens</v>
      </c>
      <c r="K104" t="s">
        <v>15</v>
      </c>
      <c r="M104" t="str">
        <f t="shared" si="118"/>
        <v>d</v>
      </c>
      <c r="N104" t="str">
        <f t="shared" si="119"/>
        <v/>
      </c>
      <c r="O104" t="str">
        <f t="shared" si="120"/>
        <v/>
      </c>
    </row>
    <row r="105" spans="1:15" x14ac:dyDescent="0.3">
      <c r="A105">
        <v>100664601</v>
      </c>
      <c r="B105" t="s">
        <v>881</v>
      </c>
      <c r="C105">
        <v>60</v>
      </c>
      <c r="D105" t="s">
        <v>875</v>
      </c>
      <c r="E105" t="s">
        <v>1225</v>
      </c>
      <c r="F105" s="25">
        <v>1502.8</v>
      </c>
      <c r="G105" s="3">
        <v>45804</v>
      </c>
      <c r="H105" t="s">
        <v>26</v>
      </c>
      <c r="I105" s="4" t="str">
        <f t="shared" ref="I105" si="133">MID(H105,6,30)</f>
        <v>Retirement Annuity</v>
      </c>
      <c r="J105" t="str">
        <f t="shared" ref="J105" si="134">IF(LEFT(I105)="L","Compulsory, LA",IF(LEFT(I105)="R","Compulsory, RA",IF(LEFT(I105,2)="Pe","Compulsory, Pens","Voluntary")))</f>
        <v>Compulsory, RA</v>
      </c>
      <c r="K105" t="s">
        <v>15</v>
      </c>
      <c r="M105" t="str">
        <f t="shared" si="118"/>
        <v>d</v>
      </c>
      <c r="N105" t="str">
        <f t="shared" si="119"/>
        <v/>
      </c>
      <c r="O105" t="str">
        <f t="shared" si="120"/>
        <v/>
      </c>
    </row>
    <row r="106" spans="1:15" x14ac:dyDescent="0.3">
      <c r="A106">
        <v>100664601</v>
      </c>
      <c r="B106" t="s">
        <v>1194</v>
      </c>
      <c r="C106">
        <v>60</v>
      </c>
      <c r="D106" t="s">
        <v>875</v>
      </c>
      <c r="E106" t="s">
        <v>1225</v>
      </c>
      <c r="F106" s="25">
        <v>1500.6799999999998</v>
      </c>
      <c r="G106" s="3">
        <v>45804</v>
      </c>
      <c r="H106" t="s">
        <v>1187</v>
      </c>
      <c r="I106" s="4" t="str">
        <f t="shared" ref="I106:I109" si="135">MID(H106,6,30)</f>
        <v>Pension Preservation Fund - Sa</v>
      </c>
      <c r="J106" t="str">
        <f t="shared" ref="J106:J109" si="136">IF(LEFT(I106)="L","Compulsory, LA",IF(LEFT(I106)="R","Compulsory, RA",IF(LEFT(I106,2)="Pe","Compulsory, Pens","Voluntary")))</f>
        <v>Compulsory, Pens</v>
      </c>
      <c r="K106" t="s">
        <v>15</v>
      </c>
      <c r="M106" t="str">
        <f t="shared" si="118"/>
        <v>d</v>
      </c>
      <c r="N106" t="str">
        <f t="shared" si="119"/>
        <v/>
      </c>
      <c r="O106" t="str">
        <f t="shared" si="120"/>
        <v/>
      </c>
    </row>
    <row r="107" spans="1:15" x14ac:dyDescent="0.3">
      <c r="A107">
        <v>100664601</v>
      </c>
      <c r="B107" t="s">
        <v>1194</v>
      </c>
      <c r="C107">
        <v>60</v>
      </c>
      <c r="D107" t="s">
        <v>875</v>
      </c>
      <c r="E107" t="s">
        <v>1225</v>
      </c>
      <c r="F107" s="25">
        <v>1554.28</v>
      </c>
      <c r="G107" s="3">
        <v>45804</v>
      </c>
      <c r="H107" t="s">
        <v>1187</v>
      </c>
      <c r="I107" s="4" t="str">
        <f t="shared" si="135"/>
        <v>Pension Preservation Fund - Sa</v>
      </c>
      <c r="J107" t="str">
        <f t="shared" si="136"/>
        <v>Compulsory, Pens</v>
      </c>
      <c r="K107" t="s">
        <v>15</v>
      </c>
      <c r="M107" t="str">
        <f t="shared" si="118"/>
        <v>d</v>
      </c>
      <c r="N107" t="str">
        <f t="shared" si="119"/>
        <v/>
      </c>
      <c r="O107" t="str">
        <f t="shared" si="120"/>
        <v/>
      </c>
    </row>
    <row r="108" spans="1:15" x14ac:dyDescent="0.3">
      <c r="A108">
        <v>100664601</v>
      </c>
      <c r="B108" t="s">
        <v>1195</v>
      </c>
      <c r="C108">
        <v>60</v>
      </c>
      <c r="D108" t="s">
        <v>875</v>
      </c>
      <c r="E108" t="s">
        <v>1225</v>
      </c>
      <c r="F108" s="25">
        <v>72508.58</v>
      </c>
      <c r="G108" s="3">
        <v>45804</v>
      </c>
      <c r="H108" t="s">
        <v>1174</v>
      </c>
      <c r="I108" s="4" t="str">
        <f t="shared" si="135"/>
        <v>Retirement Annuity - Savings C</v>
      </c>
      <c r="J108" t="str">
        <f t="shared" si="136"/>
        <v>Compulsory, RA</v>
      </c>
      <c r="K108" t="s">
        <v>15</v>
      </c>
      <c r="M108" t="str">
        <f t="shared" si="118"/>
        <v>d</v>
      </c>
      <c r="N108" t="str">
        <f t="shared" si="119"/>
        <v/>
      </c>
      <c r="O108" t="str">
        <f t="shared" si="120"/>
        <v/>
      </c>
    </row>
    <row r="109" spans="1:15" x14ac:dyDescent="0.3">
      <c r="A109">
        <v>100664601</v>
      </c>
      <c r="B109" t="s">
        <v>1195</v>
      </c>
      <c r="C109">
        <v>60</v>
      </c>
      <c r="D109" t="s">
        <v>875</v>
      </c>
      <c r="E109" t="s">
        <v>1225</v>
      </c>
      <c r="F109" s="25">
        <v>114.26</v>
      </c>
      <c r="G109" s="3">
        <v>45804</v>
      </c>
      <c r="H109" t="s">
        <v>1174</v>
      </c>
      <c r="I109" s="4" t="str">
        <f t="shared" si="135"/>
        <v>Retirement Annuity - Savings C</v>
      </c>
      <c r="J109" t="str">
        <f t="shared" si="136"/>
        <v>Compulsory, RA</v>
      </c>
      <c r="K109" t="s">
        <v>15</v>
      </c>
      <c r="M109" t="str">
        <f t="shared" si="118"/>
        <v>d</v>
      </c>
      <c r="N109" t="str">
        <f t="shared" si="119"/>
        <v/>
      </c>
      <c r="O109" t="str">
        <f t="shared" si="120"/>
        <v/>
      </c>
    </row>
    <row r="110" spans="1:15" x14ac:dyDescent="0.3">
      <c r="A110">
        <v>100664737</v>
      </c>
      <c r="B110" t="s">
        <v>1116</v>
      </c>
      <c r="C110">
        <v>57</v>
      </c>
      <c r="D110" t="s">
        <v>882</v>
      </c>
      <c r="E110" t="s">
        <v>1225</v>
      </c>
      <c r="F110" s="25">
        <v>81151.570000000007</v>
      </c>
      <c r="G110" s="3">
        <v>45804</v>
      </c>
      <c r="H110" t="s">
        <v>14</v>
      </c>
      <c r="I110" s="4" t="str">
        <f t="shared" ref="I110:I112" si="137">MID(H110,6,30)</f>
        <v>Living Annuity</v>
      </c>
      <c r="J110" t="str">
        <f t="shared" ref="J110:J112" si="138">IF(LEFT(I110)="L","Compulsory, LA",IF(LEFT(I110)="R","Compulsory, RA",IF(LEFT(I110,2)="Pe","Compulsory, Pens","Voluntary")))</f>
        <v>Compulsory, LA</v>
      </c>
      <c r="K110" t="s">
        <v>15</v>
      </c>
      <c r="M110" t="str">
        <f t="shared" si="118"/>
        <v>a</v>
      </c>
      <c r="N110" t="str">
        <f t="shared" si="119"/>
        <v/>
      </c>
      <c r="O110" t="str">
        <f t="shared" si="120"/>
        <v/>
      </c>
    </row>
    <row r="111" spans="1:15" x14ac:dyDescent="0.3">
      <c r="A111">
        <v>100664737</v>
      </c>
      <c r="B111" t="s">
        <v>1122</v>
      </c>
      <c r="C111">
        <v>57</v>
      </c>
      <c r="D111" t="s">
        <v>882</v>
      </c>
      <c r="E111" t="s">
        <v>1225</v>
      </c>
      <c r="F111" s="25">
        <v>1401.47</v>
      </c>
      <c r="G111" s="3">
        <v>45804</v>
      </c>
      <c r="H111" t="s">
        <v>14</v>
      </c>
      <c r="I111" s="4" t="str">
        <f t="shared" ref="I111" si="139">MID(H111,6,30)</f>
        <v>Living Annuity</v>
      </c>
      <c r="J111" t="str">
        <f t="shared" ref="J111" si="140">IF(LEFT(I111)="L","Compulsory, LA",IF(LEFT(I111)="R","Compulsory, RA",IF(LEFT(I111,2)="Pe","Compulsory, Pens","Voluntary")))</f>
        <v>Compulsory, LA</v>
      </c>
      <c r="K111" t="s">
        <v>15</v>
      </c>
      <c r="M111" t="str">
        <f t="shared" si="118"/>
        <v>a</v>
      </c>
      <c r="N111" t="str">
        <f t="shared" si="119"/>
        <v/>
      </c>
      <c r="O111" t="str">
        <f t="shared" si="120"/>
        <v/>
      </c>
    </row>
    <row r="112" spans="1:15" x14ac:dyDescent="0.3">
      <c r="A112">
        <v>100665510</v>
      </c>
      <c r="B112" t="s">
        <v>885</v>
      </c>
      <c r="C112">
        <v>6</v>
      </c>
      <c r="D112" t="s">
        <v>850</v>
      </c>
      <c r="E112" t="s">
        <v>1225</v>
      </c>
      <c r="F112" s="25">
        <v>13755.36</v>
      </c>
      <c r="G112" s="3">
        <v>45804</v>
      </c>
      <c r="H112" t="s">
        <v>14</v>
      </c>
      <c r="I112" s="4" t="str">
        <f t="shared" si="137"/>
        <v>Living Annuity</v>
      </c>
      <c r="J112" t="str">
        <f t="shared" si="138"/>
        <v>Compulsory, LA</v>
      </c>
      <c r="K112" t="s">
        <v>15</v>
      </c>
      <c r="M112" t="str">
        <f t="shared" si="118"/>
        <v>a</v>
      </c>
      <c r="N112" t="str">
        <f t="shared" si="119"/>
        <v/>
      </c>
      <c r="O112" t="str">
        <f t="shared" si="120"/>
        <v/>
      </c>
    </row>
    <row r="113" spans="1:15" x14ac:dyDescent="0.3">
      <c r="A113">
        <v>100666150</v>
      </c>
      <c r="B113" t="s">
        <v>805</v>
      </c>
      <c r="C113">
        <v>163</v>
      </c>
      <c r="D113" t="s">
        <v>803</v>
      </c>
      <c r="E113" t="s">
        <v>1225</v>
      </c>
      <c r="F113" s="26">
        <v>16644.61</v>
      </c>
      <c r="G113" s="3">
        <v>45804</v>
      </c>
      <c r="H113" t="s">
        <v>14</v>
      </c>
      <c r="I113" s="4" t="str">
        <f t="shared" ref="I113:I115" si="141">MID(H113,6,30)</f>
        <v>Living Annuity</v>
      </c>
      <c r="J113" t="str">
        <f t="shared" ref="J113:J115" si="142">IF(LEFT(I113)="L","Compulsory, LA",IF(LEFT(I113)="R","Compulsory, RA",IF(LEFT(I113,2)="Pe","Compulsory, Pens","Voluntary")))</f>
        <v>Compulsory, LA</v>
      </c>
      <c r="K113" t="s">
        <v>15</v>
      </c>
      <c r="M113" t="str">
        <f t="shared" si="118"/>
        <v>a</v>
      </c>
      <c r="N113" t="str">
        <f t="shared" si="119"/>
        <v/>
      </c>
      <c r="O113" t="str">
        <f t="shared" si="120"/>
        <v/>
      </c>
    </row>
    <row r="114" spans="1:15" x14ac:dyDescent="0.3">
      <c r="A114">
        <v>100668409</v>
      </c>
      <c r="B114" t="s">
        <v>990</v>
      </c>
      <c r="C114">
        <v>178</v>
      </c>
      <c r="D114" t="s">
        <v>852</v>
      </c>
      <c r="E114" t="s">
        <v>1225</v>
      </c>
      <c r="F114" s="26">
        <v>7603.59</v>
      </c>
      <c r="G114" s="3">
        <v>45804</v>
      </c>
      <c r="H114" t="s">
        <v>31</v>
      </c>
      <c r="I114" s="4" t="str">
        <f t="shared" si="141"/>
        <v>Investment Account</v>
      </c>
      <c r="J114" t="str">
        <f t="shared" si="142"/>
        <v>Voluntary</v>
      </c>
      <c r="K114" t="s">
        <v>15</v>
      </c>
      <c r="M114" t="str">
        <f t="shared" si="118"/>
        <v>a</v>
      </c>
      <c r="N114" t="str">
        <f t="shared" si="119"/>
        <v/>
      </c>
      <c r="O114" t="str">
        <f t="shared" si="120"/>
        <v/>
      </c>
    </row>
    <row r="115" spans="1:15" x14ac:dyDescent="0.3">
      <c r="A115">
        <v>100668534</v>
      </c>
      <c r="B115" t="s">
        <v>991</v>
      </c>
      <c r="C115">
        <v>23</v>
      </c>
      <c r="D115" t="s">
        <v>194</v>
      </c>
      <c r="E115" t="s">
        <v>1225</v>
      </c>
      <c r="F115" s="26">
        <v>9625.67</v>
      </c>
      <c r="G115" s="3">
        <v>45804</v>
      </c>
      <c r="H115" t="s">
        <v>31</v>
      </c>
      <c r="I115" s="4" t="str">
        <f t="shared" si="141"/>
        <v>Investment Account</v>
      </c>
      <c r="J115" t="str">
        <f t="shared" si="142"/>
        <v>Voluntary</v>
      </c>
      <c r="K115" t="s">
        <v>15</v>
      </c>
      <c r="M115" t="str">
        <f t="shared" si="118"/>
        <v>a</v>
      </c>
      <c r="N115" t="str">
        <f t="shared" si="119"/>
        <v/>
      </c>
      <c r="O115" t="str">
        <f t="shared" si="120"/>
        <v/>
      </c>
    </row>
    <row r="116" spans="1:15" s="19" customFormat="1" x14ac:dyDescent="0.3">
      <c r="A116" s="19">
        <v>100669580</v>
      </c>
      <c r="B116" s="19" t="s">
        <v>889</v>
      </c>
      <c r="C116" s="19">
        <v>321</v>
      </c>
      <c r="D116" s="19" t="s">
        <v>887</v>
      </c>
      <c r="E116" s="19" t="s">
        <v>1225</v>
      </c>
      <c r="F116" s="29">
        <v>10986.05</v>
      </c>
      <c r="G116" s="20">
        <v>45804</v>
      </c>
      <c r="H116" s="19" t="s">
        <v>14</v>
      </c>
      <c r="I116" s="21" t="str">
        <f t="shared" ref="I116" si="143">MID(H116,6,30)</f>
        <v>Living Annuity</v>
      </c>
      <c r="J116" s="19" t="str">
        <f t="shared" ref="J116" si="144">IF(LEFT(I116)="L","Compulsory, LA",IF(LEFT(I116)="R","Compulsory, RA",IF(LEFT(I116,2)="Pe","Compulsory, Pens","Voluntary")))</f>
        <v>Compulsory, LA</v>
      </c>
      <c r="K116" s="19" t="s">
        <v>15</v>
      </c>
      <c r="M116" t="str">
        <f t="shared" si="118"/>
        <v>a</v>
      </c>
      <c r="N116" t="str">
        <f t="shared" si="119"/>
        <v/>
      </c>
      <c r="O116" t="str">
        <f t="shared" si="120"/>
        <v/>
      </c>
    </row>
    <row r="117" spans="1:15" x14ac:dyDescent="0.3">
      <c r="A117">
        <v>100670671</v>
      </c>
      <c r="B117" t="s">
        <v>892</v>
      </c>
      <c r="C117">
        <v>150</v>
      </c>
      <c r="D117" t="s">
        <v>890</v>
      </c>
      <c r="E117" t="s">
        <v>1225</v>
      </c>
      <c r="F117" s="26">
        <v>7477.53</v>
      </c>
      <c r="G117" s="3">
        <v>45804</v>
      </c>
      <c r="H117" t="s">
        <v>31</v>
      </c>
      <c r="I117" s="4" t="str">
        <f t="shared" ref="I117" si="145">MID(H117,6,30)</f>
        <v>Investment Account</v>
      </c>
      <c r="J117" t="str">
        <f t="shared" ref="J117" si="146">IF(LEFT(I117)="L","Compulsory, LA",IF(LEFT(I117)="R","Compulsory, RA",IF(LEFT(I117,2)="Pe","Compulsory, Pens","Voluntary")))</f>
        <v>Voluntary</v>
      </c>
      <c r="K117" t="s">
        <v>15</v>
      </c>
      <c r="M117" t="str">
        <f t="shared" si="118"/>
        <v>a</v>
      </c>
      <c r="N117" t="str">
        <f t="shared" si="119"/>
        <v/>
      </c>
      <c r="O117" t="str">
        <f t="shared" si="120"/>
        <v/>
      </c>
    </row>
    <row r="118" spans="1:15" x14ac:dyDescent="0.3">
      <c r="A118">
        <v>100670671</v>
      </c>
      <c r="B118" t="s">
        <v>1110</v>
      </c>
      <c r="C118">
        <v>150</v>
      </c>
      <c r="D118" t="s">
        <v>890</v>
      </c>
      <c r="E118" t="s">
        <v>1225</v>
      </c>
      <c r="F118" s="26">
        <v>7109.4400000000005</v>
      </c>
      <c r="G118" s="3">
        <v>45804</v>
      </c>
      <c r="H118" t="s">
        <v>26</v>
      </c>
      <c r="I118" s="4" t="str">
        <f t="shared" ref="I118" si="147">MID(H118,6,30)</f>
        <v>Retirement Annuity</v>
      </c>
      <c r="J118" t="str">
        <f t="shared" ref="J118" si="148">IF(LEFT(I118)="L","Compulsory, LA",IF(LEFT(I118)="R","Compulsory, RA",IF(LEFT(I118,2)="Pe","Compulsory, Pens","Voluntary")))</f>
        <v>Compulsory, RA</v>
      </c>
      <c r="K118" t="s">
        <v>15</v>
      </c>
      <c r="M118" t="str">
        <f t="shared" si="118"/>
        <v>d</v>
      </c>
      <c r="N118" t="str">
        <f t="shared" si="119"/>
        <v/>
      </c>
      <c r="O118" t="str">
        <f t="shared" si="120"/>
        <v/>
      </c>
    </row>
    <row r="119" spans="1:15" x14ac:dyDescent="0.3">
      <c r="A119">
        <v>100670671</v>
      </c>
      <c r="B119" t="s">
        <v>1197</v>
      </c>
      <c r="C119">
        <v>150</v>
      </c>
      <c r="D119" t="s">
        <v>890</v>
      </c>
      <c r="E119" t="s">
        <v>1225</v>
      </c>
      <c r="F119" s="26">
        <v>20723.18</v>
      </c>
      <c r="G119" s="3">
        <v>45804</v>
      </c>
      <c r="H119" t="s">
        <v>1175</v>
      </c>
      <c r="I119" s="4" t="str">
        <f>MID(H119,6,30)</f>
        <v>Retirement Annuity - Retiremen</v>
      </c>
      <c r="J119" t="str">
        <f>IF(LEFT(I119)="L","Compulsory, LA",IF(LEFT(I119)="R","Compulsory, RA",IF(LEFT(I119,2)="Pe","Compulsory, Pens","Voluntary")))</f>
        <v>Compulsory, RA</v>
      </c>
      <c r="K119" t="s">
        <v>15</v>
      </c>
      <c r="M119" t="str">
        <f>RIGHT(B119,1)</f>
        <v>d</v>
      </c>
      <c r="N119" t="str">
        <f>IF(M119="f","FFFF","")</f>
        <v/>
      </c>
      <c r="O119" t="str">
        <f>IF(M119="I","IIII","")</f>
        <v/>
      </c>
    </row>
    <row r="120" spans="1:15" x14ac:dyDescent="0.3">
      <c r="A120">
        <v>100670671</v>
      </c>
      <c r="B120" t="s">
        <v>1196</v>
      </c>
      <c r="C120">
        <v>150</v>
      </c>
      <c r="D120" t="s">
        <v>890</v>
      </c>
      <c r="E120" t="s">
        <v>1225</v>
      </c>
      <c r="F120" s="26">
        <v>6022.17</v>
      </c>
      <c r="G120" s="3">
        <v>45804</v>
      </c>
      <c r="H120" t="s">
        <v>1174</v>
      </c>
      <c r="I120" s="4" t="str">
        <f t="shared" ref="I120:I121" si="149">MID(H120,6,30)</f>
        <v>Retirement Annuity - Savings C</v>
      </c>
      <c r="J120" t="str">
        <f t="shared" ref="J120:J121" si="150">IF(LEFT(I120)="L","Compulsory, LA",IF(LEFT(I120)="R","Compulsory, RA",IF(LEFT(I120,2)="Pe","Compulsory, Pens","Voluntary")))</f>
        <v>Compulsory, RA</v>
      </c>
      <c r="K120" t="s">
        <v>15</v>
      </c>
      <c r="M120" t="str">
        <f t="shared" si="118"/>
        <v>d</v>
      </c>
      <c r="N120" t="str">
        <f t="shared" si="119"/>
        <v/>
      </c>
      <c r="O120" t="str">
        <f t="shared" si="120"/>
        <v/>
      </c>
    </row>
    <row r="121" spans="1:15" x14ac:dyDescent="0.3">
      <c r="A121">
        <v>100670671</v>
      </c>
      <c r="B121" t="s">
        <v>1196</v>
      </c>
      <c r="C121">
        <v>150</v>
      </c>
      <c r="D121" t="s">
        <v>890</v>
      </c>
      <c r="E121" t="s">
        <v>1225</v>
      </c>
      <c r="F121" s="26">
        <v>1814.69</v>
      </c>
      <c r="G121" s="3">
        <v>45804</v>
      </c>
      <c r="H121" t="s">
        <v>1174</v>
      </c>
      <c r="I121" s="4" t="str">
        <f t="shared" si="149"/>
        <v>Retirement Annuity - Savings C</v>
      </c>
      <c r="J121" t="str">
        <f t="shared" si="150"/>
        <v>Compulsory, RA</v>
      </c>
      <c r="K121" t="s">
        <v>15</v>
      </c>
      <c r="M121" t="str">
        <f t="shared" si="118"/>
        <v>d</v>
      </c>
      <c r="N121" t="str">
        <f t="shared" si="119"/>
        <v/>
      </c>
      <c r="O121" t="str">
        <f t="shared" si="120"/>
        <v/>
      </c>
    </row>
    <row r="122" spans="1:15" s="13" customFormat="1" x14ac:dyDescent="0.3">
      <c r="A122" s="13">
        <v>100672294</v>
      </c>
      <c r="B122" s="13" t="s">
        <v>897</v>
      </c>
      <c r="C122" s="13">
        <v>458</v>
      </c>
      <c r="D122" s="13" t="s">
        <v>893</v>
      </c>
      <c r="E122" s="13" t="s">
        <v>1225</v>
      </c>
      <c r="F122" s="27">
        <v>555.86</v>
      </c>
      <c r="G122" s="14">
        <v>45804</v>
      </c>
      <c r="H122" s="13" t="s">
        <v>31</v>
      </c>
      <c r="I122" s="15" t="str">
        <f t="shared" ref="I122" si="151">MID(H122,6,30)</f>
        <v>Investment Account</v>
      </c>
      <c r="J122" s="13" t="str">
        <f t="shared" ref="J122" si="152">IF(LEFT(I122)="L","Compulsory, LA",IF(LEFT(I122)="R","Compulsory, RA",IF(LEFT(I122,2)="Pe","Compulsory, Pens","Voluntary")))</f>
        <v>Voluntary</v>
      </c>
      <c r="K122" s="13" t="s">
        <v>15</v>
      </c>
      <c r="M122" t="str">
        <f t="shared" si="118"/>
        <v>a</v>
      </c>
      <c r="N122" t="str">
        <f t="shared" si="119"/>
        <v/>
      </c>
      <c r="O122" t="str">
        <f t="shared" si="120"/>
        <v/>
      </c>
    </row>
    <row r="123" spans="1:15" s="13" customFormat="1" x14ac:dyDescent="0.3">
      <c r="A123" s="13">
        <v>100672395</v>
      </c>
      <c r="B123" s="13" t="s">
        <v>900</v>
      </c>
      <c r="C123" s="13">
        <v>125</v>
      </c>
      <c r="D123" s="13" t="s">
        <v>899</v>
      </c>
      <c r="E123" s="13" t="s">
        <v>1225</v>
      </c>
      <c r="F123" s="27">
        <v>547.82999999999993</v>
      </c>
      <c r="G123" s="14">
        <v>45804</v>
      </c>
      <c r="H123" s="13" t="s">
        <v>31</v>
      </c>
      <c r="I123" s="15" t="str">
        <f t="shared" ref="I123:I124" si="153">MID(H123,6,30)</f>
        <v>Investment Account</v>
      </c>
      <c r="J123" s="13" t="str">
        <f t="shared" ref="J123:J124" si="154">IF(LEFT(I123)="L","Compulsory, LA",IF(LEFT(I123)="R","Compulsory, RA",IF(LEFT(I123,2)="Pe","Compulsory, Pens","Voluntary")))</f>
        <v>Voluntary</v>
      </c>
      <c r="K123" s="13" t="s">
        <v>15</v>
      </c>
      <c r="M123" t="str">
        <f t="shared" si="118"/>
        <v>a</v>
      </c>
      <c r="N123" t="str">
        <f t="shared" si="119"/>
        <v/>
      </c>
      <c r="O123" t="str">
        <f t="shared" si="120"/>
        <v/>
      </c>
    </row>
    <row r="124" spans="1:15" x14ac:dyDescent="0.3">
      <c r="A124">
        <v>100675336</v>
      </c>
      <c r="B124" t="s">
        <v>1096</v>
      </c>
      <c r="C124">
        <v>245</v>
      </c>
      <c r="D124" t="s">
        <v>1094</v>
      </c>
      <c r="E124" t="s">
        <v>1225</v>
      </c>
      <c r="F124" s="25">
        <v>505.51000000000005</v>
      </c>
      <c r="G124" s="3">
        <v>45804</v>
      </c>
      <c r="H124" t="s">
        <v>14</v>
      </c>
      <c r="I124" s="4" t="str">
        <f t="shared" si="153"/>
        <v>Living Annuity</v>
      </c>
      <c r="J124" t="str">
        <f t="shared" si="154"/>
        <v>Compulsory, LA</v>
      </c>
      <c r="K124" t="s">
        <v>15</v>
      </c>
      <c r="M124" t="str">
        <f t="shared" si="118"/>
        <v>a</v>
      </c>
      <c r="N124" t="str">
        <f t="shared" si="119"/>
        <v/>
      </c>
      <c r="O124" t="str">
        <f t="shared" si="120"/>
        <v/>
      </c>
    </row>
    <row r="125" spans="1:15" x14ac:dyDescent="0.3">
      <c r="A125">
        <v>100677278</v>
      </c>
      <c r="B125" t="s">
        <v>994</v>
      </c>
      <c r="C125">
        <v>460</v>
      </c>
      <c r="D125" t="s">
        <v>993</v>
      </c>
      <c r="E125" t="s">
        <v>1225</v>
      </c>
      <c r="F125" s="25">
        <v>3550.3</v>
      </c>
      <c r="G125" s="3">
        <v>45804</v>
      </c>
      <c r="H125" t="s">
        <v>14</v>
      </c>
      <c r="I125" s="4" t="str">
        <f t="shared" ref="I125" si="155">MID(H125,6,30)</f>
        <v>Living Annuity</v>
      </c>
      <c r="J125" t="str">
        <f t="shared" ref="J125" si="156">IF(LEFT(I125)="L","Compulsory, LA",IF(LEFT(I125)="R","Compulsory, RA",IF(LEFT(I125,2)="Pe","Compulsory, Pens","Voluntary")))</f>
        <v>Compulsory, LA</v>
      </c>
      <c r="K125" t="s">
        <v>15</v>
      </c>
      <c r="M125" t="str">
        <f t="shared" si="118"/>
        <v>a</v>
      </c>
      <c r="N125" t="str">
        <f t="shared" si="119"/>
        <v/>
      </c>
      <c r="O125" t="str">
        <f t="shared" si="120"/>
        <v/>
      </c>
    </row>
    <row r="126" spans="1:15" x14ac:dyDescent="0.3">
      <c r="A126">
        <v>100677585</v>
      </c>
      <c r="B126" t="s">
        <v>1103</v>
      </c>
      <c r="C126">
        <v>175</v>
      </c>
      <c r="D126" t="s">
        <v>1104</v>
      </c>
      <c r="E126" t="s">
        <v>1225</v>
      </c>
      <c r="F126" s="26">
        <v>3442.81</v>
      </c>
      <c r="G126" s="3">
        <v>45804</v>
      </c>
      <c r="H126" t="s">
        <v>14</v>
      </c>
      <c r="I126" s="4" t="str">
        <f>MID(H126,6,30)</f>
        <v>Living Annuity</v>
      </c>
      <c r="J126" t="str">
        <f>IF(LEFT(I126)="L","Compulsory, LA",IF(LEFT(I126)="R","Compulsory, RA",IF(LEFT(I126,2)="Pe","Compulsory, Pens","Voluntary")))</f>
        <v>Compulsory, LA</v>
      </c>
      <c r="K126" t="s">
        <v>15</v>
      </c>
      <c r="M126" t="str">
        <f t="shared" si="118"/>
        <v>a</v>
      </c>
      <c r="N126" t="str">
        <f t="shared" si="119"/>
        <v/>
      </c>
      <c r="O126" t="str">
        <f t="shared" si="120"/>
        <v/>
      </c>
    </row>
    <row r="127" spans="1:15" s="19" customFormat="1" x14ac:dyDescent="0.3">
      <c r="A127" s="19">
        <v>100706842</v>
      </c>
      <c r="B127" s="19" t="s">
        <v>1127</v>
      </c>
      <c r="C127" s="19">
        <v>83</v>
      </c>
      <c r="D127" s="19" t="s">
        <v>1129</v>
      </c>
      <c r="E127" s="19" t="s">
        <v>1225</v>
      </c>
      <c r="F127" s="29">
        <v>1250.6300000000001</v>
      </c>
      <c r="G127" s="20">
        <v>45804</v>
      </c>
      <c r="H127" s="19" t="s">
        <v>14</v>
      </c>
      <c r="I127" s="21" t="str">
        <f t="shared" ref="I127" si="157">MID(H127,6,30)</f>
        <v>Living Annuity</v>
      </c>
      <c r="J127" s="19" t="str">
        <f t="shared" ref="J127" si="158">IF(LEFT(I127)="L","Compulsory, LA",IF(LEFT(I127)="R","Compulsory, RA",IF(LEFT(I127,2)="Pe","Compulsory, Pens","Voluntary")))</f>
        <v>Compulsory, LA</v>
      </c>
      <c r="K127" s="19" t="s">
        <v>15</v>
      </c>
      <c r="M127" t="str">
        <f t="shared" si="118"/>
        <v>a</v>
      </c>
      <c r="N127" t="str">
        <f t="shared" si="119"/>
        <v/>
      </c>
      <c r="O127" t="str">
        <f t="shared" si="120"/>
        <v/>
      </c>
    </row>
    <row r="128" spans="1:15" s="6" customFormat="1" x14ac:dyDescent="0.3">
      <c r="A128" s="6">
        <v>32490</v>
      </c>
      <c r="B128" s="6" t="s">
        <v>711</v>
      </c>
      <c r="C128" s="6">
        <v>126</v>
      </c>
      <c r="D128" s="6" t="s">
        <v>12</v>
      </c>
      <c r="E128" s="6" t="s">
        <v>1225</v>
      </c>
      <c r="F128" s="31">
        <v>55197.05</v>
      </c>
      <c r="G128" s="22">
        <v>45804</v>
      </c>
      <c r="H128" s="24" t="s">
        <v>31</v>
      </c>
      <c r="I128" s="23" t="str">
        <f>MID(H128,6,30)</f>
        <v>Investment Account</v>
      </c>
      <c r="J128" s="6" t="str">
        <f>IF(LEFT(I128)="L","Compulsory, LA",IF(LEFT(I128)="R","Compulsory, RA",IF(LEFT(I128,2)="Pe","Compulsory, Pens","Voluntary")))</f>
        <v>Voluntary</v>
      </c>
      <c r="K128" s="6" t="s">
        <v>15</v>
      </c>
      <c r="M128" t="str">
        <f t="shared" si="118"/>
        <v>a</v>
      </c>
      <c r="N128" t="str">
        <f t="shared" si="119"/>
        <v/>
      </c>
      <c r="O128" t="str">
        <f t="shared" si="120"/>
        <v/>
      </c>
    </row>
    <row r="129" spans="1:15" x14ac:dyDescent="0.3">
      <c r="A129">
        <v>32490</v>
      </c>
      <c r="B129" t="s">
        <v>748</v>
      </c>
      <c r="C129">
        <v>126</v>
      </c>
      <c r="D129" t="s">
        <v>12</v>
      </c>
      <c r="E129" t="s">
        <v>1225</v>
      </c>
      <c r="F129" s="25">
        <v>41233.25</v>
      </c>
      <c r="G129" s="3">
        <v>45804</v>
      </c>
      <c r="H129" t="s">
        <v>14</v>
      </c>
      <c r="I129" s="4" t="str">
        <f>MID(H129,6,30)</f>
        <v>Living Annuity</v>
      </c>
      <c r="J129" t="str">
        <f>IF(LEFT(I129)="L","Compulsory, LA",IF(LEFT(I129)="R","Compulsory, RA",IF(LEFT(I129,2)="Pe","Compulsory, Pens","Voluntary")))</f>
        <v>Compulsory, LA</v>
      </c>
      <c r="K129" t="s">
        <v>15</v>
      </c>
      <c r="M129" t="str">
        <f t="shared" si="118"/>
        <v>a</v>
      </c>
      <c r="N129" t="str">
        <f t="shared" si="119"/>
        <v/>
      </c>
      <c r="O129" t="str">
        <f t="shared" si="120"/>
        <v/>
      </c>
    </row>
    <row r="130" spans="1:15" x14ac:dyDescent="0.3">
      <c r="A130">
        <v>32490</v>
      </c>
      <c r="B130" t="s">
        <v>749</v>
      </c>
      <c r="C130">
        <v>126</v>
      </c>
      <c r="D130" t="s">
        <v>12</v>
      </c>
      <c r="E130" t="s">
        <v>1225</v>
      </c>
      <c r="F130" s="25">
        <v>26867.69</v>
      </c>
      <c r="G130" s="3">
        <v>45804</v>
      </c>
      <c r="H130" t="s">
        <v>14</v>
      </c>
      <c r="I130" s="4" t="str">
        <f>MID(H130,6,30)</f>
        <v>Living Annuity</v>
      </c>
      <c r="J130" t="str">
        <f>IF(LEFT(I130)="L","Compulsory, LA",IF(LEFT(I130)="R","Compulsory, RA",IF(LEFT(I130,2)="Pe","Compulsory, Pens","Voluntary")))</f>
        <v>Compulsory, LA</v>
      </c>
      <c r="K130" t="s">
        <v>15</v>
      </c>
      <c r="M130" t="str">
        <f t="shared" si="118"/>
        <v>a</v>
      </c>
      <c r="N130" t="str">
        <f t="shared" si="119"/>
        <v/>
      </c>
      <c r="O130" t="str">
        <f t="shared" si="120"/>
        <v/>
      </c>
    </row>
    <row r="131" spans="1:15" x14ac:dyDescent="0.3">
      <c r="A131">
        <v>33672</v>
      </c>
      <c r="B131" t="s">
        <v>929</v>
      </c>
      <c r="C131">
        <v>87</v>
      </c>
      <c r="D131" t="s">
        <v>18</v>
      </c>
      <c r="E131" t="s">
        <v>1225</v>
      </c>
      <c r="F131" s="25">
        <v>86010.34</v>
      </c>
      <c r="G131" s="3">
        <v>45804</v>
      </c>
      <c r="H131" t="s">
        <v>14</v>
      </c>
      <c r="I131" s="4" t="str">
        <f t="shared" si="98"/>
        <v>Living Annuity</v>
      </c>
      <c r="J131" t="str">
        <f t="shared" si="99"/>
        <v>Compulsory, LA</v>
      </c>
      <c r="K131" t="s">
        <v>15</v>
      </c>
      <c r="M131" t="str">
        <f t="shared" si="118"/>
        <v>a</v>
      </c>
      <c r="N131" t="str">
        <f t="shared" si="119"/>
        <v/>
      </c>
      <c r="O131" t="str">
        <f t="shared" si="120"/>
        <v/>
      </c>
    </row>
    <row r="132" spans="1:15" x14ac:dyDescent="0.3">
      <c r="A132">
        <v>34171</v>
      </c>
      <c r="B132" t="s">
        <v>930</v>
      </c>
      <c r="C132">
        <v>268</v>
      </c>
      <c r="D132" t="s">
        <v>928</v>
      </c>
      <c r="E132" t="s">
        <v>1225</v>
      </c>
      <c r="F132" s="25">
        <v>66291.31</v>
      </c>
      <c r="G132" s="3">
        <v>45804</v>
      </c>
      <c r="H132" t="s">
        <v>14</v>
      </c>
      <c r="I132" s="4" t="str">
        <f t="shared" si="98"/>
        <v>Living Annuity</v>
      </c>
      <c r="J132" t="str">
        <f t="shared" si="99"/>
        <v>Compulsory, LA</v>
      </c>
      <c r="K132" t="s">
        <v>15</v>
      </c>
      <c r="M132" t="str">
        <f t="shared" si="118"/>
        <v>a</v>
      </c>
      <c r="N132" t="str">
        <f t="shared" si="119"/>
        <v/>
      </c>
      <c r="O132" t="str">
        <f t="shared" si="120"/>
        <v/>
      </c>
    </row>
    <row r="133" spans="1:15" x14ac:dyDescent="0.3">
      <c r="A133">
        <v>34173</v>
      </c>
      <c r="B133" t="s">
        <v>931</v>
      </c>
      <c r="C133">
        <v>96</v>
      </c>
      <c r="D133" t="s">
        <v>22</v>
      </c>
      <c r="E133" t="s">
        <v>1225</v>
      </c>
      <c r="F133" s="25">
        <v>57871.81</v>
      </c>
      <c r="G133" s="3">
        <v>45804</v>
      </c>
      <c r="H133" t="s">
        <v>14</v>
      </c>
      <c r="I133" s="4" t="str">
        <f t="shared" si="98"/>
        <v>Living Annuity</v>
      </c>
      <c r="J133" t="str">
        <f t="shared" si="99"/>
        <v>Compulsory, LA</v>
      </c>
      <c r="K133" t="s">
        <v>15</v>
      </c>
      <c r="M133" t="str">
        <f t="shared" si="118"/>
        <v>a</v>
      </c>
      <c r="N133" t="str">
        <f t="shared" si="119"/>
        <v/>
      </c>
      <c r="O133" t="str">
        <f t="shared" si="120"/>
        <v/>
      </c>
    </row>
    <row r="134" spans="1:15" x14ac:dyDescent="0.3">
      <c r="A134">
        <v>34196</v>
      </c>
      <c r="B134" t="s">
        <v>750</v>
      </c>
      <c r="C134">
        <v>169</v>
      </c>
      <c r="D134" t="s">
        <v>614</v>
      </c>
      <c r="E134" t="s">
        <v>1225</v>
      </c>
      <c r="F134" s="25">
        <v>36796.720000000001</v>
      </c>
      <c r="G134" s="3">
        <v>45804</v>
      </c>
      <c r="H134" t="s">
        <v>31</v>
      </c>
      <c r="I134" s="4" t="str">
        <f t="shared" si="98"/>
        <v>Investment Account</v>
      </c>
      <c r="J134" t="str">
        <f t="shared" si="99"/>
        <v>Voluntary</v>
      </c>
      <c r="K134" t="s">
        <v>15</v>
      </c>
      <c r="M134" t="str">
        <f t="shared" ref="M134:M197" si="159">RIGHT(B134,1)</f>
        <v>a</v>
      </c>
      <c r="N134" t="str">
        <f t="shared" ref="N134:N197" si="160">IF(M134="f","FFFF","")</f>
        <v/>
      </c>
      <c r="O134" t="str">
        <f t="shared" ref="O134:O197" si="161">IF(M134="I","IIII","")</f>
        <v/>
      </c>
    </row>
    <row r="135" spans="1:15" x14ac:dyDescent="0.3">
      <c r="A135">
        <v>34199</v>
      </c>
      <c r="B135" t="s">
        <v>856</v>
      </c>
      <c r="C135">
        <v>240</v>
      </c>
      <c r="D135" t="s">
        <v>24</v>
      </c>
      <c r="E135" t="s">
        <v>1225</v>
      </c>
      <c r="F135" s="25">
        <v>48100.45</v>
      </c>
      <c r="G135" s="3">
        <v>45804</v>
      </c>
      <c r="H135" t="s">
        <v>31</v>
      </c>
      <c r="I135" s="4" t="str">
        <f>MID(H135,6,30)</f>
        <v>Investment Account</v>
      </c>
      <c r="J135" t="str">
        <f>IF(LEFT(I135)="L","Compulsory, LA",IF(LEFT(I135)="R","Compulsory, RA",IF(LEFT(I135,2)="Pe","Compulsory, Pens","Voluntary")))</f>
        <v>Voluntary</v>
      </c>
      <c r="K135" t="s">
        <v>15</v>
      </c>
      <c r="M135" t="str">
        <f t="shared" si="159"/>
        <v>a</v>
      </c>
      <c r="N135" t="str">
        <f t="shared" si="160"/>
        <v/>
      </c>
      <c r="O135" t="str">
        <f t="shared" si="161"/>
        <v/>
      </c>
    </row>
    <row r="136" spans="1:15" x14ac:dyDescent="0.3">
      <c r="A136">
        <v>34199</v>
      </c>
      <c r="B136" t="s">
        <v>932</v>
      </c>
      <c r="C136">
        <v>240</v>
      </c>
      <c r="D136" t="s">
        <v>24</v>
      </c>
      <c r="E136" t="s">
        <v>1225</v>
      </c>
      <c r="F136" s="25">
        <v>5197.49</v>
      </c>
      <c r="G136" s="3">
        <v>45804</v>
      </c>
      <c r="H136" t="s">
        <v>14</v>
      </c>
      <c r="I136" s="4" t="str">
        <f t="shared" ref="I136:I141" si="162">MID(H136,6,30)</f>
        <v>Living Annuity</v>
      </c>
      <c r="J136" t="str">
        <f t="shared" ref="J136:J141" si="163">IF(LEFT(I136)="L","Compulsory, LA",IF(LEFT(I136)="R","Compulsory, RA",IF(LEFT(I136,2)="Pe","Compulsory, Pens","Voluntary")))</f>
        <v>Compulsory, LA</v>
      </c>
      <c r="K136" t="s">
        <v>15</v>
      </c>
      <c r="M136" t="str">
        <f t="shared" si="159"/>
        <v>a</v>
      </c>
      <c r="N136" t="str">
        <f t="shared" si="160"/>
        <v/>
      </c>
      <c r="O136" t="str">
        <f t="shared" si="161"/>
        <v/>
      </c>
    </row>
    <row r="137" spans="1:15" x14ac:dyDescent="0.3">
      <c r="A137">
        <v>34200</v>
      </c>
      <c r="B137" t="s">
        <v>933</v>
      </c>
      <c r="C137">
        <v>99</v>
      </c>
      <c r="D137" t="s">
        <v>25</v>
      </c>
      <c r="E137" t="s">
        <v>1225</v>
      </c>
      <c r="F137" s="26">
        <v>8302.4399999999987</v>
      </c>
      <c r="G137" s="3">
        <v>45804</v>
      </c>
      <c r="H137" t="s">
        <v>26</v>
      </c>
      <c r="I137" s="4" t="str">
        <f>MID(H137,6,30)</f>
        <v>Retirement Annuity</v>
      </c>
      <c r="J137" t="str">
        <f>IF(LEFT(I137)="L","Compulsory, LA",IF(LEFT(I137)="R","Compulsory, RA",IF(LEFT(I137,2)="Pe","Compulsory, Pens","Voluntary")))</f>
        <v>Compulsory, RA</v>
      </c>
      <c r="K137" t="s">
        <v>15</v>
      </c>
      <c r="M137" t="str">
        <f t="shared" si="159"/>
        <v>d</v>
      </c>
      <c r="N137" t="str">
        <f t="shared" si="160"/>
        <v/>
      </c>
      <c r="O137" t="str">
        <f t="shared" si="161"/>
        <v/>
      </c>
    </row>
    <row r="138" spans="1:15" x14ac:dyDescent="0.3">
      <c r="A138">
        <v>34200</v>
      </c>
      <c r="B138" t="s">
        <v>934</v>
      </c>
      <c r="C138">
        <v>99</v>
      </c>
      <c r="D138" t="s">
        <v>25</v>
      </c>
      <c r="E138" t="s">
        <v>1225</v>
      </c>
      <c r="F138" s="26">
        <v>9128.56</v>
      </c>
      <c r="G138" s="3">
        <v>45804</v>
      </c>
      <c r="H138" t="s">
        <v>26</v>
      </c>
      <c r="I138" s="4" t="str">
        <f>MID(H138,6,30)</f>
        <v>Retirement Annuity</v>
      </c>
      <c r="J138" t="str">
        <f>IF(LEFT(I138)="L","Compulsory, LA",IF(LEFT(I138)="R","Compulsory, RA",IF(LEFT(I138,2)="Pe","Compulsory, Pens","Voluntary")))</f>
        <v>Compulsory, RA</v>
      </c>
      <c r="K138" t="s">
        <v>15</v>
      </c>
      <c r="M138" t="str">
        <f t="shared" si="159"/>
        <v>d</v>
      </c>
      <c r="N138" t="str">
        <f t="shared" si="160"/>
        <v/>
      </c>
      <c r="O138" t="str">
        <f t="shared" si="161"/>
        <v/>
      </c>
    </row>
    <row r="139" spans="1:15" x14ac:dyDescent="0.3">
      <c r="A139">
        <v>34200</v>
      </c>
      <c r="B139" t="s">
        <v>1178</v>
      </c>
      <c r="C139">
        <v>99</v>
      </c>
      <c r="D139" t="s">
        <v>25</v>
      </c>
      <c r="E139" t="s">
        <v>1225</v>
      </c>
      <c r="F139" s="26">
        <v>6101.7199999999993</v>
      </c>
      <c r="G139" s="3">
        <v>45804</v>
      </c>
      <c r="H139" t="s">
        <v>1175</v>
      </c>
      <c r="I139" s="4" t="str">
        <f>MID(H139,6,30)</f>
        <v>Retirement Annuity - Retiremen</v>
      </c>
      <c r="J139" t="str">
        <f>IF(LEFT(I139)="L","Compulsory, LA",IF(LEFT(I139)="R","Compulsory, RA",IF(LEFT(I139,2)="Pe","Compulsory, Pens","Voluntary")))</f>
        <v>Compulsory, RA</v>
      </c>
      <c r="K139" t="s">
        <v>15</v>
      </c>
      <c r="M139" t="str">
        <f t="shared" si="159"/>
        <v>d</v>
      </c>
      <c r="N139" t="str">
        <f t="shared" si="160"/>
        <v/>
      </c>
      <c r="O139" t="str">
        <f t="shared" si="161"/>
        <v/>
      </c>
    </row>
    <row r="140" spans="1:15" x14ac:dyDescent="0.3">
      <c r="A140">
        <v>34200</v>
      </c>
      <c r="B140" t="s">
        <v>1176</v>
      </c>
      <c r="C140">
        <v>99</v>
      </c>
      <c r="D140" t="s">
        <v>25</v>
      </c>
      <c r="E140" t="s">
        <v>1225</v>
      </c>
      <c r="F140" s="26">
        <v>176282.39</v>
      </c>
      <c r="G140" s="3">
        <v>45804</v>
      </c>
      <c r="H140" t="s">
        <v>1174</v>
      </c>
      <c r="I140" s="4" t="str">
        <f>MID(H140,6,30)</f>
        <v>Retirement Annuity - Savings C</v>
      </c>
      <c r="J140" t="str">
        <f>IF(LEFT(I140)="L","Compulsory, LA",IF(LEFT(I140)="R","Compulsory, RA",IF(LEFT(I140,2)="Pe","Compulsory, Pens","Voluntary")))</f>
        <v>Compulsory, RA</v>
      </c>
      <c r="K140" t="s">
        <v>15</v>
      </c>
      <c r="M140" t="str">
        <f t="shared" si="159"/>
        <v>d</v>
      </c>
      <c r="N140" t="str">
        <f t="shared" si="160"/>
        <v/>
      </c>
      <c r="O140" t="str">
        <f t="shared" si="161"/>
        <v/>
      </c>
    </row>
    <row r="141" spans="1:15" x14ac:dyDescent="0.3">
      <c r="A141">
        <v>34200</v>
      </c>
      <c r="B141" t="s">
        <v>1177</v>
      </c>
      <c r="C141">
        <v>99</v>
      </c>
      <c r="D141" t="s">
        <v>25</v>
      </c>
      <c r="E141" t="s">
        <v>1225</v>
      </c>
      <c r="F141" s="26">
        <v>240503.49</v>
      </c>
      <c r="G141" s="3">
        <v>45804</v>
      </c>
      <c r="H141" t="s">
        <v>1174</v>
      </c>
      <c r="I141" s="4" t="str">
        <f t="shared" si="162"/>
        <v>Retirement Annuity - Savings C</v>
      </c>
      <c r="J141" t="str">
        <f t="shared" si="163"/>
        <v>Compulsory, RA</v>
      </c>
      <c r="K141" t="s">
        <v>15</v>
      </c>
      <c r="M141" t="str">
        <f t="shared" si="159"/>
        <v>d</v>
      </c>
      <c r="N141" t="str">
        <f t="shared" si="160"/>
        <v/>
      </c>
      <c r="O141" t="str">
        <f t="shared" si="161"/>
        <v/>
      </c>
    </row>
    <row r="142" spans="1:15" x14ac:dyDescent="0.3">
      <c r="A142">
        <v>34202</v>
      </c>
      <c r="B142" t="s">
        <v>798</v>
      </c>
      <c r="C142">
        <v>104</v>
      </c>
      <c r="D142" t="s">
        <v>797</v>
      </c>
      <c r="E142" t="s">
        <v>1225</v>
      </c>
      <c r="F142" s="26">
        <v>171193.96000000002</v>
      </c>
      <c r="G142" s="3">
        <v>45804</v>
      </c>
      <c r="H142" t="s">
        <v>14</v>
      </c>
      <c r="I142" s="4" t="str">
        <f t="shared" si="98"/>
        <v>Living Annuity</v>
      </c>
      <c r="J142" t="str">
        <f t="shared" si="99"/>
        <v>Compulsory, LA</v>
      </c>
      <c r="K142" t="s">
        <v>15</v>
      </c>
      <c r="M142" t="str">
        <f t="shared" si="159"/>
        <v>a</v>
      </c>
      <c r="N142" t="str">
        <f t="shared" si="160"/>
        <v/>
      </c>
      <c r="O142" t="str">
        <f t="shared" si="161"/>
        <v/>
      </c>
    </row>
    <row r="143" spans="1:15" x14ac:dyDescent="0.3">
      <c r="A143">
        <v>34202</v>
      </c>
      <c r="B143" t="s">
        <v>799</v>
      </c>
      <c r="C143">
        <v>104</v>
      </c>
      <c r="D143" t="s">
        <v>797</v>
      </c>
      <c r="E143" t="s">
        <v>1225</v>
      </c>
      <c r="F143" s="26">
        <v>3585.23</v>
      </c>
      <c r="G143" s="3">
        <v>45804</v>
      </c>
      <c r="H143" t="s">
        <v>14</v>
      </c>
      <c r="I143" s="4" t="str">
        <f t="shared" si="98"/>
        <v>Living Annuity</v>
      </c>
      <c r="J143" t="str">
        <f t="shared" si="99"/>
        <v>Compulsory, LA</v>
      </c>
      <c r="K143" t="s">
        <v>15</v>
      </c>
      <c r="M143" t="str">
        <f t="shared" si="159"/>
        <v>a</v>
      </c>
      <c r="N143" t="str">
        <f t="shared" si="160"/>
        <v/>
      </c>
      <c r="O143" t="str">
        <f t="shared" si="161"/>
        <v/>
      </c>
    </row>
    <row r="144" spans="1:15" x14ac:dyDescent="0.3">
      <c r="A144">
        <v>34209</v>
      </c>
      <c r="B144" t="s">
        <v>752</v>
      </c>
      <c r="C144">
        <v>25</v>
      </c>
      <c r="D144" t="s">
        <v>28</v>
      </c>
      <c r="E144" t="s">
        <v>1225</v>
      </c>
      <c r="F144" s="25">
        <v>3415.88</v>
      </c>
      <c r="G144" s="3">
        <v>45804</v>
      </c>
      <c r="H144" t="s">
        <v>14</v>
      </c>
      <c r="I144" s="4" t="str">
        <f t="shared" ref="I144" si="164">MID(H144,6,30)</f>
        <v>Living Annuity</v>
      </c>
      <c r="J144" t="str">
        <f t="shared" ref="J144" si="165">IF(LEFT(I144)="L","Compulsory, LA",IF(LEFT(I144)="R","Compulsory, RA",IF(LEFT(I144,2)="Pe","Compulsory, Pens","Voluntary")))</f>
        <v>Compulsory, LA</v>
      </c>
      <c r="K144" t="s">
        <v>15</v>
      </c>
      <c r="M144" t="str">
        <f t="shared" si="159"/>
        <v>a</v>
      </c>
      <c r="N144" t="str">
        <f t="shared" si="160"/>
        <v/>
      </c>
      <c r="O144" t="str">
        <f t="shared" si="161"/>
        <v/>
      </c>
    </row>
    <row r="145" spans="1:15" x14ac:dyDescent="0.3">
      <c r="A145">
        <v>34209</v>
      </c>
      <c r="B145" t="s">
        <v>751</v>
      </c>
      <c r="C145">
        <v>25</v>
      </c>
      <c r="D145" t="s">
        <v>28</v>
      </c>
      <c r="E145" t="s">
        <v>1225</v>
      </c>
      <c r="F145" s="25">
        <v>2085.62</v>
      </c>
      <c r="G145" s="3">
        <v>45804</v>
      </c>
      <c r="H145" t="s">
        <v>14</v>
      </c>
      <c r="I145" s="4" t="str">
        <f>MID(H145,6,30)</f>
        <v>Living Annuity</v>
      </c>
      <c r="J145" t="str">
        <f>IF(LEFT(I145)="L","Compulsory, LA",IF(LEFT(I145)="R","Compulsory, RA",IF(LEFT(I145,2)="Pe","Compulsory, Pens","Voluntary")))</f>
        <v>Compulsory, LA</v>
      </c>
      <c r="K145" t="s">
        <v>15</v>
      </c>
      <c r="M145" t="str">
        <f t="shared" si="159"/>
        <v>a</v>
      </c>
      <c r="N145" t="str">
        <f t="shared" si="160"/>
        <v/>
      </c>
      <c r="O145" t="str">
        <f t="shared" si="161"/>
        <v/>
      </c>
    </row>
    <row r="146" spans="1:15" x14ac:dyDescent="0.3">
      <c r="A146">
        <v>34209</v>
      </c>
      <c r="B146" t="s">
        <v>935</v>
      </c>
      <c r="C146">
        <v>25</v>
      </c>
      <c r="D146" t="s">
        <v>28</v>
      </c>
      <c r="E146" t="s">
        <v>1225</v>
      </c>
      <c r="F146" s="25">
        <v>378678.64999999991</v>
      </c>
      <c r="G146" s="3">
        <v>45804</v>
      </c>
      <c r="H146" t="s">
        <v>29</v>
      </c>
      <c r="I146" s="4" t="str">
        <f>MID(H146,6,30)</f>
        <v>Provident Preservation Fund</v>
      </c>
      <c r="J146" t="str">
        <f>IF(LEFT(I146)="L","Compulsory, LA",IF(LEFT(I146)="R","Compulsory, RA",IF(LEFT(I146,2)="Pe","Compulsory, Pens","Voluntary")))</f>
        <v>Voluntary</v>
      </c>
      <c r="K146" t="s">
        <v>15</v>
      </c>
      <c r="M146" t="str">
        <f t="shared" si="159"/>
        <v>d</v>
      </c>
      <c r="N146" t="str">
        <f t="shared" si="160"/>
        <v/>
      </c>
      <c r="O146" t="str">
        <f t="shared" si="161"/>
        <v/>
      </c>
    </row>
    <row r="147" spans="1:15" x14ac:dyDescent="0.3">
      <c r="A147">
        <v>34216</v>
      </c>
      <c r="B147" t="s">
        <v>753</v>
      </c>
      <c r="C147">
        <v>95</v>
      </c>
      <c r="D147" t="s">
        <v>30</v>
      </c>
      <c r="E147" t="s">
        <v>1225</v>
      </c>
      <c r="F147" s="25">
        <v>31664.879999999997</v>
      </c>
      <c r="G147" s="3">
        <v>45804</v>
      </c>
      <c r="H147" t="s">
        <v>14</v>
      </c>
      <c r="I147" s="4" t="str">
        <f t="shared" si="98"/>
        <v>Living Annuity</v>
      </c>
      <c r="J147" t="str">
        <f t="shared" si="99"/>
        <v>Compulsory, LA</v>
      </c>
      <c r="K147" t="s">
        <v>15</v>
      </c>
      <c r="M147" t="str">
        <f t="shared" si="159"/>
        <v>a</v>
      </c>
      <c r="N147" t="str">
        <f t="shared" si="160"/>
        <v/>
      </c>
      <c r="O147" t="str">
        <f t="shared" si="161"/>
        <v/>
      </c>
    </row>
    <row r="148" spans="1:15" x14ac:dyDescent="0.3">
      <c r="A148">
        <v>34216</v>
      </c>
      <c r="B148" t="s">
        <v>800</v>
      </c>
      <c r="C148">
        <v>95</v>
      </c>
      <c r="D148" t="s">
        <v>30</v>
      </c>
      <c r="E148" t="s">
        <v>1225</v>
      </c>
      <c r="F148" s="25">
        <v>159.94</v>
      </c>
      <c r="G148" s="3">
        <v>45804</v>
      </c>
      <c r="H148" t="s">
        <v>31</v>
      </c>
      <c r="I148" s="4" t="str">
        <f t="shared" si="98"/>
        <v>Investment Account</v>
      </c>
      <c r="J148" t="str">
        <f t="shared" si="99"/>
        <v>Voluntary</v>
      </c>
      <c r="K148" t="s">
        <v>15</v>
      </c>
      <c r="M148" t="str">
        <f t="shared" si="159"/>
        <v>a</v>
      </c>
      <c r="N148" t="str">
        <f t="shared" si="160"/>
        <v/>
      </c>
      <c r="O148" t="str">
        <f t="shared" si="161"/>
        <v/>
      </c>
    </row>
    <row r="149" spans="1:15" x14ac:dyDescent="0.3">
      <c r="A149">
        <v>34337</v>
      </c>
      <c r="B149" t="s">
        <v>718</v>
      </c>
      <c r="C149">
        <v>243</v>
      </c>
      <c r="D149" t="s">
        <v>717</v>
      </c>
      <c r="E149" t="s">
        <v>1225</v>
      </c>
      <c r="F149" s="25">
        <v>332697.60000000003</v>
      </c>
      <c r="G149" s="3">
        <v>45804</v>
      </c>
      <c r="H149" t="s">
        <v>31</v>
      </c>
      <c r="I149" s="4" t="str">
        <f t="shared" si="98"/>
        <v>Investment Account</v>
      </c>
      <c r="J149" t="str">
        <f t="shared" si="99"/>
        <v>Voluntary</v>
      </c>
      <c r="K149" t="s">
        <v>15</v>
      </c>
      <c r="M149" t="str">
        <f t="shared" si="159"/>
        <v>a</v>
      </c>
      <c r="N149" t="str">
        <f t="shared" si="160"/>
        <v/>
      </c>
      <c r="O149" t="str">
        <f t="shared" si="161"/>
        <v/>
      </c>
    </row>
    <row r="150" spans="1:15" x14ac:dyDescent="0.3">
      <c r="A150">
        <v>34337</v>
      </c>
      <c r="B150" t="s">
        <v>723</v>
      </c>
      <c r="C150">
        <v>243</v>
      </c>
      <c r="D150" t="s">
        <v>717</v>
      </c>
      <c r="E150" t="s">
        <v>1225</v>
      </c>
      <c r="F150" s="25">
        <v>31414.66</v>
      </c>
      <c r="G150" s="3">
        <v>45804</v>
      </c>
      <c r="H150" t="s">
        <v>14</v>
      </c>
      <c r="I150" s="4" t="str">
        <f t="shared" si="98"/>
        <v>Living Annuity</v>
      </c>
      <c r="J150" t="str">
        <f t="shared" si="99"/>
        <v>Compulsory, LA</v>
      </c>
      <c r="K150" t="s">
        <v>15</v>
      </c>
      <c r="M150" t="str">
        <f t="shared" si="159"/>
        <v>a</v>
      </c>
      <c r="N150" t="str">
        <f t="shared" si="160"/>
        <v/>
      </c>
      <c r="O150" t="str">
        <f t="shared" si="161"/>
        <v/>
      </c>
    </row>
    <row r="151" spans="1:15" x14ac:dyDescent="0.3">
      <c r="A151">
        <v>34395</v>
      </c>
      <c r="B151" t="s">
        <v>936</v>
      </c>
      <c r="C151">
        <v>168</v>
      </c>
      <c r="D151" t="s">
        <v>111</v>
      </c>
      <c r="E151" t="s">
        <v>1225</v>
      </c>
      <c r="F151" s="26">
        <v>161.53</v>
      </c>
      <c r="G151" s="3">
        <v>45804</v>
      </c>
      <c r="H151" t="s">
        <v>14</v>
      </c>
      <c r="I151" s="4" t="str">
        <f>MID(H151,6,30)</f>
        <v>Living Annuity</v>
      </c>
      <c r="J151" t="str">
        <f>IF(LEFT(I151)="L","Compulsory, LA",IF(LEFT(I151)="R","Compulsory, RA",IF(LEFT(I151,2)="Pe","Compulsory, Pens","Voluntary")))</f>
        <v>Compulsory, LA</v>
      </c>
      <c r="K151" t="s">
        <v>15</v>
      </c>
      <c r="M151" t="str">
        <f t="shared" si="159"/>
        <v>a</v>
      </c>
      <c r="N151" t="str">
        <f t="shared" si="160"/>
        <v/>
      </c>
      <c r="O151" t="str">
        <f t="shared" si="161"/>
        <v/>
      </c>
    </row>
    <row r="152" spans="1:15" x14ac:dyDescent="0.3">
      <c r="A152">
        <v>34395</v>
      </c>
      <c r="B152" t="s">
        <v>858</v>
      </c>
      <c r="C152">
        <v>168</v>
      </c>
      <c r="D152" t="s">
        <v>111</v>
      </c>
      <c r="E152" t="s">
        <v>1225</v>
      </c>
      <c r="F152" s="26">
        <v>133178.77000000002</v>
      </c>
      <c r="G152" s="3">
        <v>45804</v>
      </c>
      <c r="H152" t="s">
        <v>14</v>
      </c>
      <c r="I152" s="4" t="str">
        <f>MID(H152,6,30)</f>
        <v>Living Annuity</v>
      </c>
      <c r="J152" t="str">
        <f>IF(LEFT(I152)="L","Compulsory, LA",IF(LEFT(I152)="R","Compulsory, RA",IF(LEFT(I152,2)="Pe","Compulsory, Pens","Voluntary")))</f>
        <v>Compulsory, LA</v>
      </c>
      <c r="K152" t="s">
        <v>15</v>
      </c>
      <c r="M152" t="str">
        <f t="shared" si="159"/>
        <v>a</v>
      </c>
      <c r="N152" t="str">
        <f t="shared" si="160"/>
        <v/>
      </c>
      <c r="O152" t="str">
        <f t="shared" si="161"/>
        <v/>
      </c>
    </row>
    <row r="153" spans="1:15" x14ac:dyDescent="0.3">
      <c r="A153">
        <v>34395</v>
      </c>
      <c r="B153" t="s">
        <v>754</v>
      </c>
      <c r="C153">
        <v>168</v>
      </c>
      <c r="D153" t="s">
        <v>111</v>
      </c>
      <c r="E153" t="s">
        <v>1225</v>
      </c>
      <c r="F153" s="26">
        <v>329.06</v>
      </c>
      <c r="G153" s="3">
        <v>45804</v>
      </c>
      <c r="H153" t="s">
        <v>14</v>
      </c>
      <c r="I153" s="4" t="str">
        <f t="shared" si="98"/>
        <v>Living Annuity</v>
      </c>
      <c r="J153" t="str">
        <f t="shared" si="99"/>
        <v>Compulsory, LA</v>
      </c>
      <c r="K153" t="s">
        <v>15</v>
      </c>
      <c r="M153" t="str">
        <f t="shared" si="159"/>
        <v>a</v>
      </c>
      <c r="N153" t="str">
        <f t="shared" si="160"/>
        <v/>
      </c>
      <c r="O153" t="str">
        <f t="shared" si="161"/>
        <v/>
      </c>
    </row>
    <row r="154" spans="1:15" x14ac:dyDescent="0.3">
      <c r="A154">
        <v>36048</v>
      </c>
      <c r="B154" t="s">
        <v>939</v>
      </c>
      <c r="C154">
        <v>34</v>
      </c>
      <c r="D154" t="s">
        <v>937</v>
      </c>
      <c r="E154" t="s">
        <v>1225</v>
      </c>
      <c r="F154" s="26">
        <v>322165.57</v>
      </c>
      <c r="G154" s="3">
        <v>45804</v>
      </c>
      <c r="H154" t="s">
        <v>14</v>
      </c>
      <c r="I154" s="4" t="str">
        <f t="shared" si="98"/>
        <v>Living Annuity</v>
      </c>
      <c r="J154" t="str">
        <f t="shared" si="99"/>
        <v>Compulsory, LA</v>
      </c>
      <c r="K154" t="s">
        <v>15</v>
      </c>
      <c r="M154" t="str">
        <f t="shared" si="159"/>
        <v>a</v>
      </c>
      <c r="N154" t="str">
        <f t="shared" si="160"/>
        <v/>
      </c>
      <c r="O154" t="str">
        <f t="shared" si="161"/>
        <v/>
      </c>
    </row>
    <row r="155" spans="1:15" x14ac:dyDescent="0.3">
      <c r="A155">
        <v>36048</v>
      </c>
      <c r="B155" t="s">
        <v>940</v>
      </c>
      <c r="C155">
        <v>34</v>
      </c>
      <c r="D155" t="s">
        <v>937</v>
      </c>
      <c r="E155" t="s">
        <v>1225</v>
      </c>
      <c r="F155" s="26">
        <v>33936.199999999997</v>
      </c>
      <c r="G155" s="3">
        <v>45804</v>
      </c>
      <c r="H155" t="s">
        <v>14</v>
      </c>
      <c r="I155" s="4" t="str">
        <f t="shared" si="98"/>
        <v>Living Annuity</v>
      </c>
      <c r="J155" t="str">
        <f t="shared" si="99"/>
        <v>Compulsory, LA</v>
      </c>
      <c r="K155" t="s">
        <v>15</v>
      </c>
      <c r="M155" t="str">
        <f t="shared" si="159"/>
        <v>a</v>
      </c>
      <c r="N155" t="str">
        <f t="shared" si="160"/>
        <v/>
      </c>
      <c r="O155" t="str">
        <f t="shared" si="161"/>
        <v/>
      </c>
    </row>
    <row r="156" spans="1:15" x14ac:dyDescent="0.3">
      <c r="A156">
        <v>36059</v>
      </c>
      <c r="B156" t="s">
        <v>941</v>
      </c>
      <c r="C156">
        <v>4</v>
      </c>
      <c r="D156" t="s">
        <v>35</v>
      </c>
      <c r="E156" t="s">
        <v>1225</v>
      </c>
      <c r="F156" s="26">
        <v>333.33</v>
      </c>
      <c r="G156" s="3">
        <v>45804</v>
      </c>
      <c r="H156" t="s">
        <v>14</v>
      </c>
      <c r="I156" s="4" t="str">
        <f t="shared" si="98"/>
        <v>Living Annuity</v>
      </c>
      <c r="J156" t="str">
        <f t="shared" si="99"/>
        <v>Compulsory, LA</v>
      </c>
      <c r="K156" t="s">
        <v>15</v>
      </c>
      <c r="M156" t="str">
        <f t="shared" si="159"/>
        <v>a</v>
      </c>
      <c r="N156" t="str">
        <f t="shared" si="160"/>
        <v/>
      </c>
      <c r="O156" t="str">
        <f t="shared" si="161"/>
        <v/>
      </c>
    </row>
    <row r="157" spans="1:15" x14ac:dyDescent="0.3">
      <c r="A157">
        <v>36059</v>
      </c>
      <c r="B157" t="s">
        <v>942</v>
      </c>
      <c r="C157">
        <v>4</v>
      </c>
      <c r="D157" t="s">
        <v>35</v>
      </c>
      <c r="E157" t="s">
        <v>1225</v>
      </c>
      <c r="F157" s="26">
        <v>36591.119999999995</v>
      </c>
      <c r="G157" s="3">
        <v>45804</v>
      </c>
      <c r="H157" t="s">
        <v>14</v>
      </c>
      <c r="I157" s="4" t="str">
        <f t="shared" si="98"/>
        <v>Living Annuity</v>
      </c>
      <c r="J157" t="str">
        <f t="shared" si="99"/>
        <v>Compulsory, LA</v>
      </c>
      <c r="K157" t="s">
        <v>15</v>
      </c>
      <c r="M157" t="str">
        <f t="shared" si="159"/>
        <v>a</v>
      </c>
      <c r="N157" t="str">
        <f t="shared" si="160"/>
        <v/>
      </c>
      <c r="O157" t="str">
        <f t="shared" si="161"/>
        <v/>
      </c>
    </row>
    <row r="158" spans="1:15" x14ac:dyDescent="0.3">
      <c r="A158">
        <v>36060</v>
      </c>
      <c r="B158" t="s">
        <v>943</v>
      </c>
      <c r="C158">
        <v>2</v>
      </c>
      <c r="D158" t="s">
        <v>38</v>
      </c>
      <c r="E158" t="s">
        <v>1225</v>
      </c>
      <c r="F158" s="26">
        <v>175394.00999999998</v>
      </c>
      <c r="G158" s="3">
        <v>45804</v>
      </c>
      <c r="H158" t="s">
        <v>14</v>
      </c>
      <c r="I158" s="4" t="str">
        <f t="shared" si="98"/>
        <v>Living Annuity</v>
      </c>
      <c r="J158" t="str">
        <f t="shared" si="99"/>
        <v>Compulsory, LA</v>
      </c>
      <c r="K158" t="s">
        <v>15</v>
      </c>
      <c r="M158" t="str">
        <f t="shared" si="159"/>
        <v>a</v>
      </c>
      <c r="N158" t="str">
        <f t="shared" si="160"/>
        <v/>
      </c>
      <c r="O158" t="str">
        <f t="shared" si="161"/>
        <v/>
      </c>
    </row>
    <row r="159" spans="1:15" x14ac:dyDescent="0.3">
      <c r="A159">
        <v>36060</v>
      </c>
      <c r="B159" t="s">
        <v>944</v>
      </c>
      <c r="C159">
        <v>2</v>
      </c>
      <c r="D159" t="s">
        <v>38</v>
      </c>
      <c r="E159" t="s">
        <v>1225</v>
      </c>
      <c r="F159" s="26">
        <v>143046</v>
      </c>
      <c r="G159" s="3">
        <v>45804</v>
      </c>
      <c r="H159" t="s">
        <v>14</v>
      </c>
      <c r="I159" s="4" t="str">
        <f t="shared" si="98"/>
        <v>Living Annuity</v>
      </c>
      <c r="J159" t="str">
        <f t="shared" si="99"/>
        <v>Compulsory, LA</v>
      </c>
      <c r="K159" t="s">
        <v>15</v>
      </c>
      <c r="M159" t="str">
        <f t="shared" si="159"/>
        <v>a</v>
      </c>
      <c r="N159" t="str">
        <f t="shared" si="160"/>
        <v/>
      </c>
      <c r="O159" t="str">
        <f t="shared" si="161"/>
        <v/>
      </c>
    </row>
    <row r="160" spans="1:15" x14ac:dyDescent="0.3">
      <c r="A160">
        <v>36062</v>
      </c>
      <c r="B160" t="s">
        <v>945</v>
      </c>
      <c r="C160">
        <v>224</v>
      </c>
      <c r="D160" t="s">
        <v>938</v>
      </c>
      <c r="E160" t="s">
        <v>1225</v>
      </c>
      <c r="F160" s="26">
        <v>446.89</v>
      </c>
      <c r="G160" s="3">
        <v>45804</v>
      </c>
      <c r="H160" t="s">
        <v>26</v>
      </c>
      <c r="I160" s="4" t="str">
        <f t="shared" si="98"/>
        <v>Retirement Annuity</v>
      </c>
      <c r="J160" t="str">
        <f t="shared" si="99"/>
        <v>Compulsory, RA</v>
      </c>
      <c r="K160" t="s">
        <v>15</v>
      </c>
      <c r="M160" t="str">
        <f t="shared" si="159"/>
        <v>d</v>
      </c>
      <c r="N160" t="str">
        <f t="shared" si="160"/>
        <v/>
      </c>
      <c r="O160" t="str">
        <f t="shared" si="161"/>
        <v/>
      </c>
    </row>
    <row r="161" spans="1:15" x14ac:dyDescent="0.3">
      <c r="A161">
        <v>36062</v>
      </c>
      <c r="B161" t="s">
        <v>1179</v>
      </c>
      <c r="C161">
        <v>224</v>
      </c>
      <c r="D161" t="s">
        <v>938</v>
      </c>
      <c r="E161" t="s">
        <v>1225</v>
      </c>
      <c r="F161" s="26">
        <v>145696.29</v>
      </c>
      <c r="G161" s="3">
        <v>45804</v>
      </c>
      <c r="H161" t="s">
        <v>1174</v>
      </c>
      <c r="I161" s="4" t="str">
        <f t="shared" si="98"/>
        <v>Retirement Annuity - Savings C</v>
      </c>
      <c r="J161" t="str">
        <f t="shared" si="99"/>
        <v>Compulsory, RA</v>
      </c>
      <c r="K161" t="s">
        <v>15</v>
      </c>
      <c r="M161" t="str">
        <f t="shared" si="159"/>
        <v>d</v>
      </c>
      <c r="N161" t="str">
        <f t="shared" si="160"/>
        <v/>
      </c>
      <c r="O161" t="str">
        <f t="shared" si="161"/>
        <v/>
      </c>
    </row>
    <row r="162" spans="1:15" x14ac:dyDescent="0.3">
      <c r="A162">
        <v>36355</v>
      </c>
      <c r="B162" t="s">
        <v>946</v>
      </c>
      <c r="C162">
        <v>53</v>
      </c>
      <c r="D162" t="s">
        <v>42</v>
      </c>
      <c r="E162" t="s">
        <v>1225</v>
      </c>
      <c r="F162" s="26">
        <v>26185.95</v>
      </c>
      <c r="G162" s="3">
        <v>45804</v>
      </c>
      <c r="H162" t="s">
        <v>14</v>
      </c>
      <c r="I162" s="4" t="str">
        <f t="shared" si="98"/>
        <v>Living Annuity</v>
      </c>
      <c r="J162" t="str">
        <f t="shared" si="99"/>
        <v>Compulsory, LA</v>
      </c>
      <c r="K162" t="s">
        <v>15</v>
      </c>
      <c r="M162" t="str">
        <f t="shared" si="159"/>
        <v>a</v>
      </c>
      <c r="N162" t="str">
        <f t="shared" si="160"/>
        <v/>
      </c>
      <c r="O162" t="str">
        <f t="shared" si="161"/>
        <v/>
      </c>
    </row>
    <row r="163" spans="1:15" x14ac:dyDescent="0.3">
      <c r="A163">
        <v>37040</v>
      </c>
      <c r="B163" t="s">
        <v>947</v>
      </c>
      <c r="C163">
        <v>263</v>
      </c>
      <c r="D163" t="s">
        <v>44</v>
      </c>
      <c r="E163" t="s">
        <v>1225</v>
      </c>
      <c r="F163" s="26">
        <v>21140.510000000002</v>
      </c>
      <c r="G163" s="3">
        <v>45804</v>
      </c>
      <c r="H163" t="s">
        <v>14</v>
      </c>
      <c r="I163" s="4" t="str">
        <f t="shared" si="98"/>
        <v>Living Annuity</v>
      </c>
      <c r="J163" t="str">
        <f t="shared" si="99"/>
        <v>Compulsory, LA</v>
      </c>
      <c r="K163" t="s">
        <v>15</v>
      </c>
      <c r="M163" t="str">
        <f t="shared" si="159"/>
        <v>a</v>
      </c>
      <c r="N163" t="str">
        <f t="shared" si="160"/>
        <v/>
      </c>
      <c r="O163" t="str">
        <f t="shared" si="161"/>
        <v/>
      </c>
    </row>
    <row r="164" spans="1:15" x14ac:dyDescent="0.3">
      <c r="A164">
        <v>37041</v>
      </c>
      <c r="B164" t="s">
        <v>948</v>
      </c>
      <c r="C164">
        <v>84</v>
      </c>
      <c r="D164" t="s">
        <v>46</v>
      </c>
      <c r="E164" t="s">
        <v>1225</v>
      </c>
      <c r="F164" s="26">
        <v>153.22</v>
      </c>
      <c r="G164" s="3">
        <v>45804</v>
      </c>
      <c r="H164" t="s">
        <v>14</v>
      </c>
      <c r="I164" s="4" t="str">
        <f t="shared" si="98"/>
        <v>Living Annuity</v>
      </c>
      <c r="J164" t="str">
        <f t="shared" si="99"/>
        <v>Compulsory, LA</v>
      </c>
      <c r="K164" t="s">
        <v>15</v>
      </c>
      <c r="M164" t="str">
        <f t="shared" si="159"/>
        <v>a</v>
      </c>
      <c r="N164" t="str">
        <f t="shared" si="160"/>
        <v/>
      </c>
      <c r="O164" t="str">
        <f t="shared" si="161"/>
        <v/>
      </c>
    </row>
    <row r="165" spans="1:15" x14ac:dyDescent="0.3">
      <c r="A165">
        <v>38586</v>
      </c>
      <c r="B165" t="s">
        <v>949</v>
      </c>
      <c r="C165">
        <v>181</v>
      </c>
      <c r="D165" t="s">
        <v>48</v>
      </c>
      <c r="E165" t="s">
        <v>1225</v>
      </c>
      <c r="F165" s="26">
        <v>19946.04</v>
      </c>
      <c r="G165" s="3">
        <v>45804</v>
      </c>
      <c r="H165" t="s">
        <v>14</v>
      </c>
      <c r="I165" s="4" t="str">
        <f t="shared" si="98"/>
        <v>Living Annuity</v>
      </c>
      <c r="J165" t="str">
        <f t="shared" si="99"/>
        <v>Compulsory, LA</v>
      </c>
      <c r="K165" t="s">
        <v>15</v>
      </c>
      <c r="M165" t="str">
        <f t="shared" si="159"/>
        <v>a</v>
      </c>
      <c r="N165" t="str">
        <f t="shared" si="160"/>
        <v/>
      </c>
      <c r="O165" t="str">
        <f t="shared" si="161"/>
        <v/>
      </c>
    </row>
    <row r="166" spans="1:15" x14ac:dyDescent="0.3">
      <c r="A166">
        <v>38842</v>
      </c>
      <c r="B166" t="s">
        <v>1093</v>
      </c>
      <c r="C166">
        <v>79</v>
      </c>
      <c r="D166" t="s">
        <v>50</v>
      </c>
      <c r="E166" t="s">
        <v>1225</v>
      </c>
      <c r="F166" s="25">
        <v>14226.419999999998</v>
      </c>
      <c r="G166" s="3">
        <v>45804</v>
      </c>
      <c r="H166" t="s">
        <v>14</v>
      </c>
      <c r="I166" s="4" t="str">
        <f>MID(H166,6,30)</f>
        <v>Living Annuity</v>
      </c>
      <c r="J166" t="str">
        <f>IF(LEFT(I166)="L","Compulsory, LA",IF(LEFT(I166)="R","Compulsory, RA",IF(LEFT(I166,2)="Pe","Compulsory, Pens","Voluntary")))</f>
        <v>Compulsory, LA</v>
      </c>
      <c r="K166" t="s">
        <v>15</v>
      </c>
      <c r="M166" t="str">
        <f t="shared" si="159"/>
        <v>a</v>
      </c>
      <c r="N166" t="str">
        <f t="shared" si="160"/>
        <v/>
      </c>
      <c r="O166" t="str">
        <f t="shared" si="161"/>
        <v/>
      </c>
    </row>
    <row r="167" spans="1:15" x14ac:dyDescent="0.3">
      <c r="A167">
        <v>38851</v>
      </c>
      <c r="B167" t="s">
        <v>950</v>
      </c>
      <c r="C167">
        <v>172</v>
      </c>
      <c r="D167" t="s">
        <v>52</v>
      </c>
      <c r="E167" t="s">
        <v>1225</v>
      </c>
      <c r="F167" s="26">
        <v>1049.8800000000001</v>
      </c>
      <c r="G167" s="3">
        <v>45804</v>
      </c>
      <c r="H167" t="s">
        <v>14</v>
      </c>
      <c r="I167" s="4" t="str">
        <f t="shared" si="98"/>
        <v>Living Annuity</v>
      </c>
      <c r="J167" t="str">
        <f t="shared" si="99"/>
        <v>Compulsory, LA</v>
      </c>
      <c r="K167" t="s">
        <v>15</v>
      </c>
      <c r="M167" t="str">
        <f t="shared" si="159"/>
        <v>a</v>
      </c>
      <c r="N167" t="str">
        <f t="shared" si="160"/>
        <v/>
      </c>
      <c r="O167" t="str">
        <f t="shared" si="161"/>
        <v/>
      </c>
    </row>
    <row r="168" spans="1:15" x14ac:dyDescent="0.3">
      <c r="A168">
        <v>38887</v>
      </c>
      <c r="B168" t="s">
        <v>951</v>
      </c>
      <c r="C168">
        <v>29</v>
      </c>
      <c r="D168" t="s">
        <v>54</v>
      </c>
      <c r="E168" t="s">
        <v>1225</v>
      </c>
      <c r="F168" s="26">
        <v>24023.37</v>
      </c>
      <c r="G168" s="3">
        <v>45804</v>
      </c>
      <c r="H168" t="s">
        <v>14</v>
      </c>
      <c r="I168" s="4" t="str">
        <f t="shared" si="98"/>
        <v>Living Annuity</v>
      </c>
      <c r="J168" t="str">
        <f t="shared" si="99"/>
        <v>Compulsory, LA</v>
      </c>
      <c r="K168" t="s">
        <v>15</v>
      </c>
      <c r="M168" t="str">
        <f t="shared" si="159"/>
        <v>a</v>
      </c>
      <c r="N168" t="str">
        <f t="shared" si="160"/>
        <v/>
      </c>
      <c r="O168" t="str">
        <f t="shared" si="161"/>
        <v/>
      </c>
    </row>
    <row r="169" spans="1:15" x14ac:dyDescent="0.3">
      <c r="A169">
        <v>38888</v>
      </c>
      <c r="B169" t="s">
        <v>819</v>
      </c>
      <c r="C169">
        <v>247</v>
      </c>
      <c r="D169" t="s">
        <v>125</v>
      </c>
      <c r="E169" t="s">
        <v>1225</v>
      </c>
      <c r="F169" s="26">
        <v>1217.78</v>
      </c>
      <c r="G169" s="3">
        <v>45804</v>
      </c>
      <c r="H169" t="s">
        <v>14</v>
      </c>
      <c r="I169" s="4" t="str">
        <f>MID(H169,6,30)</f>
        <v>Living Annuity</v>
      </c>
      <c r="J169" t="str">
        <f>IF(LEFT(I169)="L","Compulsory, LA",IF(LEFT(I169)="R","Compulsory, RA",IF(LEFT(I169,2)="Pe","Compulsory, Pens","Voluntary")))</f>
        <v>Compulsory, LA</v>
      </c>
      <c r="K169" t="s">
        <v>15</v>
      </c>
      <c r="M169" t="str">
        <f t="shared" si="159"/>
        <v>f</v>
      </c>
      <c r="N169" t="str">
        <f t="shared" si="160"/>
        <v>FFFF</v>
      </c>
      <c r="O169" t="str">
        <f t="shared" si="161"/>
        <v/>
      </c>
    </row>
    <row r="170" spans="1:15" x14ac:dyDescent="0.3">
      <c r="A170">
        <v>41695</v>
      </c>
      <c r="B170" t="s">
        <v>818</v>
      </c>
      <c r="C170">
        <v>278</v>
      </c>
      <c r="D170" t="s">
        <v>56</v>
      </c>
      <c r="E170" t="s">
        <v>1225</v>
      </c>
      <c r="F170" s="25">
        <v>136966.63</v>
      </c>
      <c r="G170" s="3">
        <v>45804</v>
      </c>
      <c r="H170" t="s">
        <v>26</v>
      </c>
      <c r="I170" s="4" t="str">
        <f t="shared" si="98"/>
        <v>Retirement Annuity</v>
      </c>
      <c r="J170" t="str">
        <f t="shared" si="99"/>
        <v>Compulsory, RA</v>
      </c>
      <c r="K170" t="s">
        <v>15</v>
      </c>
      <c r="M170" t="str">
        <f t="shared" si="159"/>
        <v>d</v>
      </c>
      <c r="N170" t="str">
        <f t="shared" si="160"/>
        <v/>
      </c>
      <c r="O170" t="str">
        <f t="shared" si="161"/>
        <v/>
      </c>
    </row>
    <row r="171" spans="1:15" x14ac:dyDescent="0.3">
      <c r="A171">
        <v>41695</v>
      </c>
      <c r="B171" t="s">
        <v>1180</v>
      </c>
      <c r="C171">
        <v>278</v>
      </c>
      <c r="D171" t="s">
        <v>56</v>
      </c>
      <c r="E171" t="s">
        <v>1225</v>
      </c>
      <c r="F171" s="25">
        <v>15110.899999999998</v>
      </c>
      <c r="G171" s="3">
        <v>45804</v>
      </c>
      <c r="H171" t="s">
        <v>1174</v>
      </c>
      <c r="I171" s="4" t="str">
        <f t="shared" si="98"/>
        <v>Retirement Annuity - Savings C</v>
      </c>
      <c r="J171" t="str">
        <f t="shared" si="99"/>
        <v>Compulsory, RA</v>
      </c>
      <c r="K171" t="s">
        <v>15</v>
      </c>
      <c r="M171" t="str">
        <f t="shared" si="159"/>
        <v>d</v>
      </c>
      <c r="N171" t="str">
        <f t="shared" si="160"/>
        <v/>
      </c>
      <c r="O171" t="str">
        <f t="shared" si="161"/>
        <v/>
      </c>
    </row>
    <row r="172" spans="1:15" x14ac:dyDescent="0.3">
      <c r="A172">
        <v>41695</v>
      </c>
      <c r="B172" t="s">
        <v>1137</v>
      </c>
      <c r="C172">
        <v>278</v>
      </c>
      <c r="D172" t="s">
        <v>56</v>
      </c>
      <c r="E172" t="s">
        <v>1225</v>
      </c>
      <c r="F172" s="26">
        <v>9899.9</v>
      </c>
      <c r="G172" s="3">
        <v>45804</v>
      </c>
      <c r="H172" t="s">
        <v>31</v>
      </c>
      <c r="I172" s="4" t="str">
        <f t="shared" si="98"/>
        <v>Investment Account</v>
      </c>
      <c r="J172" t="str">
        <f t="shared" si="99"/>
        <v>Voluntary</v>
      </c>
      <c r="K172" t="s">
        <v>15</v>
      </c>
      <c r="M172" t="str">
        <f t="shared" si="159"/>
        <v>a</v>
      </c>
      <c r="N172" t="str">
        <f t="shared" si="160"/>
        <v/>
      </c>
      <c r="O172" t="str">
        <f t="shared" si="161"/>
        <v/>
      </c>
    </row>
    <row r="173" spans="1:15" x14ac:dyDescent="0.3">
      <c r="A173">
        <v>46589</v>
      </c>
      <c r="B173" t="s">
        <v>953</v>
      </c>
      <c r="C173">
        <v>80</v>
      </c>
      <c r="D173" t="s">
        <v>58</v>
      </c>
      <c r="E173" t="s">
        <v>1225</v>
      </c>
      <c r="F173" s="25">
        <v>176.14</v>
      </c>
      <c r="G173" s="3">
        <v>45804</v>
      </c>
      <c r="H173" t="s">
        <v>14</v>
      </c>
      <c r="I173" s="4" t="str">
        <f>MID(H173,6,30)</f>
        <v>Living Annuity</v>
      </c>
      <c r="J173" t="str">
        <f>IF(LEFT(I173)="L","Compulsory, LA",IF(LEFT(I173)="R","Compulsory, RA",IF(LEFT(I173,2)="Pe","Compulsory, Pens","Voluntary")))</f>
        <v>Compulsory, LA</v>
      </c>
      <c r="K173" t="s">
        <v>15</v>
      </c>
      <c r="M173" t="str">
        <f t="shared" si="159"/>
        <v>a</v>
      </c>
      <c r="N173" t="str">
        <f t="shared" si="160"/>
        <v/>
      </c>
      <c r="O173" t="str">
        <f t="shared" si="161"/>
        <v/>
      </c>
    </row>
    <row r="174" spans="1:15" x14ac:dyDescent="0.3">
      <c r="A174">
        <v>46589</v>
      </c>
      <c r="B174" t="s">
        <v>952</v>
      </c>
      <c r="C174">
        <v>80</v>
      </c>
      <c r="D174" t="s">
        <v>58</v>
      </c>
      <c r="E174" t="s">
        <v>1225</v>
      </c>
      <c r="F174" s="25">
        <v>51691.299999999996</v>
      </c>
      <c r="G174" s="3">
        <v>45804</v>
      </c>
      <c r="H174" t="s">
        <v>14</v>
      </c>
      <c r="I174" s="4" t="str">
        <f t="shared" si="98"/>
        <v>Living Annuity</v>
      </c>
      <c r="J174" t="str">
        <f t="shared" si="99"/>
        <v>Compulsory, LA</v>
      </c>
      <c r="K174" t="s">
        <v>15</v>
      </c>
      <c r="M174" t="str">
        <f t="shared" si="159"/>
        <v>a</v>
      </c>
      <c r="N174" t="str">
        <f t="shared" si="160"/>
        <v/>
      </c>
      <c r="O174" t="str">
        <f t="shared" si="161"/>
        <v/>
      </c>
    </row>
    <row r="175" spans="1:15" x14ac:dyDescent="0.3">
      <c r="A175">
        <v>54985</v>
      </c>
      <c r="B175" t="s">
        <v>954</v>
      </c>
      <c r="C175">
        <v>33</v>
      </c>
      <c r="D175" t="s">
        <v>60</v>
      </c>
      <c r="E175" t="s">
        <v>1225</v>
      </c>
      <c r="F175" s="25">
        <v>10222.52</v>
      </c>
      <c r="G175" s="3">
        <v>45804</v>
      </c>
      <c r="H175" t="s">
        <v>14</v>
      </c>
      <c r="I175" s="4" t="str">
        <f t="shared" si="98"/>
        <v>Living Annuity</v>
      </c>
      <c r="J175" t="str">
        <f t="shared" si="99"/>
        <v>Compulsory, LA</v>
      </c>
      <c r="K175" t="s">
        <v>15</v>
      </c>
      <c r="M175" t="str">
        <f t="shared" si="159"/>
        <v>a</v>
      </c>
      <c r="N175" t="str">
        <f t="shared" si="160"/>
        <v/>
      </c>
      <c r="O175" t="str">
        <f t="shared" si="161"/>
        <v/>
      </c>
    </row>
    <row r="176" spans="1:15" x14ac:dyDescent="0.3">
      <c r="A176">
        <v>61172</v>
      </c>
      <c r="B176" t="s">
        <v>1062</v>
      </c>
      <c r="C176">
        <v>272</v>
      </c>
      <c r="D176" t="s">
        <v>62</v>
      </c>
      <c r="E176" t="s">
        <v>1225</v>
      </c>
      <c r="F176" s="25">
        <v>330838.36</v>
      </c>
      <c r="G176" s="3">
        <v>45804</v>
      </c>
      <c r="H176" t="s">
        <v>26</v>
      </c>
      <c r="I176" s="4" t="str">
        <f>MID(H176,6,30)</f>
        <v>Retirement Annuity</v>
      </c>
      <c r="J176" t="str">
        <f>IF(LEFT(I176)="L","Compulsory, LA",IF(LEFT(I176)="R","Compulsory, RA",IF(LEFT(I176,2)="Pe","Compulsory, Pens",IF(LEFT(I176,2)="Pr","Compulsory, Prov","Voluntary"))))</f>
        <v>Compulsory, RA</v>
      </c>
      <c r="K176" t="s">
        <v>15</v>
      </c>
      <c r="M176" t="str">
        <f t="shared" si="159"/>
        <v>d</v>
      </c>
      <c r="N176" t="str">
        <f t="shared" si="160"/>
        <v/>
      </c>
      <c r="O176" t="str">
        <f t="shared" si="161"/>
        <v/>
      </c>
    </row>
    <row r="177" spans="1:15" x14ac:dyDescent="0.3">
      <c r="A177">
        <v>61172</v>
      </c>
      <c r="B177" t="s">
        <v>1181</v>
      </c>
      <c r="C177">
        <v>272</v>
      </c>
      <c r="D177" t="s">
        <v>62</v>
      </c>
      <c r="E177" t="s">
        <v>1225</v>
      </c>
      <c r="F177" s="25">
        <v>5785.19</v>
      </c>
      <c r="G177" s="3">
        <v>45804</v>
      </c>
      <c r="H177" t="s">
        <v>1174</v>
      </c>
      <c r="I177" s="4" t="str">
        <f t="shared" ref="I177" si="166">MID(H177,6,30)</f>
        <v>Retirement Annuity - Savings C</v>
      </c>
      <c r="J177" t="str">
        <f t="shared" ref="J177" si="167">IF(LEFT(I177)="L","Compulsory, LA",IF(LEFT(I177)="R","Compulsory, RA",IF(LEFT(I177,2)="Pe","Compulsory, Pens",IF(LEFT(I177,2)="Pr","Compulsory, Prov","Voluntary"))))</f>
        <v>Compulsory, RA</v>
      </c>
      <c r="K177" t="s">
        <v>15</v>
      </c>
      <c r="M177" t="str">
        <f t="shared" si="159"/>
        <v>d</v>
      </c>
      <c r="N177" t="str">
        <f t="shared" si="160"/>
        <v/>
      </c>
      <c r="O177" t="str">
        <f t="shared" si="161"/>
        <v/>
      </c>
    </row>
    <row r="178" spans="1:15" x14ac:dyDescent="0.3">
      <c r="A178">
        <v>62166</v>
      </c>
      <c r="B178" t="s">
        <v>955</v>
      </c>
      <c r="C178">
        <v>153</v>
      </c>
      <c r="D178" t="s">
        <v>64</v>
      </c>
      <c r="E178" t="s">
        <v>1225</v>
      </c>
      <c r="F178" s="25">
        <v>1796126.81</v>
      </c>
      <c r="G178" s="3">
        <v>45804</v>
      </c>
      <c r="H178" t="s">
        <v>26</v>
      </c>
      <c r="I178" s="4" t="str">
        <f t="shared" ref="I178:I180" si="168">MID(H178,6,30)</f>
        <v>Retirement Annuity</v>
      </c>
      <c r="J178" t="str">
        <f t="shared" ref="J178:J180" si="169">IF(LEFT(I178)="L","Compulsory, LA",IF(LEFT(I178)="R","Compulsory, RA",IF(LEFT(I178,2)="Pe","Compulsory, Pens",IF(LEFT(I178,2)="Pr","Compulsory, Prov","Voluntary"))))</f>
        <v>Compulsory, RA</v>
      </c>
      <c r="K178" t="s">
        <v>15</v>
      </c>
      <c r="M178" t="str">
        <f t="shared" si="159"/>
        <v>d</v>
      </c>
      <c r="N178" t="str">
        <f t="shared" si="160"/>
        <v/>
      </c>
      <c r="O178" t="str">
        <f t="shared" si="161"/>
        <v/>
      </c>
    </row>
    <row r="179" spans="1:15" x14ac:dyDescent="0.3">
      <c r="A179">
        <v>62166</v>
      </c>
      <c r="B179" t="s">
        <v>1182</v>
      </c>
      <c r="C179">
        <v>153</v>
      </c>
      <c r="D179" t="s">
        <v>64</v>
      </c>
      <c r="E179" t="s">
        <v>1225</v>
      </c>
      <c r="F179" s="25">
        <v>822113.86</v>
      </c>
      <c r="G179" s="3">
        <v>45804</v>
      </c>
      <c r="H179" t="s">
        <v>1174</v>
      </c>
      <c r="I179" s="4" t="str">
        <f t="shared" si="168"/>
        <v>Retirement Annuity - Savings C</v>
      </c>
      <c r="J179" t="str">
        <f t="shared" si="169"/>
        <v>Compulsory, RA</v>
      </c>
      <c r="K179" t="s">
        <v>15</v>
      </c>
      <c r="M179" t="str">
        <f t="shared" si="159"/>
        <v>d</v>
      </c>
      <c r="N179" t="str">
        <f t="shared" si="160"/>
        <v/>
      </c>
      <c r="O179" t="str">
        <f t="shared" si="161"/>
        <v/>
      </c>
    </row>
    <row r="180" spans="1:15" x14ac:dyDescent="0.3">
      <c r="A180">
        <v>69046</v>
      </c>
      <c r="B180" t="s">
        <v>956</v>
      </c>
      <c r="C180">
        <v>167</v>
      </c>
      <c r="D180" t="s">
        <v>703</v>
      </c>
      <c r="E180" t="s">
        <v>1225</v>
      </c>
      <c r="F180" s="25">
        <v>38942.590000000004</v>
      </c>
      <c r="G180" s="3">
        <v>45804</v>
      </c>
      <c r="H180" t="s">
        <v>14</v>
      </c>
      <c r="I180" s="4" t="str">
        <f t="shared" si="168"/>
        <v>Living Annuity</v>
      </c>
      <c r="J180" t="str">
        <f t="shared" si="169"/>
        <v>Compulsory, LA</v>
      </c>
      <c r="K180" t="s">
        <v>15</v>
      </c>
      <c r="M180" t="str">
        <f t="shared" si="159"/>
        <v>a</v>
      </c>
      <c r="N180" t="str">
        <f t="shared" si="160"/>
        <v/>
      </c>
      <c r="O180" t="str">
        <f t="shared" si="161"/>
        <v/>
      </c>
    </row>
    <row r="181" spans="1:15" s="13" customFormat="1" x14ac:dyDescent="0.3">
      <c r="A181" s="13">
        <v>72002</v>
      </c>
      <c r="B181" s="13" t="s">
        <v>714</v>
      </c>
      <c r="C181" s="13">
        <v>67</v>
      </c>
      <c r="D181" s="13" t="s">
        <v>66</v>
      </c>
      <c r="E181" s="13" t="s">
        <v>1225</v>
      </c>
      <c r="F181" s="27">
        <v>176.53</v>
      </c>
      <c r="G181" s="14">
        <v>45804</v>
      </c>
      <c r="H181" s="13" t="s">
        <v>31</v>
      </c>
      <c r="I181" s="15" t="str">
        <f t="shared" si="98"/>
        <v>Investment Account</v>
      </c>
      <c r="J181" s="13" t="str">
        <f t="shared" si="99"/>
        <v>Voluntary</v>
      </c>
      <c r="K181" s="13" t="s">
        <v>15</v>
      </c>
      <c r="M181" t="str">
        <f t="shared" si="159"/>
        <v>a</v>
      </c>
      <c r="N181" t="str">
        <f t="shared" si="160"/>
        <v/>
      </c>
      <c r="O181" t="str">
        <f t="shared" si="161"/>
        <v/>
      </c>
    </row>
    <row r="182" spans="1:15" x14ac:dyDescent="0.3">
      <c r="A182">
        <v>72002</v>
      </c>
      <c r="B182" t="s">
        <v>957</v>
      </c>
      <c r="C182">
        <v>67</v>
      </c>
      <c r="D182" t="s">
        <v>66</v>
      </c>
      <c r="E182" t="s">
        <v>1225</v>
      </c>
      <c r="F182" s="26">
        <v>315845.64</v>
      </c>
      <c r="G182" s="3">
        <v>45804</v>
      </c>
      <c r="H182" t="s">
        <v>14</v>
      </c>
      <c r="I182" s="4" t="str">
        <f t="shared" si="98"/>
        <v>Living Annuity</v>
      </c>
      <c r="J182" t="str">
        <f t="shared" si="99"/>
        <v>Compulsory, LA</v>
      </c>
      <c r="K182" t="s">
        <v>15</v>
      </c>
      <c r="M182" t="str">
        <f t="shared" si="159"/>
        <v>a</v>
      </c>
      <c r="N182" t="str">
        <f t="shared" si="160"/>
        <v/>
      </c>
      <c r="O182" t="str">
        <f t="shared" si="161"/>
        <v/>
      </c>
    </row>
    <row r="183" spans="1:15" x14ac:dyDescent="0.3">
      <c r="A183">
        <v>72002</v>
      </c>
      <c r="B183" t="s">
        <v>860</v>
      </c>
      <c r="C183">
        <v>67</v>
      </c>
      <c r="D183" t="s">
        <v>66</v>
      </c>
      <c r="E183" t="s">
        <v>1225</v>
      </c>
      <c r="F183" s="26">
        <v>20758.599999999999</v>
      </c>
      <c r="G183" s="3">
        <v>45804</v>
      </c>
      <c r="H183" t="s">
        <v>14</v>
      </c>
      <c r="I183" s="4" t="str">
        <f t="shared" si="98"/>
        <v>Living Annuity</v>
      </c>
      <c r="J183" t="str">
        <f t="shared" si="99"/>
        <v>Compulsory, LA</v>
      </c>
      <c r="K183" t="s">
        <v>15</v>
      </c>
      <c r="M183" t="str">
        <f t="shared" si="159"/>
        <v>a</v>
      </c>
      <c r="N183" t="str">
        <f t="shared" si="160"/>
        <v/>
      </c>
      <c r="O183" t="str">
        <f t="shared" si="161"/>
        <v/>
      </c>
    </row>
    <row r="184" spans="1:15" x14ac:dyDescent="0.3">
      <c r="A184">
        <v>80212</v>
      </c>
      <c r="B184" t="s">
        <v>960</v>
      </c>
      <c r="C184">
        <v>372</v>
      </c>
      <c r="D184" t="s">
        <v>68</v>
      </c>
      <c r="E184" t="s">
        <v>1225</v>
      </c>
      <c r="F184" s="26">
        <v>10233.049999999999</v>
      </c>
      <c r="G184" s="3">
        <v>45804</v>
      </c>
      <c r="H184" t="s">
        <v>31</v>
      </c>
      <c r="I184" s="4" t="str">
        <f>MID(H184,6,30)</f>
        <v>Investment Account</v>
      </c>
      <c r="J184" t="str">
        <f>IF(LEFT(I184)="L","Compulsory, LA",IF(LEFT(I184)="R","Compulsory, RA",IF(LEFT(I184,2)="Pe","Compulsory, Pens","Voluntary")))</f>
        <v>Voluntary</v>
      </c>
      <c r="K184" t="s">
        <v>15</v>
      </c>
      <c r="M184" t="str">
        <f t="shared" si="159"/>
        <v>a</v>
      </c>
      <c r="N184" t="str">
        <f t="shared" si="160"/>
        <v/>
      </c>
      <c r="O184" t="str">
        <f t="shared" si="161"/>
        <v/>
      </c>
    </row>
    <row r="185" spans="1:15" x14ac:dyDescent="0.3">
      <c r="A185">
        <v>80212</v>
      </c>
      <c r="B185" t="s">
        <v>961</v>
      </c>
      <c r="C185">
        <v>372</v>
      </c>
      <c r="D185" t="s">
        <v>68</v>
      </c>
      <c r="E185" t="s">
        <v>1225</v>
      </c>
      <c r="F185" s="26">
        <v>81160.13</v>
      </c>
      <c r="G185" s="3">
        <v>45804</v>
      </c>
      <c r="H185" t="s">
        <v>26</v>
      </c>
      <c r="I185" s="4" t="str">
        <f>MID(H185,6,30)</f>
        <v>Retirement Annuity</v>
      </c>
      <c r="J185" t="str">
        <f>IF(LEFT(I185)="L","Compulsory, LA",IF(LEFT(I185)="R","Compulsory, RA",IF(LEFT(I185,2)="Pe","Compulsory, Pens","Voluntary")))</f>
        <v>Compulsory, RA</v>
      </c>
      <c r="K185" t="s">
        <v>15</v>
      </c>
      <c r="M185" t="str">
        <f t="shared" si="159"/>
        <v>d</v>
      </c>
      <c r="N185" t="str">
        <f t="shared" si="160"/>
        <v/>
      </c>
      <c r="O185" t="str">
        <f t="shared" si="161"/>
        <v/>
      </c>
    </row>
    <row r="186" spans="1:15" x14ac:dyDescent="0.3">
      <c r="A186">
        <v>80212</v>
      </c>
      <c r="B186" t="s">
        <v>1183</v>
      </c>
      <c r="C186">
        <v>372</v>
      </c>
      <c r="D186" t="s">
        <v>68</v>
      </c>
      <c r="E186" t="s">
        <v>1225</v>
      </c>
      <c r="F186" s="26">
        <v>5793.15</v>
      </c>
      <c r="G186" s="3">
        <v>45804</v>
      </c>
      <c r="H186" t="s">
        <v>1174</v>
      </c>
      <c r="I186" s="4" t="str">
        <f t="shared" ref="I186" si="170">MID(H186,6,30)</f>
        <v>Retirement Annuity - Savings C</v>
      </c>
      <c r="J186" t="str">
        <f t="shared" ref="J186" si="171">IF(LEFT(I186)="L","Compulsory, LA",IF(LEFT(I186)="R","Compulsory, RA",IF(LEFT(I186,2)="Pe","Compulsory, Pens","Voluntary")))</f>
        <v>Compulsory, RA</v>
      </c>
      <c r="K186" t="s">
        <v>15</v>
      </c>
      <c r="M186" t="str">
        <f t="shared" si="159"/>
        <v>d</v>
      </c>
      <c r="N186" t="str">
        <f t="shared" si="160"/>
        <v/>
      </c>
      <c r="O186" t="str">
        <f t="shared" si="161"/>
        <v/>
      </c>
    </row>
    <row r="187" spans="1:15" x14ac:dyDescent="0.3">
      <c r="A187">
        <v>81381</v>
      </c>
      <c r="B187" t="s">
        <v>962</v>
      </c>
      <c r="C187">
        <v>183</v>
      </c>
      <c r="D187" t="s">
        <v>71</v>
      </c>
      <c r="E187" t="s">
        <v>1225</v>
      </c>
      <c r="F187" s="26">
        <v>36144.020000000004</v>
      </c>
      <c r="G187" s="3">
        <v>45804</v>
      </c>
      <c r="H187" t="s">
        <v>14</v>
      </c>
      <c r="I187" s="4" t="str">
        <f t="shared" ref="I187:I195" si="172">MID(H187,6,30)</f>
        <v>Living Annuity</v>
      </c>
      <c r="J187" t="str">
        <f t="shared" ref="J187:J195" si="173">IF(LEFT(I187)="L","Compulsory, LA",IF(LEFT(I187)="R","Compulsory, RA",IF(LEFT(I187,2)="Pe","Compulsory, Pens","Voluntary")))</f>
        <v>Compulsory, LA</v>
      </c>
      <c r="K187" t="s">
        <v>15</v>
      </c>
      <c r="M187" t="str">
        <f t="shared" si="159"/>
        <v>a</v>
      </c>
      <c r="N187" t="str">
        <f t="shared" si="160"/>
        <v/>
      </c>
      <c r="O187" t="str">
        <f t="shared" si="161"/>
        <v/>
      </c>
    </row>
    <row r="188" spans="1:15" x14ac:dyDescent="0.3">
      <c r="A188">
        <v>81381</v>
      </c>
      <c r="B188" t="s">
        <v>963</v>
      </c>
      <c r="C188">
        <v>183</v>
      </c>
      <c r="D188" t="s">
        <v>71</v>
      </c>
      <c r="E188" t="s">
        <v>1225</v>
      </c>
      <c r="F188" s="26">
        <v>159.72999999999999</v>
      </c>
      <c r="G188" s="3">
        <v>45804</v>
      </c>
      <c r="H188" t="s">
        <v>14</v>
      </c>
      <c r="I188" s="4" t="str">
        <f t="shared" si="172"/>
        <v>Living Annuity</v>
      </c>
      <c r="J188" t="str">
        <f t="shared" si="173"/>
        <v>Compulsory, LA</v>
      </c>
      <c r="K188" t="s">
        <v>15</v>
      </c>
      <c r="M188" t="str">
        <f t="shared" si="159"/>
        <v>a</v>
      </c>
      <c r="N188" t="str">
        <f t="shared" si="160"/>
        <v/>
      </c>
      <c r="O188" t="str">
        <f t="shared" si="161"/>
        <v/>
      </c>
    </row>
    <row r="189" spans="1:15" x14ac:dyDescent="0.3">
      <c r="A189">
        <v>113590</v>
      </c>
      <c r="B189" t="s">
        <v>964</v>
      </c>
      <c r="C189">
        <v>44</v>
      </c>
      <c r="D189" t="s">
        <v>958</v>
      </c>
      <c r="E189" t="s">
        <v>1225</v>
      </c>
      <c r="F189" s="26">
        <v>54320.74</v>
      </c>
      <c r="G189" s="3">
        <v>45804</v>
      </c>
      <c r="H189" t="s">
        <v>14</v>
      </c>
      <c r="I189" s="4" t="str">
        <f t="shared" si="172"/>
        <v>Living Annuity</v>
      </c>
      <c r="J189" t="str">
        <f t="shared" si="173"/>
        <v>Compulsory, LA</v>
      </c>
      <c r="K189" t="s">
        <v>15</v>
      </c>
      <c r="M189" t="str">
        <f t="shared" si="159"/>
        <v>a</v>
      </c>
      <c r="N189" t="str">
        <f t="shared" si="160"/>
        <v/>
      </c>
      <c r="O189" t="str">
        <f t="shared" si="161"/>
        <v/>
      </c>
    </row>
    <row r="190" spans="1:15" x14ac:dyDescent="0.3">
      <c r="A190">
        <v>113590</v>
      </c>
      <c r="B190" t="s">
        <v>1112</v>
      </c>
      <c r="C190">
        <v>44</v>
      </c>
      <c r="D190" t="s">
        <v>958</v>
      </c>
      <c r="E190" t="s">
        <v>1225</v>
      </c>
      <c r="F190" s="26">
        <v>24237.52</v>
      </c>
      <c r="G190" s="3">
        <v>45804</v>
      </c>
      <c r="H190" t="s">
        <v>14</v>
      </c>
      <c r="I190" s="4" t="str">
        <f t="shared" ref="I190:I191" si="174">MID(H190,6,30)</f>
        <v>Living Annuity</v>
      </c>
      <c r="J190" t="str">
        <f t="shared" ref="J190:J191" si="175">IF(LEFT(I190)="L","Compulsory, LA",IF(LEFT(I190)="R","Compulsory, RA",IF(LEFT(I190,2)="Pe","Compulsory, Pens","Voluntary")))</f>
        <v>Compulsory, LA</v>
      </c>
      <c r="K190" t="s">
        <v>15</v>
      </c>
      <c r="M190" t="str">
        <f t="shared" si="159"/>
        <v>a</v>
      </c>
      <c r="N190" t="str">
        <f t="shared" si="160"/>
        <v/>
      </c>
      <c r="O190" t="str">
        <f t="shared" si="161"/>
        <v/>
      </c>
    </row>
    <row r="191" spans="1:15" x14ac:dyDescent="0.3">
      <c r="A191">
        <v>130912</v>
      </c>
      <c r="B191" t="s">
        <v>1170</v>
      </c>
      <c r="C191">
        <v>35</v>
      </c>
      <c r="D191" t="s">
        <v>1169</v>
      </c>
      <c r="E191" t="s">
        <v>1225</v>
      </c>
      <c r="F191" s="26">
        <v>83111.619999999981</v>
      </c>
      <c r="G191" s="3">
        <v>45804</v>
      </c>
      <c r="H191" t="s">
        <v>1147</v>
      </c>
      <c r="I191" s="4" t="str">
        <f t="shared" si="174"/>
        <v>Investment Account</v>
      </c>
      <c r="J191" t="str">
        <f t="shared" si="175"/>
        <v>Voluntary</v>
      </c>
      <c r="K191" t="s">
        <v>15</v>
      </c>
      <c r="M191" t="str">
        <f t="shared" si="159"/>
        <v>a</v>
      </c>
      <c r="N191" t="str">
        <f t="shared" si="160"/>
        <v/>
      </c>
      <c r="O191" t="str">
        <f t="shared" si="161"/>
        <v/>
      </c>
    </row>
    <row r="192" spans="1:15" x14ac:dyDescent="0.3">
      <c r="A192">
        <v>133380</v>
      </c>
      <c r="B192" t="s">
        <v>965</v>
      </c>
      <c r="C192">
        <v>298</v>
      </c>
      <c r="D192" t="s">
        <v>959</v>
      </c>
      <c r="E192" t="s">
        <v>1225</v>
      </c>
      <c r="F192" s="26">
        <v>9100.380000000001</v>
      </c>
      <c r="G192" s="3">
        <v>45804</v>
      </c>
      <c r="H192" t="s">
        <v>26</v>
      </c>
      <c r="I192" s="4" t="str">
        <f t="shared" si="172"/>
        <v>Retirement Annuity</v>
      </c>
      <c r="J192" t="str">
        <f t="shared" si="173"/>
        <v>Compulsory, RA</v>
      </c>
      <c r="K192" t="s">
        <v>15</v>
      </c>
      <c r="M192" t="str">
        <f t="shared" si="159"/>
        <v>d</v>
      </c>
      <c r="N192" t="str">
        <f t="shared" si="160"/>
        <v/>
      </c>
      <c r="O192" t="str">
        <f t="shared" si="161"/>
        <v/>
      </c>
    </row>
    <row r="193" spans="1:15" x14ac:dyDescent="0.3">
      <c r="A193">
        <v>133380</v>
      </c>
      <c r="B193" t="s">
        <v>1184</v>
      </c>
      <c r="C193">
        <v>298</v>
      </c>
      <c r="D193" t="s">
        <v>959</v>
      </c>
      <c r="E193" t="s">
        <v>1225</v>
      </c>
      <c r="F193" s="26">
        <v>9327.7099999999991</v>
      </c>
      <c r="G193" s="3">
        <v>45804</v>
      </c>
      <c r="H193" t="s">
        <v>1174</v>
      </c>
      <c r="I193" s="4" t="str">
        <f t="shared" si="172"/>
        <v>Retirement Annuity - Savings C</v>
      </c>
      <c r="J193" t="str">
        <f t="shared" si="173"/>
        <v>Compulsory, RA</v>
      </c>
      <c r="K193" t="s">
        <v>15</v>
      </c>
      <c r="M193" t="str">
        <f t="shared" si="159"/>
        <v>d</v>
      </c>
      <c r="N193" t="str">
        <f t="shared" si="160"/>
        <v/>
      </c>
      <c r="O193" t="str">
        <f t="shared" si="161"/>
        <v/>
      </c>
    </row>
    <row r="194" spans="1:15" x14ac:dyDescent="0.3">
      <c r="A194">
        <v>133382</v>
      </c>
      <c r="B194" t="s">
        <v>966</v>
      </c>
      <c r="C194">
        <v>202</v>
      </c>
      <c r="D194" t="s">
        <v>78</v>
      </c>
      <c r="E194" t="s">
        <v>1225</v>
      </c>
      <c r="F194" s="26">
        <v>1023.8199999999999</v>
      </c>
      <c r="G194" s="3">
        <v>45804</v>
      </c>
      <c r="H194" t="s">
        <v>26</v>
      </c>
      <c r="I194" s="4" t="str">
        <f t="shared" si="172"/>
        <v>Retirement Annuity</v>
      </c>
      <c r="J194" t="str">
        <f t="shared" si="173"/>
        <v>Compulsory, RA</v>
      </c>
      <c r="K194" t="s">
        <v>15</v>
      </c>
      <c r="M194" t="str">
        <f t="shared" si="159"/>
        <v>d</v>
      </c>
      <c r="N194" t="str">
        <f t="shared" si="160"/>
        <v/>
      </c>
      <c r="O194" t="str">
        <f t="shared" si="161"/>
        <v/>
      </c>
    </row>
    <row r="195" spans="1:15" x14ac:dyDescent="0.3">
      <c r="A195">
        <v>133382</v>
      </c>
      <c r="B195" t="s">
        <v>1185</v>
      </c>
      <c r="C195">
        <v>202</v>
      </c>
      <c r="D195" t="s">
        <v>78</v>
      </c>
      <c r="E195" t="s">
        <v>1225</v>
      </c>
      <c r="F195" s="26">
        <v>8732.3799999999992</v>
      </c>
      <c r="G195" s="3">
        <v>45804</v>
      </c>
      <c r="H195" t="s">
        <v>1174</v>
      </c>
      <c r="I195" s="4" t="str">
        <f t="shared" si="172"/>
        <v>Retirement Annuity - Savings C</v>
      </c>
      <c r="J195" t="str">
        <f t="shared" si="173"/>
        <v>Compulsory, RA</v>
      </c>
      <c r="K195" t="s">
        <v>15</v>
      </c>
      <c r="M195" t="str">
        <f t="shared" si="159"/>
        <v>d</v>
      </c>
      <c r="N195" t="str">
        <f t="shared" si="160"/>
        <v/>
      </c>
      <c r="O195" t="str">
        <f t="shared" si="161"/>
        <v/>
      </c>
    </row>
    <row r="196" spans="1:15" x14ac:dyDescent="0.3">
      <c r="A196">
        <v>135931</v>
      </c>
      <c r="B196" t="s">
        <v>755</v>
      </c>
      <c r="C196">
        <v>45</v>
      </c>
      <c r="D196" t="s">
        <v>617</v>
      </c>
      <c r="E196" t="s">
        <v>1225</v>
      </c>
      <c r="F196" s="26">
        <v>116029.15</v>
      </c>
      <c r="G196" s="3">
        <v>45804</v>
      </c>
      <c r="H196" t="s">
        <v>31</v>
      </c>
      <c r="I196" s="4" t="str">
        <f t="shared" ref="I196:I206" si="176">MID(H196,6,30)</f>
        <v>Investment Account</v>
      </c>
      <c r="J196" t="str">
        <f t="shared" ref="J196:J206" si="177">IF(LEFT(I196)="L","Compulsory, LA",IF(LEFT(I196)="R","Compulsory, RA",IF(LEFT(I196,2)="Pe","Compulsory, Pens","Voluntary")))</f>
        <v>Voluntary</v>
      </c>
      <c r="K196" t="s">
        <v>15</v>
      </c>
      <c r="M196" t="str">
        <f t="shared" si="159"/>
        <v>a</v>
      </c>
      <c r="N196" t="str">
        <f t="shared" si="160"/>
        <v/>
      </c>
      <c r="O196" t="str">
        <f t="shared" si="161"/>
        <v/>
      </c>
    </row>
    <row r="197" spans="1:15" x14ac:dyDescent="0.3">
      <c r="A197">
        <v>100202693</v>
      </c>
      <c r="B197" t="s">
        <v>1160</v>
      </c>
      <c r="C197">
        <v>92</v>
      </c>
      <c r="D197" t="s">
        <v>79</v>
      </c>
      <c r="E197" t="s">
        <v>1225</v>
      </c>
      <c r="F197" s="26">
        <v>1103.9000000000001</v>
      </c>
      <c r="G197" s="3">
        <v>45804</v>
      </c>
      <c r="H197" t="s">
        <v>1147</v>
      </c>
      <c r="I197" s="4" t="str">
        <f>MID(H197,6,30)</f>
        <v>Investment Account</v>
      </c>
      <c r="J197" t="str">
        <f>IF(LEFT(I197)="L","Compulsory, LA",IF(LEFT(I197)="R","Compulsory, RA",IF(LEFT(I197,2)="Pe","Compulsory, Pens","Voluntary")))</f>
        <v>Voluntary</v>
      </c>
      <c r="K197" t="s">
        <v>15</v>
      </c>
      <c r="M197" t="str">
        <f t="shared" si="159"/>
        <v>a</v>
      </c>
      <c r="N197" t="str">
        <f t="shared" si="160"/>
        <v/>
      </c>
      <c r="O197" t="str">
        <f t="shared" si="161"/>
        <v/>
      </c>
    </row>
    <row r="198" spans="1:15" x14ac:dyDescent="0.3">
      <c r="A198">
        <v>100202693</v>
      </c>
      <c r="B198" t="s">
        <v>1151</v>
      </c>
      <c r="C198">
        <v>92</v>
      </c>
      <c r="D198" t="s">
        <v>79</v>
      </c>
      <c r="E198" t="s">
        <v>1225</v>
      </c>
      <c r="F198" s="26">
        <v>581655.06999999995</v>
      </c>
      <c r="G198" s="3">
        <v>45804</v>
      </c>
      <c r="H198" t="s">
        <v>14</v>
      </c>
      <c r="I198" s="4" t="str">
        <f t="shared" si="176"/>
        <v>Living Annuity</v>
      </c>
      <c r="J198" t="str">
        <f t="shared" si="177"/>
        <v>Compulsory, LA</v>
      </c>
      <c r="K198" t="s">
        <v>15</v>
      </c>
      <c r="M198" t="str">
        <f t="shared" ref="M198:M256" si="178">RIGHT(B198,1)</f>
        <v>a</v>
      </c>
      <c r="N198" t="str">
        <f t="shared" ref="N198:N256" si="179">IF(M198="f","FFFF","")</f>
        <v/>
      </c>
      <c r="O198" t="str">
        <f t="shared" ref="O198:O256" si="180">IF(M198="I","IIII","")</f>
        <v/>
      </c>
    </row>
    <row r="199" spans="1:15" x14ac:dyDescent="0.3">
      <c r="A199">
        <v>100202693</v>
      </c>
      <c r="B199" t="s">
        <v>1152</v>
      </c>
      <c r="C199">
        <v>92</v>
      </c>
      <c r="D199" t="s">
        <v>79</v>
      </c>
      <c r="E199" t="s">
        <v>1225</v>
      </c>
      <c r="F199" s="26">
        <v>168413.43</v>
      </c>
      <c r="G199" s="3">
        <v>45804</v>
      </c>
      <c r="H199" t="s">
        <v>14</v>
      </c>
      <c r="I199" s="4" t="str">
        <f t="shared" si="176"/>
        <v>Living Annuity</v>
      </c>
      <c r="J199" t="str">
        <f t="shared" si="177"/>
        <v>Compulsory, LA</v>
      </c>
      <c r="K199" t="s">
        <v>15</v>
      </c>
      <c r="M199" t="str">
        <f t="shared" si="178"/>
        <v>a</v>
      </c>
      <c r="N199" t="str">
        <f t="shared" si="179"/>
        <v/>
      </c>
      <c r="O199" t="str">
        <f t="shared" si="180"/>
        <v/>
      </c>
    </row>
    <row r="200" spans="1:15" x14ac:dyDescent="0.3">
      <c r="A200">
        <v>100205932</v>
      </c>
      <c r="B200" t="s">
        <v>1143</v>
      </c>
      <c r="C200">
        <v>117</v>
      </c>
      <c r="D200" t="s">
        <v>81</v>
      </c>
      <c r="E200" t="s">
        <v>1225</v>
      </c>
      <c r="F200" s="26">
        <v>356203.63</v>
      </c>
      <c r="G200" s="3">
        <v>45804</v>
      </c>
      <c r="H200" t="s">
        <v>14</v>
      </c>
      <c r="I200" s="4" t="str">
        <f>MID(H200,6,30)</f>
        <v>Living Annuity</v>
      </c>
      <c r="J200" t="str">
        <f>IF(LEFT(I200)="L","Compulsory, LA",IF(LEFT(I200)="R","Compulsory, RA",IF(LEFT(I200,2)="Pe","Compulsory, Pens","Voluntary")))</f>
        <v>Compulsory, LA</v>
      </c>
      <c r="K200" t="s">
        <v>15</v>
      </c>
      <c r="M200" t="str">
        <f t="shared" si="178"/>
        <v>a</v>
      </c>
      <c r="N200" t="str">
        <f t="shared" si="179"/>
        <v/>
      </c>
      <c r="O200" t="str">
        <f t="shared" si="180"/>
        <v/>
      </c>
    </row>
    <row r="201" spans="1:15" x14ac:dyDescent="0.3">
      <c r="A201">
        <v>100220898</v>
      </c>
      <c r="B201" t="s">
        <v>967</v>
      </c>
      <c r="C201">
        <v>115</v>
      </c>
      <c r="D201" t="s">
        <v>83</v>
      </c>
      <c r="E201" t="s">
        <v>1225</v>
      </c>
      <c r="F201" s="25">
        <v>3040.19</v>
      </c>
      <c r="G201" s="3">
        <v>45804</v>
      </c>
      <c r="H201" t="s">
        <v>14</v>
      </c>
      <c r="I201" s="4" t="str">
        <f t="shared" si="176"/>
        <v>Living Annuity</v>
      </c>
      <c r="J201" t="str">
        <f t="shared" si="177"/>
        <v>Compulsory, LA</v>
      </c>
      <c r="K201" t="s">
        <v>15</v>
      </c>
      <c r="M201" t="str">
        <f t="shared" si="178"/>
        <v>a</v>
      </c>
      <c r="N201" t="str">
        <f t="shared" si="179"/>
        <v/>
      </c>
      <c r="O201" t="str">
        <f t="shared" si="180"/>
        <v/>
      </c>
    </row>
    <row r="202" spans="1:15" x14ac:dyDescent="0.3">
      <c r="A202">
        <v>100220898</v>
      </c>
      <c r="B202" t="s">
        <v>756</v>
      </c>
      <c r="C202">
        <v>115</v>
      </c>
      <c r="D202" t="s">
        <v>83</v>
      </c>
      <c r="E202" t="s">
        <v>1225</v>
      </c>
      <c r="F202" s="25">
        <v>807382.22</v>
      </c>
      <c r="G202" s="3">
        <v>45804</v>
      </c>
      <c r="H202" t="s">
        <v>14</v>
      </c>
      <c r="I202" s="4" t="str">
        <f t="shared" si="176"/>
        <v>Living Annuity</v>
      </c>
      <c r="J202" t="str">
        <f t="shared" si="177"/>
        <v>Compulsory, LA</v>
      </c>
      <c r="K202" t="s">
        <v>15</v>
      </c>
      <c r="M202" t="str">
        <f t="shared" si="178"/>
        <v>a</v>
      </c>
      <c r="N202" t="str">
        <f t="shared" si="179"/>
        <v/>
      </c>
      <c r="O202" t="str">
        <f t="shared" si="180"/>
        <v/>
      </c>
    </row>
    <row r="203" spans="1:15" x14ac:dyDescent="0.3">
      <c r="A203">
        <v>100247003</v>
      </c>
      <c r="B203" t="s">
        <v>969</v>
      </c>
      <c r="C203">
        <v>79</v>
      </c>
      <c r="D203" t="s">
        <v>50</v>
      </c>
      <c r="E203" t="s">
        <v>1225</v>
      </c>
      <c r="F203" s="25">
        <v>421917.46</v>
      </c>
      <c r="G203" s="3">
        <v>45804</v>
      </c>
      <c r="H203" t="s">
        <v>14</v>
      </c>
      <c r="I203" s="4" t="str">
        <f t="shared" si="176"/>
        <v>Living Annuity</v>
      </c>
      <c r="J203" t="str">
        <f t="shared" si="177"/>
        <v>Compulsory, LA</v>
      </c>
      <c r="K203" t="s">
        <v>15</v>
      </c>
      <c r="M203" t="str">
        <f t="shared" si="178"/>
        <v>a</v>
      </c>
      <c r="N203" t="str">
        <f t="shared" si="179"/>
        <v/>
      </c>
      <c r="O203" t="str">
        <f t="shared" si="180"/>
        <v/>
      </c>
    </row>
    <row r="204" spans="1:15" x14ac:dyDescent="0.3">
      <c r="A204">
        <v>100249944</v>
      </c>
      <c r="B204" t="s">
        <v>970</v>
      </c>
      <c r="C204">
        <v>56</v>
      </c>
      <c r="D204" t="s">
        <v>86</v>
      </c>
      <c r="E204" t="s">
        <v>1225</v>
      </c>
      <c r="F204" s="25">
        <v>91314.559999999998</v>
      </c>
      <c r="G204" s="3">
        <v>45804</v>
      </c>
      <c r="H204" t="s">
        <v>14</v>
      </c>
      <c r="I204" s="4" t="str">
        <f t="shared" si="176"/>
        <v>Living Annuity</v>
      </c>
      <c r="J204" t="str">
        <f t="shared" si="177"/>
        <v>Compulsory, LA</v>
      </c>
      <c r="K204" t="s">
        <v>15</v>
      </c>
      <c r="M204" t="str">
        <f t="shared" si="178"/>
        <v>a</v>
      </c>
      <c r="N204" t="str">
        <f t="shared" si="179"/>
        <v/>
      </c>
      <c r="O204" t="str">
        <f t="shared" si="180"/>
        <v/>
      </c>
    </row>
    <row r="205" spans="1:15" x14ac:dyDescent="0.3">
      <c r="A205">
        <v>100250182</v>
      </c>
      <c r="B205" t="s">
        <v>971</v>
      </c>
      <c r="C205">
        <v>193</v>
      </c>
      <c r="D205" t="s">
        <v>968</v>
      </c>
      <c r="E205" t="s">
        <v>1225</v>
      </c>
      <c r="F205" s="25">
        <v>780.17</v>
      </c>
      <c r="G205" s="3">
        <v>45804</v>
      </c>
      <c r="H205" t="s">
        <v>14</v>
      </c>
      <c r="I205" s="4" t="str">
        <f t="shared" si="176"/>
        <v>Living Annuity</v>
      </c>
      <c r="J205" t="str">
        <f t="shared" si="177"/>
        <v>Compulsory, LA</v>
      </c>
      <c r="K205" t="s">
        <v>15</v>
      </c>
      <c r="M205" t="str">
        <f t="shared" si="178"/>
        <v>a</v>
      </c>
      <c r="N205" t="str">
        <f t="shared" si="179"/>
        <v/>
      </c>
      <c r="O205" t="str">
        <f t="shared" si="180"/>
        <v/>
      </c>
    </row>
    <row r="206" spans="1:15" x14ac:dyDescent="0.3">
      <c r="A206">
        <v>100271808</v>
      </c>
      <c r="B206" t="s">
        <v>972</v>
      </c>
      <c r="C206">
        <v>144</v>
      </c>
      <c r="D206" t="s">
        <v>90</v>
      </c>
      <c r="E206" t="s">
        <v>1225</v>
      </c>
      <c r="F206" s="25">
        <v>206586.84000000003</v>
      </c>
      <c r="G206" s="3">
        <v>45804</v>
      </c>
      <c r="H206" t="s">
        <v>26</v>
      </c>
      <c r="I206" s="4" t="str">
        <f t="shared" si="176"/>
        <v>Retirement Annuity</v>
      </c>
      <c r="J206" t="str">
        <f t="shared" si="177"/>
        <v>Compulsory, RA</v>
      </c>
      <c r="K206" t="s">
        <v>15</v>
      </c>
      <c r="M206" t="str">
        <f t="shared" si="178"/>
        <v>d</v>
      </c>
      <c r="N206" t="str">
        <f t="shared" si="179"/>
        <v/>
      </c>
      <c r="O206" t="str">
        <f t="shared" si="180"/>
        <v/>
      </c>
    </row>
    <row r="207" spans="1:15" x14ac:dyDescent="0.3">
      <c r="A207">
        <v>100273792</v>
      </c>
      <c r="B207" t="s">
        <v>757</v>
      </c>
      <c r="C207">
        <v>299</v>
      </c>
      <c r="D207" t="s">
        <v>114</v>
      </c>
      <c r="E207" t="s">
        <v>1225</v>
      </c>
      <c r="F207" s="26">
        <v>108356.65</v>
      </c>
      <c r="G207" s="3">
        <v>45804</v>
      </c>
      <c r="H207" t="s">
        <v>14</v>
      </c>
      <c r="I207" s="4" t="str">
        <f>MID(H207,6,30)</f>
        <v>Living Annuity</v>
      </c>
      <c r="J207" t="str">
        <f>IF(LEFT(I207)="L","Compulsory, LA",IF(LEFT(I207)="R","Compulsory, RA",IF(LEFT(I207,2)="Pe","Compulsory, Pens","Voluntary")))</f>
        <v>Compulsory, LA</v>
      </c>
      <c r="K207" t="s">
        <v>15</v>
      </c>
      <c r="M207" t="str">
        <f t="shared" si="178"/>
        <v>a</v>
      </c>
      <c r="N207" t="str">
        <f t="shared" si="179"/>
        <v/>
      </c>
      <c r="O207" t="str">
        <f t="shared" si="180"/>
        <v/>
      </c>
    </row>
    <row r="208" spans="1:15" x14ac:dyDescent="0.3">
      <c r="A208">
        <v>100273792</v>
      </c>
      <c r="B208" t="s">
        <v>758</v>
      </c>
      <c r="C208">
        <v>299</v>
      </c>
      <c r="D208" t="s">
        <v>114</v>
      </c>
      <c r="E208" t="s">
        <v>1225</v>
      </c>
      <c r="F208" s="26">
        <v>87372.64</v>
      </c>
      <c r="G208" s="3">
        <v>45804</v>
      </c>
      <c r="H208" t="s">
        <v>14</v>
      </c>
      <c r="I208" s="4" t="str">
        <f t="shared" ref="I208" si="181">MID(H208,6,30)</f>
        <v>Living Annuity</v>
      </c>
      <c r="J208" t="str">
        <f t="shared" ref="J208" si="182">IF(LEFT(I208)="L","Compulsory, LA",IF(LEFT(I208)="R","Compulsory, RA",IF(LEFT(I208,2)="Pe","Compulsory, Pens","Voluntary")))</f>
        <v>Compulsory, LA</v>
      </c>
      <c r="K208" t="s">
        <v>15</v>
      </c>
      <c r="M208" t="str">
        <f t="shared" si="178"/>
        <v>a</v>
      </c>
      <c r="N208" t="str">
        <f t="shared" si="179"/>
        <v/>
      </c>
      <c r="O208" t="str">
        <f t="shared" si="180"/>
        <v/>
      </c>
    </row>
    <row r="209" spans="1:15" x14ac:dyDescent="0.3">
      <c r="A209">
        <v>100278188</v>
      </c>
      <c r="B209" t="s">
        <v>759</v>
      </c>
      <c r="C209">
        <v>300</v>
      </c>
      <c r="D209" t="s">
        <v>92</v>
      </c>
      <c r="E209" t="s">
        <v>1225</v>
      </c>
      <c r="F209" s="25">
        <v>205713.31</v>
      </c>
      <c r="G209" s="3">
        <v>45804</v>
      </c>
      <c r="H209" t="s">
        <v>31</v>
      </c>
      <c r="I209" s="4" t="str">
        <f>MID(H209,6,30)</f>
        <v>Investment Account</v>
      </c>
      <c r="J209" t="str">
        <f>IF(LEFT(I209)="L","Compulsory, LA",IF(LEFT(I209)="R","Compulsory, RA",IF(LEFT(I209,2)="Pe","Compulsory, Pens","Voluntary")))</f>
        <v>Voluntary</v>
      </c>
      <c r="K209" t="s">
        <v>15</v>
      </c>
      <c r="M209" t="str">
        <f t="shared" si="178"/>
        <v>a</v>
      </c>
      <c r="N209" t="str">
        <f t="shared" si="179"/>
        <v/>
      </c>
      <c r="O209" t="str">
        <f t="shared" si="180"/>
        <v/>
      </c>
    </row>
    <row r="210" spans="1:15" x14ac:dyDescent="0.3">
      <c r="A210">
        <v>100278188</v>
      </c>
      <c r="B210" t="s">
        <v>973</v>
      </c>
      <c r="C210">
        <v>300</v>
      </c>
      <c r="D210" t="s">
        <v>92</v>
      </c>
      <c r="E210" t="s">
        <v>1225</v>
      </c>
      <c r="F210" s="25">
        <v>107378.79</v>
      </c>
      <c r="G210" s="3">
        <v>45804</v>
      </c>
      <c r="H210" t="s">
        <v>14</v>
      </c>
      <c r="I210" s="4" t="str">
        <f t="shared" ref="I210" si="183">MID(H210,6,30)</f>
        <v>Living Annuity</v>
      </c>
      <c r="J210" t="str">
        <f t="shared" ref="J210" si="184">IF(LEFT(I210)="L","Compulsory, LA",IF(LEFT(I210)="R","Compulsory, RA",IF(LEFT(I210,2)="Pe","Compulsory, Pens","Voluntary")))</f>
        <v>Compulsory, LA</v>
      </c>
      <c r="K210" t="s">
        <v>15</v>
      </c>
      <c r="M210" t="str">
        <f t="shared" si="178"/>
        <v>a</v>
      </c>
      <c r="N210" t="str">
        <f t="shared" si="179"/>
        <v/>
      </c>
      <c r="O210" t="str">
        <f t="shared" si="180"/>
        <v/>
      </c>
    </row>
    <row r="211" spans="1:15" x14ac:dyDescent="0.3">
      <c r="A211">
        <v>100278188</v>
      </c>
      <c r="B211" t="s">
        <v>974</v>
      </c>
      <c r="C211">
        <v>300</v>
      </c>
      <c r="D211" t="s">
        <v>92</v>
      </c>
      <c r="E211" t="s">
        <v>1225</v>
      </c>
      <c r="F211" s="25">
        <v>1218.24</v>
      </c>
      <c r="G211" s="3">
        <v>45804</v>
      </c>
      <c r="H211" t="s">
        <v>14</v>
      </c>
      <c r="I211" s="4" t="str">
        <f>MID(H211,6,30)</f>
        <v>Living Annuity</v>
      </c>
      <c r="J211" t="str">
        <f>IF(LEFT(I211)="L","Compulsory, LA",IF(LEFT(I211)="R","Compulsory, RA",IF(LEFT(I211,2)="Pe","Compulsory, Pens","Voluntary")))</f>
        <v>Compulsory, LA</v>
      </c>
      <c r="K211" t="s">
        <v>15</v>
      </c>
      <c r="M211" t="str">
        <f t="shared" si="178"/>
        <v>a</v>
      </c>
      <c r="N211" t="str">
        <f t="shared" si="179"/>
        <v/>
      </c>
      <c r="O211" t="str">
        <f t="shared" si="180"/>
        <v/>
      </c>
    </row>
    <row r="212" spans="1:15" x14ac:dyDescent="0.3">
      <c r="A212">
        <v>100278188</v>
      </c>
      <c r="B212" t="s">
        <v>862</v>
      </c>
      <c r="C212">
        <v>300</v>
      </c>
      <c r="D212" t="s">
        <v>92</v>
      </c>
      <c r="E212" t="s">
        <v>1225</v>
      </c>
      <c r="F212" s="25">
        <v>209167.57</v>
      </c>
      <c r="G212" s="3">
        <v>45804</v>
      </c>
      <c r="H212" t="s">
        <v>14</v>
      </c>
      <c r="I212" s="4" t="str">
        <f>MID(H212,6,30)</f>
        <v>Living Annuity</v>
      </c>
      <c r="J212" t="str">
        <f>IF(LEFT(I212)="L","Compulsory, LA",IF(LEFT(I212)="R","Compulsory, RA",IF(LEFT(I212,2)="Pe","Compulsory, Pens","Voluntary")))</f>
        <v>Compulsory, LA</v>
      </c>
      <c r="K212" t="s">
        <v>15</v>
      </c>
      <c r="M212" t="str">
        <f t="shared" si="178"/>
        <v>a</v>
      </c>
      <c r="N212" t="str">
        <f t="shared" si="179"/>
        <v/>
      </c>
      <c r="O212" t="str">
        <f t="shared" si="180"/>
        <v/>
      </c>
    </row>
    <row r="213" spans="1:15" s="13" customFormat="1" x14ac:dyDescent="0.3">
      <c r="A213" s="13">
        <v>100309343</v>
      </c>
      <c r="B213" s="13" t="s">
        <v>760</v>
      </c>
      <c r="C213" s="13">
        <v>30</v>
      </c>
      <c r="D213" s="13" t="s">
        <v>94</v>
      </c>
      <c r="E213" s="13" t="s">
        <v>1225</v>
      </c>
      <c r="F213" s="27">
        <v>185130.76</v>
      </c>
      <c r="G213" s="14">
        <v>45804</v>
      </c>
      <c r="H213" s="13" t="s">
        <v>31</v>
      </c>
      <c r="I213" s="15" t="str">
        <f>MID(H213,6,30)</f>
        <v>Investment Account</v>
      </c>
      <c r="J213" s="13" t="str">
        <f>IF(LEFT(I213)="L","Compulsory, LA",IF(LEFT(I213)="R","Compulsory, RA",IF(LEFT(I213,2)="Pe","Compulsory, Pens","Voluntary")))</f>
        <v>Voluntary</v>
      </c>
      <c r="K213" s="13" t="s">
        <v>15</v>
      </c>
      <c r="M213" t="str">
        <f t="shared" si="178"/>
        <v>a</v>
      </c>
      <c r="N213" t="str">
        <f t="shared" si="179"/>
        <v/>
      </c>
      <c r="O213" t="str">
        <f t="shared" si="180"/>
        <v/>
      </c>
    </row>
    <row r="214" spans="1:15" x14ac:dyDescent="0.3">
      <c r="A214">
        <v>100317997</v>
      </c>
      <c r="B214" t="s">
        <v>975</v>
      </c>
      <c r="C214">
        <v>32</v>
      </c>
      <c r="D214" t="s">
        <v>96</v>
      </c>
      <c r="E214" t="s">
        <v>1225</v>
      </c>
      <c r="F214" s="26">
        <v>79387.320000000007</v>
      </c>
      <c r="G214" s="3">
        <v>45804</v>
      </c>
      <c r="H214" t="s">
        <v>26</v>
      </c>
      <c r="I214" s="4" t="str">
        <f t="shared" ref="I214:I215" si="185">MID(H214,6,30)</f>
        <v>Retirement Annuity</v>
      </c>
      <c r="J214" t="str">
        <f t="shared" ref="J214:J215" si="186">IF(LEFT(I214)="L","Compulsory, LA",IF(LEFT(I214)="R","Compulsory, RA",IF(LEFT(I214,2)="Pe","Compulsory, Pens","Voluntary")))</f>
        <v>Compulsory, RA</v>
      </c>
      <c r="K214" t="s">
        <v>15</v>
      </c>
      <c r="M214" t="str">
        <f t="shared" si="178"/>
        <v>d</v>
      </c>
      <c r="N214" t="str">
        <f t="shared" si="179"/>
        <v/>
      </c>
      <c r="O214" t="str">
        <f t="shared" si="180"/>
        <v/>
      </c>
    </row>
    <row r="215" spans="1:15" x14ac:dyDescent="0.3">
      <c r="A215">
        <v>100317997</v>
      </c>
      <c r="B215" t="s">
        <v>1220</v>
      </c>
      <c r="C215">
        <v>32</v>
      </c>
      <c r="D215" t="s">
        <v>96</v>
      </c>
      <c r="E215" t="s">
        <v>1225</v>
      </c>
      <c r="F215" s="26">
        <v>164552.32000000001</v>
      </c>
      <c r="G215" s="3">
        <v>45804</v>
      </c>
      <c r="H215" t="s">
        <v>1174</v>
      </c>
      <c r="I215" s="4" t="str">
        <f t="shared" si="185"/>
        <v>Retirement Annuity - Savings C</v>
      </c>
      <c r="J215" t="str">
        <f t="shared" si="186"/>
        <v>Compulsory, RA</v>
      </c>
      <c r="K215" t="s">
        <v>15</v>
      </c>
      <c r="M215" t="str">
        <f t="shared" si="178"/>
        <v>d</v>
      </c>
      <c r="N215" t="str">
        <f t="shared" si="179"/>
        <v/>
      </c>
      <c r="O215" t="str">
        <f t="shared" si="180"/>
        <v/>
      </c>
    </row>
    <row r="216" spans="1:15" x14ac:dyDescent="0.3">
      <c r="A216">
        <v>100325823</v>
      </c>
      <c r="B216" t="s">
        <v>976</v>
      </c>
      <c r="C216">
        <v>114</v>
      </c>
      <c r="D216" t="s">
        <v>97</v>
      </c>
      <c r="E216" t="s">
        <v>1225</v>
      </c>
      <c r="F216" s="26">
        <v>137533.60999999999</v>
      </c>
      <c r="G216" s="3">
        <v>45804</v>
      </c>
      <c r="H216" t="s">
        <v>14</v>
      </c>
      <c r="I216" s="4" t="str">
        <f>MID(H216,6,30)</f>
        <v>Living Annuity</v>
      </c>
      <c r="J216" t="str">
        <f>IF(LEFT(I216)="L","Compulsory, LA",IF(LEFT(I216)="R","Compulsory, RA",IF(LEFT(I216,2)="Pe","Compulsory, Pens","Voluntary")))</f>
        <v>Compulsory, LA</v>
      </c>
      <c r="K216" t="s">
        <v>15</v>
      </c>
      <c r="M216" t="str">
        <f t="shared" si="178"/>
        <v>a</v>
      </c>
      <c r="N216" t="str">
        <f t="shared" si="179"/>
        <v/>
      </c>
      <c r="O216" t="str">
        <f t="shared" si="180"/>
        <v/>
      </c>
    </row>
    <row r="217" spans="1:15" x14ac:dyDescent="0.3">
      <c r="A217">
        <v>100376880</v>
      </c>
      <c r="B217" t="s">
        <v>761</v>
      </c>
      <c r="C217">
        <v>97</v>
      </c>
      <c r="D217" t="s">
        <v>618</v>
      </c>
      <c r="E217" t="s">
        <v>1225</v>
      </c>
      <c r="F217" s="26">
        <v>40464.26</v>
      </c>
      <c r="G217" s="3">
        <v>45804</v>
      </c>
      <c r="H217" t="s">
        <v>31</v>
      </c>
      <c r="I217" s="4" t="str">
        <f t="shared" ref="I217:I221" si="187">MID(H217,6,30)</f>
        <v>Investment Account</v>
      </c>
      <c r="J217" t="str">
        <f t="shared" ref="J217:J221" si="188">IF(LEFT(I217)="L","Compulsory, LA",IF(LEFT(I217)="R","Compulsory, RA",IF(LEFT(I217,2)="Pe","Compulsory, Pens","Voluntary")))</f>
        <v>Voluntary</v>
      </c>
      <c r="K217" t="s">
        <v>15</v>
      </c>
      <c r="M217" t="str">
        <f t="shared" si="178"/>
        <v>a</v>
      </c>
      <c r="N217" t="str">
        <f t="shared" si="179"/>
        <v/>
      </c>
      <c r="O217" t="str">
        <f t="shared" si="180"/>
        <v/>
      </c>
    </row>
    <row r="218" spans="1:15" x14ac:dyDescent="0.3">
      <c r="A218">
        <v>100376880</v>
      </c>
      <c r="B218" t="s">
        <v>977</v>
      </c>
      <c r="C218">
        <v>97</v>
      </c>
      <c r="D218" t="s">
        <v>618</v>
      </c>
      <c r="E218" t="s">
        <v>1225</v>
      </c>
      <c r="F218" s="26">
        <v>131865.27000000002</v>
      </c>
      <c r="G218" s="3">
        <v>45804</v>
      </c>
      <c r="H218" t="s">
        <v>14</v>
      </c>
      <c r="I218" s="4" t="str">
        <f t="shared" si="187"/>
        <v>Living Annuity</v>
      </c>
      <c r="J218" t="str">
        <f t="shared" si="188"/>
        <v>Compulsory, LA</v>
      </c>
      <c r="K218" t="s">
        <v>15</v>
      </c>
      <c r="M218" t="str">
        <f t="shared" si="178"/>
        <v>a</v>
      </c>
      <c r="N218" t="str">
        <f t="shared" si="179"/>
        <v/>
      </c>
      <c r="O218" t="str">
        <f t="shared" si="180"/>
        <v/>
      </c>
    </row>
    <row r="219" spans="1:15" x14ac:dyDescent="0.3">
      <c r="A219">
        <v>100388471</v>
      </c>
      <c r="B219" t="s">
        <v>978</v>
      </c>
      <c r="C219">
        <v>3</v>
      </c>
      <c r="D219" t="s">
        <v>101</v>
      </c>
      <c r="E219" t="s">
        <v>1225</v>
      </c>
      <c r="F219" s="25">
        <v>18686.5</v>
      </c>
      <c r="G219" s="3">
        <v>45804</v>
      </c>
      <c r="H219" t="s">
        <v>14</v>
      </c>
      <c r="I219" s="4" t="str">
        <f t="shared" si="187"/>
        <v>Living Annuity</v>
      </c>
      <c r="J219" t="str">
        <f t="shared" si="188"/>
        <v>Compulsory, LA</v>
      </c>
      <c r="K219" t="s">
        <v>15</v>
      </c>
      <c r="M219" t="str">
        <f t="shared" si="178"/>
        <v>a</v>
      </c>
      <c r="N219" t="str">
        <f t="shared" si="179"/>
        <v/>
      </c>
      <c r="O219" t="str">
        <f t="shared" si="180"/>
        <v/>
      </c>
    </row>
    <row r="220" spans="1:15" x14ac:dyDescent="0.3">
      <c r="A220">
        <v>100388471</v>
      </c>
      <c r="B220" t="s">
        <v>762</v>
      </c>
      <c r="C220">
        <v>3</v>
      </c>
      <c r="D220" t="s">
        <v>101</v>
      </c>
      <c r="E220" t="s">
        <v>1225</v>
      </c>
      <c r="F220" s="25">
        <v>86889.85</v>
      </c>
      <c r="G220" s="3">
        <v>45804</v>
      </c>
      <c r="H220" t="s">
        <v>14</v>
      </c>
      <c r="I220" s="4" t="str">
        <f t="shared" si="187"/>
        <v>Living Annuity</v>
      </c>
      <c r="J220" t="str">
        <f t="shared" si="188"/>
        <v>Compulsory, LA</v>
      </c>
      <c r="K220" t="s">
        <v>15</v>
      </c>
      <c r="M220" t="str">
        <f t="shared" si="178"/>
        <v>a</v>
      </c>
      <c r="N220" t="str">
        <f t="shared" si="179"/>
        <v/>
      </c>
      <c r="O220" t="str">
        <f t="shared" si="180"/>
        <v/>
      </c>
    </row>
    <row r="221" spans="1:15" x14ac:dyDescent="0.3">
      <c r="A221">
        <v>100408912</v>
      </c>
      <c r="B221" t="s">
        <v>979</v>
      </c>
      <c r="C221">
        <v>297</v>
      </c>
      <c r="D221" t="s">
        <v>103</v>
      </c>
      <c r="E221" t="s">
        <v>1225</v>
      </c>
      <c r="F221" s="25">
        <v>206.63</v>
      </c>
      <c r="G221" s="3">
        <v>45804</v>
      </c>
      <c r="H221" t="s">
        <v>14</v>
      </c>
      <c r="I221" s="4" t="str">
        <f t="shared" si="187"/>
        <v>Living Annuity</v>
      </c>
      <c r="J221" t="str">
        <f t="shared" si="188"/>
        <v>Compulsory, LA</v>
      </c>
      <c r="K221" t="s">
        <v>15</v>
      </c>
      <c r="M221" t="str">
        <f t="shared" si="178"/>
        <v>a</v>
      </c>
      <c r="N221" t="str">
        <f t="shared" si="179"/>
        <v/>
      </c>
      <c r="O221" t="str">
        <f t="shared" si="180"/>
        <v/>
      </c>
    </row>
    <row r="222" spans="1:15" x14ac:dyDescent="0.3">
      <c r="A222">
        <v>100421069</v>
      </c>
      <c r="B222" t="s">
        <v>1167</v>
      </c>
      <c r="C222">
        <v>37</v>
      </c>
      <c r="D222" t="s">
        <v>105</v>
      </c>
      <c r="E222" t="s">
        <v>1225</v>
      </c>
      <c r="F222" s="26">
        <v>281153.61</v>
      </c>
      <c r="G222" s="3">
        <v>45804</v>
      </c>
      <c r="H222" t="s">
        <v>31</v>
      </c>
      <c r="I222" s="4" t="str">
        <f>MID(H222,6,30)</f>
        <v>Investment Account</v>
      </c>
      <c r="J222" t="str">
        <f>IF(LEFT(I222)="L","Compulsory, LA",IF(LEFT(I222)="R","Compulsory, RA",IF(LEFT(I222,2)="Pe","Compulsory, Pens","Voluntary")))</f>
        <v>Voluntary</v>
      </c>
      <c r="K222" t="s">
        <v>15</v>
      </c>
      <c r="M222" t="str">
        <f t="shared" si="178"/>
        <v>f</v>
      </c>
      <c r="N222" t="str">
        <f t="shared" si="179"/>
        <v>FFFF</v>
      </c>
      <c r="O222" t="str">
        <f t="shared" si="180"/>
        <v/>
      </c>
    </row>
    <row r="223" spans="1:15" x14ac:dyDescent="0.3">
      <c r="A223">
        <v>100421069</v>
      </c>
      <c r="B223" t="s">
        <v>980</v>
      </c>
      <c r="C223">
        <v>37</v>
      </c>
      <c r="D223" t="s">
        <v>105</v>
      </c>
      <c r="E223" t="s">
        <v>1225</v>
      </c>
      <c r="F223" s="26">
        <v>11983.619999999999</v>
      </c>
      <c r="G223" s="3">
        <v>45804</v>
      </c>
      <c r="H223" t="s">
        <v>14</v>
      </c>
      <c r="I223" s="4" t="str">
        <f t="shared" ref="I223" si="189">MID(H223,6,30)</f>
        <v>Living Annuity</v>
      </c>
      <c r="J223" t="str">
        <f t="shared" ref="J223" si="190">IF(LEFT(I223)="L","Compulsory, LA",IF(LEFT(I223)="R","Compulsory, RA",IF(LEFT(I223,2)="Pe","Compulsory, Pens","Voluntary")))</f>
        <v>Compulsory, LA</v>
      </c>
      <c r="K223" t="s">
        <v>15</v>
      </c>
      <c r="M223" t="str">
        <f t="shared" si="178"/>
        <v>a</v>
      </c>
      <c r="N223" t="str">
        <f t="shared" si="179"/>
        <v/>
      </c>
      <c r="O223" t="str">
        <f t="shared" si="180"/>
        <v/>
      </c>
    </row>
    <row r="224" spans="1:15" x14ac:dyDescent="0.3">
      <c r="A224">
        <v>100421069</v>
      </c>
      <c r="B224" t="s">
        <v>763</v>
      </c>
      <c r="C224">
        <v>37</v>
      </c>
      <c r="D224" t="s">
        <v>105</v>
      </c>
      <c r="E224" t="s">
        <v>1225</v>
      </c>
      <c r="F224" s="26">
        <v>168765.82</v>
      </c>
      <c r="G224" s="3">
        <v>45804</v>
      </c>
      <c r="H224" t="s">
        <v>14</v>
      </c>
      <c r="I224" s="4" t="str">
        <f t="shared" ref="I224:I227" si="191">MID(H224,6,30)</f>
        <v>Living Annuity</v>
      </c>
      <c r="J224" t="str">
        <f t="shared" ref="J224:J227" si="192">IF(LEFT(I224)="L","Compulsory, LA",IF(LEFT(I224)="R","Compulsory, RA",IF(LEFT(I224,2)="Pe","Compulsory, Pens","Voluntary")))</f>
        <v>Compulsory, LA</v>
      </c>
      <c r="K224" t="s">
        <v>15</v>
      </c>
      <c r="M224" t="str">
        <f t="shared" si="178"/>
        <v>a</v>
      </c>
      <c r="N224" t="str">
        <f t="shared" si="179"/>
        <v/>
      </c>
      <c r="O224" t="str">
        <f t="shared" si="180"/>
        <v/>
      </c>
    </row>
    <row r="225" spans="1:15" x14ac:dyDescent="0.3">
      <c r="A225">
        <v>100421069</v>
      </c>
      <c r="B225" t="s">
        <v>801</v>
      </c>
      <c r="C225">
        <v>37</v>
      </c>
      <c r="D225" t="s">
        <v>105</v>
      </c>
      <c r="E225" t="s">
        <v>1225</v>
      </c>
      <c r="F225" s="26">
        <v>1870.24</v>
      </c>
      <c r="G225" s="3">
        <v>45804</v>
      </c>
      <c r="H225" t="s">
        <v>14</v>
      </c>
      <c r="I225" s="4" t="str">
        <f t="shared" si="191"/>
        <v>Living Annuity</v>
      </c>
      <c r="J225" t="str">
        <f t="shared" si="192"/>
        <v>Compulsory, LA</v>
      </c>
      <c r="K225" t="s">
        <v>15</v>
      </c>
      <c r="M225" t="str">
        <f t="shared" si="178"/>
        <v>a</v>
      </c>
      <c r="N225" t="str">
        <f t="shared" si="179"/>
        <v/>
      </c>
      <c r="O225" t="str">
        <f t="shared" si="180"/>
        <v/>
      </c>
    </row>
    <row r="226" spans="1:15" x14ac:dyDescent="0.3">
      <c r="A226">
        <v>100463771</v>
      </c>
      <c r="B226" t="s">
        <v>820</v>
      </c>
      <c r="C226">
        <v>42</v>
      </c>
      <c r="D226" t="s">
        <v>726</v>
      </c>
      <c r="E226" t="s">
        <v>1225</v>
      </c>
      <c r="F226" s="26">
        <v>608600.56000000006</v>
      </c>
      <c r="G226" s="3">
        <v>45804</v>
      </c>
      <c r="H226" t="s">
        <v>31</v>
      </c>
      <c r="I226" s="4" t="str">
        <f t="shared" si="191"/>
        <v>Investment Account</v>
      </c>
      <c r="J226" t="str">
        <f t="shared" si="192"/>
        <v>Voluntary</v>
      </c>
      <c r="K226" t="s">
        <v>15</v>
      </c>
      <c r="M226" t="str">
        <f t="shared" si="178"/>
        <v>f</v>
      </c>
      <c r="N226" t="str">
        <f t="shared" si="179"/>
        <v>FFFF</v>
      </c>
      <c r="O226" t="str">
        <f t="shared" si="180"/>
        <v/>
      </c>
    </row>
    <row r="227" spans="1:15" x14ac:dyDescent="0.3">
      <c r="A227" s="7">
        <v>100489695</v>
      </c>
      <c r="B227" t="s">
        <v>1120</v>
      </c>
      <c r="C227">
        <v>294</v>
      </c>
      <c r="D227" t="s">
        <v>136</v>
      </c>
      <c r="E227" t="s">
        <v>1225</v>
      </c>
      <c r="F227" s="26">
        <v>246511.58</v>
      </c>
      <c r="G227" s="3">
        <v>45804</v>
      </c>
      <c r="H227" t="s">
        <v>31</v>
      </c>
      <c r="I227" s="4" t="str">
        <f t="shared" si="191"/>
        <v>Investment Account</v>
      </c>
      <c r="J227" t="str">
        <f t="shared" si="192"/>
        <v>Voluntary</v>
      </c>
      <c r="K227" t="s">
        <v>15</v>
      </c>
      <c r="M227" t="str">
        <f t="shared" si="178"/>
        <v>a</v>
      </c>
      <c r="N227" t="str">
        <f t="shared" si="179"/>
        <v/>
      </c>
      <c r="O227" t="str">
        <f t="shared" si="180"/>
        <v/>
      </c>
    </row>
    <row r="228" spans="1:15" x14ac:dyDescent="0.3">
      <c r="A228">
        <v>100492707</v>
      </c>
      <c r="B228" t="s">
        <v>982</v>
      </c>
      <c r="C228">
        <v>233</v>
      </c>
      <c r="D228" t="s">
        <v>107</v>
      </c>
      <c r="E228" t="s">
        <v>1225</v>
      </c>
      <c r="F228" s="26">
        <v>63292.860000000008</v>
      </c>
      <c r="G228" s="3">
        <v>45804</v>
      </c>
      <c r="H228" t="s">
        <v>14</v>
      </c>
      <c r="I228" s="4" t="str">
        <f t="shared" ref="I228:I231" si="193">MID(H228,6,30)</f>
        <v>Living Annuity</v>
      </c>
      <c r="J228" t="str">
        <f t="shared" ref="J228:J231" si="194">IF(LEFT(I228)="L","Compulsory, LA",IF(LEFT(I228)="R","Compulsory, RA",IF(LEFT(I228,2)="Pe","Compulsory, Pens","Voluntary")))</f>
        <v>Compulsory, LA</v>
      </c>
      <c r="K228" t="s">
        <v>15</v>
      </c>
      <c r="M228" t="str">
        <f t="shared" si="178"/>
        <v>a</v>
      </c>
      <c r="N228" t="str">
        <f t="shared" si="179"/>
        <v/>
      </c>
      <c r="O228" t="str">
        <f t="shared" si="180"/>
        <v/>
      </c>
    </row>
    <row r="229" spans="1:15" x14ac:dyDescent="0.3">
      <c r="A229">
        <v>100492707</v>
      </c>
      <c r="B229" t="s">
        <v>1188</v>
      </c>
      <c r="C229">
        <v>233</v>
      </c>
      <c r="D229" t="s">
        <v>107</v>
      </c>
      <c r="E229" t="s">
        <v>1225</v>
      </c>
      <c r="F229" s="26">
        <v>46527.29</v>
      </c>
      <c r="G229" s="3">
        <v>45804</v>
      </c>
      <c r="H229" t="s">
        <v>14</v>
      </c>
      <c r="I229" s="4" t="str">
        <f t="shared" si="193"/>
        <v>Living Annuity</v>
      </c>
      <c r="J229" t="str">
        <f t="shared" si="194"/>
        <v>Compulsory, LA</v>
      </c>
      <c r="K229" t="s">
        <v>15</v>
      </c>
      <c r="M229" t="str">
        <f t="shared" si="178"/>
        <v>a</v>
      </c>
      <c r="N229" t="str">
        <f t="shared" si="179"/>
        <v/>
      </c>
      <c r="O229" t="str">
        <f t="shared" si="180"/>
        <v/>
      </c>
    </row>
    <row r="230" spans="1:15" x14ac:dyDescent="0.3">
      <c r="A230">
        <v>100497270</v>
      </c>
      <c r="B230" t="s">
        <v>1189</v>
      </c>
      <c r="C230">
        <v>364</v>
      </c>
      <c r="D230" t="s">
        <v>109</v>
      </c>
      <c r="E230" t="s">
        <v>1225</v>
      </c>
      <c r="F230" s="26">
        <v>91879.71</v>
      </c>
      <c r="G230" s="3">
        <v>45804</v>
      </c>
      <c r="H230" t="s">
        <v>1174</v>
      </c>
      <c r="I230" s="4" t="str">
        <f t="shared" si="193"/>
        <v>Retirement Annuity - Savings C</v>
      </c>
      <c r="J230" t="str">
        <f t="shared" si="194"/>
        <v>Compulsory, RA</v>
      </c>
      <c r="K230" t="s">
        <v>15</v>
      </c>
      <c r="M230" t="str">
        <f t="shared" si="178"/>
        <v>d</v>
      </c>
      <c r="N230" t="str">
        <f t="shared" si="179"/>
        <v/>
      </c>
      <c r="O230" t="str">
        <f t="shared" si="180"/>
        <v/>
      </c>
    </row>
    <row r="231" spans="1:15" x14ac:dyDescent="0.3">
      <c r="A231">
        <v>100497270</v>
      </c>
      <c r="B231" t="s">
        <v>983</v>
      </c>
      <c r="C231">
        <v>364</v>
      </c>
      <c r="D231" t="s">
        <v>109</v>
      </c>
      <c r="E231" t="s">
        <v>1225</v>
      </c>
      <c r="F231" s="26">
        <v>274425.81</v>
      </c>
      <c r="G231" s="3">
        <v>45804</v>
      </c>
      <c r="H231" t="s">
        <v>26</v>
      </c>
      <c r="I231" s="4" t="str">
        <f t="shared" si="193"/>
        <v>Retirement Annuity</v>
      </c>
      <c r="J231" t="str">
        <f t="shared" si="194"/>
        <v>Compulsory, RA</v>
      </c>
      <c r="K231" t="s">
        <v>15</v>
      </c>
      <c r="M231" t="str">
        <f t="shared" si="178"/>
        <v>d</v>
      </c>
      <c r="N231" t="str">
        <f t="shared" si="179"/>
        <v/>
      </c>
      <c r="O231" t="str">
        <f t="shared" si="180"/>
        <v/>
      </c>
    </row>
    <row r="232" spans="1:15" x14ac:dyDescent="0.3">
      <c r="A232">
        <v>100562496</v>
      </c>
      <c r="B232" t="s">
        <v>984</v>
      </c>
      <c r="C232">
        <v>381</v>
      </c>
      <c r="D232" t="s">
        <v>981</v>
      </c>
      <c r="E232" t="s">
        <v>1225</v>
      </c>
      <c r="F232" s="26">
        <v>17481.580000000002</v>
      </c>
      <c r="G232" s="3">
        <v>45804</v>
      </c>
      <c r="H232" t="s">
        <v>26</v>
      </c>
      <c r="I232" s="4" t="str">
        <f t="shared" ref="I232:I310" si="195">MID(H232,6,30)</f>
        <v>Retirement Annuity</v>
      </c>
      <c r="J232" t="str">
        <f t="shared" ref="J232:J310" si="196">IF(LEFT(I232)="L","Compulsory, LA",IF(LEFT(I232)="R","Compulsory, RA",IF(LEFT(I232,2)="Pe","Compulsory, Pens","Voluntary")))</f>
        <v>Compulsory, RA</v>
      </c>
      <c r="K232" t="s">
        <v>15</v>
      </c>
      <c r="M232" t="str">
        <f t="shared" si="178"/>
        <v>d</v>
      </c>
      <c r="N232" t="str">
        <f t="shared" si="179"/>
        <v/>
      </c>
      <c r="O232" t="str">
        <f t="shared" si="180"/>
        <v/>
      </c>
    </row>
    <row r="233" spans="1:15" x14ac:dyDescent="0.3">
      <c r="A233">
        <v>100562496</v>
      </c>
      <c r="B233" t="s">
        <v>1190</v>
      </c>
      <c r="C233">
        <v>381</v>
      </c>
      <c r="D233" t="s">
        <v>981</v>
      </c>
      <c r="E233" t="s">
        <v>1225</v>
      </c>
      <c r="F233" s="26">
        <v>126428.09000000001</v>
      </c>
      <c r="G233" s="3">
        <v>45804</v>
      </c>
      <c r="H233" t="s">
        <v>1174</v>
      </c>
      <c r="I233" s="4" t="str">
        <f t="shared" si="195"/>
        <v>Retirement Annuity - Savings C</v>
      </c>
      <c r="J233" t="str">
        <f t="shared" si="196"/>
        <v>Compulsory, RA</v>
      </c>
      <c r="K233" t="s">
        <v>15</v>
      </c>
      <c r="M233" t="str">
        <f t="shared" si="178"/>
        <v>d</v>
      </c>
      <c r="N233" t="str">
        <f t="shared" si="179"/>
        <v/>
      </c>
      <c r="O233" t="str">
        <f t="shared" si="180"/>
        <v/>
      </c>
    </row>
    <row r="234" spans="1:15" x14ac:dyDescent="0.3">
      <c r="A234">
        <v>100562496</v>
      </c>
      <c r="B234" t="s">
        <v>1191</v>
      </c>
      <c r="C234">
        <v>381</v>
      </c>
      <c r="D234" t="s">
        <v>981</v>
      </c>
      <c r="E234" t="s">
        <v>1225</v>
      </c>
      <c r="F234" s="26">
        <v>392947.63</v>
      </c>
      <c r="G234" s="3">
        <v>45804</v>
      </c>
      <c r="H234" t="s">
        <v>1175</v>
      </c>
      <c r="I234" s="4" t="str">
        <f t="shared" si="195"/>
        <v>Retirement Annuity - Retiremen</v>
      </c>
      <c r="J234" t="str">
        <f t="shared" si="196"/>
        <v>Compulsory, RA</v>
      </c>
      <c r="K234" t="s">
        <v>15</v>
      </c>
      <c r="M234" t="str">
        <f t="shared" si="178"/>
        <v>d</v>
      </c>
      <c r="N234" t="str">
        <f t="shared" si="179"/>
        <v/>
      </c>
      <c r="O234" t="str">
        <f t="shared" si="180"/>
        <v/>
      </c>
    </row>
    <row r="235" spans="1:15" x14ac:dyDescent="0.3">
      <c r="A235">
        <v>100564770</v>
      </c>
      <c r="B235" t="s">
        <v>764</v>
      </c>
      <c r="C235">
        <v>384</v>
      </c>
      <c r="D235" t="s">
        <v>123</v>
      </c>
      <c r="E235" t="s">
        <v>1225</v>
      </c>
      <c r="F235" s="26">
        <v>15055.300000000001</v>
      </c>
      <c r="G235" s="3">
        <v>45804</v>
      </c>
      <c r="H235" t="s">
        <v>14</v>
      </c>
      <c r="I235" s="4" t="str">
        <f>MID(H235,6,30)</f>
        <v>Living Annuity</v>
      </c>
      <c r="J235" t="str">
        <f>IF(LEFT(I235)="L","Compulsory, LA",IF(LEFT(I235)="R","Compulsory, RA",IF(LEFT(I235,2)="Pe","Compulsory, Pens","Voluntary")))</f>
        <v>Compulsory, LA</v>
      </c>
      <c r="K235" t="s">
        <v>15</v>
      </c>
      <c r="M235" t="str">
        <f t="shared" si="178"/>
        <v>a</v>
      </c>
      <c r="N235" t="str">
        <f t="shared" si="179"/>
        <v/>
      </c>
      <c r="O235" t="str">
        <f t="shared" si="180"/>
        <v/>
      </c>
    </row>
    <row r="236" spans="1:15" s="13" customFormat="1" x14ac:dyDescent="0.3">
      <c r="A236" s="13">
        <v>100596195</v>
      </c>
      <c r="B236" s="13" t="s">
        <v>765</v>
      </c>
      <c r="C236" s="13">
        <v>142</v>
      </c>
      <c r="D236" s="13" t="s">
        <v>620</v>
      </c>
      <c r="E236" s="13" t="s">
        <v>1225</v>
      </c>
      <c r="F236" s="28">
        <v>162.71</v>
      </c>
      <c r="G236" s="14">
        <v>45804</v>
      </c>
      <c r="H236" s="13" t="s">
        <v>31</v>
      </c>
      <c r="I236" s="15" t="str">
        <f t="shared" ref="I236:I302" si="197">MID(H236,6,30)</f>
        <v>Investment Account</v>
      </c>
      <c r="J236" s="13" t="str">
        <f t="shared" ref="J236:J302" si="198">IF(LEFT(I236)="L","Compulsory, LA",IF(LEFT(I236)="R","Compulsory, RA",IF(LEFT(I236,2)="Pe","Compulsory, Pens","Voluntary")))</f>
        <v>Voluntary</v>
      </c>
      <c r="K236" s="13" t="s">
        <v>15</v>
      </c>
      <c r="M236" t="str">
        <f t="shared" si="178"/>
        <v>a</v>
      </c>
      <c r="N236" t="str">
        <f t="shared" si="179"/>
        <v/>
      </c>
      <c r="O236" t="str">
        <f t="shared" si="180"/>
        <v/>
      </c>
    </row>
    <row r="237" spans="1:15" s="13" customFormat="1" x14ac:dyDescent="0.3">
      <c r="A237" s="13">
        <v>100596197</v>
      </c>
      <c r="B237" s="13" t="s">
        <v>766</v>
      </c>
      <c r="C237" s="13">
        <v>50</v>
      </c>
      <c r="D237" s="13" t="s">
        <v>622</v>
      </c>
      <c r="E237" s="13" t="s">
        <v>1225</v>
      </c>
      <c r="F237" s="28">
        <v>4434.99</v>
      </c>
      <c r="G237" s="14">
        <v>45804</v>
      </c>
      <c r="H237" s="13" t="s">
        <v>31</v>
      </c>
      <c r="I237" s="15" t="str">
        <f t="shared" si="197"/>
        <v>Investment Account</v>
      </c>
      <c r="J237" s="13" t="str">
        <f t="shared" si="198"/>
        <v>Voluntary</v>
      </c>
      <c r="K237" s="13" t="s">
        <v>15</v>
      </c>
      <c r="M237" t="str">
        <f t="shared" si="178"/>
        <v>a</v>
      </c>
      <c r="N237" t="str">
        <f t="shared" si="179"/>
        <v/>
      </c>
      <c r="O237" t="str">
        <f t="shared" si="180"/>
        <v/>
      </c>
    </row>
    <row r="238" spans="1:15" x14ac:dyDescent="0.3">
      <c r="A238">
        <v>100596689</v>
      </c>
      <c r="B238" t="s">
        <v>1082</v>
      </c>
      <c r="C238">
        <v>180</v>
      </c>
      <c r="D238" t="s">
        <v>149</v>
      </c>
      <c r="E238" t="s">
        <v>1225</v>
      </c>
      <c r="F238" s="26">
        <v>19681.919999999998</v>
      </c>
      <c r="G238" s="3">
        <v>45804</v>
      </c>
      <c r="H238" t="s">
        <v>31</v>
      </c>
      <c r="I238" s="4" t="str">
        <f t="shared" si="197"/>
        <v>Investment Account</v>
      </c>
      <c r="J238" t="str">
        <f t="shared" si="198"/>
        <v>Voluntary</v>
      </c>
      <c r="K238" t="s">
        <v>15</v>
      </c>
      <c r="M238" t="str">
        <f t="shared" si="178"/>
        <v>a</v>
      </c>
      <c r="N238" t="str">
        <f t="shared" si="179"/>
        <v/>
      </c>
      <c r="O238" t="str">
        <f t="shared" si="180"/>
        <v/>
      </c>
    </row>
    <row r="239" spans="1:15" x14ac:dyDescent="0.3">
      <c r="A239">
        <v>100628018</v>
      </c>
      <c r="B239" t="s">
        <v>1226</v>
      </c>
      <c r="C239">
        <v>448</v>
      </c>
      <c r="D239" t="s">
        <v>706</v>
      </c>
      <c r="E239" t="s">
        <v>1225</v>
      </c>
      <c r="F239" s="26">
        <v>177.31</v>
      </c>
      <c r="G239" s="3">
        <v>45804</v>
      </c>
      <c r="H239" t="s">
        <v>31</v>
      </c>
      <c r="I239" s="4" t="str">
        <f t="shared" si="197"/>
        <v>Investment Account</v>
      </c>
      <c r="J239" t="str">
        <f t="shared" si="198"/>
        <v>Voluntary</v>
      </c>
      <c r="K239" t="s">
        <v>15</v>
      </c>
      <c r="M239" t="str">
        <f t="shared" si="178"/>
        <v>a</v>
      </c>
      <c r="N239" t="str">
        <f t="shared" si="179"/>
        <v/>
      </c>
      <c r="O239" t="str">
        <f t="shared" si="180"/>
        <v/>
      </c>
    </row>
    <row r="240" spans="1:15" x14ac:dyDescent="0.3">
      <c r="A240">
        <v>100628990</v>
      </c>
      <c r="B240" t="s">
        <v>985</v>
      </c>
      <c r="C240">
        <v>36</v>
      </c>
      <c r="D240" t="s">
        <v>710</v>
      </c>
      <c r="E240" t="s">
        <v>1225</v>
      </c>
      <c r="F240" s="26">
        <v>29832.13</v>
      </c>
      <c r="G240" s="3">
        <v>45804</v>
      </c>
      <c r="H240" t="s">
        <v>14</v>
      </c>
      <c r="I240" s="4" t="str">
        <f t="shared" si="197"/>
        <v>Living Annuity</v>
      </c>
      <c r="J240" t="str">
        <f t="shared" si="198"/>
        <v>Compulsory, LA</v>
      </c>
      <c r="K240" t="s">
        <v>15</v>
      </c>
      <c r="M240" t="str">
        <f t="shared" si="178"/>
        <v>a</v>
      </c>
      <c r="N240" t="str">
        <f t="shared" si="179"/>
        <v/>
      </c>
      <c r="O240" t="str">
        <f t="shared" si="180"/>
        <v/>
      </c>
    </row>
    <row r="241" spans="1:15" x14ac:dyDescent="0.3">
      <c r="A241">
        <v>100630705</v>
      </c>
      <c r="B241" t="s">
        <v>767</v>
      </c>
      <c r="C241">
        <v>248</v>
      </c>
      <c r="D241" t="s">
        <v>721</v>
      </c>
      <c r="E241" t="s">
        <v>1225</v>
      </c>
      <c r="F241" s="26">
        <v>12757.05</v>
      </c>
      <c r="G241" s="3">
        <v>45804</v>
      </c>
      <c r="H241" t="s">
        <v>31</v>
      </c>
      <c r="I241" s="4" t="str">
        <f t="shared" si="197"/>
        <v>Investment Account</v>
      </c>
      <c r="J241" t="str">
        <f t="shared" si="198"/>
        <v>Voluntary</v>
      </c>
      <c r="K241" t="s">
        <v>15</v>
      </c>
      <c r="M241" t="str">
        <f t="shared" si="178"/>
        <v>a</v>
      </c>
      <c r="N241" t="str">
        <f t="shared" si="179"/>
        <v/>
      </c>
      <c r="O241" t="str">
        <f t="shared" si="180"/>
        <v/>
      </c>
    </row>
    <row r="242" spans="1:15" x14ac:dyDescent="0.3">
      <c r="A242">
        <v>100630706</v>
      </c>
      <c r="B242" t="s">
        <v>986</v>
      </c>
      <c r="C242">
        <v>361</v>
      </c>
      <c r="D242" t="s">
        <v>847</v>
      </c>
      <c r="E242" t="s">
        <v>1225</v>
      </c>
      <c r="F242" s="26">
        <v>35182.15</v>
      </c>
      <c r="G242" s="3">
        <v>45804</v>
      </c>
      <c r="H242" t="s">
        <v>31</v>
      </c>
      <c r="I242" s="4" t="str">
        <f t="shared" si="197"/>
        <v>Investment Account</v>
      </c>
      <c r="J242" t="str">
        <f t="shared" si="198"/>
        <v>Voluntary</v>
      </c>
      <c r="K242" t="s">
        <v>15</v>
      </c>
      <c r="M242" t="str">
        <f t="shared" si="178"/>
        <v>a</v>
      </c>
      <c r="N242" t="str">
        <f t="shared" si="179"/>
        <v/>
      </c>
      <c r="O242" t="str">
        <f t="shared" si="180"/>
        <v/>
      </c>
    </row>
    <row r="243" spans="1:15" s="13" customFormat="1" x14ac:dyDescent="0.3">
      <c r="A243" s="13">
        <v>100633203</v>
      </c>
      <c r="B243" s="13" t="s">
        <v>728</v>
      </c>
      <c r="C243" s="13">
        <v>447</v>
      </c>
      <c r="D243" s="13" t="s">
        <v>712</v>
      </c>
      <c r="E243" s="13" t="s">
        <v>1225</v>
      </c>
      <c r="F243" s="28">
        <v>283.17</v>
      </c>
      <c r="G243" s="14">
        <v>45804</v>
      </c>
      <c r="H243" s="13" t="s">
        <v>31</v>
      </c>
      <c r="I243" s="15" t="str">
        <f t="shared" si="197"/>
        <v>Investment Account</v>
      </c>
      <c r="J243" s="13" t="str">
        <f t="shared" si="198"/>
        <v>Voluntary</v>
      </c>
      <c r="K243" s="13" t="s">
        <v>15</v>
      </c>
      <c r="M243" t="str">
        <f t="shared" si="178"/>
        <v>a</v>
      </c>
      <c r="N243" t="str">
        <f t="shared" si="179"/>
        <v/>
      </c>
      <c r="O243" t="str">
        <f t="shared" si="180"/>
        <v/>
      </c>
    </row>
    <row r="244" spans="1:15" x14ac:dyDescent="0.3">
      <c r="A244">
        <v>100637079</v>
      </c>
      <c r="B244" t="s">
        <v>816</v>
      </c>
      <c r="C244">
        <v>7</v>
      </c>
      <c r="D244" t="s">
        <v>722</v>
      </c>
      <c r="E244" t="s">
        <v>1225</v>
      </c>
      <c r="F244" s="26">
        <v>54516.95</v>
      </c>
      <c r="G244" s="3">
        <v>45804</v>
      </c>
      <c r="H244" t="s">
        <v>26</v>
      </c>
      <c r="I244" s="4" t="str">
        <f t="shared" si="197"/>
        <v>Retirement Annuity</v>
      </c>
      <c r="J244" t="str">
        <f t="shared" si="198"/>
        <v>Compulsory, RA</v>
      </c>
      <c r="K244" t="s">
        <v>15</v>
      </c>
      <c r="M244" t="str">
        <f t="shared" si="178"/>
        <v>d</v>
      </c>
      <c r="N244" t="str">
        <f t="shared" si="179"/>
        <v/>
      </c>
      <c r="O244" t="str">
        <f t="shared" si="180"/>
        <v/>
      </c>
    </row>
    <row r="245" spans="1:15" x14ac:dyDescent="0.3">
      <c r="A245">
        <v>100637079</v>
      </c>
      <c r="B245" t="s">
        <v>817</v>
      </c>
      <c r="C245">
        <v>7</v>
      </c>
      <c r="D245" t="s">
        <v>722</v>
      </c>
      <c r="E245" t="s">
        <v>1225</v>
      </c>
      <c r="F245" s="26">
        <v>40725.660000000003</v>
      </c>
      <c r="G245" s="3">
        <v>45804</v>
      </c>
      <c r="H245" t="s">
        <v>26</v>
      </c>
      <c r="I245" s="4" t="str">
        <f t="shared" si="197"/>
        <v>Retirement Annuity</v>
      </c>
      <c r="J245" t="str">
        <f t="shared" si="198"/>
        <v>Compulsory, RA</v>
      </c>
      <c r="K245" t="s">
        <v>15</v>
      </c>
      <c r="M245" t="str">
        <f t="shared" si="178"/>
        <v>d</v>
      </c>
      <c r="N245" t="str">
        <f t="shared" si="179"/>
        <v/>
      </c>
      <c r="O245" t="str">
        <f t="shared" si="180"/>
        <v/>
      </c>
    </row>
    <row r="246" spans="1:15" x14ac:dyDescent="0.3">
      <c r="A246">
        <v>100637079</v>
      </c>
      <c r="B246" t="s">
        <v>1192</v>
      </c>
      <c r="C246">
        <v>7</v>
      </c>
      <c r="D246" t="s">
        <v>722</v>
      </c>
      <c r="E246" t="s">
        <v>1225</v>
      </c>
      <c r="F246" s="26">
        <v>64291.54</v>
      </c>
      <c r="G246" s="3">
        <v>45804</v>
      </c>
      <c r="H246" t="s">
        <v>1174</v>
      </c>
      <c r="I246" s="4" t="str">
        <f t="shared" si="197"/>
        <v>Retirement Annuity - Savings C</v>
      </c>
      <c r="J246" t="str">
        <f t="shared" si="198"/>
        <v>Compulsory, RA</v>
      </c>
      <c r="K246" t="s">
        <v>15</v>
      </c>
      <c r="M246" t="str">
        <f t="shared" si="178"/>
        <v>d</v>
      </c>
      <c r="N246" t="str">
        <f t="shared" si="179"/>
        <v/>
      </c>
      <c r="O246" t="str">
        <f t="shared" si="180"/>
        <v/>
      </c>
    </row>
    <row r="247" spans="1:15" x14ac:dyDescent="0.3">
      <c r="A247">
        <v>100637079</v>
      </c>
      <c r="B247" t="s">
        <v>1193</v>
      </c>
      <c r="C247">
        <v>7</v>
      </c>
      <c r="D247" t="s">
        <v>722</v>
      </c>
      <c r="E247" t="s">
        <v>1225</v>
      </c>
      <c r="F247" s="26">
        <v>277.95</v>
      </c>
      <c r="G247" s="3">
        <v>45804</v>
      </c>
      <c r="H247" t="s">
        <v>1174</v>
      </c>
      <c r="I247" s="4" t="str">
        <f t="shared" si="197"/>
        <v>Retirement Annuity - Savings C</v>
      </c>
      <c r="J247" t="str">
        <f t="shared" si="198"/>
        <v>Compulsory, RA</v>
      </c>
      <c r="K247" t="s">
        <v>15</v>
      </c>
      <c r="M247" t="str">
        <f t="shared" si="178"/>
        <v>d</v>
      </c>
      <c r="N247" t="str">
        <f t="shared" si="179"/>
        <v/>
      </c>
      <c r="O247" t="str">
        <f t="shared" si="180"/>
        <v/>
      </c>
    </row>
    <row r="248" spans="1:15" x14ac:dyDescent="0.3">
      <c r="A248">
        <v>100641153</v>
      </c>
      <c r="B248" t="s">
        <v>768</v>
      </c>
      <c r="C248">
        <v>455</v>
      </c>
      <c r="D248" t="s">
        <v>725</v>
      </c>
      <c r="E248" t="s">
        <v>1225</v>
      </c>
      <c r="F248" s="26">
        <v>101840.18000000001</v>
      </c>
      <c r="G248" s="3">
        <v>45804</v>
      </c>
      <c r="H248" t="s">
        <v>14</v>
      </c>
      <c r="I248" s="4" t="str">
        <f t="shared" si="197"/>
        <v>Living Annuity</v>
      </c>
      <c r="J248" t="str">
        <f t="shared" si="198"/>
        <v>Compulsory, LA</v>
      </c>
      <c r="K248" t="s">
        <v>15</v>
      </c>
      <c r="M248" t="str">
        <f t="shared" si="178"/>
        <v>a</v>
      </c>
      <c r="N248" t="str">
        <f t="shared" si="179"/>
        <v/>
      </c>
      <c r="O248" t="str">
        <f t="shared" si="180"/>
        <v/>
      </c>
    </row>
    <row r="249" spans="1:15" x14ac:dyDescent="0.3">
      <c r="A249">
        <v>100651305</v>
      </c>
      <c r="B249" t="s">
        <v>769</v>
      </c>
      <c r="C249">
        <v>82</v>
      </c>
      <c r="D249" t="s">
        <v>727</v>
      </c>
      <c r="E249" t="s">
        <v>1225</v>
      </c>
      <c r="F249" s="26">
        <v>5330.07</v>
      </c>
      <c r="G249" s="3">
        <v>45804</v>
      </c>
      <c r="H249" s="12" t="s">
        <v>31</v>
      </c>
      <c r="I249" s="4" t="str">
        <f t="shared" si="197"/>
        <v>Investment Account</v>
      </c>
      <c r="J249" t="str">
        <f t="shared" si="198"/>
        <v>Voluntary</v>
      </c>
      <c r="K249" t="s">
        <v>15</v>
      </c>
      <c r="M249" t="str">
        <f t="shared" si="178"/>
        <v>a</v>
      </c>
      <c r="N249" t="str">
        <f t="shared" si="179"/>
        <v/>
      </c>
      <c r="O249" t="str">
        <f t="shared" si="180"/>
        <v/>
      </c>
    </row>
    <row r="250" spans="1:15" x14ac:dyDescent="0.3">
      <c r="A250">
        <v>100651921</v>
      </c>
      <c r="B250" t="s">
        <v>987</v>
      </c>
      <c r="C250">
        <v>13</v>
      </c>
      <c r="D250" t="s">
        <v>732</v>
      </c>
      <c r="E250" t="s">
        <v>1225</v>
      </c>
      <c r="F250" s="26">
        <v>53840.45</v>
      </c>
      <c r="G250" s="3">
        <v>45804</v>
      </c>
      <c r="H250" t="s">
        <v>31</v>
      </c>
      <c r="I250" s="4" t="str">
        <f>MID(H250,6,30)</f>
        <v>Investment Account</v>
      </c>
      <c r="J250" t="str">
        <f>IF(LEFT(I250)="L","Compulsory, LA",IF(LEFT(I250)="R","Compulsory, RA",IF(LEFT(I250,2)="Pe","Compulsory, Pens","Voluntary")))</f>
        <v>Voluntary</v>
      </c>
      <c r="K250" t="s">
        <v>15</v>
      </c>
      <c r="M250" t="str">
        <f t="shared" si="178"/>
        <v>a</v>
      </c>
      <c r="N250" t="str">
        <f t="shared" si="179"/>
        <v/>
      </c>
      <c r="O250" t="str">
        <f t="shared" si="180"/>
        <v/>
      </c>
    </row>
    <row r="251" spans="1:15" x14ac:dyDescent="0.3">
      <c r="A251">
        <v>100651921</v>
      </c>
      <c r="B251" t="s">
        <v>988</v>
      </c>
      <c r="C251">
        <v>13</v>
      </c>
      <c r="D251" t="s">
        <v>732</v>
      </c>
      <c r="E251" t="s">
        <v>1225</v>
      </c>
      <c r="F251" s="26">
        <v>14476.11</v>
      </c>
      <c r="G251" s="3">
        <v>45804</v>
      </c>
      <c r="H251" t="s">
        <v>31</v>
      </c>
      <c r="I251" s="4" t="str">
        <f>MID(H251,6,30)</f>
        <v>Investment Account</v>
      </c>
      <c r="J251" t="str">
        <f>IF(LEFT(I251)="L","Compulsory, LA",IF(LEFT(I251)="R","Compulsory, RA",IF(LEFT(I251,2)="Pe","Compulsory, Pens","Voluntary")))</f>
        <v>Voluntary</v>
      </c>
      <c r="K251" t="s">
        <v>15</v>
      </c>
      <c r="M251" t="str">
        <f t="shared" si="178"/>
        <v>a</v>
      </c>
      <c r="N251" t="str">
        <f t="shared" si="179"/>
        <v/>
      </c>
      <c r="O251" t="str">
        <f t="shared" si="180"/>
        <v/>
      </c>
    </row>
    <row r="252" spans="1:15" x14ac:dyDescent="0.3">
      <c r="A252">
        <v>100655835</v>
      </c>
      <c r="B252" t="s">
        <v>770</v>
      </c>
      <c r="C252">
        <v>456</v>
      </c>
      <c r="D252" t="s">
        <v>731</v>
      </c>
      <c r="E252" t="s">
        <v>1225</v>
      </c>
      <c r="F252" s="26">
        <v>12810.36</v>
      </c>
      <c r="G252" s="3">
        <v>45804</v>
      </c>
      <c r="H252" t="s">
        <v>14</v>
      </c>
      <c r="I252" s="4" t="str">
        <f t="shared" si="197"/>
        <v>Living Annuity</v>
      </c>
      <c r="J252" t="str">
        <f t="shared" si="198"/>
        <v>Compulsory, LA</v>
      </c>
      <c r="K252" t="s">
        <v>15</v>
      </c>
      <c r="M252" t="str">
        <f t="shared" si="178"/>
        <v>a</v>
      </c>
      <c r="N252" t="str">
        <f t="shared" si="179"/>
        <v/>
      </c>
      <c r="O252" t="str">
        <f t="shared" si="180"/>
        <v/>
      </c>
    </row>
    <row r="253" spans="1:15" x14ac:dyDescent="0.3">
      <c r="A253">
        <v>100663638</v>
      </c>
      <c r="B253" t="s">
        <v>804</v>
      </c>
      <c r="C253">
        <v>58</v>
      </c>
      <c r="D253" t="s">
        <v>802</v>
      </c>
      <c r="E253" t="s">
        <v>1225</v>
      </c>
      <c r="F253" s="26">
        <v>1377.7299999999998</v>
      </c>
      <c r="G253" s="3">
        <v>45804</v>
      </c>
      <c r="H253" t="s">
        <v>14</v>
      </c>
      <c r="I253" s="4" t="str">
        <f t="shared" si="197"/>
        <v>Living Annuity</v>
      </c>
      <c r="J253" t="str">
        <f t="shared" si="198"/>
        <v>Compulsory, LA</v>
      </c>
      <c r="K253" t="s">
        <v>15</v>
      </c>
      <c r="M253" t="str">
        <f t="shared" si="178"/>
        <v>a</v>
      </c>
      <c r="N253" t="str">
        <f t="shared" si="179"/>
        <v/>
      </c>
      <c r="O253" t="str">
        <f t="shared" si="180"/>
        <v/>
      </c>
    </row>
    <row r="254" spans="1:15" x14ac:dyDescent="0.3">
      <c r="A254">
        <v>100663638</v>
      </c>
      <c r="B254" t="s">
        <v>863</v>
      </c>
      <c r="C254">
        <v>58</v>
      </c>
      <c r="D254" t="s">
        <v>802</v>
      </c>
      <c r="E254" t="s">
        <v>1225</v>
      </c>
      <c r="F254" s="26">
        <v>228348.88</v>
      </c>
      <c r="G254" s="3">
        <v>45804</v>
      </c>
      <c r="H254" t="s">
        <v>14</v>
      </c>
      <c r="I254" s="4" t="str">
        <f t="shared" si="197"/>
        <v>Living Annuity</v>
      </c>
      <c r="J254" t="str">
        <f t="shared" si="198"/>
        <v>Compulsory, LA</v>
      </c>
      <c r="K254" t="s">
        <v>15</v>
      </c>
      <c r="M254" t="str">
        <f t="shared" si="178"/>
        <v>a</v>
      </c>
      <c r="N254" t="str">
        <f t="shared" si="179"/>
        <v/>
      </c>
      <c r="O254" t="str">
        <f t="shared" si="180"/>
        <v/>
      </c>
    </row>
    <row r="255" spans="1:15" x14ac:dyDescent="0.3">
      <c r="A255">
        <v>100663638</v>
      </c>
      <c r="B255" t="s">
        <v>1161</v>
      </c>
      <c r="C255">
        <v>58</v>
      </c>
      <c r="D255" t="s">
        <v>802</v>
      </c>
      <c r="E255" t="s">
        <v>1225</v>
      </c>
      <c r="F255" s="26">
        <v>188.9</v>
      </c>
      <c r="G255" s="3">
        <v>45804</v>
      </c>
      <c r="H255" t="s">
        <v>1147</v>
      </c>
      <c r="I255" s="4" t="str">
        <f t="shared" si="197"/>
        <v>Investment Account</v>
      </c>
      <c r="J255" t="str">
        <f t="shared" si="198"/>
        <v>Voluntary</v>
      </c>
      <c r="K255" t="s">
        <v>15</v>
      </c>
      <c r="M255" t="str">
        <f t="shared" si="178"/>
        <v>a</v>
      </c>
      <c r="N255" t="str">
        <f t="shared" si="179"/>
        <v/>
      </c>
      <c r="O255" t="str">
        <f t="shared" si="180"/>
        <v/>
      </c>
    </row>
    <row r="256" spans="1:15" x14ac:dyDescent="0.3">
      <c r="A256">
        <v>100664029</v>
      </c>
      <c r="B256" t="s">
        <v>866</v>
      </c>
      <c r="C256">
        <v>5</v>
      </c>
      <c r="D256" t="s">
        <v>864</v>
      </c>
      <c r="E256" t="s">
        <v>1225</v>
      </c>
      <c r="F256" s="26">
        <v>693121.72</v>
      </c>
      <c r="G256" s="3">
        <v>45804</v>
      </c>
      <c r="H256" t="s">
        <v>14</v>
      </c>
      <c r="I256" s="4" t="str">
        <f t="shared" si="197"/>
        <v>Living Annuity</v>
      </c>
      <c r="J256" t="str">
        <f t="shared" si="198"/>
        <v>Compulsory, LA</v>
      </c>
      <c r="K256" t="s">
        <v>15</v>
      </c>
      <c r="M256" t="str">
        <f t="shared" si="178"/>
        <v>a</v>
      </c>
      <c r="N256" t="str">
        <f t="shared" si="179"/>
        <v/>
      </c>
      <c r="O256" t="str">
        <f t="shared" si="180"/>
        <v/>
      </c>
    </row>
    <row r="257" spans="1:15" x14ac:dyDescent="0.3">
      <c r="A257">
        <v>100664029</v>
      </c>
      <c r="B257" t="s">
        <v>868</v>
      </c>
      <c r="C257">
        <v>5</v>
      </c>
      <c r="D257" t="s">
        <v>864</v>
      </c>
      <c r="E257" t="s">
        <v>1225</v>
      </c>
      <c r="F257" s="26">
        <v>144294.26999999999</v>
      </c>
      <c r="G257" s="3">
        <v>45804</v>
      </c>
      <c r="H257" t="s">
        <v>14</v>
      </c>
      <c r="I257" s="4" t="str">
        <f t="shared" si="197"/>
        <v>Living Annuity</v>
      </c>
      <c r="J257" t="str">
        <f t="shared" si="198"/>
        <v>Compulsory, LA</v>
      </c>
      <c r="K257" t="s">
        <v>15</v>
      </c>
      <c r="M257" t="str">
        <f t="shared" ref="M257:M321" si="199">RIGHT(B257,1)</f>
        <v>a</v>
      </c>
      <c r="N257" t="str">
        <f t="shared" ref="N257:N321" si="200">IF(M257="f","FFFF","")</f>
        <v/>
      </c>
      <c r="O257" t="str">
        <f t="shared" ref="O257:O321" si="201">IF(M257="I","IIII","")</f>
        <v/>
      </c>
    </row>
    <row r="258" spans="1:15" x14ac:dyDescent="0.3">
      <c r="A258">
        <v>100664292</v>
      </c>
      <c r="B258" t="s">
        <v>989</v>
      </c>
      <c r="C258">
        <v>21</v>
      </c>
      <c r="D258" t="s">
        <v>849</v>
      </c>
      <c r="E258" t="s">
        <v>1225</v>
      </c>
      <c r="F258" s="25">
        <v>2198.86</v>
      </c>
      <c r="G258" s="3">
        <v>45804</v>
      </c>
      <c r="H258" t="s">
        <v>31</v>
      </c>
      <c r="I258" s="4" t="str">
        <f t="shared" si="197"/>
        <v>Investment Account</v>
      </c>
      <c r="J258" t="str">
        <f t="shared" si="198"/>
        <v>Voluntary</v>
      </c>
      <c r="K258" t="s">
        <v>15</v>
      </c>
      <c r="M258" t="str">
        <f t="shared" si="199"/>
        <v>a</v>
      </c>
      <c r="N258" t="str">
        <f t="shared" si="200"/>
        <v/>
      </c>
      <c r="O258" t="str">
        <f t="shared" si="201"/>
        <v/>
      </c>
    </row>
    <row r="259" spans="1:15" x14ac:dyDescent="0.3">
      <c r="A259">
        <v>100664292</v>
      </c>
      <c r="B259" t="s">
        <v>870</v>
      </c>
      <c r="C259">
        <v>21</v>
      </c>
      <c r="D259" t="s">
        <v>849</v>
      </c>
      <c r="E259" t="s">
        <v>1225</v>
      </c>
      <c r="F259" s="25">
        <v>333974.94</v>
      </c>
      <c r="G259" s="3">
        <v>45804</v>
      </c>
      <c r="H259" t="s">
        <v>14</v>
      </c>
      <c r="I259" s="4" t="str">
        <f t="shared" si="197"/>
        <v>Living Annuity</v>
      </c>
      <c r="J259" t="str">
        <f t="shared" si="198"/>
        <v>Compulsory, LA</v>
      </c>
      <c r="K259" t="s">
        <v>15</v>
      </c>
      <c r="M259" t="str">
        <f t="shared" si="199"/>
        <v>a</v>
      </c>
      <c r="N259" t="str">
        <f t="shared" si="200"/>
        <v/>
      </c>
      <c r="O259" t="str">
        <f t="shared" si="201"/>
        <v/>
      </c>
    </row>
    <row r="260" spans="1:15" x14ac:dyDescent="0.3">
      <c r="A260">
        <v>100664348</v>
      </c>
      <c r="B260" t="s">
        <v>878</v>
      </c>
      <c r="C260">
        <v>257</v>
      </c>
      <c r="D260" t="s">
        <v>871</v>
      </c>
      <c r="E260" t="s">
        <v>1225</v>
      </c>
      <c r="F260" s="25">
        <v>6193.0999999999995</v>
      </c>
      <c r="G260" s="3">
        <v>45804</v>
      </c>
      <c r="H260" t="s">
        <v>14</v>
      </c>
      <c r="I260" s="4" t="str">
        <f t="shared" si="197"/>
        <v>Living Annuity</v>
      </c>
      <c r="J260" t="str">
        <f t="shared" si="198"/>
        <v>Compulsory, LA</v>
      </c>
      <c r="K260" t="s">
        <v>15</v>
      </c>
      <c r="M260" t="str">
        <f t="shared" si="199"/>
        <v>a</v>
      </c>
      <c r="N260" t="str">
        <f t="shared" si="200"/>
        <v/>
      </c>
      <c r="O260" t="str">
        <f t="shared" si="201"/>
        <v/>
      </c>
    </row>
    <row r="261" spans="1:15" x14ac:dyDescent="0.3">
      <c r="A261">
        <v>100664351</v>
      </c>
      <c r="B261" t="s">
        <v>879</v>
      </c>
      <c r="C261">
        <v>196</v>
      </c>
      <c r="D261" t="s">
        <v>873</v>
      </c>
      <c r="E261" t="s">
        <v>1225</v>
      </c>
      <c r="F261" s="25">
        <v>25008.82</v>
      </c>
      <c r="G261" s="3">
        <v>45804</v>
      </c>
      <c r="H261" t="s">
        <v>14</v>
      </c>
      <c r="I261" s="4" t="str">
        <f t="shared" si="197"/>
        <v>Living Annuity</v>
      </c>
      <c r="J261" t="str">
        <f t="shared" si="198"/>
        <v>Compulsory, LA</v>
      </c>
      <c r="K261" t="s">
        <v>15</v>
      </c>
      <c r="M261" t="str">
        <f t="shared" si="199"/>
        <v>a</v>
      </c>
      <c r="N261" t="str">
        <f t="shared" si="200"/>
        <v/>
      </c>
      <c r="O261" t="str">
        <f t="shared" si="201"/>
        <v/>
      </c>
    </row>
    <row r="262" spans="1:15" x14ac:dyDescent="0.3">
      <c r="A262">
        <v>100664601</v>
      </c>
      <c r="B262" t="s">
        <v>880</v>
      </c>
      <c r="C262">
        <v>60</v>
      </c>
      <c r="D262" t="s">
        <v>875</v>
      </c>
      <c r="E262" t="s">
        <v>1225</v>
      </c>
      <c r="F262" s="25">
        <v>259.77</v>
      </c>
      <c r="G262" s="3">
        <v>45804</v>
      </c>
      <c r="H262" t="s">
        <v>80</v>
      </c>
      <c r="I262" s="4" t="str">
        <f t="shared" si="197"/>
        <v>Pension Preservation Fund</v>
      </c>
      <c r="J262" t="str">
        <f t="shared" si="198"/>
        <v>Compulsory, Pens</v>
      </c>
      <c r="K262" t="s">
        <v>15</v>
      </c>
      <c r="M262" t="str">
        <f t="shared" si="199"/>
        <v>d</v>
      </c>
      <c r="N262" t="str">
        <f t="shared" si="200"/>
        <v/>
      </c>
      <c r="O262" t="str">
        <f t="shared" si="201"/>
        <v/>
      </c>
    </row>
    <row r="263" spans="1:15" x14ac:dyDescent="0.3">
      <c r="A263">
        <v>100664601</v>
      </c>
      <c r="B263" t="s">
        <v>881</v>
      </c>
      <c r="C263">
        <v>60</v>
      </c>
      <c r="D263" t="s">
        <v>875</v>
      </c>
      <c r="E263" t="s">
        <v>1225</v>
      </c>
      <c r="F263" s="25">
        <v>8948.86</v>
      </c>
      <c r="G263" s="3">
        <v>45804</v>
      </c>
      <c r="H263" t="s">
        <v>26</v>
      </c>
      <c r="I263" s="4" t="str">
        <f t="shared" si="197"/>
        <v>Retirement Annuity</v>
      </c>
      <c r="J263" t="str">
        <f t="shared" si="198"/>
        <v>Compulsory, RA</v>
      </c>
      <c r="K263" t="s">
        <v>15</v>
      </c>
      <c r="M263" t="str">
        <f t="shared" si="199"/>
        <v>d</v>
      </c>
      <c r="N263" t="str">
        <f t="shared" si="200"/>
        <v/>
      </c>
      <c r="O263" t="str">
        <f t="shared" si="201"/>
        <v/>
      </c>
    </row>
    <row r="264" spans="1:15" x14ac:dyDescent="0.3">
      <c r="A264">
        <v>100664601</v>
      </c>
      <c r="B264" t="s">
        <v>1194</v>
      </c>
      <c r="C264">
        <v>60</v>
      </c>
      <c r="D264" t="s">
        <v>875</v>
      </c>
      <c r="E264" t="s">
        <v>1225</v>
      </c>
      <c r="F264" s="25">
        <v>106640.33</v>
      </c>
      <c r="G264" s="3">
        <v>45804</v>
      </c>
      <c r="H264" t="s">
        <v>1187</v>
      </c>
      <c r="I264" s="4" t="str">
        <f t="shared" si="197"/>
        <v>Pension Preservation Fund - Sa</v>
      </c>
      <c r="J264" t="str">
        <f t="shared" si="198"/>
        <v>Compulsory, Pens</v>
      </c>
      <c r="K264" t="s">
        <v>15</v>
      </c>
      <c r="M264" t="str">
        <f t="shared" si="199"/>
        <v>d</v>
      </c>
      <c r="N264" t="str">
        <f t="shared" si="200"/>
        <v/>
      </c>
      <c r="O264" t="str">
        <f t="shared" si="201"/>
        <v/>
      </c>
    </row>
    <row r="265" spans="1:15" x14ac:dyDescent="0.3">
      <c r="A265">
        <v>100664601</v>
      </c>
      <c r="B265" t="s">
        <v>1195</v>
      </c>
      <c r="C265">
        <v>60</v>
      </c>
      <c r="D265" t="s">
        <v>875</v>
      </c>
      <c r="E265" t="s">
        <v>1225</v>
      </c>
      <c r="F265" s="25">
        <v>695409.48</v>
      </c>
      <c r="G265" s="3">
        <v>45804</v>
      </c>
      <c r="H265" t="s">
        <v>1174</v>
      </c>
      <c r="I265" s="4" t="str">
        <f t="shared" si="197"/>
        <v>Retirement Annuity - Savings C</v>
      </c>
      <c r="J265" t="str">
        <f t="shared" si="198"/>
        <v>Compulsory, RA</v>
      </c>
      <c r="K265" t="s">
        <v>15</v>
      </c>
      <c r="M265" t="str">
        <f t="shared" si="199"/>
        <v>d</v>
      </c>
      <c r="N265" t="str">
        <f t="shared" si="200"/>
        <v/>
      </c>
      <c r="O265" t="str">
        <f t="shared" si="201"/>
        <v/>
      </c>
    </row>
    <row r="266" spans="1:15" x14ac:dyDescent="0.3">
      <c r="A266">
        <v>100664737</v>
      </c>
      <c r="B266" t="s">
        <v>1116</v>
      </c>
      <c r="C266">
        <v>57</v>
      </c>
      <c r="D266" t="s">
        <v>882</v>
      </c>
      <c r="E266" t="s">
        <v>1225</v>
      </c>
      <c r="F266" s="25">
        <v>136068.12</v>
      </c>
      <c r="G266" s="3">
        <v>45804</v>
      </c>
      <c r="H266" t="s">
        <v>14</v>
      </c>
      <c r="I266" s="4" t="str">
        <f t="shared" si="197"/>
        <v>Living Annuity</v>
      </c>
      <c r="J266" t="str">
        <f t="shared" si="198"/>
        <v>Compulsory, LA</v>
      </c>
      <c r="K266" t="s">
        <v>15</v>
      </c>
      <c r="M266" t="str">
        <f t="shared" si="199"/>
        <v>a</v>
      </c>
      <c r="N266" t="str">
        <f t="shared" si="200"/>
        <v/>
      </c>
      <c r="O266" t="str">
        <f t="shared" si="201"/>
        <v/>
      </c>
    </row>
    <row r="267" spans="1:15" x14ac:dyDescent="0.3">
      <c r="A267">
        <v>100664737</v>
      </c>
      <c r="B267" t="s">
        <v>1122</v>
      </c>
      <c r="C267">
        <v>57</v>
      </c>
      <c r="D267" t="s">
        <v>882</v>
      </c>
      <c r="E267" t="s">
        <v>1225</v>
      </c>
      <c r="F267" s="25">
        <v>11975.23</v>
      </c>
      <c r="G267" s="3">
        <v>45804</v>
      </c>
      <c r="H267" t="s">
        <v>14</v>
      </c>
      <c r="I267" s="4" t="str">
        <f t="shared" si="197"/>
        <v>Living Annuity</v>
      </c>
      <c r="J267" t="str">
        <f t="shared" si="198"/>
        <v>Compulsory, LA</v>
      </c>
      <c r="K267" t="s">
        <v>15</v>
      </c>
      <c r="M267" t="str">
        <f t="shared" si="199"/>
        <v>a</v>
      </c>
      <c r="N267" t="str">
        <f t="shared" si="200"/>
        <v/>
      </c>
      <c r="O267" t="str">
        <f t="shared" si="201"/>
        <v/>
      </c>
    </row>
    <row r="268" spans="1:15" x14ac:dyDescent="0.3">
      <c r="A268">
        <v>100665510</v>
      </c>
      <c r="B268" t="s">
        <v>885</v>
      </c>
      <c r="C268">
        <v>6</v>
      </c>
      <c r="D268" t="s">
        <v>850</v>
      </c>
      <c r="E268" t="s">
        <v>1225</v>
      </c>
      <c r="F268" s="25">
        <v>28013.93</v>
      </c>
      <c r="G268" s="3">
        <v>45804</v>
      </c>
      <c r="H268" t="s">
        <v>14</v>
      </c>
      <c r="I268" s="4" t="str">
        <f t="shared" si="197"/>
        <v>Living Annuity</v>
      </c>
      <c r="J268" t="str">
        <f t="shared" si="198"/>
        <v>Compulsory, LA</v>
      </c>
      <c r="K268" t="s">
        <v>15</v>
      </c>
      <c r="M268" t="str">
        <f t="shared" si="199"/>
        <v>a</v>
      </c>
      <c r="N268" t="str">
        <f t="shared" si="200"/>
        <v/>
      </c>
      <c r="O268" t="str">
        <f t="shared" si="201"/>
        <v/>
      </c>
    </row>
    <row r="269" spans="1:15" x14ac:dyDescent="0.3">
      <c r="A269">
        <v>100665581</v>
      </c>
      <c r="B269" t="s">
        <v>1227</v>
      </c>
      <c r="C269">
        <v>113</v>
      </c>
      <c r="D269" t="s">
        <v>884</v>
      </c>
      <c r="E269" t="s">
        <v>1225</v>
      </c>
      <c r="F269" s="25">
        <v>21377.439999999999</v>
      </c>
      <c r="G269" s="3">
        <v>45804</v>
      </c>
      <c r="H269" t="s">
        <v>1147</v>
      </c>
      <c r="I269" s="4" t="str">
        <f t="shared" ref="I269" si="202">MID(H269,6,30)</f>
        <v>Investment Account</v>
      </c>
      <c r="J269" t="str">
        <f t="shared" ref="J269" si="203">IF(LEFT(I269)="L","Compulsory, LA",IF(LEFT(I269)="R","Compulsory, RA",IF(LEFT(I269,2)="Pe","Compulsory, Pens","Voluntary")))</f>
        <v>Voluntary</v>
      </c>
      <c r="K269" t="s">
        <v>15</v>
      </c>
      <c r="M269" t="str">
        <f t="shared" ref="M269" si="204">RIGHT(B269,1)</f>
        <v>a</v>
      </c>
      <c r="N269" t="str">
        <f t="shared" ref="N269" si="205">IF(M269="f","FFFF","")</f>
        <v/>
      </c>
      <c r="O269" t="str">
        <f t="shared" ref="O269" si="206">IF(M269="I","IIII","")</f>
        <v/>
      </c>
    </row>
    <row r="270" spans="1:15" x14ac:dyDescent="0.3">
      <c r="A270">
        <v>100665581</v>
      </c>
      <c r="B270" t="s">
        <v>1235</v>
      </c>
      <c r="C270">
        <v>113</v>
      </c>
      <c r="D270" t="s">
        <v>884</v>
      </c>
      <c r="E270" t="s">
        <v>1225</v>
      </c>
      <c r="F270" s="25">
        <v>309518.25</v>
      </c>
      <c r="G270" s="3">
        <v>45804</v>
      </c>
      <c r="H270" t="s">
        <v>14</v>
      </c>
      <c r="I270" s="4" t="str">
        <f t="shared" si="197"/>
        <v>Living Annuity</v>
      </c>
      <c r="J270" t="str">
        <f t="shared" si="198"/>
        <v>Compulsory, LA</v>
      </c>
      <c r="K270" t="s">
        <v>15</v>
      </c>
      <c r="M270" t="str">
        <f t="shared" si="199"/>
        <v>a</v>
      </c>
      <c r="N270" t="str">
        <f t="shared" si="200"/>
        <v/>
      </c>
      <c r="O270" t="str">
        <f t="shared" si="201"/>
        <v/>
      </c>
    </row>
    <row r="271" spans="1:15" x14ac:dyDescent="0.3">
      <c r="A271">
        <v>100666150</v>
      </c>
      <c r="B271" t="s">
        <v>805</v>
      </c>
      <c r="C271">
        <v>163</v>
      </c>
      <c r="D271" t="s">
        <v>803</v>
      </c>
      <c r="E271" t="s">
        <v>1225</v>
      </c>
      <c r="F271" s="26">
        <v>845.91</v>
      </c>
      <c r="G271" s="3">
        <v>45804</v>
      </c>
      <c r="H271" t="s">
        <v>14</v>
      </c>
      <c r="I271" s="4" t="str">
        <f t="shared" si="197"/>
        <v>Living Annuity</v>
      </c>
      <c r="J271" t="str">
        <f t="shared" si="198"/>
        <v>Compulsory, LA</v>
      </c>
      <c r="K271" t="s">
        <v>15</v>
      </c>
      <c r="M271" t="str">
        <f t="shared" si="199"/>
        <v>a</v>
      </c>
      <c r="N271" t="str">
        <f t="shared" si="200"/>
        <v/>
      </c>
      <c r="O271" t="str">
        <f t="shared" si="201"/>
        <v/>
      </c>
    </row>
    <row r="272" spans="1:15" x14ac:dyDescent="0.3">
      <c r="A272">
        <v>100668409</v>
      </c>
      <c r="B272" t="s">
        <v>990</v>
      </c>
      <c r="C272">
        <v>178</v>
      </c>
      <c r="D272" t="s">
        <v>852</v>
      </c>
      <c r="E272" t="s">
        <v>1225</v>
      </c>
      <c r="F272" s="26">
        <v>410801.27999999997</v>
      </c>
      <c r="G272" s="3">
        <v>45804</v>
      </c>
      <c r="H272" t="s">
        <v>31</v>
      </c>
      <c r="I272" s="4" t="str">
        <f t="shared" si="197"/>
        <v>Investment Account</v>
      </c>
      <c r="J272" t="str">
        <f t="shared" si="198"/>
        <v>Voluntary</v>
      </c>
      <c r="K272" t="s">
        <v>15</v>
      </c>
      <c r="M272" t="str">
        <f t="shared" si="199"/>
        <v>a</v>
      </c>
      <c r="N272" t="str">
        <f t="shared" si="200"/>
        <v/>
      </c>
      <c r="O272" t="str">
        <f t="shared" si="201"/>
        <v/>
      </c>
    </row>
    <row r="273" spans="1:15" x14ac:dyDescent="0.3">
      <c r="A273">
        <v>100668534</v>
      </c>
      <c r="B273" t="s">
        <v>991</v>
      </c>
      <c r="C273">
        <v>23</v>
      </c>
      <c r="D273" t="s">
        <v>194</v>
      </c>
      <c r="E273" t="s">
        <v>1225</v>
      </c>
      <c r="F273" s="26">
        <v>29392.11</v>
      </c>
      <c r="G273" s="3">
        <v>45804</v>
      </c>
      <c r="H273" t="s">
        <v>31</v>
      </c>
      <c r="I273" s="4" t="str">
        <f t="shared" si="197"/>
        <v>Investment Account</v>
      </c>
      <c r="J273" t="str">
        <f t="shared" si="198"/>
        <v>Voluntary</v>
      </c>
      <c r="K273" t="s">
        <v>15</v>
      </c>
      <c r="M273" t="str">
        <f t="shared" si="199"/>
        <v>a</v>
      </c>
      <c r="N273" t="str">
        <f t="shared" si="200"/>
        <v/>
      </c>
      <c r="O273" t="str">
        <f t="shared" si="201"/>
        <v/>
      </c>
    </row>
    <row r="274" spans="1:15" x14ac:dyDescent="0.3">
      <c r="A274">
        <v>100669580</v>
      </c>
      <c r="B274" t="s">
        <v>889</v>
      </c>
      <c r="C274">
        <v>321</v>
      </c>
      <c r="D274" t="s">
        <v>887</v>
      </c>
      <c r="E274" t="s">
        <v>1225</v>
      </c>
      <c r="F274" s="26">
        <v>170399.58</v>
      </c>
      <c r="G274" s="3">
        <v>45804</v>
      </c>
      <c r="H274" t="s">
        <v>14</v>
      </c>
      <c r="I274" s="4" t="str">
        <f t="shared" si="197"/>
        <v>Living Annuity</v>
      </c>
      <c r="J274" t="str">
        <f t="shared" si="198"/>
        <v>Compulsory, LA</v>
      </c>
      <c r="K274" t="s">
        <v>15</v>
      </c>
      <c r="M274" t="str">
        <f t="shared" si="199"/>
        <v>a</v>
      </c>
      <c r="N274" t="str">
        <f t="shared" si="200"/>
        <v/>
      </c>
      <c r="O274" t="str">
        <f t="shared" si="201"/>
        <v/>
      </c>
    </row>
    <row r="275" spans="1:15" x14ac:dyDescent="0.3">
      <c r="A275">
        <v>100670671</v>
      </c>
      <c r="B275" t="s">
        <v>892</v>
      </c>
      <c r="C275">
        <v>150</v>
      </c>
      <c r="D275" t="s">
        <v>890</v>
      </c>
      <c r="E275" t="s">
        <v>1225</v>
      </c>
      <c r="F275" s="26">
        <v>43486.2</v>
      </c>
      <c r="G275" s="3">
        <v>45804</v>
      </c>
      <c r="H275" t="s">
        <v>31</v>
      </c>
      <c r="I275" s="4" t="str">
        <f t="shared" si="197"/>
        <v>Investment Account</v>
      </c>
      <c r="J275" t="str">
        <f t="shared" si="198"/>
        <v>Voluntary</v>
      </c>
      <c r="K275" t="s">
        <v>15</v>
      </c>
      <c r="M275" t="str">
        <f t="shared" si="199"/>
        <v>a</v>
      </c>
      <c r="N275" t="str">
        <f t="shared" si="200"/>
        <v/>
      </c>
      <c r="O275" t="str">
        <f t="shared" si="201"/>
        <v/>
      </c>
    </row>
    <row r="276" spans="1:15" x14ac:dyDescent="0.3">
      <c r="A276">
        <v>100670671</v>
      </c>
      <c r="B276" t="s">
        <v>1110</v>
      </c>
      <c r="C276">
        <v>150</v>
      </c>
      <c r="D276" t="s">
        <v>890</v>
      </c>
      <c r="E276" t="s">
        <v>1225</v>
      </c>
      <c r="F276" s="26">
        <v>54157.919999999998</v>
      </c>
      <c r="G276" s="3">
        <v>45804</v>
      </c>
      <c r="H276" t="s">
        <v>26</v>
      </c>
      <c r="I276" s="4" t="str">
        <f t="shared" si="197"/>
        <v>Retirement Annuity</v>
      </c>
      <c r="J276" t="str">
        <f t="shared" si="198"/>
        <v>Compulsory, RA</v>
      </c>
      <c r="K276" t="s">
        <v>15</v>
      </c>
      <c r="M276" t="str">
        <f t="shared" si="199"/>
        <v>d</v>
      </c>
      <c r="N276" t="str">
        <f t="shared" si="200"/>
        <v/>
      </c>
      <c r="O276" t="str">
        <f t="shared" si="201"/>
        <v/>
      </c>
    </row>
    <row r="277" spans="1:15" x14ac:dyDescent="0.3">
      <c r="A277">
        <v>100670671</v>
      </c>
      <c r="B277" t="s">
        <v>1196</v>
      </c>
      <c r="C277">
        <v>150</v>
      </c>
      <c r="D277" t="s">
        <v>890</v>
      </c>
      <c r="E277" t="s">
        <v>1225</v>
      </c>
      <c r="F277" s="26">
        <v>422.01</v>
      </c>
      <c r="G277" s="3">
        <v>45804</v>
      </c>
      <c r="H277" t="s">
        <v>1174</v>
      </c>
      <c r="I277" s="4" t="str">
        <f t="shared" si="197"/>
        <v>Retirement Annuity - Savings C</v>
      </c>
      <c r="J277" t="str">
        <f t="shared" si="198"/>
        <v>Compulsory, RA</v>
      </c>
      <c r="K277" t="s">
        <v>15</v>
      </c>
      <c r="M277" t="str">
        <f t="shared" si="199"/>
        <v>d</v>
      </c>
      <c r="N277" t="str">
        <f t="shared" si="200"/>
        <v/>
      </c>
      <c r="O277" t="str">
        <f t="shared" si="201"/>
        <v/>
      </c>
    </row>
    <row r="278" spans="1:15" x14ac:dyDescent="0.3">
      <c r="A278">
        <v>100670671</v>
      </c>
      <c r="B278" t="s">
        <v>1197</v>
      </c>
      <c r="C278">
        <v>150</v>
      </c>
      <c r="D278" t="s">
        <v>890</v>
      </c>
      <c r="E278" t="s">
        <v>1225</v>
      </c>
      <c r="F278" s="26">
        <v>220305.15999999997</v>
      </c>
      <c r="G278" s="3">
        <v>45804</v>
      </c>
      <c r="H278" t="s">
        <v>1175</v>
      </c>
      <c r="I278" s="4" t="str">
        <f t="shared" si="197"/>
        <v>Retirement Annuity - Retiremen</v>
      </c>
      <c r="J278" t="str">
        <f t="shared" si="198"/>
        <v>Compulsory, RA</v>
      </c>
      <c r="K278" t="s">
        <v>15</v>
      </c>
      <c r="M278" t="str">
        <f t="shared" si="199"/>
        <v>d</v>
      </c>
      <c r="N278" t="str">
        <f t="shared" si="200"/>
        <v/>
      </c>
      <c r="O278" t="str">
        <f t="shared" si="201"/>
        <v/>
      </c>
    </row>
    <row r="279" spans="1:15" s="13" customFormat="1" x14ac:dyDescent="0.3">
      <c r="A279" s="13">
        <v>100672294</v>
      </c>
      <c r="B279" s="13" t="s">
        <v>897</v>
      </c>
      <c r="C279" s="13">
        <v>458</v>
      </c>
      <c r="D279" s="13" t="s">
        <v>893</v>
      </c>
      <c r="E279" s="13" t="s">
        <v>1225</v>
      </c>
      <c r="F279" s="27">
        <v>50813.64</v>
      </c>
      <c r="G279" s="14">
        <v>45804</v>
      </c>
      <c r="H279" s="13" t="s">
        <v>31</v>
      </c>
      <c r="I279" s="15" t="str">
        <f t="shared" si="197"/>
        <v>Investment Account</v>
      </c>
      <c r="J279" s="13" t="str">
        <f t="shared" si="198"/>
        <v>Voluntary</v>
      </c>
      <c r="K279" s="13" t="s">
        <v>15</v>
      </c>
      <c r="M279" t="str">
        <f t="shared" si="199"/>
        <v>a</v>
      </c>
      <c r="N279" t="str">
        <f t="shared" si="200"/>
        <v/>
      </c>
      <c r="O279" t="str">
        <f t="shared" si="201"/>
        <v/>
      </c>
    </row>
    <row r="280" spans="1:15" x14ac:dyDescent="0.3">
      <c r="A280">
        <v>100672395</v>
      </c>
      <c r="B280" t="s">
        <v>900</v>
      </c>
      <c r="C280">
        <v>125</v>
      </c>
      <c r="D280" t="s">
        <v>899</v>
      </c>
      <c r="E280" t="s">
        <v>1225</v>
      </c>
      <c r="F280" s="25">
        <v>23542.98</v>
      </c>
      <c r="G280" s="3">
        <v>45804</v>
      </c>
      <c r="H280" t="s">
        <v>31</v>
      </c>
      <c r="I280" s="4" t="str">
        <f t="shared" si="197"/>
        <v>Investment Account</v>
      </c>
      <c r="J280" t="str">
        <f t="shared" si="198"/>
        <v>Voluntary</v>
      </c>
      <c r="K280" t="s">
        <v>15</v>
      </c>
      <c r="M280" t="str">
        <f t="shared" si="199"/>
        <v>a</v>
      </c>
      <c r="N280" t="str">
        <f t="shared" si="200"/>
        <v/>
      </c>
      <c r="O280" t="str">
        <f t="shared" si="201"/>
        <v/>
      </c>
    </row>
    <row r="281" spans="1:15" x14ac:dyDescent="0.3">
      <c r="A281">
        <v>100675336</v>
      </c>
      <c r="B281" t="s">
        <v>1096</v>
      </c>
      <c r="C281">
        <v>245</v>
      </c>
      <c r="D281" t="s">
        <v>1094</v>
      </c>
      <c r="E281" t="s">
        <v>1225</v>
      </c>
      <c r="F281" s="25">
        <v>99658.86</v>
      </c>
      <c r="G281" s="3">
        <v>45804</v>
      </c>
      <c r="H281" t="s">
        <v>14</v>
      </c>
      <c r="I281" s="4" t="str">
        <f t="shared" si="197"/>
        <v>Living Annuity</v>
      </c>
      <c r="J281" t="str">
        <f t="shared" si="198"/>
        <v>Compulsory, LA</v>
      </c>
      <c r="K281" t="s">
        <v>15</v>
      </c>
      <c r="M281" t="str">
        <f t="shared" si="199"/>
        <v>a</v>
      </c>
      <c r="N281" t="str">
        <f t="shared" si="200"/>
        <v/>
      </c>
      <c r="O281" t="str">
        <f t="shared" si="201"/>
        <v/>
      </c>
    </row>
    <row r="282" spans="1:15" x14ac:dyDescent="0.3">
      <c r="A282">
        <v>100677278</v>
      </c>
      <c r="B282" t="s">
        <v>994</v>
      </c>
      <c r="C282">
        <v>460</v>
      </c>
      <c r="D282" t="s">
        <v>993</v>
      </c>
      <c r="E282" t="s">
        <v>1225</v>
      </c>
      <c r="F282" s="25">
        <v>23245.83</v>
      </c>
      <c r="G282" s="3">
        <v>45804</v>
      </c>
      <c r="H282" t="s">
        <v>14</v>
      </c>
      <c r="I282" s="4" t="str">
        <f t="shared" si="197"/>
        <v>Living Annuity</v>
      </c>
      <c r="J282" t="str">
        <f t="shared" si="198"/>
        <v>Compulsory, LA</v>
      </c>
      <c r="K282" t="s">
        <v>15</v>
      </c>
      <c r="M282" t="str">
        <f t="shared" si="199"/>
        <v>a</v>
      </c>
      <c r="N282" t="str">
        <f t="shared" si="200"/>
        <v/>
      </c>
      <c r="O282" t="str">
        <f t="shared" si="201"/>
        <v/>
      </c>
    </row>
    <row r="283" spans="1:15" x14ac:dyDescent="0.3">
      <c r="A283">
        <v>100677585</v>
      </c>
      <c r="B283" t="s">
        <v>1103</v>
      </c>
      <c r="C283">
        <v>175</v>
      </c>
      <c r="D283" t="s">
        <v>1104</v>
      </c>
      <c r="E283" t="s">
        <v>1225</v>
      </c>
      <c r="F283" s="25">
        <v>29517.870000000003</v>
      </c>
      <c r="G283" s="3">
        <v>45804</v>
      </c>
      <c r="H283" t="s">
        <v>14</v>
      </c>
      <c r="I283" s="4" t="str">
        <f>MID(H283,6,30)</f>
        <v>Living Annuity</v>
      </c>
      <c r="J283" t="str">
        <f>IF(LEFT(I283)="L","Compulsory, LA",IF(LEFT(I283)="R","Compulsory, RA",IF(LEFT(I283,2)="Pe","Compulsory, Pens","Voluntary")))</f>
        <v>Compulsory, LA</v>
      </c>
      <c r="K283" t="s">
        <v>15</v>
      </c>
      <c r="M283" t="str">
        <f t="shared" si="199"/>
        <v>a</v>
      </c>
      <c r="N283" t="str">
        <f t="shared" si="200"/>
        <v/>
      </c>
      <c r="O283" t="str">
        <f t="shared" si="201"/>
        <v/>
      </c>
    </row>
    <row r="284" spans="1:15" x14ac:dyDescent="0.3">
      <c r="A284">
        <v>100706842</v>
      </c>
      <c r="B284" t="s">
        <v>1127</v>
      </c>
      <c r="C284">
        <v>83</v>
      </c>
      <c r="D284" t="s">
        <v>1129</v>
      </c>
      <c r="E284" t="s">
        <v>1225</v>
      </c>
      <c r="F284" s="26">
        <v>232.29</v>
      </c>
      <c r="G284" s="3">
        <v>45804</v>
      </c>
      <c r="H284" t="s">
        <v>14</v>
      </c>
      <c r="I284" s="4" t="str">
        <f t="shared" ref="I284:I285" si="207">MID(H284,6,30)</f>
        <v>Living Annuity</v>
      </c>
      <c r="J284" t="str">
        <f t="shared" ref="J284:J285" si="208">IF(LEFT(I284)="L","Compulsory, LA",IF(LEFT(I284)="R","Compulsory, RA",IF(LEFT(I284,2)="Pe","Compulsory, Pens","Voluntary")))</f>
        <v>Compulsory, LA</v>
      </c>
      <c r="K284" t="s">
        <v>15</v>
      </c>
      <c r="M284" t="str">
        <f t="shared" si="199"/>
        <v>a</v>
      </c>
      <c r="N284" t="str">
        <f t="shared" si="200"/>
        <v/>
      </c>
      <c r="O284" t="str">
        <f t="shared" si="201"/>
        <v/>
      </c>
    </row>
    <row r="285" spans="1:15" x14ac:dyDescent="0.3">
      <c r="A285">
        <v>100711105</v>
      </c>
      <c r="B285" t="s">
        <v>1128</v>
      </c>
      <c r="C285">
        <v>470</v>
      </c>
      <c r="D285" t="s">
        <v>1130</v>
      </c>
      <c r="E285" t="s">
        <v>1225</v>
      </c>
      <c r="F285" s="26">
        <v>119199.35</v>
      </c>
      <c r="G285" s="3">
        <v>45804</v>
      </c>
      <c r="H285" t="s">
        <v>31</v>
      </c>
      <c r="I285" s="4" t="str">
        <f t="shared" si="207"/>
        <v>Investment Account</v>
      </c>
      <c r="J285" t="str">
        <f t="shared" si="208"/>
        <v>Voluntary</v>
      </c>
      <c r="K285" t="s">
        <v>15</v>
      </c>
      <c r="M285" t="str">
        <f t="shared" si="199"/>
        <v>a</v>
      </c>
      <c r="N285" t="str">
        <f t="shared" si="200"/>
        <v/>
      </c>
      <c r="O285" t="str">
        <f t="shared" si="201"/>
        <v/>
      </c>
    </row>
    <row r="286" spans="1:15" x14ac:dyDescent="0.3">
      <c r="A286">
        <v>100786852</v>
      </c>
      <c r="B286" t="s">
        <v>1221</v>
      </c>
      <c r="C286">
        <v>209</v>
      </c>
      <c r="D286" t="s">
        <v>1201</v>
      </c>
      <c r="E286" t="s">
        <v>1225</v>
      </c>
      <c r="F286" s="26">
        <v>27891.97</v>
      </c>
      <c r="G286" s="3">
        <v>45804</v>
      </c>
      <c r="H286" t="s">
        <v>14</v>
      </c>
      <c r="I286" s="4" t="str">
        <f>MID(H286,6,30)</f>
        <v>Living Annuity</v>
      </c>
      <c r="J286" t="str">
        <f>IF(LEFT(I286)="L","Compulsory, LA",IF(LEFT(I286)="R","Compulsory, RA",IF(LEFT(I286,2)="Pe","Compulsory, Pens","Voluntary")))</f>
        <v>Compulsory, LA</v>
      </c>
      <c r="K286" t="s">
        <v>15</v>
      </c>
      <c r="M286" t="str">
        <f t="shared" ref="M286" si="209">RIGHT(B286,1)</f>
        <v>a</v>
      </c>
      <c r="N286" t="str">
        <f t="shared" ref="N286" si="210">IF(M286="f","FFFF","")</f>
        <v/>
      </c>
      <c r="O286" t="str">
        <f t="shared" ref="O286" si="211">IF(M286="I","IIII","")</f>
        <v/>
      </c>
    </row>
    <row r="287" spans="1:15" s="6" customFormat="1" x14ac:dyDescent="0.3">
      <c r="A287" s="6">
        <v>100799345</v>
      </c>
      <c r="B287" s="6" t="s">
        <v>1229</v>
      </c>
      <c r="C287" s="6">
        <v>478</v>
      </c>
      <c r="D287" s="6" t="s">
        <v>1228</v>
      </c>
      <c r="E287" s="6" t="s">
        <v>1225</v>
      </c>
      <c r="F287" s="32">
        <v>1451.69</v>
      </c>
      <c r="G287" s="22">
        <v>45804</v>
      </c>
      <c r="H287" s="6" t="s">
        <v>1147</v>
      </c>
      <c r="I287" s="23" t="str">
        <f>MID(H287,6,30)</f>
        <v>Investment Account</v>
      </c>
      <c r="J287" s="6" t="str">
        <f>IF(LEFT(I287)="L","Compulsory, LA",IF(LEFT(I287)="R","Compulsory, RA",IF(LEFT(I287,2)="Pe","Compulsory, Pens","Voluntary")))</f>
        <v>Voluntary</v>
      </c>
      <c r="K287" s="6" t="s">
        <v>15</v>
      </c>
      <c r="M287" t="str">
        <f t="shared" si="199"/>
        <v>a</v>
      </c>
      <c r="N287" t="str">
        <f t="shared" si="200"/>
        <v/>
      </c>
      <c r="O287" t="str">
        <f t="shared" si="201"/>
        <v/>
      </c>
    </row>
    <row r="288" spans="1:15" s="6" customFormat="1" x14ac:dyDescent="0.3">
      <c r="A288" s="6">
        <v>100655835</v>
      </c>
      <c r="B288" s="6" t="s">
        <v>770</v>
      </c>
      <c r="C288" s="6">
        <v>456</v>
      </c>
      <c r="D288" s="6" t="s">
        <v>731</v>
      </c>
      <c r="E288" s="6" t="s">
        <v>628</v>
      </c>
      <c r="F288" s="32">
        <v>1470.61</v>
      </c>
      <c r="G288" s="22">
        <v>45804</v>
      </c>
      <c r="H288" s="6" t="s">
        <v>14</v>
      </c>
      <c r="I288" s="23" t="str">
        <f t="shared" ref="I288" si="212">MID(H288,6,30)</f>
        <v>Living Annuity</v>
      </c>
      <c r="J288" s="6" t="str">
        <f t="shared" ref="J288" si="213">IF(LEFT(I288)="L","Compulsory, LA",IF(LEFT(I288)="R","Compulsory, RA",IF(LEFT(I288,2)="Pe","Compulsory, Pens","Voluntary")))</f>
        <v>Compulsory, LA</v>
      </c>
      <c r="K288" s="6" t="s">
        <v>15</v>
      </c>
      <c r="M288" t="str">
        <f t="shared" si="199"/>
        <v>a</v>
      </c>
      <c r="N288" t="str">
        <f t="shared" si="200"/>
        <v/>
      </c>
      <c r="O288" t="str">
        <f t="shared" si="201"/>
        <v/>
      </c>
    </row>
    <row r="289" spans="1:15" s="6" customFormat="1" x14ac:dyDescent="0.3">
      <c r="A289" s="6">
        <v>32490</v>
      </c>
      <c r="B289" s="6" t="s">
        <v>713</v>
      </c>
      <c r="C289" s="6">
        <v>126</v>
      </c>
      <c r="D289" s="6" t="s">
        <v>12</v>
      </c>
      <c r="E289" s="6" t="s">
        <v>131</v>
      </c>
      <c r="F289" s="31">
        <v>890837.87</v>
      </c>
      <c r="G289" s="22">
        <v>45804</v>
      </c>
      <c r="H289" s="24" t="s">
        <v>31</v>
      </c>
      <c r="I289" s="23" t="str">
        <f t="shared" ref="I289" si="214">MID(H289,6,30)</f>
        <v>Investment Account</v>
      </c>
      <c r="J289" s="6" t="str">
        <f t="shared" ref="J289" si="215">IF(LEFT(I289)="L","Compulsory, LA",IF(LEFT(I289)="R","Compulsory, RA",IF(LEFT(I289,2)="Pe","Compulsory, Pens","Voluntary")))</f>
        <v>Voluntary</v>
      </c>
      <c r="K289" s="6" t="s">
        <v>15</v>
      </c>
      <c r="M289" t="str">
        <f t="shared" si="199"/>
        <v>b</v>
      </c>
      <c r="N289" t="str">
        <f t="shared" si="200"/>
        <v/>
      </c>
      <c r="O289" t="str">
        <f t="shared" si="201"/>
        <v/>
      </c>
    </row>
    <row r="290" spans="1:15" x14ac:dyDescent="0.3">
      <c r="A290">
        <v>32490</v>
      </c>
      <c r="B290" t="s">
        <v>771</v>
      </c>
      <c r="C290">
        <v>126</v>
      </c>
      <c r="D290" t="s">
        <v>12</v>
      </c>
      <c r="E290" t="s">
        <v>131</v>
      </c>
      <c r="F290" s="25">
        <v>794074.76</v>
      </c>
      <c r="G290" s="3">
        <v>45804</v>
      </c>
      <c r="H290" t="s">
        <v>14</v>
      </c>
      <c r="I290" s="4" t="str">
        <f>MID(H290,6,30)</f>
        <v>Living Annuity</v>
      </c>
      <c r="J290" t="str">
        <f>IF(LEFT(I290)="L","Compulsory, LA",IF(LEFT(I290)="R","Compulsory, RA",IF(LEFT(I290,2)="Pe","Compulsory, Pens","Voluntary")))</f>
        <v>Compulsory, LA</v>
      </c>
      <c r="K290" t="s">
        <v>15</v>
      </c>
      <c r="M290" t="str">
        <f t="shared" si="199"/>
        <v>b</v>
      </c>
      <c r="N290" t="str">
        <f t="shared" si="200"/>
        <v/>
      </c>
      <c r="O290" t="str">
        <f t="shared" si="201"/>
        <v/>
      </c>
    </row>
    <row r="291" spans="1:15" x14ac:dyDescent="0.3">
      <c r="A291">
        <v>32490</v>
      </c>
      <c r="B291" t="s">
        <v>772</v>
      </c>
      <c r="C291">
        <v>126</v>
      </c>
      <c r="D291" t="s">
        <v>12</v>
      </c>
      <c r="E291" t="s">
        <v>131</v>
      </c>
      <c r="F291" s="25">
        <v>400731.15</v>
      </c>
      <c r="G291" s="3">
        <v>45804</v>
      </c>
      <c r="H291" t="s">
        <v>14</v>
      </c>
      <c r="I291" s="4" t="str">
        <f>MID(H291,6,30)</f>
        <v>Living Annuity</v>
      </c>
      <c r="J291" t="str">
        <f>IF(LEFT(I291)="L","Compulsory, LA",IF(LEFT(I291)="R","Compulsory, RA",IF(LEFT(I291,2)="Pe","Compulsory, Pens","Voluntary")))</f>
        <v>Compulsory, LA</v>
      </c>
      <c r="K291" t="s">
        <v>15</v>
      </c>
      <c r="M291" t="str">
        <f t="shared" si="199"/>
        <v>b</v>
      </c>
      <c r="N291" t="str">
        <f t="shared" si="200"/>
        <v/>
      </c>
      <c r="O291" t="str">
        <f t="shared" si="201"/>
        <v/>
      </c>
    </row>
    <row r="292" spans="1:15" x14ac:dyDescent="0.3">
      <c r="A292">
        <v>33672</v>
      </c>
      <c r="B292" t="s">
        <v>996</v>
      </c>
      <c r="C292">
        <v>87</v>
      </c>
      <c r="D292" t="s">
        <v>18</v>
      </c>
      <c r="E292" t="s">
        <v>131</v>
      </c>
      <c r="F292" s="25">
        <v>27108.45</v>
      </c>
      <c r="G292" s="3">
        <v>45804</v>
      </c>
      <c r="H292" t="s">
        <v>14</v>
      </c>
      <c r="I292" s="4" t="str">
        <f t="shared" si="197"/>
        <v>Living Annuity</v>
      </c>
      <c r="J292" t="str">
        <f t="shared" si="198"/>
        <v>Compulsory, LA</v>
      </c>
      <c r="K292" t="s">
        <v>15</v>
      </c>
      <c r="M292" t="str">
        <f t="shared" si="199"/>
        <v>b</v>
      </c>
      <c r="N292" t="str">
        <f t="shared" si="200"/>
        <v/>
      </c>
      <c r="O292" t="str">
        <f t="shared" si="201"/>
        <v/>
      </c>
    </row>
    <row r="293" spans="1:15" x14ac:dyDescent="0.3">
      <c r="A293">
        <v>34171</v>
      </c>
      <c r="B293" t="s">
        <v>997</v>
      </c>
      <c r="C293">
        <v>268</v>
      </c>
      <c r="D293" t="s">
        <v>928</v>
      </c>
      <c r="E293" t="s">
        <v>131</v>
      </c>
      <c r="F293" s="25">
        <v>291.66000000000003</v>
      </c>
      <c r="G293" s="3">
        <v>45804</v>
      </c>
      <c r="H293" t="s">
        <v>14</v>
      </c>
      <c r="I293" s="4" t="str">
        <f t="shared" si="197"/>
        <v>Living Annuity</v>
      </c>
      <c r="J293" t="str">
        <f t="shared" si="198"/>
        <v>Compulsory, LA</v>
      </c>
      <c r="K293" t="s">
        <v>15</v>
      </c>
      <c r="M293" t="str">
        <f t="shared" si="199"/>
        <v>b</v>
      </c>
      <c r="N293" t="str">
        <f t="shared" si="200"/>
        <v/>
      </c>
      <c r="O293" t="str">
        <f t="shared" si="201"/>
        <v/>
      </c>
    </row>
    <row r="294" spans="1:15" x14ac:dyDescent="0.3">
      <c r="A294">
        <v>34173</v>
      </c>
      <c r="B294" t="s">
        <v>998</v>
      </c>
      <c r="C294">
        <v>96</v>
      </c>
      <c r="D294" t="s">
        <v>22</v>
      </c>
      <c r="E294" t="s">
        <v>131</v>
      </c>
      <c r="F294" s="25">
        <v>188420.31</v>
      </c>
      <c r="G294" s="3">
        <v>45804</v>
      </c>
      <c r="H294" t="s">
        <v>14</v>
      </c>
      <c r="I294" s="4" t="str">
        <f t="shared" si="197"/>
        <v>Living Annuity</v>
      </c>
      <c r="J294" t="str">
        <f t="shared" si="198"/>
        <v>Compulsory, LA</v>
      </c>
      <c r="K294" t="s">
        <v>15</v>
      </c>
      <c r="M294" t="str">
        <f t="shared" si="199"/>
        <v>b</v>
      </c>
      <c r="N294" t="str">
        <f t="shared" si="200"/>
        <v/>
      </c>
      <c r="O294" t="str">
        <f t="shared" si="201"/>
        <v/>
      </c>
    </row>
    <row r="295" spans="1:15" x14ac:dyDescent="0.3">
      <c r="A295">
        <v>34199</v>
      </c>
      <c r="B295" t="s">
        <v>999</v>
      </c>
      <c r="C295">
        <v>240</v>
      </c>
      <c r="D295" t="s">
        <v>24</v>
      </c>
      <c r="E295" t="s">
        <v>131</v>
      </c>
      <c r="F295" s="25">
        <v>40281.919999999998</v>
      </c>
      <c r="G295" s="3">
        <v>45804</v>
      </c>
      <c r="H295" t="s">
        <v>14</v>
      </c>
      <c r="I295" s="4" t="str">
        <f t="shared" si="197"/>
        <v>Living Annuity</v>
      </c>
      <c r="J295" t="str">
        <f t="shared" si="198"/>
        <v>Compulsory, LA</v>
      </c>
      <c r="K295" t="s">
        <v>15</v>
      </c>
      <c r="M295" t="str">
        <f t="shared" si="199"/>
        <v>b</v>
      </c>
      <c r="N295" t="str">
        <f t="shared" si="200"/>
        <v/>
      </c>
      <c r="O295" t="str">
        <f t="shared" si="201"/>
        <v/>
      </c>
    </row>
    <row r="296" spans="1:15" x14ac:dyDescent="0.3">
      <c r="A296">
        <v>34200</v>
      </c>
      <c r="B296" t="s">
        <v>1148</v>
      </c>
      <c r="C296">
        <v>99</v>
      </c>
      <c r="D296" t="s">
        <v>25</v>
      </c>
      <c r="E296" t="s">
        <v>131</v>
      </c>
      <c r="F296" s="26">
        <v>384929.21</v>
      </c>
      <c r="G296" s="3">
        <v>45804</v>
      </c>
      <c r="H296" t="s">
        <v>1147</v>
      </c>
      <c r="I296" s="4" t="str">
        <f>MID(H296,6,30)</f>
        <v>Investment Account</v>
      </c>
      <c r="J296" t="str">
        <f>IF(LEFT(I296)="L","Compulsory, LA",IF(LEFT(I296)="R","Compulsory, RA",IF(LEFT(I296,2)="Pe","Compulsory, Pens","Voluntary")))</f>
        <v>Voluntary</v>
      </c>
      <c r="K296" t="s">
        <v>15</v>
      </c>
      <c r="M296" t="str">
        <f t="shared" si="199"/>
        <v>b</v>
      </c>
      <c r="N296" t="str">
        <f t="shared" si="200"/>
        <v/>
      </c>
      <c r="O296" t="str">
        <f t="shared" si="201"/>
        <v/>
      </c>
    </row>
    <row r="297" spans="1:15" x14ac:dyDescent="0.3">
      <c r="A297">
        <v>34200</v>
      </c>
      <c r="B297" t="s">
        <v>933</v>
      </c>
      <c r="C297">
        <v>99</v>
      </c>
      <c r="D297" t="s">
        <v>25</v>
      </c>
      <c r="E297" t="s">
        <v>131</v>
      </c>
      <c r="F297" s="26">
        <v>1561627.08</v>
      </c>
      <c r="G297" s="3">
        <v>45804</v>
      </c>
      <c r="H297" t="s">
        <v>26</v>
      </c>
      <c r="I297" s="4" t="str">
        <f>MID(H297,6,30)</f>
        <v>Retirement Annuity</v>
      </c>
      <c r="J297" t="str">
        <f>IF(LEFT(I297)="L","Compulsory, LA",IF(LEFT(I297)="R","Compulsory, RA",IF(LEFT(I297,2)="Pe","Compulsory, Pens","Voluntary")))</f>
        <v>Compulsory, RA</v>
      </c>
      <c r="K297" t="s">
        <v>15</v>
      </c>
      <c r="M297" t="str">
        <f t="shared" si="199"/>
        <v>d</v>
      </c>
      <c r="N297" t="str">
        <f t="shared" si="200"/>
        <v/>
      </c>
      <c r="O297" t="str">
        <f t="shared" si="201"/>
        <v/>
      </c>
    </row>
    <row r="298" spans="1:15" x14ac:dyDescent="0.3">
      <c r="A298">
        <v>34200</v>
      </c>
      <c r="B298" t="s">
        <v>934</v>
      </c>
      <c r="C298">
        <v>99</v>
      </c>
      <c r="D298" t="s">
        <v>25</v>
      </c>
      <c r="E298" t="s">
        <v>131</v>
      </c>
      <c r="F298" s="26">
        <v>127539.51999999999</v>
      </c>
      <c r="G298" s="3">
        <v>45804</v>
      </c>
      <c r="H298" t="s">
        <v>26</v>
      </c>
      <c r="I298" s="4" t="str">
        <f>MID(H298,6,30)</f>
        <v>Retirement Annuity</v>
      </c>
      <c r="J298" t="str">
        <f>IF(LEFT(I298)="L","Compulsory, LA",IF(LEFT(I298)="R","Compulsory, RA",IF(LEFT(I298,2)="Pe","Compulsory, Pens","Voluntary")))</f>
        <v>Compulsory, RA</v>
      </c>
      <c r="K298" t="s">
        <v>15</v>
      </c>
      <c r="M298" t="str">
        <f t="shared" si="199"/>
        <v>d</v>
      </c>
      <c r="N298" t="str">
        <f t="shared" si="200"/>
        <v/>
      </c>
      <c r="O298" t="str">
        <f t="shared" si="201"/>
        <v/>
      </c>
    </row>
    <row r="299" spans="1:15" x14ac:dyDescent="0.3">
      <c r="A299">
        <v>34200</v>
      </c>
      <c r="B299" t="s">
        <v>1178</v>
      </c>
      <c r="C299">
        <v>99</v>
      </c>
      <c r="D299" t="s">
        <v>25</v>
      </c>
      <c r="E299" t="s">
        <v>131</v>
      </c>
      <c r="F299" s="26">
        <v>104817.63000000002</v>
      </c>
      <c r="G299" s="3">
        <v>45804</v>
      </c>
      <c r="H299" t="s">
        <v>1175</v>
      </c>
      <c r="I299" s="4" t="str">
        <f>MID(H299,6,30)</f>
        <v>Retirement Annuity - Retiremen</v>
      </c>
      <c r="J299" t="str">
        <f>IF(LEFT(I299)="L","Compulsory, LA",IF(LEFT(I299)="R","Compulsory, RA",IF(LEFT(I299,2)="Pe","Compulsory, Pens","Voluntary")))</f>
        <v>Compulsory, RA</v>
      </c>
      <c r="K299" t="s">
        <v>15</v>
      </c>
      <c r="M299" t="str">
        <f t="shared" si="199"/>
        <v>d</v>
      </c>
      <c r="N299" t="str">
        <f t="shared" si="200"/>
        <v/>
      </c>
      <c r="O299" t="str">
        <f t="shared" si="201"/>
        <v/>
      </c>
    </row>
    <row r="300" spans="1:15" x14ac:dyDescent="0.3">
      <c r="A300">
        <v>34200</v>
      </c>
      <c r="B300" t="s">
        <v>1176</v>
      </c>
      <c r="C300">
        <v>99</v>
      </c>
      <c r="D300" t="s">
        <v>25</v>
      </c>
      <c r="E300" t="s">
        <v>131</v>
      </c>
      <c r="F300" s="26">
        <v>11523.330000000002</v>
      </c>
      <c r="G300" s="3">
        <v>45804</v>
      </c>
      <c r="H300" t="s">
        <v>1174</v>
      </c>
      <c r="I300" s="4" t="str">
        <f t="shared" ref="I300:I301" si="216">MID(H300,6,30)</f>
        <v>Retirement Annuity - Savings C</v>
      </c>
      <c r="J300" t="str">
        <f t="shared" ref="J300:J301" si="217">IF(LEFT(I300)="L","Compulsory, LA",IF(LEFT(I300)="R","Compulsory, RA",IF(LEFT(I300,2)="Pe","Compulsory, Pens","Voluntary")))</f>
        <v>Compulsory, RA</v>
      </c>
      <c r="K300" t="s">
        <v>15</v>
      </c>
      <c r="M300" t="str">
        <f t="shared" si="199"/>
        <v>d</v>
      </c>
      <c r="N300" t="str">
        <f t="shared" si="200"/>
        <v/>
      </c>
      <c r="O300" t="str">
        <f t="shared" si="201"/>
        <v/>
      </c>
    </row>
    <row r="301" spans="1:15" x14ac:dyDescent="0.3">
      <c r="A301">
        <v>34200</v>
      </c>
      <c r="B301" t="s">
        <v>1177</v>
      </c>
      <c r="C301">
        <v>99</v>
      </c>
      <c r="D301" t="s">
        <v>25</v>
      </c>
      <c r="E301" t="s">
        <v>131</v>
      </c>
      <c r="F301" s="26">
        <v>160453.26</v>
      </c>
      <c r="G301" s="3">
        <v>45804</v>
      </c>
      <c r="H301" t="s">
        <v>1174</v>
      </c>
      <c r="I301" s="4" t="str">
        <f t="shared" si="216"/>
        <v>Retirement Annuity - Savings C</v>
      </c>
      <c r="J301" t="str">
        <f t="shared" si="217"/>
        <v>Compulsory, RA</v>
      </c>
      <c r="K301" t="s">
        <v>15</v>
      </c>
      <c r="M301" t="str">
        <f t="shared" si="199"/>
        <v>d</v>
      </c>
      <c r="N301" t="str">
        <f t="shared" si="200"/>
        <v/>
      </c>
      <c r="O301" t="str">
        <f t="shared" si="201"/>
        <v/>
      </c>
    </row>
    <row r="302" spans="1:15" x14ac:dyDescent="0.3">
      <c r="A302">
        <v>34202</v>
      </c>
      <c r="B302" t="s">
        <v>807</v>
      </c>
      <c r="C302">
        <v>104</v>
      </c>
      <c r="D302" t="s">
        <v>797</v>
      </c>
      <c r="E302" t="s">
        <v>131</v>
      </c>
      <c r="F302" s="26">
        <v>128622.08999999998</v>
      </c>
      <c r="G302" s="3">
        <v>45804</v>
      </c>
      <c r="H302" t="s">
        <v>14</v>
      </c>
      <c r="I302" s="4" t="str">
        <f t="shared" si="197"/>
        <v>Living Annuity</v>
      </c>
      <c r="J302" t="str">
        <f t="shared" si="198"/>
        <v>Compulsory, LA</v>
      </c>
      <c r="K302" t="s">
        <v>15</v>
      </c>
      <c r="M302" t="str">
        <f t="shared" si="199"/>
        <v>b</v>
      </c>
      <c r="N302" t="str">
        <f t="shared" si="200"/>
        <v/>
      </c>
      <c r="O302" t="str">
        <f t="shared" si="201"/>
        <v/>
      </c>
    </row>
    <row r="303" spans="1:15" x14ac:dyDescent="0.3">
      <c r="A303">
        <v>34202</v>
      </c>
      <c r="B303" t="s">
        <v>806</v>
      </c>
      <c r="C303">
        <v>104</v>
      </c>
      <c r="D303" t="s">
        <v>797</v>
      </c>
      <c r="E303" t="s">
        <v>131</v>
      </c>
      <c r="F303" s="26">
        <v>4428.3</v>
      </c>
      <c r="G303" s="3">
        <v>45804</v>
      </c>
      <c r="H303" t="s">
        <v>14</v>
      </c>
      <c r="I303" s="4" t="str">
        <f>MID(H303,6,30)</f>
        <v>Living Annuity</v>
      </c>
      <c r="J303" t="str">
        <f>IF(LEFT(I303)="L","Compulsory, LA",IF(LEFT(I303)="R","Compulsory, RA",IF(LEFT(I303,2)="Pe","Compulsory, Pens","Voluntary")))</f>
        <v>Compulsory, LA</v>
      </c>
      <c r="K303" t="s">
        <v>15</v>
      </c>
      <c r="M303" t="str">
        <f t="shared" si="199"/>
        <v>b</v>
      </c>
      <c r="N303" t="str">
        <f t="shared" si="200"/>
        <v/>
      </c>
      <c r="O303" t="str">
        <f t="shared" si="201"/>
        <v/>
      </c>
    </row>
    <row r="304" spans="1:15" x14ac:dyDescent="0.3">
      <c r="A304">
        <v>34202</v>
      </c>
      <c r="B304" t="s">
        <v>806</v>
      </c>
      <c r="C304">
        <v>104</v>
      </c>
      <c r="D304" t="s">
        <v>797</v>
      </c>
      <c r="E304" t="s">
        <v>131</v>
      </c>
      <c r="F304" s="26">
        <v>16378.589999999998</v>
      </c>
      <c r="G304" s="3">
        <v>45804</v>
      </c>
      <c r="H304" t="s">
        <v>14</v>
      </c>
      <c r="I304" s="4" t="str">
        <f>MID(H304,6,30)</f>
        <v>Living Annuity</v>
      </c>
      <c r="J304" t="str">
        <f>IF(LEFT(I304)="L","Compulsory, LA",IF(LEFT(I304)="R","Compulsory, RA",IF(LEFT(I304,2)="Pe","Compulsory, Pens","Voluntary")))</f>
        <v>Compulsory, LA</v>
      </c>
      <c r="K304" t="s">
        <v>15</v>
      </c>
      <c r="M304" t="str">
        <f t="shared" si="199"/>
        <v>b</v>
      </c>
      <c r="N304" t="str">
        <f t="shared" si="200"/>
        <v/>
      </c>
      <c r="O304" t="str">
        <f t="shared" si="201"/>
        <v/>
      </c>
    </row>
    <row r="305" spans="1:15" s="13" customFormat="1" x14ac:dyDescent="0.3">
      <c r="A305" s="13">
        <v>34209</v>
      </c>
      <c r="B305" s="13" t="s">
        <v>775</v>
      </c>
      <c r="C305" s="13">
        <v>25</v>
      </c>
      <c r="D305" s="13" t="s">
        <v>28</v>
      </c>
      <c r="E305" s="13" t="s">
        <v>131</v>
      </c>
      <c r="F305" s="27">
        <v>71754.23</v>
      </c>
      <c r="G305" s="14">
        <v>45804</v>
      </c>
      <c r="H305" s="13" t="s">
        <v>31</v>
      </c>
      <c r="I305" s="15" t="str">
        <f t="shared" ref="I305" si="218">MID(H305,6,30)</f>
        <v>Investment Account</v>
      </c>
      <c r="J305" s="13" t="str">
        <f t="shared" ref="J305" si="219">IF(LEFT(I305)="L","Compulsory, LA",IF(LEFT(I305)="R","Compulsory, RA",IF(LEFT(I305,2)="Pe","Compulsory, Pens","Voluntary")))</f>
        <v>Voluntary</v>
      </c>
      <c r="K305" s="13" t="s">
        <v>15</v>
      </c>
      <c r="M305" t="str">
        <f t="shared" si="199"/>
        <v>b</v>
      </c>
      <c r="N305" t="str">
        <f t="shared" si="200"/>
        <v/>
      </c>
      <c r="O305" t="str">
        <f t="shared" si="201"/>
        <v/>
      </c>
    </row>
    <row r="306" spans="1:15" x14ac:dyDescent="0.3">
      <c r="A306">
        <v>34209</v>
      </c>
      <c r="B306" t="s">
        <v>774</v>
      </c>
      <c r="C306">
        <v>25</v>
      </c>
      <c r="D306" t="s">
        <v>28</v>
      </c>
      <c r="E306" t="s">
        <v>131</v>
      </c>
      <c r="F306" s="25">
        <v>110722.12</v>
      </c>
      <c r="G306" s="3">
        <v>45804</v>
      </c>
      <c r="H306" t="s">
        <v>14</v>
      </c>
      <c r="I306" s="4" t="str">
        <f t="shared" ref="I306" si="220">MID(H306,6,30)</f>
        <v>Living Annuity</v>
      </c>
      <c r="J306" t="str">
        <f t="shared" ref="J306" si="221">IF(LEFT(I306)="L","Compulsory, LA",IF(LEFT(I306)="R","Compulsory, RA",IF(LEFT(I306,2)="Pe","Compulsory, Pens","Voluntary")))</f>
        <v>Compulsory, LA</v>
      </c>
      <c r="K306" t="s">
        <v>15</v>
      </c>
      <c r="M306" t="str">
        <f t="shared" si="199"/>
        <v>b</v>
      </c>
      <c r="N306" t="str">
        <f t="shared" si="200"/>
        <v/>
      </c>
      <c r="O306" t="str">
        <f t="shared" si="201"/>
        <v/>
      </c>
    </row>
    <row r="307" spans="1:15" x14ac:dyDescent="0.3">
      <c r="A307">
        <v>34209</v>
      </c>
      <c r="B307" t="s">
        <v>773</v>
      </c>
      <c r="C307">
        <v>25</v>
      </c>
      <c r="D307" t="s">
        <v>28</v>
      </c>
      <c r="E307" t="s">
        <v>131</v>
      </c>
      <c r="F307" s="25">
        <v>140651.94</v>
      </c>
      <c r="G307" s="3">
        <v>45804</v>
      </c>
      <c r="H307" t="s">
        <v>14</v>
      </c>
      <c r="I307" s="4" t="str">
        <f>MID(H307,6,30)</f>
        <v>Living Annuity</v>
      </c>
      <c r="J307" t="str">
        <f>IF(LEFT(I307)="L","Compulsory, LA",IF(LEFT(I307)="R","Compulsory, RA",IF(LEFT(I307,2)="Pe","Compulsory, Pens","Voluntary")))</f>
        <v>Compulsory, LA</v>
      </c>
      <c r="K307" t="s">
        <v>15</v>
      </c>
      <c r="M307" t="str">
        <f t="shared" si="199"/>
        <v>b</v>
      </c>
      <c r="N307" t="str">
        <f t="shared" si="200"/>
        <v/>
      </c>
      <c r="O307" t="str">
        <f t="shared" si="201"/>
        <v/>
      </c>
    </row>
    <row r="308" spans="1:15" x14ac:dyDescent="0.3">
      <c r="A308">
        <v>34209</v>
      </c>
      <c r="B308" t="s">
        <v>935</v>
      </c>
      <c r="C308">
        <v>25</v>
      </c>
      <c r="D308" t="s">
        <v>28</v>
      </c>
      <c r="E308" t="s">
        <v>131</v>
      </c>
      <c r="F308" s="25">
        <v>23311.300000000003</v>
      </c>
      <c r="G308" s="3">
        <v>45804</v>
      </c>
      <c r="H308" t="s">
        <v>29</v>
      </c>
      <c r="I308" s="4" t="str">
        <f>MID(H308,6,30)</f>
        <v>Provident Preservation Fund</v>
      </c>
      <c r="J308" t="str">
        <f>IF(LEFT(I308)="L","Compulsory, LA",IF(LEFT(I308)="R","Compulsory, RA",IF(LEFT(I308,2)="Pe","Compulsory, Pens","Voluntary")))</f>
        <v>Voluntary</v>
      </c>
      <c r="K308" t="s">
        <v>15</v>
      </c>
      <c r="M308" t="str">
        <f t="shared" si="199"/>
        <v>d</v>
      </c>
      <c r="N308" t="str">
        <f t="shared" si="200"/>
        <v/>
      </c>
      <c r="O308" t="str">
        <f t="shared" si="201"/>
        <v/>
      </c>
    </row>
    <row r="309" spans="1:15" x14ac:dyDescent="0.3">
      <c r="A309">
        <v>34216</v>
      </c>
      <c r="B309" t="s">
        <v>776</v>
      </c>
      <c r="C309">
        <v>95</v>
      </c>
      <c r="D309" t="s">
        <v>30</v>
      </c>
      <c r="E309" t="s">
        <v>131</v>
      </c>
      <c r="F309" s="25">
        <v>231040.15000000002</v>
      </c>
      <c r="G309" s="3">
        <v>45804</v>
      </c>
      <c r="H309" t="s">
        <v>14</v>
      </c>
      <c r="I309" s="4" t="str">
        <f t="shared" si="195"/>
        <v>Living Annuity</v>
      </c>
      <c r="J309" t="str">
        <f t="shared" si="196"/>
        <v>Compulsory, LA</v>
      </c>
      <c r="K309" t="s">
        <v>15</v>
      </c>
      <c r="M309" t="str">
        <f t="shared" si="199"/>
        <v>b</v>
      </c>
      <c r="N309" t="str">
        <f t="shared" si="200"/>
        <v/>
      </c>
      <c r="O309" t="str">
        <f t="shared" si="201"/>
        <v/>
      </c>
    </row>
    <row r="310" spans="1:15" x14ac:dyDescent="0.3">
      <c r="A310">
        <v>34337</v>
      </c>
      <c r="B310" t="s">
        <v>719</v>
      </c>
      <c r="C310">
        <v>243</v>
      </c>
      <c r="D310" t="s">
        <v>717</v>
      </c>
      <c r="E310" t="s">
        <v>131</v>
      </c>
      <c r="F310" s="25">
        <v>17327.080000000002</v>
      </c>
      <c r="G310" s="3">
        <v>45804</v>
      </c>
      <c r="H310" t="s">
        <v>31</v>
      </c>
      <c r="I310" s="4" t="str">
        <f t="shared" si="195"/>
        <v>Investment Account</v>
      </c>
      <c r="J310" t="str">
        <f t="shared" si="196"/>
        <v>Voluntary</v>
      </c>
      <c r="K310" t="s">
        <v>15</v>
      </c>
      <c r="M310" t="str">
        <f t="shared" si="199"/>
        <v>b</v>
      </c>
      <c r="N310" t="str">
        <f t="shared" si="200"/>
        <v/>
      </c>
      <c r="O310" t="str">
        <f t="shared" si="201"/>
        <v/>
      </c>
    </row>
    <row r="311" spans="1:15" x14ac:dyDescent="0.3">
      <c r="A311">
        <v>34337</v>
      </c>
      <c r="B311" t="s">
        <v>724</v>
      </c>
      <c r="C311">
        <v>243</v>
      </c>
      <c r="D311" t="s">
        <v>717</v>
      </c>
      <c r="E311" t="s">
        <v>131</v>
      </c>
      <c r="F311" s="25">
        <v>92743.44</v>
      </c>
      <c r="G311" s="3">
        <v>45804</v>
      </c>
      <c r="H311" t="s">
        <v>14</v>
      </c>
      <c r="I311" s="4" t="str">
        <f t="shared" ref="I311" si="222">MID(H311,6,30)</f>
        <v>Living Annuity</v>
      </c>
      <c r="J311" t="str">
        <f t="shared" ref="J311" si="223">IF(LEFT(I311)="L","Compulsory, LA",IF(LEFT(I311)="R","Compulsory, RA",IF(LEFT(I311,2)="Pe","Compulsory, Pens","Voluntary")))</f>
        <v>Compulsory, LA</v>
      </c>
      <c r="K311" t="s">
        <v>15</v>
      </c>
      <c r="M311" t="str">
        <f t="shared" si="199"/>
        <v>b</v>
      </c>
      <c r="N311" t="str">
        <f t="shared" si="200"/>
        <v/>
      </c>
      <c r="O311" t="str">
        <f t="shared" si="201"/>
        <v/>
      </c>
    </row>
    <row r="312" spans="1:15" s="13" customFormat="1" x14ac:dyDescent="0.3">
      <c r="A312" s="13">
        <v>34395</v>
      </c>
      <c r="B312" s="13" t="s">
        <v>777</v>
      </c>
      <c r="C312" s="13">
        <v>168</v>
      </c>
      <c r="D312" s="13" t="s">
        <v>111</v>
      </c>
      <c r="E312" s="13" t="s">
        <v>131</v>
      </c>
      <c r="F312" s="28">
        <v>1958.3600000000001</v>
      </c>
      <c r="G312" s="14">
        <v>45804</v>
      </c>
      <c r="H312" s="13" t="s">
        <v>31</v>
      </c>
      <c r="I312" s="15" t="str">
        <f t="shared" ref="I312:I384" si="224">MID(H312,6,30)</f>
        <v>Investment Account</v>
      </c>
      <c r="J312" s="13" t="str">
        <f t="shared" ref="J312:J384" si="225">IF(LEFT(I312)="L","Compulsory, LA",IF(LEFT(I312)="R","Compulsory, RA",IF(LEFT(I312,2)="Pe","Compulsory, Pens","Voluntary")))</f>
        <v>Voluntary</v>
      </c>
      <c r="K312" s="13" t="s">
        <v>15</v>
      </c>
      <c r="M312" t="str">
        <f t="shared" si="199"/>
        <v>b</v>
      </c>
      <c r="N312" t="str">
        <f t="shared" si="200"/>
        <v/>
      </c>
      <c r="O312" t="str">
        <f t="shared" si="201"/>
        <v/>
      </c>
    </row>
    <row r="313" spans="1:15" x14ac:dyDescent="0.3">
      <c r="A313">
        <v>34395</v>
      </c>
      <c r="B313" t="s">
        <v>1000</v>
      </c>
      <c r="C313">
        <v>168</v>
      </c>
      <c r="D313" t="s">
        <v>111</v>
      </c>
      <c r="E313" t="s">
        <v>131</v>
      </c>
      <c r="F313" s="26">
        <v>31895.170000000002</v>
      </c>
      <c r="G313" s="3">
        <v>45804</v>
      </c>
      <c r="H313" t="s">
        <v>14</v>
      </c>
      <c r="I313" s="4" t="str">
        <f t="shared" ref="I313" si="226">MID(H313,6,30)</f>
        <v>Living Annuity</v>
      </c>
      <c r="J313" t="str">
        <f t="shared" ref="J313" si="227">IF(LEFT(I313)="L","Compulsory, LA",IF(LEFT(I313)="R","Compulsory, RA",IF(LEFT(I313,2)="Pe","Compulsory, Pens","Voluntary")))</f>
        <v>Compulsory, LA</v>
      </c>
      <c r="K313" t="s">
        <v>15</v>
      </c>
      <c r="M313" t="str">
        <f t="shared" si="199"/>
        <v>b</v>
      </c>
      <c r="N313" t="str">
        <f t="shared" si="200"/>
        <v/>
      </c>
      <c r="O313" t="str">
        <f t="shared" si="201"/>
        <v/>
      </c>
    </row>
    <row r="314" spans="1:15" x14ac:dyDescent="0.3">
      <c r="A314">
        <v>34395</v>
      </c>
      <c r="B314" t="s">
        <v>901</v>
      </c>
      <c r="C314">
        <v>168</v>
      </c>
      <c r="D314" t="s">
        <v>111</v>
      </c>
      <c r="E314" t="s">
        <v>131</v>
      </c>
      <c r="F314" s="26">
        <v>7124.92</v>
      </c>
      <c r="G314" s="3">
        <v>45804</v>
      </c>
      <c r="H314" t="s">
        <v>14</v>
      </c>
      <c r="I314" s="4" t="str">
        <f>MID(H314,6,30)</f>
        <v>Living Annuity</v>
      </c>
      <c r="J314" t="str">
        <f>IF(LEFT(I314)="L","Compulsory, LA",IF(LEFT(I314)="R","Compulsory, RA",IF(LEFT(I314,2)="Pe","Compulsory, Pens","Voluntary")))</f>
        <v>Compulsory, LA</v>
      </c>
      <c r="K314" t="s">
        <v>15</v>
      </c>
      <c r="M314" t="str">
        <f t="shared" si="199"/>
        <v>b</v>
      </c>
      <c r="N314" t="str">
        <f t="shared" si="200"/>
        <v/>
      </c>
      <c r="O314" t="str">
        <f t="shared" si="201"/>
        <v/>
      </c>
    </row>
    <row r="315" spans="1:15" x14ac:dyDescent="0.3">
      <c r="A315">
        <v>34395</v>
      </c>
      <c r="B315" t="s">
        <v>778</v>
      </c>
      <c r="C315">
        <v>168</v>
      </c>
      <c r="D315" t="s">
        <v>111</v>
      </c>
      <c r="E315" t="s">
        <v>131</v>
      </c>
      <c r="F315" s="26">
        <v>12152.68</v>
      </c>
      <c r="G315" s="3">
        <v>45804</v>
      </c>
      <c r="H315" t="s">
        <v>14</v>
      </c>
      <c r="I315" s="4" t="str">
        <f>MID(H315,6,30)</f>
        <v>Living Annuity</v>
      </c>
      <c r="J315" t="str">
        <f>IF(LEFT(I315)="L","Compulsory, LA",IF(LEFT(I315)="R","Compulsory, RA",IF(LEFT(I315,2)="Pe","Compulsory, Pens","Voluntary")))</f>
        <v>Compulsory, LA</v>
      </c>
      <c r="K315" t="s">
        <v>15</v>
      </c>
      <c r="M315" t="str">
        <f t="shared" si="199"/>
        <v>b</v>
      </c>
      <c r="N315" t="str">
        <f t="shared" si="200"/>
        <v/>
      </c>
      <c r="O315" t="str">
        <f t="shared" si="201"/>
        <v/>
      </c>
    </row>
    <row r="316" spans="1:15" x14ac:dyDescent="0.3">
      <c r="A316">
        <v>36048</v>
      </c>
      <c r="B316" t="s">
        <v>1001</v>
      </c>
      <c r="C316">
        <v>34</v>
      </c>
      <c r="D316" t="s">
        <v>937</v>
      </c>
      <c r="E316" t="s">
        <v>131</v>
      </c>
      <c r="F316" s="26">
        <v>299.48</v>
      </c>
      <c r="G316" s="3">
        <v>45804</v>
      </c>
      <c r="H316" t="s">
        <v>14</v>
      </c>
      <c r="I316" s="4" t="str">
        <f t="shared" ref="I316:I331" si="228">MID(H316,6,30)</f>
        <v>Living Annuity</v>
      </c>
      <c r="J316" t="str">
        <f t="shared" ref="J316:J331" si="229">IF(LEFT(I316)="L","Compulsory, LA",IF(LEFT(I316)="R","Compulsory, RA",IF(LEFT(I316,2)="Pe","Compulsory, Pens","Voluntary")))</f>
        <v>Compulsory, LA</v>
      </c>
      <c r="K316" t="s">
        <v>15</v>
      </c>
      <c r="M316" t="str">
        <f t="shared" si="199"/>
        <v>b</v>
      </c>
      <c r="N316" t="str">
        <f t="shared" si="200"/>
        <v/>
      </c>
      <c r="O316" t="str">
        <f t="shared" si="201"/>
        <v/>
      </c>
    </row>
    <row r="317" spans="1:15" x14ac:dyDescent="0.3">
      <c r="A317">
        <v>36048</v>
      </c>
      <c r="B317" t="s">
        <v>1002</v>
      </c>
      <c r="C317">
        <v>34</v>
      </c>
      <c r="D317" t="s">
        <v>937</v>
      </c>
      <c r="E317" t="s">
        <v>131</v>
      </c>
      <c r="F317" s="26">
        <v>9692.57</v>
      </c>
      <c r="G317" s="3">
        <v>45804</v>
      </c>
      <c r="H317" t="s">
        <v>14</v>
      </c>
      <c r="I317" s="4" t="str">
        <f t="shared" si="228"/>
        <v>Living Annuity</v>
      </c>
      <c r="J317" t="str">
        <f t="shared" si="229"/>
        <v>Compulsory, LA</v>
      </c>
      <c r="K317" t="s">
        <v>15</v>
      </c>
      <c r="M317" t="str">
        <f t="shared" si="199"/>
        <v>b</v>
      </c>
      <c r="N317" t="str">
        <f t="shared" si="200"/>
        <v/>
      </c>
      <c r="O317" t="str">
        <f t="shared" si="201"/>
        <v/>
      </c>
    </row>
    <row r="318" spans="1:15" x14ac:dyDescent="0.3">
      <c r="A318">
        <v>36059</v>
      </c>
      <c r="B318" t="s">
        <v>1003</v>
      </c>
      <c r="C318">
        <v>4</v>
      </c>
      <c r="D318" t="s">
        <v>35</v>
      </c>
      <c r="E318" t="s">
        <v>131</v>
      </c>
      <c r="F318" s="26">
        <v>69757.2</v>
      </c>
      <c r="G318" s="3">
        <v>45804</v>
      </c>
      <c r="H318" t="s">
        <v>14</v>
      </c>
      <c r="I318" s="4" t="str">
        <f t="shared" si="228"/>
        <v>Living Annuity</v>
      </c>
      <c r="J318" t="str">
        <f t="shared" si="229"/>
        <v>Compulsory, LA</v>
      </c>
      <c r="K318" t="s">
        <v>15</v>
      </c>
      <c r="M318" t="str">
        <f t="shared" si="199"/>
        <v>b</v>
      </c>
      <c r="N318" t="str">
        <f t="shared" si="200"/>
        <v/>
      </c>
      <c r="O318" t="str">
        <f t="shared" si="201"/>
        <v/>
      </c>
    </row>
    <row r="319" spans="1:15" x14ac:dyDescent="0.3">
      <c r="A319">
        <v>36059</v>
      </c>
      <c r="B319" t="s">
        <v>1004</v>
      </c>
      <c r="C319">
        <v>4</v>
      </c>
      <c r="D319" t="s">
        <v>35</v>
      </c>
      <c r="E319" t="s">
        <v>131</v>
      </c>
      <c r="F319" s="26">
        <v>10977.609999999999</v>
      </c>
      <c r="G319" s="3">
        <v>45804</v>
      </c>
      <c r="H319" t="s">
        <v>14</v>
      </c>
      <c r="I319" s="4" t="str">
        <f t="shared" si="228"/>
        <v>Living Annuity</v>
      </c>
      <c r="J319" t="str">
        <f t="shared" si="229"/>
        <v>Compulsory, LA</v>
      </c>
      <c r="K319" t="s">
        <v>15</v>
      </c>
      <c r="M319" t="str">
        <f t="shared" si="199"/>
        <v>b</v>
      </c>
      <c r="N319" t="str">
        <f t="shared" si="200"/>
        <v/>
      </c>
      <c r="O319" t="str">
        <f t="shared" si="201"/>
        <v/>
      </c>
    </row>
    <row r="320" spans="1:15" x14ac:dyDescent="0.3">
      <c r="A320">
        <v>36060</v>
      </c>
      <c r="B320" t="s">
        <v>1005</v>
      </c>
      <c r="C320">
        <v>2</v>
      </c>
      <c r="D320" t="s">
        <v>38</v>
      </c>
      <c r="E320" t="s">
        <v>131</v>
      </c>
      <c r="F320" s="26">
        <v>75334.03</v>
      </c>
      <c r="G320" s="3">
        <v>45804</v>
      </c>
      <c r="H320" t="s">
        <v>14</v>
      </c>
      <c r="I320" s="4" t="str">
        <f t="shared" si="228"/>
        <v>Living Annuity</v>
      </c>
      <c r="J320" t="str">
        <f t="shared" si="229"/>
        <v>Compulsory, LA</v>
      </c>
      <c r="K320" t="s">
        <v>15</v>
      </c>
      <c r="M320" t="str">
        <f t="shared" si="199"/>
        <v>b</v>
      </c>
      <c r="N320" t="str">
        <f t="shared" si="200"/>
        <v/>
      </c>
      <c r="O320" t="str">
        <f t="shared" si="201"/>
        <v/>
      </c>
    </row>
    <row r="321" spans="1:15" x14ac:dyDescent="0.3">
      <c r="A321">
        <v>36060</v>
      </c>
      <c r="B321" t="s">
        <v>1006</v>
      </c>
      <c r="C321">
        <v>2</v>
      </c>
      <c r="D321" t="s">
        <v>38</v>
      </c>
      <c r="E321" t="s">
        <v>131</v>
      </c>
      <c r="F321" s="26">
        <v>56631.47</v>
      </c>
      <c r="G321" s="3">
        <v>45804</v>
      </c>
      <c r="H321" t="s">
        <v>14</v>
      </c>
      <c r="I321" s="4" t="str">
        <f t="shared" si="228"/>
        <v>Living Annuity</v>
      </c>
      <c r="J321" t="str">
        <f t="shared" si="229"/>
        <v>Compulsory, LA</v>
      </c>
      <c r="K321" t="s">
        <v>15</v>
      </c>
      <c r="M321" t="str">
        <f t="shared" si="199"/>
        <v>b</v>
      </c>
      <c r="N321" t="str">
        <f t="shared" si="200"/>
        <v/>
      </c>
      <c r="O321" t="str">
        <f t="shared" si="201"/>
        <v/>
      </c>
    </row>
    <row r="322" spans="1:15" x14ac:dyDescent="0.3">
      <c r="A322">
        <v>36062</v>
      </c>
      <c r="B322" t="s">
        <v>945</v>
      </c>
      <c r="C322">
        <v>224</v>
      </c>
      <c r="D322" t="s">
        <v>938</v>
      </c>
      <c r="E322" t="s">
        <v>131</v>
      </c>
      <c r="F322" s="26">
        <v>206719.37</v>
      </c>
      <c r="G322" s="3">
        <v>45804</v>
      </c>
      <c r="H322" t="s">
        <v>26</v>
      </c>
      <c r="I322" s="4" t="str">
        <f t="shared" si="228"/>
        <v>Retirement Annuity</v>
      </c>
      <c r="J322" t="str">
        <f t="shared" si="229"/>
        <v>Compulsory, RA</v>
      </c>
      <c r="K322" t="s">
        <v>15</v>
      </c>
      <c r="M322" t="str">
        <f t="shared" ref="M322:M382" si="230">RIGHT(B322,1)</f>
        <v>d</v>
      </c>
      <c r="N322" t="str">
        <f t="shared" ref="N322:N382" si="231">IF(M322="f","FFFF","")</f>
        <v/>
      </c>
      <c r="O322" t="str">
        <f t="shared" ref="O322:O382" si="232">IF(M322="I","IIII","")</f>
        <v/>
      </c>
    </row>
    <row r="323" spans="1:15" x14ac:dyDescent="0.3">
      <c r="A323">
        <v>36062</v>
      </c>
      <c r="B323" t="s">
        <v>1179</v>
      </c>
      <c r="C323">
        <v>224</v>
      </c>
      <c r="D323" t="s">
        <v>938</v>
      </c>
      <c r="E323" t="s">
        <v>131</v>
      </c>
      <c r="F323" s="26">
        <v>153343.24</v>
      </c>
      <c r="G323" s="3">
        <v>45804</v>
      </c>
      <c r="H323" t="s">
        <v>1174</v>
      </c>
      <c r="I323" s="4" t="str">
        <f t="shared" si="228"/>
        <v>Retirement Annuity - Savings C</v>
      </c>
      <c r="J323" t="str">
        <f t="shared" si="229"/>
        <v>Compulsory, RA</v>
      </c>
      <c r="K323" t="s">
        <v>15</v>
      </c>
      <c r="M323" t="str">
        <f t="shared" si="230"/>
        <v>d</v>
      </c>
      <c r="N323" t="str">
        <f t="shared" si="231"/>
        <v/>
      </c>
      <c r="O323" t="str">
        <f t="shared" si="232"/>
        <v/>
      </c>
    </row>
    <row r="324" spans="1:15" x14ac:dyDescent="0.3">
      <c r="A324">
        <v>36062</v>
      </c>
      <c r="B324" t="s">
        <v>1139</v>
      </c>
      <c r="C324">
        <v>224</v>
      </c>
      <c r="D324" t="s">
        <v>938</v>
      </c>
      <c r="E324" t="s">
        <v>131</v>
      </c>
      <c r="F324" s="26">
        <v>19898.52</v>
      </c>
      <c r="G324" s="3">
        <v>45804</v>
      </c>
      <c r="H324" t="s">
        <v>31</v>
      </c>
      <c r="I324" s="4" t="str">
        <f t="shared" ref="I324" si="233">MID(H324,6,30)</f>
        <v>Investment Account</v>
      </c>
      <c r="J324" t="str">
        <f t="shared" ref="J324" si="234">IF(LEFT(I324)="L","Compulsory, LA",IF(LEFT(I324)="R","Compulsory, RA",IF(LEFT(I324,2)="Pe","Compulsory, Pens","Voluntary")))</f>
        <v>Voluntary</v>
      </c>
      <c r="K324" t="s">
        <v>15</v>
      </c>
      <c r="M324" t="str">
        <f t="shared" si="230"/>
        <v>b</v>
      </c>
      <c r="N324" t="str">
        <f t="shared" si="231"/>
        <v/>
      </c>
      <c r="O324" t="str">
        <f t="shared" si="232"/>
        <v/>
      </c>
    </row>
    <row r="325" spans="1:15" x14ac:dyDescent="0.3">
      <c r="A325">
        <v>36355</v>
      </c>
      <c r="B325" t="s">
        <v>1007</v>
      </c>
      <c r="C325">
        <v>53</v>
      </c>
      <c r="D325" t="s">
        <v>42</v>
      </c>
      <c r="E325" t="s">
        <v>131</v>
      </c>
      <c r="F325" s="26">
        <v>83819.19</v>
      </c>
      <c r="G325" s="3">
        <v>45804</v>
      </c>
      <c r="H325" t="s">
        <v>14</v>
      </c>
      <c r="I325" s="4" t="str">
        <f t="shared" si="228"/>
        <v>Living Annuity</v>
      </c>
      <c r="J325" t="str">
        <f t="shared" si="229"/>
        <v>Compulsory, LA</v>
      </c>
      <c r="K325" t="s">
        <v>15</v>
      </c>
      <c r="M325" t="str">
        <f t="shared" si="230"/>
        <v>b</v>
      </c>
      <c r="N325" t="str">
        <f t="shared" si="231"/>
        <v/>
      </c>
      <c r="O325" t="str">
        <f t="shared" si="232"/>
        <v/>
      </c>
    </row>
    <row r="326" spans="1:15" x14ac:dyDescent="0.3">
      <c r="A326">
        <v>37040</v>
      </c>
      <c r="B326" t="s">
        <v>1008</v>
      </c>
      <c r="C326">
        <v>263</v>
      </c>
      <c r="D326" t="s">
        <v>44</v>
      </c>
      <c r="E326" t="s">
        <v>131</v>
      </c>
      <c r="F326" s="26">
        <v>2095.39</v>
      </c>
      <c r="G326" s="3">
        <v>45804</v>
      </c>
      <c r="H326" t="s">
        <v>14</v>
      </c>
      <c r="I326" s="4" t="str">
        <f t="shared" si="228"/>
        <v>Living Annuity</v>
      </c>
      <c r="J326" t="str">
        <f t="shared" si="229"/>
        <v>Compulsory, LA</v>
      </c>
      <c r="K326" t="s">
        <v>15</v>
      </c>
      <c r="M326" t="str">
        <f t="shared" si="230"/>
        <v>b</v>
      </c>
      <c r="N326" t="str">
        <f t="shared" si="231"/>
        <v/>
      </c>
      <c r="O326" t="str">
        <f t="shared" si="232"/>
        <v/>
      </c>
    </row>
    <row r="327" spans="1:15" x14ac:dyDescent="0.3">
      <c r="A327">
        <v>37041</v>
      </c>
      <c r="B327" t="s">
        <v>1009</v>
      </c>
      <c r="C327">
        <v>84</v>
      </c>
      <c r="D327" t="s">
        <v>46</v>
      </c>
      <c r="E327" t="s">
        <v>131</v>
      </c>
      <c r="F327" s="26">
        <v>13257.91</v>
      </c>
      <c r="G327" s="3">
        <v>45804</v>
      </c>
      <c r="H327" t="s">
        <v>14</v>
      </c>
      <c r="I327" s="4" t="str">
        <f t="shared" si="228"/>
        <v>Living Annuity</v>
      </c>
      <c r="J327" t="str">
        <f t="shared" si="229"/>
        <v>Compulsory, LA</v>
      </c>
      <c r="K327" t="s">
        <v>15</v>
      </c>
      <c r="M327" t="str">
        <f t="shared" si="230"/>
        <v>b</v>
      </c>
      <c r="N327" t="str">
        <f t="shared" si="231"/>
        <v/>
      </c>
      <c r="O327" t="str">
        <f t="shared" si="232"/>
        <v/>
      </c>
    </row>
    <row r="328" spans="1:15" x14ac:dyDescent="0.3">
      <c r="A328">
        <v>38586</v>
      </c>
      <c r="B328" t="s">
        <v>1010</v>
      </c>
      <c r="C328">
        <v>181</v>
      </c>
      <c r="D328" t="s">
        <v>48</v>
      </c>
      <c r="E328" t="s">
        <v>131</v>
      </c>
      <c r="F328" s="26">
        <v>5132.09</v>
      </c>
      <c r="G328" s="3">
        <v>45804</v>
      </c>
      <c r="H328" t="s">
        <v>14</v>
      </c>
      <c r="I328" s="4" t="str">
        <f t="shared" si="228"/>
        <v>Living Annuity</v>
      </c>
      <c r="J328" t="str">
        <f t="shared" si="229"/>
        <v>Compulsory, LA</v>
      </c>
      <c r="K328" t="s">
        <v>15</v>
      </c>
      <c r="M328" t="str">
        <f t="shared" si="230"/>
        <v>b</v>
      </c>
      <c r="N328" t="str">
        <f t="shared" si="231"/>
        <v/>
      </c>
      <c r="O328" t="str">
        <f t="shared" si="232"/>
        <v/>
      </c>
    </row>
    <row r="329" spans="1:15" x14ac:dyDescent="0.3">
      <c r="A329">
        <v>38842</v>
      </c>
      <c r="B329" t="s">
        <v>1097</v>
      </c>
      <c r="C329">
        <v>79</v>
      </c>
      <c r="D329" t="s">
        <v>50</v>
      </c>
      <c r="E329" t="s">
        <v>131</v>
      </c>
      <c r="F329" s="25">
        <v>26995.78</v>
      </c>
      <c r="G329" s="3">
        <v>45804</v>
      </c>
      <c r="H329" t="s">
        <v>14</v>
      </c>
      <c r="I329" s="4" t="str">
        <f>MID(H329,6,30)</f>
        <v>Living Annuity</v>
      </c>
      <c r="J329" t="str">
        <f>IF(LEFT(I329)="L","Compulsory, LA",IF(LEFT(I329)="R","Compulsory, RA",IF(LEFT(I329,2)="Pe","Compulsory, Pens","Voluntary")))</f>
        <v>Compulsory, LA</v>
      </c>
      <c r="K329" t="s">
        <v>15</v>
      </c>
      <c r="M329" t="str">
        <f t="shared" si="230"/>
        <v>b</v>
      </c>
      <c r="N329" t="str">
        <f t="shared" si="231"/>
        <v/>
      </c>
      <c r="O329" t="str">
        <f t="shared" si="232"/>
        <v/>
      </c>
    </row>
    <row r="330" spans="1:15" x14ac:dyDescent="0.3">
      <c r="A330">
        <v>38851</v>
      </c>
      <c r="B330" t="s">
        <v>1011</v>
      </c>
      <c r="C330">
        <v>172</v>
      </c>
      <c r="D330" t="s">
        <v>52</v>
      </c>
      <c r="E330" t="s">
        <v>131</v>
      </c>
      <c r="F330" s="26">
        <v>2595.88</v>
      </c>
      <c r="G330" s="3">
        <v>45804</v>
      </c>
      <c r="H330" t="s">
        <v>14</v>
      </c>
      <c r="I330" s="4" t="str">
        <f t="shared" si="228"/>
        <v>Living Annuity</v>
      </c>
      <c r="J330" t="str">
        <f t="shared" si="229"/>
        <v>Compulsory, LA</v>
      </c>
      <c r="K330" t="s">
        <v>15</v>
      </c>
      <c r="M330" t="str">
        <f t="shared" si="230"/>
        <v>b</v>
      </c>
      <c r="N330" t="str">
        <f t="shared" si="231"/>
        <v/>
      </c>
      <c r="O330" t="str">
        <f t="shared" si="232"/>
        <v/>
      </c>
    </row>
    <row r="331" spans="1:15" x14ac:dyDescent="0.3">
      <c r="A331">
        <v>38887</v>
      </c>
      <c r="B331" t="s">
        <v>1012</v>
      </c>
      <c r="C331">
        <v>29</v>
      </c>
      <c r="D331" t="s">
        <v>54</v>
      </c>
      <c r="E331" t="s">
        <v>131</v>
      </c>
      <c r="F331" s="26">
        <v>13750.74</v>
      </c>
      <c r="G331" s="3">
        <v>45804</v>
      </c>
      <c r="H331" t="s">
        <v>14</v>
      </c>
      <c r="I331" s="4" t="str">
        <f t="shared" si="228"/>
        <v>Living Annuity</v>
      </c>
      <c r="J331" t="str">
        <f t="shared" si="229"/>
        <v>Compulsory, LA</v>
      </c>
      <c r="K331" t="s">
        <v>15</v>
      </c>
      <c r="M331" t="str">
        <f t="shared" si="230"/>
        <v>b</v>
      </c>
      <c r="N331" t="str">
        <f t="shared" si="231"/>
        <v/>
      </c>
      <c r="O331" t="str">
        <f t="shared" si="232"/>
        <v/>
      </c>
    </row>
    <row r="332" spans="1:15" x14ac:dyDescent="0.3">
      <c r="A332">
        <v>41695</v>
      </c>
      <c r="B332" t="s">
        <v>818</v>
      </c>
      <c r="C332">
        <v>278</v>
      </c>
      <c r="D332" t="s">
        <v>56</v>
      </c>
      <c r="E332" t="s">
        <v>131</v>
      </c>
      <c r="F332" s="25">
        <v>422463.94</v>
      </c>
      <c r="G332" s="3">
        <v>45804</v>
      </c>
      <c r="H332" t="s">
        <v>26</v>
      </c>
      <c r="I332" s="4" t="str">
        <f t="shared" ref="I332:I367" si="235">MID(H332,6,30)</f>
        <v>Retirement Annuity</v>
      </c>
      <c r="J332" t="str">
        <f t="shared" ref="J332:J367" si="236">IF(LEFT(I332)="L","Compulsory, LA",IF(LEFT(I332)="R","Compulsory, RA",IF(LEFT(I332,2)="Pe","Compulsory, Pens","Voluntary")))</f>
        <v>Compulsory, RA</v>
      </c>
      <c r="K332" t="s">
        <v>15</v>
      </c>
      <c r="M332" t="str">
        <f t="shared" si="230"/>
        <v>d</v>
      </c>
      <c r="N332" t="str">
        <f t="shared" si="231"/>
        <v/>
      </c>
      <c r="O332" t="str">
        <f t="shared" si="232"/>
        <v/>
      </c>
    </row>
    <row r="333" spans="1:15" x14ac:dyDescent="0.3">
      <c r="A333">
        <v>41695</v>
      </c>
      <c r="B333" t="s">
        <v>1180</v>
      </c>
      <c r="C333">
        <v>278</v>
      </c>
      <c r="D333" t="s">
        <v>56</v>
      </c>
      <c r="E333" t="s">
        <v>131</v>
      </c>
      <c r="F333" s="25">
        <v>155076.90999999997</v>
      </c>
      <c r="G333" s="3">
        <v>45804</v>
      </c>
      <c r="H333" t="s">
        <v>1174</v>
      </c>
      <c r="I333" s="4" t="str">
        <f t="shared" si="235"/>
        <v>Retirement Annuity - Savings C</v>
      </c>
      <c r="J333" t="str">
        <f t="shared" si="236"/>
        <v>Compulsory, RA</v>
      </c>
      <c r="K333" t="s">
        <v>15</v>
      </c>
      <c r="M333" t="str">
        <f t="shared" si="230"/>
        <v>d</v>
      </c>
      <c r="N333" t="str">
        <f t="shared" si="231"/>
        <v/>
      </c>
      <c r="O333" t="str">
        <f t="shared" si="232"/>
        <v/>
      </c>
    </row>
    <row r="334" spans="1:15" x14ac:dyDescent="0.3">
      <c r="A334">
        <v>41695</v>
      </c>
      <c r="B334" t="s">
        <v>779</v>
      </c>
      <c r="C334">
        <v>278</v>
      </c>
      <c r="D334" t="s">
        <v>56</v>
      </c>
      <c r="E334" t="s">
        <v>131</v>
      </c>
      <c r="F334" s="26">
        <v>8932.64</v>
      </c>
      <c r="G334" s="3">
        <v>45804</v>
      </c>
      <c r="H334" t="s">
        <v>31</v>
      </c>
      <c r="I334" s="4" t="str">
        <f t="shared" si="235"/>
        <v>Investment Account</v>
      </c>
      <c r="J334" t="str">
        <f t="shared" si="236"/>
        <v>Voluntary</v>
      </c>
      <c r="K334" t="s">
        <v>15</v>
      </c>
      <c r="M334" t="str">
        <f t="shared" si="230"/>
        <v>b</v>
      </c>
      <c r="N334" t="str">
        <f t="shared" si="231"/>
        <v/>
      </c>
      <c r="O334" t="str">
        <f t="shared" si="232"/>
        <v/>
      </c>
    </row>
    <row r="335" spans="1:15" x14ac:dyDescent="0.3">
      <c r="A335">
        <v>46589</v>
      </c>
      <c r="B335" t="s">
        <v>1013</v>
      </c>
      <c r="C335">
        <v>80</v>
      </c>
      <c r="D335" t="s">
        <v>58</v>
      </c>
      <c r="E335" t="s">
        <v>131</v>
      </c>
      <c r="F335" s="25">
        <v>144456.1</v>
      </c>
      <c r="G335" s="3">
        <v>45804</v>
      </c>
      <c r="H335" t="s">
        <v>14</v>
      </c>
      <c r="I335" s="4" t="str">
        <f t="shared" si="235"/>
        <v>Living Annuity</v>
      </c>
      <c r="J335" t="str">
        <f t="shared" si="236"/>
        <v>Compulsory, LA</v>
      </c>
      <c r="K335" t="s">
        <v>15</v>
      </c>
      <c r="M335" t="str">
        <f t="shared" si="230"/>
        <v>b</v>
      </c>
      <c r="N335" t="str">
        <f t="shared" si="231"/>
        <v/>
      </c>
      <c r="O335" t="str">
        <f t="shared" si="232"/>
        <v/>
      </c>
    </row>
    <row r="336" spans="1:15" x14ac:dyDescent="0.3">
      <c r="A336">
        <v>46589</v>
      </c>
      <c r="B336" t="s">
        <v>1014</v>
      </c>
      <c r="C336">
        <v>80</v>
      </c>
      <c r="D336" t="s">
        <v>58</v>
      </c>
      <c r="E336" t="s">
        <v>131</v>
      </c>
      <c r="F336" s="25">
        <v>203380.02</v>
      </c>
      <c r="G336" s="3">
        <v>45804</v>
      </c>
      <c r="H336" t="s">
        <v>14</v>
      </c>
      <c r="I336" s="4" t="str">
        <f t="shared" si="235"/>
        <v>Living Annuity</v>
      </c>
      <c r="J336" t="str">
        <f t="shared" si="236"/>
        <v>Compulsory, LA</v>
      </c>
      <c r="K336" t="s">
        <v>15</v>
      </c>
      <c r="M336" t="str">
        <f t="shared" si="230"/>
        <v>b</v>
      </c>
      <c r="N336" t="str">
        <f t="shared" si="231"/>
        <v/>
      </c>
      <c r="O336" t="str">
        <f t="shared" si="232"/>
        <v/>
      </c>
    </row>
    <row r="337" spans="1:15" x14ac:dyDescent="0.3">
      <c r="A337">
        <v>54985</v>
      </c>
      <c r="B337" t="s">
        <v>1015</v>
      </c>
      <c r="C337">
        <v>33</v>
      </c>
      <c r="D337" t="s">
        <v>60</v>
      </c>
      <c r="E337" t="s">
        <v>131</v>
      </c>
      <c r="F337" s="25">
        <v>15910.73</v>
      </c>
      <c r="G337" s="3">
        <v>45804</v>
      </c>
      <c r="H337" t="s">
        <v>14</v>
      </c>
      <c r="I337" s="4" t="str">
        <f t="shared" si="235"/>
        <v>Living Annuity</v>
      </c>
      <c r="J337" t="str">
        <f t="shared" si="236"/>
        <v>Compulsory, LA</v>
      </c>
      <c r="K337" t="s">
        <v>15</v>
      </c>
      <c r="M337" t="str">
        <f t="shared" si="230"/>
        <v>b</v>
      </c>
      <c r="N337" t="str">
        <f t="shared" si="231"/>
        <v/>
      </c>
      <c r="O337" t="str">
        <f t="shared" si="232"/>
        <v/>
      </c>
    </row>
    <row r="338" spans="1:15" x14ac:dyDescent="0.3">
      <c r="A338">
        <v>61172</v>
      </c>
      <c r="B338" t="s">
        <v>1062</v>
      </c>
      <c r="C338">
        <v>272</v>
      </c>
      <c r="D338" t="s">
        <v>62</v>
      </c>
      <c r="E338" t="s">
        <v>131</v>
      </c>
      <c r="F338" s="25">
        <v>22462.49</v>
      </c>
      <c r="G338" s="3">
        <v>45804</v>
      </c>
      <c r="H338" t="s">
        <v>26</v>
      </c>
      <c r="I338" s="4" t="str">
        <f>MID(H338,6,30)</f>
        <v>Retirement Annuity</v>
      </c>
      <c r="J338" t="str">
        <f>IF(LEFT(I338)="L","Compulsory, LA",IF(LEFT(I338)="R","Compulsory, RA",IF(LEFT(I338,2)="Pe","Compulsory, Pens",IF(LEFT(I338,2)="Pr","Compulsory, Prov","Voluntary"))))</f>
        <v>Compulsory, RA</v>
      </c>
      <c r="K338" t="s">
        <v>15</v>
      </c>
      <c r="M338" t="str">
        <f t="shared" si="230"/>
        <v>d</v>
      </c>
      <c r="N338" t="str">
        <f t="shared" si="231"/>
        <v/>
      </c>
      <c r="O338" t="str">
        <f t="shared" si="232"/>
        <v/>
      </c>
    </row>
    <row r="339" spans="1:15" x14ac:dyDescent="0.3">
      <c r="A339">
        <v>61172</v>
      </c>
      <c r="B339" t="s">
        <v>1181</v>
      </c>
      <c r="C339">
        <v>272</v>
      </c>
      <c r="D339" t="s">
        <v>62</v>
      </c>
      <c r="E339" t="s">
        <v>131</v>
      </c>
      <c r="F339" s="25">
        <v>115.23</v>
      </c>
      <c r="G339" s="3">
        <v>45804</v>
      </c>
      <c r="H339" t="s">
        <v>1174</v>
      </c>
      <c r="I339" s="4" t="str">
        <f t="shared" ref="I339" si="237">MID(H339,6,30)</f>
        <v>Retirement Annuity - Savings C</v>
      </c>
      <c r="J339" t="str">
        <f t="shared" ref="J339" si="238">IF(LEFT(I339)="L","Compulsory, LA",IF(LEFT(I339)="R","Compulsory, RA",IF(LEFT(I339,2)="Pe","Compulsory, Pens",IF(LEFT(I339,2)="Pr","Compulsory, Prov","Voluntary"))))</f>
        <v>Compulsory, RA</v>
      </c>
      <c r="K339" t="s">
        <v>15</v>
      </c>
      <c r="M339" t="str">
        <f t="shared" si="230"/>
        <v>d</v>
      </c>
      <c r="N339" t="str">
        <f t="shared" si="231"/>
        <v/>
      </c>
      <c r="O339" t="str">
        <f t="shared" si="232"/>
        <v/>
      </c>
    </row>
    <row r="340" spans="1:15" x14ac:dyDescent="0.3">
      <c r="A340">
        <v>62166</v>
      </c>
      <c r="B340" t="s">
        <v>955</v>
      </c>
      <c r="C340">
        <v>153</v>
      </c>
      <c r="D340" t="s">
        <v>64</v>
      </c>
      <c r="E340" t="s">
        <v>131</v>
      </c>
      <c r="F340" s="25">
        <v>297703.69</v>
      </c>
      <c r="G340" s="3">
        <v>45804</v>
      </c>
      <c r="H340" t="s">
        <v>26</v>
      </c>
      <c r="I340" s="4" t="str">
        <f t="shared" ref="I340:I342" si="239">MID(H340,6,30)</f>
        <v>Retirement Annuity</v>
      </c>
      <c r="J340" t="str">
        <f t="shared" ref="J340:J342" si="240">IF(LEFT(I340)="L","Compulsory, LA",IF(LEFT(I340)="R","Compulsory, RA",IF(LEFT(I340,2)="Pe","Compulsory, Pens",IF(LEFT(I340,2)="Pr","Compulsory, Prov","Voluntary"))))</f>
        <v>Compulsory, RA</v>
      </c>
      <c r="K340" t="s">
        <v>15</v>
      </c>
      <c r="M340" t="str">
        <f t="shared" si="230"/>
        <v>d</v>
      </c>
      <c r="N340" t="str">
        <f t="shared" si="231"/>
        <v/>
      </c>
      <c r="O340" t="str">
        <f t="shared" si="232"/>
        <v/>
      </c>
    </row>
    <row r="341" spans="1:15" x14ac:dyDescent="0.3">
      <c r="A341">
        <v>62166</v>
      </c>
      <c r="B341" t="s">
        <v>1182</v>
      </c>
      <c r="C341">
        <v>153</v>
      </c>
      <c r="D341" t="s">
        <v>64</v>
      </c>
      <c r="E341" t="s">
        <v>131</v>
      </c>
      <c r="F341" s="25">
        <v>404.42</v>
      </c>
      <c r="G341" s="3">
        <v>45804</v>
      </c>
      <c r="H341" t="s">
        <v>1174</v>
      </c>
      <c r="I341" s="4" t="str">
        <f t="shared" si="239"/>
        <v>Retirement Annuity - Savings C</v>
      </c>
      <c r="J341" t="str">
        <f t="shared" si="240"/>
        <v>Compulsory, RA</v>
      </c>
      <c r="K341" t="s">
        <v>15</v>
      </c>
      <c r="M341" t="str">
        <f t="shared" si="230"/>
        <v>d</v>
      </c>
      <c r="N341" t="str">
        <f t="shared" si="231"/>
        <v/>
      </c>
      <c r="O341" t="str">
        <f t="shared" si="232"/>
        <v/>
      </c>
    </row>
    <row r="342" spans="1:15" x14ac:dyDescent="0.3">
      <c r="A342">
        <v>69046</v>
      </c>
      <c r="B342" t="s">
        <v>1016</v>
      </c>
      <c r="C342">
        <v>167</v>
      </c>
      <c r="D342" t="s">
        <v>703</v>
      </c>
      <c r="E342" t="s">
        <v>131</v>
      </c>
      <c r="F342" s="25">
        <v>1059583.0899999999</v>
      </c>
      <c r="G342" s="3">
        <v>45804</v>
      </c>
      <c r="H342" t="s">
        <v>14</v>
      </c>
      <c r="I342" s="4" t="str">
        <f t="shared" si="239"/>
        <v>Living Annuity</v>
      </c>
      <c r="J342" t="str">
        <f t="shared" si="240"/>
        <v>Compulsory, LA</v>
      </c>
      <c r="K342" t="s">
        <v>15</v>
      </c>
      <c r="M342" t="str">
        <f t="shared" si="230"/>
        <v>b</v>
      </c>
      <c r="N342" t="str">
        <f t="shared" si="231"/>
        <v/>
      </c>
      <c r="O342" t="str">
        <f t="shared" si="232"/>
        <v/>
      </c>
    </row>
    <row r="343" spans="1:15" s="13" customFormat="1" x14ac:dyDescent="0.3">
      <c r="A343" s="13">
        <v>72002</v>
      </c>
      <c r="B343" s="13" t="s">
        <v>715</v>
      </c>
      <c r="C343" s="13">
        <v>67</v>
      </c>
      <c r="D343" s="13" t="s">
        <v>66</v>
      </c>
      <c r="E343" s="13" t="s">
        <v>131</v>
      </c>
      <c r="F343" s="27">
        <v>13141.490000000002</v>
      </c>
      <c r="G343" s="14">
        <v>45804</v>
      </c>
      <c r="H343" s="13" t="s">
        <v>31</v>
      </c>
      <c r="I343" s="15" t="str">
        <f t="shared" ref="I343:I362" si="241">MID(H343,6,30)</f>
        <v>Investment Account</v>
      </c>
      <c r="J343" s="13" t="str">
        <f t="shared" ref="J343:J362" si="242">IF(LEFT(I343)="L","Compulsory, LA",IF(LEFT(I343)="R","Compulsory, RA",IF(LEFT(I343,2)="Pe","Compulsory, Pens","Voluntary")))</f>
        <v>Voluntary</v>
      </c>
      <c r="K343" s="13" t="s">
        <v>15</v>
      </c>
      <c r="M343" t="str">
        <f t="shared" si="230"/>
        <v>b</v>
      </c>
      <c r="N343" t="str">
        <f t="shared" si="231"/>
        <v/>
      </c>
      <c r="O343" t="str">
        <f t="shared" si="232"/>
        <v/>
      </c>
    </row>
    <row r="344" spans="1:15" x14ac:dyDescent="0.3">
      <c r="A344">
        <v>72002</v>
      </c>
      <c r="B344" t="s">
        <v>1017</v>
      </c>
      <c r="C344">
        <v>67</v>
      </c>
      <c r="D344" t="s">
        <v>66</v>
      </c>
      <c r="E344" t="s">
        <v>131</v>
      </c>
      <c r="F344" s="26">
        <v>351.76</v>
      </c>
      <c r="G344" s="3">
        <v>45804</v>
      </c>
      <c r="H344" t="s">
        <v>14</v>
      </c>
      <c r="I344" s="4" t="str">
        <f t="shared" si="241"/>
        <v>Living Annuity</v>
      </c>
      <c r="J344" t="str">
        <f t="shared" si="242"/>
        <v>Compulsory, LA</v>
      </c>
      <c r="K344" t="s">
        <v>15</v>
      </c>
      <c r="M344" t="str">
        <f t="shared" si="230"/>
        <v>b</v>
      </c>
      <c r="N344" t="str">
        <f t="shared" si="231"/>
        <v/>
      </c>
      <c r="O344" t="str">
        <f t="shared" si="232"/>
        <v/>
      </c>
    </row>
    <row r="345" spans="1:15" x14ac:dyDescent="0.3">
      <c r="A345">
        <v>72002</v>
      </c>
      <c r="B345" t="s">
        <v>902</v>
      </c>
      <c r="C345">
        <v>67</v>
      </c>
      <c r="D345" t="s">
        <v>66</v>
      </c>
      <c r="E345" t="s">
        <v>131</v>
      </c>
      <c r="F345" s="26">
        <v>79446.37</v>
      </c>
      <c r="G345" s="3">
        <v>45804</v>
      </c>
      <c r="H345" t="s">
        <v>14</v>
      </c>
      <c r="I345" s="4" t="str">
        <f t="shared" si="241"/>
        <v>Living Annuity</v>
      </c>
      <c r="J345" t="str">
        <f t="shared" si="242"/>
        <v>Compulsory, LA</v>
      </c>
      <c r="K345" t="s">
        <v>15</v>
      </c>
      <c r="M345" t="str">
        <f t="shared" si="230"/>
        <v>b</v>
      </c>
      <c r="N345" t="str">
        <f t="shared" si="231"/>
        <v/>
      </c>
      <c r="O345" t="str">
        <f t="shared" si="232"/>
        <v/>
      </c>
    </row>
    <row r="346" spans="1:15" x14ac:dyDescent="0.3">
      <c r="A346">
        <v>80212</v>
      </c>
      <c r="B346" t="s">
        <v>1018</v>
      </c>
      <c r="C346">
        <v>372</v>
      </c>
      <c r="D346" t="s">
        <v>68</v>
      </c>
      <c r="E346" t="s">
        <v>131</v>
      </c>
      <c r="F346" s="26">
        <v>27548.35</v>
      </c>
      <c r="G346" s="3">
        <v>45804</v>
      </c>
      <c r="H346" t="s">
        <v>31</v>
      </c>
      <c r="I346" s="4" t="str">
        <f t="shared" si="241"/>
        <v>Investment Account</v>
      </c>
      <c r="J346" t="str">
        <f t="shared" si="242"/>
        <v>Voluntary</v>
      </c>
      <c r="K346" t="s">
        <v>15</v>
      </c>
      <c r="M346" t="str">
        <f t="shared" si="230"/>
        <v>b</v>
      </c>
      <c r="N346" t="str">
        <f t="shared" si="231"/>
        <v/>
      </c>
      <c r="O346" t="str">
        <f t="shared" si="232"/>
        <v/>
      </c>
    </row>
    <row r="347" spans="1:15" x14ac:dyDescent="0.3">
      <c r="A347">
        <v>80212</v>
      </c>
      <c r="B347" t="s">
        <v>961</v>
      </c>
      <c r="C347">
        <v>372</v>
      </c>
      <c r="D347" t="s">
        <v>68</v>
      </c>
      <c r="E347" t="s">
        <v>131</v>
      </c>
      <c r="F347" s="26">
        <v>521.54999999999995</v>
      </c>
      <c r="G347" s="3">
        <v>45804</v>
      </c>
      <c r="H347" t="s">
        <v>26</v>
      </c>
      <c r="I347" s="4" t="str">
        <f t="shared" si="241"/>
        <v>Retirement Annuity</v>
      </c>
      <c r="J347" t="str">
        <f t="shared" si="242"/>
        <v>Compulsory, RA</v>
      </c>
      <c r="K347" t="s">
        <v>15</v>
      </c>
      <c r="M347" t="str">
        <f t="shared" si="230"/>
        <v>d</v>
      </c>
      <c r="N347" t="str">
        <f t="shared" si="231"/>
        <v/>
      </c>
      <c r="O347" t="str">
        <f t="shared" si="232"/>
        <v/>
      </c>
    </row>
    <row r="348" spans="1:15" x14ac:dyDescent="0.3">
      <c r="A348">
        <v>80212</v>
      </c>
      <c r="B348" t="s">
        <v>1183</v>
      </c>
      <c r="C348">
        <v>372</v>
      </c>
      <c r="D348" t="s">
        <v>68</v>
      </c>
      <c r="E348" t="s">
        <v>131</v>
      </c>
      <c r="F348" s="26">
        <v>170971.4</v>
      </c>
      <c r="G348" s="3">
        <v>45804</v>
      </c>
      <c r="H348" t="s">
        <v>1174</v>
      </c>
      <c r="I348" s="4" t="str">
        <f>MID(H348,6,30)</f>
        <v>Retirement Annuity - Savings C</v>
      </c>
      <c r="J348" t="str">
        <f>IF(LEFT(I348)="L","Compulsory, LA",IF(LEFT(I348)="R","Compulsory, RA",IF(LEFT(I348,2)="Pe","Compulsory, Pens","Voluntary")))</f>
        <v>Compulsory, RA</v>
      </c>
      <c r="K348" t="s">
        <v>15</v>
      </c>
      <c r="M348" t="str">
        <f t="shared" si="230"/>
        <v>d</v>
      </c>
      <c r="N348" t="str">
        <f t="shared" si="231"/>
        <v/>
      </c>
      <c r="O348" t="str">
        <f t="shared" si="232"/>
        <v/>
      </c>
    </row>
    <row r="349" spans="1:15" x14ac:dyDescent="0.3">
      <c r="A349">
        <v>81381</v>
      </c>
      <c r="B349" t="s">
        <v>1019</v>
      </c>
      <c r="C349">
        <v>183</v>
      </c>
      <c r="D349" t="s">
        <v>71</v>
      </c>
      <c r="E349" t="s">
        <v>131</v>
      </c>
      <c r="F349" s="26">
        <v>82613.88</v>
      </c>
      <c r="G349" s="3">
        <v>45804</v>
      </c>
      <c r="H349" t="s">
        <v>14</v>
      </c>
      <c r="I349" s="4" t="str">
        <f t="shared" si="241"/>
        <v>Living Annuity</v>
      </c>
      <c r="J349" t="str">
        <f t="shared" si="242"/>
        <v>Compulsory, LA</v>
      </c>
      <c r="K349" t="s">
        <v>15</v>
      </c>
      <c r="M349" t="str">
        <f t="shared" si="230"/>
        <v>b</v>
      </c>
      <c r="N349" t="str">
        <f t="shared" si="231"/>
        <v/>
      </c>
      <c r="O349" t="str">
        <f t="shared" si="232"/>
        <v/>
      </c>
    </row>
    <row r="350" spans="1:15" x14ac:dyDescent="0.3">
      <c r="A350">
        <v>81381</v>
      </c>
      <c r="B350" t="s">
        <v>1020</v>
      </c>
      <c r="C350">
        <v>183</v>
      </c>
      <c r="D350" t="s">
        <v>71</v>
      </c>
      <c r="E350" t="s">
        <v>131</v>
      </c>
      <c r="F350" s="26">
        <v>31318.480000000003</v>
      </c>
      <c r="G350" s="3">
        <v>45804</v>
      </c>
      <c r="H350" t="s">
        <v>14</v>
      </c>
      <c r="I350" s="4" t="str">
        <f t="shared" si="241"/>
        <v>Living Annuity</v>
      </c>
      <c r="J350" t="str">
        <f t="shared" si="242"/>
        <v>Compulsory, LA</v>
      </c>
      <c r="K350" t="s">
        <v>15</v>
      </c>
      <c r="M350" t="str">
        <f t="shared" si="230"/>
        <v>b</v>
      </c>
      <c r="N350" t="str">
        <f t="shared" si="231"/>
        <v/>
      </c>
      <c r="O350" t="str">
        <f t="shared" si="232"/>
        <v/>
      </c>
    </row>
    <row r="351" spans="1:15" x14ac:dyDescent="0.3">
      <c r="A351">
        <v>113590</v>
      </c>
      <c r="B351" t="s">
        <v>1021</v>
      </c>
      <c r="C351">
        <v>44</v>
      </c>
      <c r="D351" t="s">
        <v>958</v>
      </c>
      <c r="E351" t="s">
        <v>131</v>
      </c>
      <c r="F351" s="26">
        <v>175024.43</v>
      </c>
      <c r="G351" s="3">
        <v>45804</v>
      </c>
      <c r="H351" t="s">
        <v>14</v>
      </c>
      <c r="I351" s="4" t="str">
        <f t="shared" si="241"/>
        <v>Living Annuity</v>
      </c>
      <c r="J351" t="str">
        <f t="shared" si="242"/>
        <v>Compulsory, LA</v>
      </c>
      <c r="K351" t="s">
        <v>15</v>
      </c>
      <c r="M351" t="str">
        <f t="shared" si="230"/>
        <v>b</v>
      </c>
      <c r="N351" t="str">
        <f t="shared" si="231"/>
        <v/>
      </c>
      <c r="O351" t="str">
        <f t="shared" si="232"/>
        <v/>
      </c>
    </row>
    <row r="352" spans="1:15" x14ac:dyDescent="0.3">
      <c r="A352">
        <v>113590</v>
      </c>
      <c r="B352" t="s">
        <v>1113</v>
      </c>
      <c r="C352">
        <v>44</v>
      </c>
      <c r="D352" t="s">
        <v>958</v>
      </c>
      <c r="E352" t="s">
        <v>131</v>
      </c>
      <c r="F352" s="26">
        <v>11092.16</v>
      </c>
      <c r="G352" s="3">
        <v>45804</v>
      </c>
      <c r="H352" t="s">
        <v>14</v>
      </c>
      <c r="I352" s="4" t="str">
        <f t="shared" si="241"/>
        <v>Living Annuity</v>
      </c>
      <c r="J352" t="str">
        <f t="shared" si="242"/>
        <v>Compulsory, LA</v>
      </c>
      <c r="K352" t="s">
        <v>15</v>
      </c>
      <c r="M352" t="str">
        <f t="shared" si="230"/>
        <v>b</v>
      </c>
      <c r="N352" t="str">
        <f t="shared" si="231"/>
        <v/>
      </c>
      <c r="O352" t="str">
        <f t="shared" si="232"/>
        <v/>
      </c>
    </row>
    <row r="353" spans="1:15" x14ac:dyDescent="0.3">
      <c r="A353">
        <v>130912</v>
      </c>
      <c r="B353" t="s">
        <v>1171</v>
      </c>
      <c r="C353">
        <v>35</v>
      </c>
      <c r="D353" t="s">
        <v>1169</v>
      </c>
      <c r="E353" t="s">
        <v>131</v>
      </c>
      <c r="F353" s="26">
        <v>1603807.3299999998</v>
      </c>
      <c r="G353" s="3">
        <v>45804</v>
      </c>
      <c r="H353" t="s">
        <v>1147</v>
      </c>
      <c r="I353" s="4" t="str">
        <f t="shared" si="241"/>
        <v>Investment Account</v>
      </c>
      <c r="J353" t="str">
        <f t="shared" si="242"/>
        <v>Voluntary</v>
      </c>
      <c r="K353" t="s">
        <v>15</v>
      </c>
      <c r="M353" t="str">
        <f t="shared" si="230"/>
        <v>b</v>
      </c>
      <c r="N353" t="str">
        <f t="shared" si="231"/>
        <v/>
      </c>
      <c r="O353" t="str">
        <f t="shared" si="232"/>
        <v/>
      </c>
    </row>
    <row r="354" spans="1:15" x14ac:dyDescent="0.3">
      <c r="A354">
        <v>133380</v>
      </c>
      <c r="B354" t="s">
        <v>965</v>
      </c>
      <c r="C354">
        <v>298</v>
      </c>
      <c r="D354" t="s">
        <v>959</v>
      </c>
      <c r="E354" t="s">
        <v>131</v>
      </c>
      <c r="F354" s="26">
        <v>19699.97</v>
      </c>
      <c r="G354" s="3">
        <v>45804</v>
      </c>
      <c r="H354" t="s">
        <v>26</v>
      </c>
      <c r="I354" s="4" t="str">
        <f t="shared" si="241"/>
        <v>Retirement Annuity</v>
      </c>
      <c r="J354" t="str">
        <f t="shared" si="242"/>
        <v>Compulsory, RA</v>
      </c>
      <c r="K354" t="s">
        <v>15</v>
      </c>
      <c r="M354" t="str">
        <f t="shared" si="230"/>
        <v>d</v>
      </c>
      <c r="N354" t="str">
        <f t="shared" si="231"/>
        <v/>
      </c>
      <c r="O354" t="str">
        <f t="shared" si="232"/>
        <v/>
      </c>
    </row>
    <row r="355" spans="1:15" x14ac:dyDescent="0.3">
      <c r="A355">
        <v>133380</v>
      </c>
      <c r="B355" t="s">
        <v>1184</v>
      </c>
      <c r="C355">
        <v>298</v>
      </c>
      <c r="D355" t="s">
        <v>959</v>
      </c>
      <c r="E355" t="s">
        <v>131</v>
      </c>
      <c r="F355" s="26">
        <v>2851444.81</v>
      </c>
      <c r="G355" s="3">
        <v>45804</v>
      </c>
      <c r="H355" t="s">
        <v>1174</v>
      </c>
      <c r="I355" s="4" t="str">
        <f t="shared" si="241"/>
        <v>Retirement Annuity - Savings C</v>
      </c>
      <c r="J355" t="str">
        <f t="shared" si="242"/>
        <v>Compulsory, RA</v>
      </c>
      <c r="K355" t="s">
        <v>15</v>
      </c>
      <c r="M355" t="str">
        <f t="shared" si="230"/>
        <v>d</v>
      </c>
      <c r="N355" t="str">
        <f t="shared" si="231"/>
        <v/>
      </c>
      <c r="O355" t="str">
        <f t="shared" si="232"/>
        <v/>
      </c>
    </row>
    <row r="356" spans="1:15" x14ac:dyDescent="0.3">
      <c r="A356">
        <v>133382</v>
      </c>
      <c r="B356" t="s">
        <v>966</v>
      </c>
      <c r="C356">
        <v>202</v>
      </c>
      <c r="D356" t="s">
        <v>78</v>
      </c>
      <c r="E356" t="s">
        <v>131</v>
      </c>
      <c r="F356" s="26">
        <v>34670.230000000003</v>
      </c>
      <c r="G356" s="3">
        <v>45804</v>
      </c>
      <c r="H356" t="s">
        <v>26</v>
      </c>
      <c r="I356" s="4" t="str">
        <f t="shared" si="241"/>
        <v>Retirement Annuity</v>
      </c>
      <c r="J356" t="str">
        <f t="shared" si="242"/>
        <v>Compulsory, RA</v>
      </c>
      <c r="K356" t="s">
        <v>15</v>
      </c>
      <c r="M356" t="str">
        <f t="shared" si="230"/>
        <v>d</v>
      </c>
      <c r="N356" t="str">
        <f t="shared" si="231"/>
        <v/>
      </c>
      <c r="O356" t="str">
        <f t="shared" si="232"/>
        <v/>
      </c>
    </row>
    <row r="357" spans="1:15" x14ac:dyDescent="0.3">
      <c r="A357">
        <v>133382</v>
      </c>
      <c r="B357" t="s">
        <v>1185</v>
      </c>
      <c r="C357">
        <v>202</v>
      </c>
      <c r="D357" t="s">
        <v>78</v>
      </c>
      <c r="E357" t="s">
        <v>131</v>
      </c>
      <c r="F357" s="26">
        <v>1648498.49</v>
      </c>
      <c r="G357" s="3">
        <v>45804</v>
      </c>
      <c r="H357" t="s">
        <v>1174</v>
      </c>
      <c r="I357" s="4" t="str">
        <f t="shared" si="241"/>
        <v>Retirement Annuity - Savings C</v>
      </c>
      <c r="J357" t="str">
        <f t="shared" si="242"/>
        <v>Compulsory, RA</v>
      </c>
      <c r="K357" t="s">
        <v>15</v>
      </c>
      <c r="M357" t="str">
        <f t="shared" si="230"/>
        <v>d</v>
      </c>
      <c r="N357" t="str">
        <f t="shared" si="231"/>
        <v/>
      </c>
      <c r="O357" t="str">
        <f t="shared" si="232"/>
        <v/>
      </c>
    </row>
    <row r="358" spans="1:15" x14ac:dyDescent="0.3">
      <c r="A358">
        <v>100202693</v>
      </c>
      <c r="B358" t="s">
        <v>1158</v>
      </c>
      <c r="C358">
        <v>92</v>
      </c>
      <c r="D358" t="s">
        <v>79</v>
      </c>
      <c r="E358" t="s">
        <v>131</v>
      </c>
      <c r="F358" s="26">
        <v>333.94</v>
      </c>
      <c r="G358" s="3">
        <v>45804</v>
      </c>
      <c r="H358" t="s">
        <v>1147</v>
      </c>
      <c r="I358" s="4" t="str">
        <f>MID(H358,6,30)</f>
        <v>Investment Account</v>
      </c>
      <c r="J358" t="str">
        <f>IF(LEFT(I358)="L","Compulsory, LA",IF(LEFT(I358)="R","Compulsory, RA",IF(LEFT(I358,2)="Pe","Compulsory, Pens","Voluntary")))</f>
        <v>Voluntary</v>
      </c>
      <c r="K358" t="s">
        <v>15</v>
      </c>
      <c r="M358" t="str">
        <f t="shared" si="230"/>
        <v>b</v>
      </c>
      <c r="N358" t="str">
        <f t="shared" si="231"/>
        <v/>
      </c>
      <c r="O358" t="str">
        <f t="shared" si="232"/>
        <v/>
      </c>
    </row>
    <row r="359" spans="1:15" x14ac:dyDescent="0.3">
      <c r="A359">
        <v>100202693</v>
      </c>
      <c r="B359" t="s">
        <v>1154</v>
      </c>
      <c r="C359">
        <v>92</v>
      </c>
      <c r="D359" t="s">
        <v>79</v>
      </c>
      <c r="E359" t="s">
        <v>131</v>
      </c>
      <c r="F359" s="26">
        <v>165451.63999999998</v>
      </c>
      <c r="G359" s="3">
        <v>45804</v>
      </c>
      <c r="H359" t="s">
        <v>14</v>
      </c>
      <c r="I359" s="4" t="str">
        <f>MID(H359,6,30)</f>
        <v>Living Annuity</v>
      </c>
      <c r="J359" t="str">
        <f>IF(LEFT(I359)="L","Compulsory, LA",IF(LEFT(I359)="R","Compulsory, RA",IF(LEFT(I359,2)="Pe","Compulsory, Pens","Voluntary")))</f>
        <v>Compulsory, LA</v>
      </c>
      <c r="K359" t="s">
        <v>15</v>
      </c>
      <c r="M359" t="str">
        <f t="shared" si="230"/>
        <v>b</v>
      </c>
      <c r="N359" t="str">
        <f t="shared" si="231"/>
        <v/>
      </c>
      <c r="O359" t="str">
        <f t="shared" si="232"/>
        <v/>
      </c>
    </row>
    <row r="360" spans="1:15" x14ac:dyDescent="0.3">
      <c r="A360">
        <v>100202693</v>
      </c>
      <c r="B360" t="s">
        <v>1153</v>
      </c>
      <c r="C360">
        <v>92</v>
      </c>
      <c r="D360" t="s">
        <v>79</v>
      </c>
      <c r="E360" t="s">
        <v>131</v>
      </c>
      <c r="F360" s="26">
        <v>351071.36</v>
      </c>
      <c r="G360" s="3">
        <v>45804</v>
      </c>
      <c r="H360" t="s">
        <v>14</v>
      </c>
      <c r="I360" s="4" t="str">
        <f t="shared" si="241"/>
        <v>Living Annuity</v>
      </c>
      <c r="J360" t="str">
        <f t="shared" si="242"/>
        <v>Compulsory, LA</v>
      </c>
      <c r="K360" t="s">
        <v>15</v>
      </c>
      <c r="M360" t="str">
        <f t="shared" si="230"/>
        <v>b</v>
      </c>
      <c r="N360" t="str">
        <f t="shared" si="231"/>
        <v/>
      </c>
      <c r="O360" t="str">
        <f t="shared" si="232"/>
        <v/>
      </c>
    </row>
    <row r="361" spans="1:15" x14ac:dyDescent="0.3">
      <c r="A361">
        <v>100205932</v>
      </c>
      <c r="B361" t="s">
        <v>1224</v>
      </c>
      <c r="C361">
        <v>117</v>
      </c>
      <c r="D361" t="s">
        <v>81</v>
      </c>
      <c r="E361" t="s">
        <v>131</v>
      </c>
      <c r="F361" s="26">
        <v>2484.25</v>
      </c>
      <c r="G361" s="3">
        <v>45804</v>
      </c>
      <c r="H361" t="s">
        <v>14</v>
      </c>
      <c r="I361" s="4" t="str">
        <f>MID(H361,6,30)</f>
        <v>Living Annuity</v>
      </c>
      <c r="J361" t="str">
        <f>IF(LEFT(I361)="L","Compulsory, LA",IF(LEFT(I361)="R","Compulsory, RA",IF(LEFT(I361,2)="Pe","Compulsory, Pens","Voluntary")))</f>
        <v>Compulsory, LA</v>
      </c>
      <c r="K361" t="s">
        <v>15</v>
      </c>
      <c r="M361" t="str">
        <f t="shared" si="230"/>
        <v>b</v>
      </c>
      <c r="N361" t="str">
        <f t="shared" si="231"/>
        <v/>
      </c>
      <c r="O361" t="str">
        <f t="shared" si="232"/>
        <v/>
      </c>
    </row>
    <row r="362" spans="1:15" x14ac:dyDescent="0.3">
      <c r="A362">
        <v>100220898</v>
      </c>
      <c r="B362" t="s">
        <v>1022</v>
      </c>
      <c r="C362">
        <v>115</v>
      </c>
      <c r="D362" t="s">
        <v>83</v>
      </c>
      <c r="E362" t="s">
        <v>131</v>
      </c>
      <c r="F362" s="25">
        <v>876514.16999999993</v>
      </c>
      <c r="G362" s="3">
        <v>45804</v>
      </c>
      <c r="H362" t="s">
        <v>14</v>
      </c>
      <c r="I362" s="4" t="str">
        <f t="shared" si="241"/>
        <v>Living Annuity</v>
      </c>
      <c r="J362" t="str">
        <f t="shared" si="242"/>
        <v>Compulsory, LA</v>
      </c>
      <c r="K362" t="s">
        <v>15</v>
      </c>
      <c r="M362" t="str">
        <f t="shared" si="230"/>
        <v>b</v>
      </c>
      <c r="N362" t="str">
        <f t="shared" si="231"/>
        <v/>
      </c>
      <c r="O362" t="str">
        <f t="shared" si="232"/>
        <v/>
      </c>
    </row>
    <row r="363" spans="1:15" x14ac:dyDescent="0.3">
      <c r="A363">
        <v>100220898</v>
      </c>
      <c r="B363" t="s">
        <v>780</v>
      </c>
      <c r="C363">
        <v>115</v>
      </c>
      <c r="D363" t="s">
        <v>83</v>
      </c>
      <c r="E363" t="s">
        <v>131</v>
      </c>
      <c r="F363" s="25">
        <v>262655.94</v>
      </c>
      <c r="G363" s="3">
        <v>45804</v>
      </c>
      <c r="H363" t="s">
        <v>14</v>
      </c>
      <c r="I363" s="4" t="str">
        <f t="shared" si="235"/>
        <v>Living Annuity</v>
      </c>
      <c r="J363" t="str">
        <f t="shared" si="236"/>
        <v>Compulsory, LA</v>
      </c>
      <c r="K363" t="s">
        <v>15</v>
      </c>
      <c r="M363" t="str">
        <f t="shared" si="230"/>
        <v>b</v>
      </c>
      <c r="N363" t="str">
        <f t="shared" si="231"/>
        <v/>
      </c>
      <c r="O363" t="str">
        <f t="shared" si="232"/>
        <v/>
      </c>
    </row>
    <row r="364" spans="1:15" x14ac:dyDescent="0.3">
      <c r="A364">
        <v>100247003</v>
      </c>
      <c r="B364" t="s">
        <v>1023</v>
      </c>
      <c r="C364">
        <v>79</v>
      </c>
      <c r="D364" t="s">
        <v>50</v>
      </c>
      <c r="E364" t="s">
        <v>131</v>
      </c>
      <c r="F364" s="25">
        <v>12392.18</v>
      </c>
      <c r="G364" s="3">
        <v>45804</v>
      </c>
      <c r="H364" t="s">
        <v>14</v>
      </c>
      <c r="I364" s="4" t="str">
        <f t="shared" si="235"/>
        <v>Living Annuity</v>
      </c>
      <c r="J364" t="str">
        <f t="shared" si="236"/>
        <v>Compulsory, LA</v>
      </c>
      <c r="K364" t="s">
        <v>15</v>
      </c>
      <c r="M364" t="str">
        <f t="shared" si="230"/>
        <v>b</v>
      </c>
      <c r="N364" t="str">
        <f t="shared" si="231"/>
        <v/>
      </c>
      <c r="O364" t="str">
        <f t="shared" si="232"/>
        <v/>
      </c>
    </row>
    <row r="365" spans="1:15" x14ac:dyDescent="0.3">
      <c r="A365">
        <v>100249944</v>
      </c>
      <c r="B365" t="s">
        <v>1024</v>
      </c>
      <c r="C365">
        <v>56</v>
      </c>
      <c r="D365" t="s">
        <v>86</v>
      </c>
      <c r="E365" t="s">
        <v>131</v>
      </c>
      <c r="F365" s="25">
        <v>157.24</v>
      </c>
      <c r="G365" s="3">
        <v>45804</v>
      </c>
      <c r="H365" t="s">
        <v>14</v>
      </c>
      <c r="I365" s="4" t="str">
        <f t="shared" si="235"/>
        <v>Living Annuity</v>
      </c>
      <c r="J365" t="str">
        <f t="shared" si="236"/>
        <v>Compulsory, LA</v>
      </c>
      <c r="K365" t="s">
        <v>15</v>
      </c>
      <c r="M365" t="str">
        <f t="shared" si="230"/>
        <v>b</v>
      </c>
      <c r="N365" t="str">
        <f t="shared" si="231"/>
        <v/>
      </c>
      <c r="O365" t="str">
        <f t="shared" si="232"/>
        <v/>
      </c>
    </row>
    <row r="366" spans="1:15" x14ac:dyDescent="0.3">
      <c r="A366">
        <v>100250182</v>
      </c>
      <c r="B366" t="s">
        <v>1025</v>
      </c>
      <c r="C366">
        <v>193</v>
      </c>
      <c r="D366" t="s">
        <v>968</v>
      </c>
      <c r="E366" t="s">
        <v>131</v>
      </c>
      <c r="F366" s="25">
        <v>28746.920000000002</v>
      </c>
      <c r="G366" s="3">
        <v>45804</v>
      </c>
      <c r="H366" t="s">
        <v>14</v>
      </c>
      <c r="I366" s="4" t="str">
        <f t="shared" si="235"/>
        <v>Living Annuity</v>
      </c>
      <c r="J366" t="str">
        <f t="shared" si="236"/>
        <v>Compulsory, LA</v>
      </c>
      <c r="K366" t="s">
        <v>15</v>
      </c>
      <c r="M366" t="str">
        <f t="shared" si="230"/>
        <v>b</v>
      </c>
      <c r="N366" t="str">
        <f t="shared" si="231"/>
        <v/>
      </c>
      <c r="O366" t="str">
        <f t="shared" si="232"/>
        <v/>
      </c>
    </row>
    <row r="367" spans="1:15" x14ac:dyDescent="0.3">
      <c r="A367">
        <v>100271808</v>
      </c>
      <c r="B367" t="s">
        <v>972</v>
      </c>
      <c r="C367">
        <v>144</v>
      </c>
      <c r="D367" t="s">
        <v>90</v>
      </c>
      <c r="E367" t="s">
        <v>131</v>
      </c>
      <c r="F367" s="25">
        <v>12940.96</v>
      </c>
      <c r="G367" s="3">
        <v>45804</v>
      </c>
      <c r="H367" t="s">
        <v>26</v>
      </c>
      <c r="I367" s="4" t="str">
        <f t="shared" si="235"/>
        <v>Retirement Annuity</v>
      </c>
      <c r="J367" t="str">
        <f t="shared" si="236"/>
        <v>Compulsory, RA</v>
      </c>
      <c r="K367" t="s">
        <v>15</v>
      </c>
      <c r="M367" t="str">
        <f t="shared" si="230"/>
        <v>d</v>
      </c>
      <c r="N367" t="str">
        <f t="shared" si="231"/>
        <v/>
      </c>
      <c r="O367" t="str">
        <f t="shared" si="232"/>
        <v/>
      </c>
    </row>
    <row r="368" spans="1:15" x14ac:dyDescent="0.3">
      <c r="A368">
        <v>100273792</v>
      </c>
      <c r="B368" t="s">
        <v>781</v>
      </c>
      <c r="C368">
        <v>299</v>
      </c>
      <c r="D368" t="s">
        <v>114</v>
      </c>
      <c r="E368" t="s">
        <v>131</v>
      </c>
      <c r="F368" s="26">
        <v>39695.29</v>
      </c>
      <c r="G368" s="3">
        <v>45804</v>
      </c>
      <c r="H368" t="s">
        <v>14</v>
      </c>
      <c r="I368" s="4" t="str">
        <f>MID(H368,6,30)</f>
        <v>Living Annuity</v>
      </c>
      <c r="J368" t="str">
        <f>IF(LEFT(I368)="L","Compulsory, LA",IF(LEFT(I368)="R","Compulsory, RA",IF(LEFT(I368,2)="Pe","Compulsory, Pens","Voluntary")))</f>
        <v>Compulsory, LA</v>
      </c>
      <c r="K368" t="s">
        <v>15</v>
      </c>
      <c r="M368" t="str">
        <f t="shared" si="230"/>
        <v>b</v>
      </c>
      <c r="N368" t="str">
        <f t="shared" si="231"/>
        <v/>
      </c>
      <c r="O368" t="str">
        <f t="shared" si="232"/>
        <v/>
      </c>
    </row>
    <row r="369" spans="1:15" x14ac:dyDescent="0.3">
      <c r="A369">
        <v>100273792</v>
      </c>
      <c r="B369" t="s">
        <v>782</v>
      </c>
      <c r="C369">
        <v>299</v>
      </c>
      <c r="D369" t="s">
        <v>114</v>
      </c>
      <c r="E369" t="s">
        <v>131</v>
      </c>
      <c r="F369" s="26">
        <v>395.27</v>
      </c>
      <c r="G369" s="3">
        <v>45804</v>
      </c>
      <c r="H369" t="s">
        <v>14</v>
      </c>
      <c r="I369" s="4" t="str">
        <f t="shared" ref="I369:I373" si="243">MID(H369,6,30)</f>
        <v>Living Annuity</v>
      </c>
      <c r="J369" t="str">
        <f t="shared" ref="J369:J373" si="244">IF(LEFT(I369)="L","Compulsory, LA",IF(LEFT(I369)="R","Compulsory, RA",IF(LEFT(I369,2)="Pe","Compulsory, Pens","Voluntary")))</f>
        <v>Compulsory, LA</v>
      </c>
      <c r="K369" t="s">
        <v>15</v>
      </c>
      <c r="M369" t="str">
        <f t="shared" si="230"/>
        <v>b</v>
      </c>
      <c r="N369" t="str">
        <f t="shared" si="231"/>
        <v/>
      </c>
      <c r="O369" t="str">
        <f t="shared" si="232"/>
        <v/>
      </c>
    </row>
    <row r="370" spans="1:15" x14ac:dyDescent="0.3">
      <c r="A370">
        <v>100273792</v>
      </c>
      <c r="B370" t="s">
        <v>1144</v>
      </c>
      <c r="C370">
        <v>299</v>
      </c>
      <c r="D370" t="s">
        <v>114</v>
      </c>
      <c r="E370" t="s">
        <v>131</v>
      </c>
      <c r="F370" s="26">
        <v>78079.859999999986</v>
      </c>
      <c r="G370" s="3">
        <v>45804</v>
      </c>
      <c r="H370" t="s">
        <v>31</v>
      </c>
      <c r="I370" s="4" t="str">
        <f t="shared" ref="I370" si="245">MID(H370,6,30)</f>
        <v>Investment Account</v>
      </c>
      <c r="J370" t="str">
        <f t="shared" ref="J370" si="246">IF(LEFT(I370)="L","Compulsory, LA",IF(LEFT(I370)="R","Compulsory, RA",IF(LEFT(I370,2)="Pe","Compulsory, Pens","Voluntary")))</f>
        <v>Voluntary</v>
      </c>
      <c r="K370" t="s">
        <v>15</v>
      </c>
      <c r="M370" t="str">
        <f t="shared" si="230"/>
        <v>b</v>
      </c>
      <c r="N370" t="str">
        <f t="shared" si="231"/>
        <v/>
      </c>
      <c r="O370" t="str">
        <f t="shared" si="232"/>
        <v/>
      </c>
    </row>
    <row r="371" spans="1:15" x14ac:dyDescent="0.3">
      <c r="A371">
        <v>100278188</v>
      </c>
      <c r="B371" t="s">
        <v>1027</v>
      </c>
      <c r="C371">
        <v>300</v>
      </c>
      <c r="D371" t="s">
        <v>92</v>
      </c>
      <c r="E371" t="s">
        <v>131</v>
      </c>
      <c r="F371" s="25">
        <v>50838.99</v>
      </c>
      <c r="G371" s="3">
        <v>45804</v>
      </c>
      <c r="H371" t="s">
        <v>14</v>
      </c>
      <c r="I371" s="4" t="str">
        <f>MID(H371,6,30)</f>
        <v>Living Annuity</v>
      </c>
      <c r="J371" t="str">
        <f>IF(LEFT(I371)="L","Compulsory, LA",IF(LEFT(I371)="R","Compulsory, RA",IF(LEFT(I371,2)="Pe","Compulsory, Pens","Voluntary")))</f>
        <v>Compulsory, LA</v>
      </c>
      <c r="K371" t="s">
        <v>15</v>
      </c>
      <c r="M371" t="str">
        <f t="shared" si="230"/>
        <v>b</v>
      </c>
      <c r="N371" t="str">
        <f t="shared" si="231"/>
        <v/>
      </c>
      <c r="O371" t="str">
        <f t="shared" si="232"/>
        <v/>
      </c>
    </row>
    <row r="372" spans="1:15" x14ac:dyDescent="0.3">
      <c r="A372">
        <v>100278188</v>
      </c>
      <c r="B372" t="s">
        <v>903</v>
      </c>
      <c r="C372">
        <v>300</v>
      </c>
      <c r="D372" t="s">
        <v>92</v>
      </c>
      <c r="E372" t="s">
        <v>131</v>
      </c>
      <c r="F372" s="25">
        <v>25575.13</v>
      </c>
      <c r="G372" s="3">
        <v>45804</v>
      </c>
      <c r="H372" t="s">
        <v>14</v>
      </c>
      <c r="I372" s="4" t="str">
        <f>MID(H372,6,30)</f>
        <v>Living Annuity</v>
      </c>
      <c r="J372" t="str">
        <f>IF(LEFT(I372)="L","Compulsory, LA",IF(LEFT(I372)="R","Compulsory, RA",IF(LEFT(I372,2)="Pe","Compulsory, Pens","Voluntary")))</f>
        <v>Compulsory, LA</v>
      </c>
      <c r="K372" t="s">
        <v>15</v>
      </c>
      <c r="M372" t="str">
        <f t="shared" si="230"/>
        <v>b</v>
      </c>
      <c r="N372" t="str">
        <f t="shared" si="231"/>
        <v/>
      </c>
      <c r="O372" t="str">
        <f t="shared" si="232"/>
        <v/>
      </c>
    </row>
    <row r="373" spans="1:15" x14ac:dyDescent="0.3">
      <c r="A373">
        <v>100278188</v>
      </c>
      <c r="B373" t="s">
        <v>1026</v>
      </c>
      <c r="C373">
        <v>300</v>
      </c>
      <c r="D373" t="s">
        <v>92</v>
      </c>
      <c r="E373" t="s">
        <v>131</v>
      </c>
      <c r="F373" s="25">
        <v>278.25</v>
      </c>
      <c r="G373" s="3">
        <v>45804</v>
      </c>
      <c r="H373" t="s">
        <v>14</v>
      </c>
      <c r="I373" s="4" t="str">
        <f t="shared" si="243"/>
        <v>Living Annuity</v>
      </c>
      <c r="J373" t="str">
        <f t="shared" si="244"/>
        <v>Compulsory, LA</v>
      </c>
      <c r="K373" t="s">
        <v>15</v>
      </c>
      <c r="M373" t="str">
        <f t="shared" si="230"/>
        <v>b</v>
      </c>
      <c r="N373" t="str">
        <f t="shared" si="231"/>
        <v/>
      </c>
      <c r="O373" t="str">
        <f t="shared" si="232"/>
        <v/>
      </c>
    </row>
    <row r="374" spans="1:15" x14ac:dyDescent="0.3">
      <c r="A374">
        <v>100309343</v>
      </c>
      <c r="B374" t="s">
        <v>783</v>
      </c>
      <c r="C374">
        <v>30</v>
      </c>
      <c r="D374" t="s">
        <v>94</v>
      </c>
      <c r="E374" t="s">
        <v>131</v>
      </c>
      <c r="F374" s="26">
        <v>49426.020000000004</v>
      </c>
      <c r="G374" s="3">
        <v>45804</v>
      </c>
      <c r="H374" t="s">
        <v>31</v>
      </c>
      <c r="I374" s="4" t="str">
        <f t="shared" si="224"/>
        <v>Investment Account</v>
      </c>
      <c r="J374" t="str">
        <f t="shared" si="225"/>
        <v>Voluntary</v>
      </c>
      <c r="K374" t="s">
        <v>15</v>
      </c>
      <c r="M374" t="str">
        <f t="shared" si="230"/>
        <v>b</v>
      </c>
      <c r="N374" t="str">
        <f t="shared" si="231"/>
        <v/>
      </c>
      <c r="O374" t="str">
        <f t="shared" si="232"/>
        <v/>
      </c>
    </row>
    <row r="375" spans="1:15" x14ac:dyDescent="0.3">
      <c r="A375">
        <v>100317997</v>
      </c>
      <c r="B375" t="s">
        <v>975</v>
      </c>
      <c r="C375">
        <v>32</v>
      </c>
      <c r="D375" t="s">
        <v>96</v>
      </c>
      <c r="E375" t="s">
        <v>131</v>
      </c>
      <c r="F375" s="26">
        <v>38200.46</v>
      </c>
      <c r="G375" s="3">
        <v>45804</v>
      </c>
      <c r="H375" t="s">
        <v>26</v>
      </c>
      <c r="I375" s="4" t="str">
        <f t="shared" ref="I375:I379" si="247">MID(H375,6,30)</f>
        <v>Retirement Annuity</v>
      </c>
      <c r="J375" t="str">
        <f t="shared" ref="J375:J379" si="248">IF(LEFT(I375)="L","Compulsory, LA",IF(LEFT(I375)="R","Compulsory, RA",IF(LEFT(I375,2)="Pe","Compulsory, Pens","Voluntary")))</f>
        <v>Compulsory, RA</v>
      </c>
      <c r="K375" t="s">
        <v>15</v>
      </c>
      <c r="M375" t="str">
        <f t="shared" si="230"/>
        <v>d</v>
      </c>
      <c r="N375" t="str">
        <f t="shared" si="231"/>
        <v/>
      </c>
      <c r="O375" t="str">
        <f t="shared" si="232"/>
        <v/>
      </c>
    </row>
    <row r="376" spans="1:15" x14ac:dyDescent="0.3">
      <c r="A376">
        <v>100317997</v>
      </c>
      <c r="B376" t="s">
        <v>1220</v>
      </c>
      <c r="C376">
        <v>32</v>
      </c>
      <c r="D376" t="s">
        <v>96</v>
      </c>
      <c r="E376" t="s">
        <v>131</v>
      </c>
      <c r="F376" s="26">
        <v>683.67000000000007</v>
      </c>
      <c r="G376" s="3">
        <v>45804</v>
      </c>
      <c r="H376" t="s">
        <v>1174</v>
      </c>
      <c r="I376" s="4" t="str">
        <f t="shared" si="247"/>
        <v>Retirement Annuity - Savings C</v>
      </c>
      <c r="J376" t="str">
        <f t="shared" si="248"/>
        <v>Compulsory, RA</v>
      </c>
      <c r="K376" t="s">
        <v>15</v>
      </c>
      <c r="M376" t="str">
        <f t="shared" si="230"/>
        <v>d</v>
      </c>
      <c r="N376" t="str">
        <f t="shared" si="231"/>
        <v/>
      </c>
      <c r="O376" t="str">
        <f t="shared" si="232"/>
        <v/>
      </c>
    </row>
    <row r="377" spans="1:15" x14ac:dyDescent="0.3">
      <c r="A377">
        <v>100325823</v>
      </c>
      <c r="B377" t="s">
        <v>1028</v>
      </c>
      <c r="C377">
        <v>114</v>
      </c>
      <c r="D377" t="s">
        <v>97</v>
      </c>
      <c r="E377" t="s">
        <v>131</v>
      </c>
      <c r="F377" s="26">
        <v>437.67</v>
      </c>
      <c r="G377" s="3">
        <v>45804</v>
      </c>
      <c r="H377" t="s">
        <v>14</v>
      </c>
      <c r="I377" s="4" t="str">
        <f>MID(H377,6,30)</f>
        <v>Living Annuity</v>
      </c>
      <c r="J377" t="str">
        <f>IF(LEFT(I377)="L","Compulsory, LA",IF(LEFT(I377)="R","Compulsory, RA",IF(LEFT(I377,2)="Pe","Compulsory, Pens","Voluntary")))</f>
        <v>Compulsory, LA</v>
      </c>
      <c r="K377" t="s">
        <v>15</v>
      </c>
      <c r="M377" t="str">
        <f t="shared" si="230"/>
        <v>b</v>
      </c>
      <c r="N377" t="str">
        <f t="shared" si="231"/>
        <v/>
      </c>
      <c r="O377" t="str">
        <f t="shared" si="232"/>
        <v/>
      </c>
    </row>
    <row r="378" spans="1:15" x14ac:dyDescent="0.3">
      <c r="A378">
        <v>100376880</v>
      </c>
      <c r="B378" t="s">
        <v>1029</v>
      </c>
      <c r="C378">
        <v>97</v>
      </c>
      <c r="D378" t="s">
        <v>618</v>
      </c>
      <c r="E378" t="s">
        <v>131</v>
      </c>
      <c r="F378" s="26">
        <v>3511.38</v>
      </c>
      <c r="G378" s="3">
        <v>45804</v>
      </c>
      <c r="H378" t="s">
        <v>14</v>
      </c>
      <c r="I378" s="4" t="str">
        <f t="shared" si="247"/>
        <v>Living Annuity</v>
      </c>
      <c r="J378" t="str">
        <f t="shared" si="248"/>
        <v>Compulsory, LA</v>
      </c>
      <c r="K378" t="s">
        <v>15</v>
      </c>
      <c r="M378" t="str">
        <f t="shared" si="230"/>
        <v>b</v>
      </c>
      <c r="N378" t="str">
        <f t="shared" si="231"/>
        <v/>
      </c>
      <c r="O378" t="str">
        <f t="shared" si="232"/>
        <v/>
      </c>
    </row>
    <row r="379" spans="1:15" x14ac:dyDescent="0.3">
      <c r="A379">
        <v>100388471</v>
      </c>
      <c r="B379" t="s">
        <v>1031</v>
      </c>
      <c r="C379">
        <v>3</v>
      </c>
      <c r="D379" t="s">
        <v>101</v>
      </c>
      <c r="E379" t="s">
        <v>131</v>
      </c>
      <c r="F379" s="25">
        <v>66530.78</v>
      </c>
      <c r="G379" s="3">
        <v>45804</v>
      </c>
      <c r="H379" t="s">
        <v>14</v>
      </c>
      <c r="I379" s="4" t="str">
        <f t="shared" si="247"/>
        <v>Living Annuity</v>
      </c>
      <c r="J379" t="str">
        <f t="shared" si="248"/>
        <v>Compulsory, LA</v>
      </c>
      <c r="K379" t="s">
        <v>15</v>
      </c>
      <c r="M379" t="str">
        <f t="shared" si="230"/>
        <v>b</v>
      </c>
      <c r="N379" t="str">
        <f t="shared" si="231"/>
        <v/>
      </c>
      <c r="O379" t="str">
        <f t="shared" si="232"/>
        <v/>
      </c>
    </row>
    <row r="380" spans="1:15" x14ac:dyDescent="0.3">
      <c r="A380">
        <v>100388471</v>
      </c>
      <c r="B380" t="s">
        <v>784</v>
      </c>
      <c r="C380">
        <v>3</v>
      </c>
      <c r="D380" t="s">
        <v>101</v>
      </c>
      <c r="E380" t="s">
        <v>131</v>
      </c>
      <c r="F380" s="25">
        <v>123735.36</v>
      </c>
      <c r="G380" s="3">
        <v>45804</v>
      </c>
      <c r="H380" t="s">
        <v>14</v>
      </c>
      <c r="I380" s="4" t="str">
        <f t="shared" si="224"/>
        <v>Living Annuity</v>
      </c>
      <c r="J380" t="str">
        <f t="shared" si="225"/>
        <v>Compulsory, LA</v>
      </c>
      <c r="K380" t="s">
        <v>15</v>
      </c>
      <c r="M380" t="str">
        <f t="shared" si="230"/>
        <v>b</v>
      </c>
      <c r="N380" t="str">
        <f t="shared" si="231"/>
        <v/>
      </c>
      <c r="O380" t="str">
        <f t="shared" si="232"/>
        <v/>
      </c>
    </row>
    <row r="381" spans="1:15" x14ac:dyDescent="0.3">
      <c r="A381">
        <v>100408912</v>
      </c>
      <c r="B381" t="s">
        <v>1030</v>
      </c>
      <c r="C381">
        <v>297</v>
      </c>
      <c r="D381" t="s">
        <v>103</v>
      </c>
      <c r="E381" t="s">
        <v>131</v>
      </c>
      <c r="F381" s="25">
        <v>1104.19</v>
      </c>
      <c r="G381" s="3">
        <v>45804</v>
      </c>
      <c r="H381" t="s">
        <v>14</v>
      </c>
      <c r="I381" s="4" t="str">
        <f t="shared" si="224"/>
        <v>Living Annuity</v>
      </c>
      <c r="J381" t="str">
        <f t="shared" si="225"/>
        <v>Compulsory, LA</v>
      </c>
      <c r="K381" t="s">
        <v>15</v>
      </c>
      <c r="M381" t="str">
        <f t="shared" si="230"/>
        <v>b</v>
      </c>
      <c r="N381" t="str">
        <f t="shared" si="231"/>
        <v/>
      </c>
      <c r="O381" t="str">
        <f t="shared" si="232"/>
        <v/>
      </c>
    </row>
    <row r="382" spans="1:15" x14ac:dyDescent="0.3">
      <c r="A382">
        <v>100421069</v>
      </c>
      <c r="B382" t="s">
        <v>1032</v>
      </c>
      <c r="C382">
        <v>37</v>
      </c>
      <c r="D382" t="s">
        <v>105</v>
      </c>
      <c r="E382" t="s">
        <v>131</v>
      </c>
      <c r="F382" s="26">
        <v>404472.6</v>
      </c>
      <c r="G382" s="3">
        <v>45804</v>
      </c>
      <c r="H382" t="s">
        <v>14</v>
      </c>
      <c r="I382" s="4" t="str">
        <f t="shared" si="224"/>
        <v>Living Annuity</v>
      </c>
      <c r="J382" t="str">
        <f t="shared" si="225"/>
        <v>Compulsory, LA</v>
      </c>
      <c r="K382" t="s">
        <v>15</v>
      </c>
      <c r="M382" t="str">
        <f t="shared" si="230"/>
        <v>b</v>
      </c>
      <c r="N382" t="str">
        <f t="shared" si="231"/>
        <v/>
      </c>
      <c r="O382" t="str">
        <f t="shared" si="232"/>
        <v/>
      </c>
    </row>
    <row r="383" spans="1:15" x14ac:dyDescent="0.3">
      <c r="A383">
        <v>100421069</v>
      </c>
      <c r="B383" t="s">
        <v>785</v>
      </c>
      <c r="C383">
        <v>37</v>
      </c>
      <c r="D383" t="s">
        <v>105</v>
      </c>
      <c r="E383" t="s">
        <v>131</v>
      </c>
      <c r="F383" s="26">
        <v>105054.38</v>
      </c>
      <c r="G383" s="3">
        <v>45804</v>
      </c>
      <c r="H383" t="s">
        <v>14</v>
      </c>
      <c r="I383" s="4" t="str">
        <f t="shared" si="224"/>
        <v>Living Annuity</v>
      </c>
      <c r="J383" t="str">
        <f t="shared" si="225"/>
        <v>Compulsory, LA</v>
      </c>
      <c r="K383" t="s">
        <v>15</v>
      </c>
      <c r="M383" t="str">
        <f t="shared" ref="M383:M444" si="249">RIGHT(B383,1)</f>
        <v>b</v>
      </c>
      <c r="N383" t="str">
        <f t="shared" ref="N383:N444" si="250">IF(M383="f","FFFF","")</f>
        <v/>
      </c>
      <c r="O383" t="str">
        <f t="shared" ref="O383:O444" si="251">IF(M383="I","IIII","")</f>
        <v/>
      </c>
    </row>
    <row r="384" spans="1:15" x14ac:dyDescent="0.3">
      <c r="A384">
        <v>100421069</v>
      </c>
      <c r="B384" t="s">
        <v>808</v>
      </c>
      <c r="C384">
        <v>37</v>
      </c>
      <c r="D384" t="s">
        <v>105</v>
      </c>
      <c r="E384" t="s">
        <v>131</v>
      </c>
      <c r="F384" s="26">
        <v>67005.72</v>
      </c>
      <c r="G384" s="3">
        <v>45804</v>
      </c>
      <c r="H384" t="s">
        <v>14</v>
      </c>
      <c r="I384" s="4" t="str">
        <f t="shared" si="224"/>
        <v>Living Annuity</v>
      </c>
      <c r="J384" t="str">
        <f t="shared" si="225"/>
        <v>Compulsory, LA</v>
      </c>
      <c r="K384" t="s">
        <v>15</v>
      </c>
      <c r="M384" t="str">
        <f t="shared" si="249"/>
        <v>b</v>
      </c>
      <c r="N384" t="str">
        <f t="shared" si="250"/>
        <v/>
      </c>
      <c r="O384" t="str">
        <f t="shared" si="251"/>
        <v/>
      </c>
    </row>
    <row r="385" spans="1:15" x14ac:dyDescent="0.3">
      <c r="A385" s="7">
        <v>100489695</v>
      </c>
      <c r="B385" t="s">
        <v>1098</v>
      </c>
      <c r="C385">
        <v>294</v>
      </c>
      <c r="D385" t="s">
        <v>136</v>
      </c>
      <c r="E385" t="s">
        <v>131</v>
      </c>
      <c r="F385" s="26">
        <v>1034.6300000000001</v>
      </c>
      <c r="G385" s="3">
        <v>45804</v>
      </c>
      <c r="H385" t="s">
        <v>31</v>
      </c>
      <c r="I385" s="4" t="str">
        <f t="shared" ref="I385" si="252">MID(H385,6,30)</f>
        <v>Investment Account</v>
      </c>
      <c r="J385" t="str">
        <f t="shared" ref="J385" si="253">IF(LEFT(I385)="L","Compulsory, LA",IF(LEFT(I385)="R","Compulsory, RA",IF(LEFT(I385,2)="Pe","Compulsory, Pens","Voluntary")))</f>
        <v>Voluntary</v>
      </c>
      <c r="K385" t="s">
        <v>15</v>
      </c>
      <c r="M385" t="str">
        <f t="shared" si="249"/>
        <v>b</v>
      </c>
      <c r="N385" t="str">
        <f t="shared" si="250"/>
        <v/>
      </c>
      <c r="O385" t="str">
        <f t="shared" si="251"/>
        <v/>
      </c>
    </row>
    <row r="386" spans="1:15" x14ac:dyDescent="0.3">
      <c r="A386">
        <v>100492707</v>
      </c>
      <c r="B386" t="s">
        <v>1033</v>
      </c>
      <c r="C386">
        <v>233</v>
      </c>
      <c r="D386" t="s">
        <v>107</v>
      </c>
      <c r="E386" t="s">
        <v>131</v>
      </c>
      <c r="F386" s="26">
        <v>65539.67</v>
      </c>
      <c r="G386" s="3">
        <v>45804</v>
      </c>
      <c r="H386" t="s">
        <v>14</v>
      </c>
      <c r="I386" s="4" t="str">
        <f t="shared" ref="I386:I389" si="254">MID(H386,6,30)</f>
        <v>Living Annuity</v>
      </c>
      <c r="J386" t="str">
        <f t="shared" ref="J386:J389" si="255">IF(LEFT(I386)="L","Compulsory, LA",IF(LEFT(I386)="R","Compulsory, RA",IF(LEFT(I386,2)="Pe","Compulsory, Pens","Voluntary")))</f>
        <v>Compulsory, LA</v>
      </c>
      <c r="K386" t="s">
        <v>15</v>
      </c>
      <c r="M386" t="str">
        <f t="shared" si="249"/>
        <v>b</v>
      </c>
      <c r="N386" t="str">
        <f t="shared" si="250"/>
        <v/>
      </c>
      <c r="O386" t="str">
        <f t="shared" si="251"/>
        <v/>
      </c>
    </row>
    <row r="387" spans="1:15" x14ac:dyDescent="0.3">
      <c r="A387">
        <v>100492707</v>
      </c>
      <c r="B387" t="s">
        <v>1198</v>
      </c>
      <c r="C387">
        <v>233</v>
      </c>
      <c r="D387" t="s">
        <v>107</v>
      </c>
      <c r="E387" t="s">
        <v>131</v>
      </c>
      <c r="F387" s="26">
        <v>137897.57</v>
      </c>
      <c r="G387" s="3">
        <v>45804</v>
      </c>
      <c r="H387" t="s">
        <v>14</v>
      </c>
      <c r="I387" s="4" t="str">
        <f t="shared" si="254"/>
        <v>Living Annuity</v>
      </c>
      <c r="J387" t="str">
        <f t="shared" si="255"/>
        <v>Compulsory, LA</v>
      </c>
      <c r="K387" t="s">
        <v>15</v>
      </c>
      <c r="M387" t="str">
        <f t="shared" si="249"/>
        <v>b</v>
      </c>
      <c r="N387" t="str">
        <f t="shared" si="250"/>
        <v/>
      </c>
      <c r="O387" t="str">
        <f t="shared" si="251"/>
        <v/>
      </c>
    </row>
    <row r="388" spans="1:15" x14ac:dyDescent="0.3">
      <c r="A388">
        <v>100497270</v>
      </c>
      <c r="B388" t="s">
        <v>1189</v>
      </c>
      <c r="C388">
        <v>364</v>
      </c>
      <c r="D388" t="s">
        <v>109</v>
      </c>
      <c r="E388" t="s">
        <v>131</v>
      </c>
      <c r="F388" s="26">
        <v>27597.93</v>
      </c>
      <c r="G388" s="3">
        <v>45804</v>
      </c>
      <c r="H388" t="s">
        <v>1174</v>
      </c>
      <c r="I388" s="4" t="str">
        <f t="shared" si="254"/>
        <v>Retirement Annuity - Savings C</v>
      </c>
      <c r="J388" t="str">
        <f t="shared" si="255"/>
        <v>Compulsory, RA</v>
      </c>
      <c r="K388" t="s">
        <v>15</v>
      </c>
      <c r="M388" t="str">
        <f t="shared" si="249"/>
        <v>d</v>
      </c>
      <c r="N388" t="str">
        <f t="shared" si="250"/>
        <v/>
      </c>
      <c r="O388" t="str">
        <f t="shared" si="251"/>
        <v/>
      </c>
    </row>
    <row r="389" spans="1:15" x14ac:dyDescent="0.3">
      <c r="A389">
        <v>100497270</v>
      </c>
      <c r="B389" t="s">
        <v>983</v>
      </c>
      <c r="C389">
        <v>364</v>
      </c>
      <c r="D389" t="s">
        <v>109</v>
      </c>
      <c r="E389" t="s">
        <v>131</v>
      </c>
      <c r="F389" s="26">
        <v>94455.17</v>
      </c>
      <c r="G389" s="3">
        <v>45804</v>
      </c>
      <c r="H389" t="s">
        <v>26</v>
      </c>
      <c r="I389" s="4" t="str">
        <f t="shared" si="254"/>
        <v>Retirement Annuity</v>
      </c>
      <c r="J389" t="str">
        <f t="shared" si="255"/>
        <v>Compulsory, RA</v>
      </c>
      <c r="K389" t="s">
        <v>15</v>
      </c>
      <c r="M389" t="str">
        <f t="shared" si="249"/>
        <v>d</v>
      </c>
      <c r="N389" t="str">
        <f t="shared" si="250"/>
        <v/>
      </c>
      <c r="O389" t="str">
        <f t="shared" si="251"/>
        <v/>
      </c>
    </row>
    <row r="390" spans="1:15" x14ac:dyDescent="0.3">
      <c r="A390">
        <v>100528113</v>
      </c>
      <c r="B390" t="s">
        <v>786</v>
      </c>
      <c r="C390">
        <v>134</v>
      </c>
      <c r="D390" t="s">
        <v>118</v>
      </c>
      <c r="E390" t="s">
        <v>131</v>
      </c>
      <c r="F390" s="26">
        <v>1247.52</v>
      </c>
      <c r="G390" s="3">
        <v>45804</v>
      </c>
      <c r="H390" t="s">
        <v>31</v>
      </c>
      <c r="I390" s="4" t="str">
        <f t="shared" ref="I390:I395" si="256">MID(H390,6,30)</f>
        <v>Investment Account</v>
      </c>
      <c r="J390" t="str">
        <f t="shared" ref="J390:J395" si="257">IF(LEFT(I390)="L","Compulsory, LA",IF(LEFT(I390)="R","Compulsory, RA",IF(LEFT(I390,2)="Pe","Compulsory, Pens","Voluntary")))</f>
        <v>Voluntary</v>
      </c>
      <c r="K390" t="s">
        <v>15</v>
      </c>
      <c r="M390" t="str">
        <f t="shared" si="249"/>
        <v>b</v>
      </c>
      <c r="N390" t="str">
        <f t="shared" si="250"/>
        <v/>
      </c>
      <c r="O390" t="str">
        <f t="shared" si="251"/>
        <v/>
      </c>
    </row>
    <row r="391" spans="1:15" x14ac:dyDescent="0.3">
      <c r="A391">
        <v>100562496</v>
      </c>
      <c r="B391" t="s">
        <v>984</v>
      </c>
      <c r="C391">
        <v>381</v>
      </c>
      <c r="D391" t="s">
        <v>981</v>
      </c>
      <c r="E391" t="s">
        <v>131</v>
      </c>
      <c r="F391" s="26">
        <v>2155689.5900000003</v>
      </c>
      <c r="G391" s="3">
        <v>45804</v>
      </c>
      <c r="H391" t="s">
        <v>26</v>
      </c>
      <c r="I391" s="4" t="str">
        <f t="shared" si="256"/>
        <v>Retirement Annuity</v>
      </c>
      <c r="J391" t="str">
        <f t="shared" si="257"/>
        <v>Compulsory, RA</v>
      </c>
      <c r="K391" t="s">
        <v>15</v>
      </c>
      <c r="M391" t="str">
        <f t="shared" si="249"/>
        <v>d</v>
      </c>
      <c r="N391" t="str">
        <f t="shared" si="250"/>
        <v/>
      </c>
      <c r="O391" t="str">
        <f t="shared" si="251"/>
        <v/>
      </c>
    </row>
    <row r="392" spans="1:15" x14ac:dyDescent="0.3">
      <c r="A392">
        <v>100562496</v>
      </c>
      <c r="B392" t="s">
        <v>1190</v>
      </c>
      <c r="C392">
        <v>381</v>
      </c>
      <c r="D392" t="s">
        <v>981</v>
      </c>
      <c r="E392" t="s">
        <v>131</v>
      </c>
      <c r="F392" s="26">
        <v>666247.06000000006</v>
      </c>
      <c r="G392" s="3">
        <v>45804</v>
      </c>
      <c r="H392" t="s">
        <v>1174</v>
      </c>
      <c r="I392" s="4" t="str">
        <f t="shared" si="256"/>
        <v>Retirement Annuity - Savings C</v>
      </c>
      <c r="J392" t="str">
        <f t="shared" si="257"/>
        <v>Compulsory, RA</v>
      </c>
      <c r="K392" t="s">
        <v>15</v>
      </c>
      <c r="M392" t="str">
        <f t="shared" si="249"/>
        <v>d</v>
      </c>
      <c r="N392" t="str">
        <f t="shared" si="250"/>
        <v/>
      </c>
      <c r="O392" t="str">
        <f t="shared" si="251"/>
        <v/>
      </c>
    </row>
    <row r="393" spans="1:15" x14ac:dyDescent="0.3">
      <c r="A393">
        <v>100562496</v>
      </c>
      <c r="B393" t="s">
        <v>1191</v>
      </c>
      <c r="C393">
        <v>381</v>
      </c>
      <c r="D393" t="s">
        <v>981</v>
      </c>
      <c r="E393" t="s">
        <v>131</v>
      </c>
      <c r="F393" s="26">
        <v>31452.92</v>
      </c>
      <c r="G393" s="3">
        <v>45804</v>
      </c>
      <c r="H393" t="s">
        <v>1175</v>
      </c>
      <c r="I393" s="4" t="str">
        <f t="shared" si="256"/>
        <v>Retirement Annuity - Retiremen</v>
      </c>
      <c r="J393" t="str">
        <f t="shared" si="257"/>
        <v>Compulsory, RA</v>
      </c>
      <c r="K393" t="s">
        <v>15</v>
      </c>
      <c r="M393" t="str">
        <f t="shared" si="249"/>
        <v>d</v>
      </c>
      <c r="N393" t="str">
        <f t="shared" si="250"/>
        <v/>
      </c>
      <c r="O393" t="str">
        <f t="shared" si="251"/>
        <v/>
      </c>
    </row>
    <row r="394" spans="1:15" x14ac:dyDescent="0.3">
      <c r="A394">
        <v>100564770</v>
      </c>
      <c r="B394" t="s">
        <v>787</v>
      </c>
      <c r="C394">
        <v>384</v>
      </c>
      <c r="D394" t="s">
        <v>123</v>
      </c>
      <c r="E394" t="s">
        <v>131</v>
      </c>
      <c r="F394" s="26">
        <v>158.69999999999999</v>
      </c>
      <c r="G394" s="3">
        <v>45804</v>
      </c>
      <c r="H394" t="s">
        <v>14</v>
      </c>
      <c r="I394" s="4" t="str">
        <f>MID(H394,6,30)</f>
        <v>Living Annuity</v>
      </c>
      <c r="J394" t="str">
        <f>IF(LEFT(I394)="L","Compulsory, LA",IF(LEFT(I394)="R","Compulsory, RA",IF(LEFT(I394,2)="Pe","Compulsory, Pens","Voluntary")))</f>
        <v>Compulsory, LA</v>
      </c>
      <c r="K394" t="s">
        <v>15</v>
      </c>
      <c r="M394" t="str">
        <f>RIGHT(B394,1)</f>
        <v>b</v>
      </c>
      <c r="N394" t="str">
        <f>IF(M394="f","FFFF","")</f>
        <v/>
      </c>
      <c r="O394" t="str">
        <f>IF(M394="I","IIII","")</f>
        <v/>
      </c>
    </row>
    <row r="395" spans="1:15" x14ac:dyDescent="0.3">
      <c r="A395">
        <v>100596195</v>
      </c>
      <c r="B395" t="s">
        <v>1238</v>
      </c>
      <c r="C395">
        <v>142</v>
      </c>
      <c r="D395" t="s">
        <v>620</v>
      </c>
      <c r="E395" t="s">
        <v>131</v>
      </c>
      <c r="F395" s="26">
        <v>31410.420000000002</v>
      </c>
      <c r="G395" s="3">
        <v>45804</v>
      </c>
      <c r="H395" t="s">
        <v>31</v>
      </c>
      <c r="I395" s="4" t="str">
        <f t="shared" si="256"/>
        <v>Investment Account</v>
      </c>
      <c r="J395" t="str">
        <f t="shared" si="257"/>
        <v>Voluntary</v>
      </c>
      <c r="K395" t="s">
        <v>15</v>
      </c>
      <c r="M395" t="str">
        <f t="shared" si="249"/>
        <v>b</v>
      </c>
      <c r="N395" t="str">
        <f t="shared" si="250"/>
        <v/>
      </c>
      <c r="O395" t="str">
        <f t="shared" si="251"/>
        <v/>
      </c>
    </row>
    <row r="396" spans="1:15" x14ac:dyDescent="0.3">
      <c r="A396">
        <v>100596689</v>
      </c>
      <c r="B396" t="s">
        <v>788</v>
      </c>
      <c r="C396">
        <v>180</v>
      </c>
      <c r="D396" t="s">
        <v>149</v>
      </c>
      <c r="E396" t="s">
        <v>131</v>
      </c>
      <c r="F396" s="25">
        <v>159.26</v>
      </c>
      <c r="G396" s="3">
        <v>45804</v>
      </c>
      <c r="H396" t="s">
        <v>31</v>
      </c>
      <c r="I396" s="4" t="str">
        <f t="shared" ref="I396:I473" si="258">MID(H396,6,30)</f>
        <v>Investment Account</v>
      </c>
      <c r="J396" t="str">
        <f t="shared" ref="J396:J473" si="259">IF(LEFT(I396)="L","Compulsory, LA",IF(LEFT(I396)="R","Compulsory, RA",IF(LEFT(I396,2)="Pe","Compulsory, Pens","Voluntary")))</f>
        <v>Voluntary</v>
      </c>
      <c r="K396" t="s">
        <v>15</v>
      </c>
      <c r="M396" t="str">
        <f t="shared" si="249"/>
        <v>b</v>
      </c>
      <c r="N396" t="str">
        <f t="shared" si="250"/>
        <v/>
      </c>
      <c r="O396" t="str">
        <f t="shared" si="251"/>
        <v/>
      </c>
    </row>
    <row r="397" spans="1:15" x14ac:dyDescent="0.3">
      <c r="A397">
        <v>100596689</v>
      </c>
      <c r="B397" t="s">
        <v>1083</v>
      </c>
      <c r="C397">
        <v>180</v>
      </c>
      <c r="D397" t="s">
        <v>149</v>
      </c>
      <c r="E397" t="s">
        <v>131</v>
      </c>
      <c r="F397" s="26">
        <v>46295.079999999994</v>
      </c>
      <c r="G397" s="3">
        <v>45804</v>
      </c>
      <c r="H397" t="s">
        <v>31</v>
      </c>
      <c r="I397" s="4" t="str">
        <f t="shared" si="258"/>
        <v>Investment Account</v>
      </c>
      <c r="J397" t="str">
        <f t="shared" si="259"/>
        <v>Voluntary</v>
      </c>
      <c r="K397" t="s">
        <v>15</v>
      </c>
      <c r="M397" t="str">
        <f t="shared" si="249"/>
        <v>b</v>
      </c>
      <c r="N397" t="str">
        <f t="shared" si="250"/>
        <v/>
      </c>
      <c r="O397" t="str">
        <f t="shared" si="251"/>
        <v/>
      </c>
    </row>
    <row r="398" spans="1:15" s="13" customFormat="1" x14ac:dyDescent="0.3">
      <c r="A398" s="13">
        <v>100614771</v>
      </c>
      <c r="B398" s="13" t="s">
        <v>789</v>
      </c>
      <c r="C398" s="13">
        <v>365</v>
      </c>
      <c r="D398" s="13" t="s">
        <v>632</v>
      </c>
      <c r="E398" s="13" t="s">
        <v>131</v>
      </c>
      <c r="F398" s="27">
        <v>472.74</v>
      </c>
      <c r="G398" s="14">
        <v>45804</v>
      </c>
      <c r="H398" s="13" t="s">
        <v>31</v>
      </c>
      <c r="I398" s="15" t="str">
        <f t="shared" ref="I398" si="260">MID(H398,6,30)</f>
        <v>Investment Account</v>
      </c>
      <c r="J398" s="13" t="str">
        <f t="shared" ref="J398" si="261">IF(LEFT(I398)="L","Compulsory, LA",IF(LEFT(I398)="R","Compulsory, RA",IF(LEFT(I398,2)="Pe","Compulsory, Pens","Voluntary")))</f>
        <v>Voluntary</v>
      </c>
      <c r="K398" s="13" t="s">
        <v>15</v>
      </c>
      <c r="M398" t="str">
        <f t="shared" si="249"/>
        <v>b</v>
      </c>
      <c r="N398" t="str">
        <f t="shared" si="250"/>
        <v/>
      </c>
      <c r="O398" t="str">
        <f t="shared" si="251"/>
        <v/>
      </c>
    </row>
    <row r="399" spans="1:15" s="13" customFormat="1" x14ac:dyDescent="0.3">
      <c r="A399" s="13">
        <v>100620477</v>
      </c>
      <c r="B399" s="13" t="s">
        <v>790</v>
      </c>
      <c r="C399" s="13">
        <v>437</v>
      </c>
      <c r="D399" s="13" t="s">
        <v>643</v>
      </c>
      <c r="E399" s="13" t="s">
        <v>131</v>
      </c>
      <c r="F399" s="27">
        <v>54319.270000000004</v>
      </c>
      <c r="G399" s="14">
        <v>45804</v>
      </c>
      <c r="H399" s="13" t="s">
        <v>31</v>
      </c>
      <c r="I399" s="15" t="str">
        <f t="shared" ref="I399" si="262">MID(H399,6,30)</f>
        <v>Investment Account</v>
      </c>
      <c r="J399" s="13" t="str">
        <f t="shared" ref="J399" si="263">IF(LEFT(I399)="L","Compulsory, LA",IF(LEFT(I399)="R","Compulsory, RA",IF(LEFT(I399,2)="Pe","Compulsory, Pens","Voluntary")))</f>
        <v>Voluntary</v>
      </c>
      <c r="K399" s="13" t="s">
        <v>15</v>
      </c>
      <c r="M399" t="str">
        <f t="shared" si="249"/>
        <v>b</v>
      </c>
      <c r="N399" t="str">
        <f t="shared" si="250"/>
        <v/>
      </c>
      <c r="O399" t="str">
        <f t="shared" si="251"/>
        <v/>
      </c>
    </row>
    <row r="400" spans="1:15" s="16" customFormat="1" x14ac:dyDescent="0.3">
      <c r="A400" s="16">
        <v>100623191</v>
      </c>
      <c r="B400" s="16" t="s">
        <v>791</v>
      </c>
      <c r="C400" s="16">
        <v>293</v>
      </c>
      <c r="D400" s="16" t="s">
        <v>645</v>
      </c>
      <c r="E400" s="16" t="s">
        <v>131</v>
      </c>
      <c r="F400" s="33">
        <v>68990.06</v>
      </c>
      <c r="G400" s="17">
        <v>45804</v>
      </c>
      <c r="H400" s="16" t="s">
        <v>31</v>
      </c>
      <c r="I400" s="18" t="str">
        <f t="shared" ref="I400" si="264">MID(H400,6,30)</f>
        <v>Investment Account</v>
      </c>
      <c r="J400" s="16" t="str">
        <f t="shared" ref="J400" si="265">IF(LEFT(I400)="L","Compulsory, LA",IF(LEFT(I400)="R","Compulsory, RA",IF(LEFT(I400,2)="Pe","Compulsory, Pens","Voluntary")))</f>
        <v>Voluntary</v>
      </c>
      <c r="K400" s="16" t="s">
        <v>15</v>
      </c>
      <c r="M400" t="str">
        <f t="shared" si="249"/>
        <v>b</v>
      </c>
      <c r="N400" t="str">
        <f t="shared" si="250"/>
        <v/>
      </c>
      <c r="O400" t="str">
        <f t="shared" si="251"/>
        <v/>
      </c>
    </row>
    <row r="401" spans="1:15" x14ac:dyDescent="0.3">
      <c r="A401">
        <v>100625039</v>
      </c>
      <c r="B401" t="s">
        <v>792</v>
      </c>
      <c r="C401">
        <v>444</v>
      </c>
      <c r="D401" t="s">
        <v>647</v>
      </c>
      <c r="E401" t="s">
        <v>131</v>
      </c>
      <c r="F401" s="25">
        <v>21608.03</v>
      </c>
      <c r="G401" s="3">
        <v>45804</v>
      </c>
      <c r="H401" t="s">
        <v>31</v>
      </c>
      <c r="I401" s="4" t="str">
        <f t="shared" ref="I401" si="266">MID(H401,6,30)</f>
        <v>Investment Account</v>
      </c>
      <c r="J401" t="str">
        <f t="shared" ref="J401" si="267">IF(LEFT(I401)="L","Compulsory, LA",IF(LEFT(I401)="R","Compulsory, RA",IF(LEFT(I401,2)="Pe","Compulsory, Pens","Voluntary")))</f>
        <v>Voluntary</v>
      </c>
      <c r="K401" t="s">
        <v>15</v>
      </c>
      <c r="M401" t="str">
        <f t="shared" si="249"/>
        <v>b</v>
      </c>
      <c r="N401" t="str">
        <f t="shared" si="250"/>
        <v/>
      </c>
      <c r="O401" t="str">
        <f t="shared" si="251"/>
        <v/>
      </c>
    </row>
    <row r="402" spans="1:15" x14ac:dyDescent="0.3">
      <c r="A402">
        <v>100625041</v>
      </c>
      <c r="B402" t="s">
        <v>793</v>
      </c>
      <c r="C402">
        <v>445</v>
      </c>
      <c r="D402" t="s">
        <v>692</v>
      </c>
      <c r="E402" t="s">
        <v>131</v>
      </c>
      <c r="F402" s="25">
        <v>241.39</v>
      </c>
      <c r="G402" s="3">
        <v>45804</v>
      </c>
      <c r="H402" t="s">
        <v>31</v>
      </c>
      <c r="I402" s="4" t="str">
        <f t="shared" ref="I402:I405" si="268">MID(H402,6,30)</f>
        <v>Investment Account</v>
      </c>
      <c r="J402" t="str">
        <f t="shared" ref="J402:J405" si="269">IF(LEFT(I402)="L","Compulsory, LA",IF(LEFT(I402)="R","Compulsory, RA",IF(LEFT(I402,2)="Pe","Compulsory, Pens","Voluntary")))</f>
        <v>Voluntary</v>
      </c>
      <c r="K402" t="s">
        <v>15</v>
      </c>
      <c r="M402" t="str">
        <f t="shared" si="249"/>
        <v>b</v>
      </c>
      <c r="N402" t="str">
        <f t="shared" si="250"/>
        <v/>
      </c>
      <c r="O402" t="str">
        <f t="shared" si="251"/>
        <v/>
      </c>
    </row>
    <row r="403" spans="1:15" x14ac:dyDescent="0.3">
      <c r="A403">
        <v>100628018</v>
      </c>
      <c r="B403" t="s">
        <v>1140</v>
      </c>
      <c r="C403">
        <v>448</v>
      </c>
      <c r="D403" t="s">
        <v>706</v>
      </c>
      <c r="E403" t="s">
        <v>131</v>
      </c>
      <c r="F403" s="26">
        <v>24539.280000000002</v>
      </c>
      <c r="G403" s="3">
        <v>45804</v>
      </c>
      <c r="H403" t="s">
        <v>31</v>
      </c>
      <c r="I403" s="4" t="str">
        <f t="shared" si="268"/>
        <v>Investment Account</v>
      </c>
      <c r="J403" t="str">
        <f t="shared" si="269"/>
        <v>Voluntary</v>
      </c>
      <c r="K403" t="s">
        <v>15</v>
      </c>
      <c r="M403" t="str">
        <f t="shared" si="249"/>
        <v>b</v>
      </c>
      <c r="N403" t="str">
        <f t="shared" si="250"/>
        <v/>
      </c>
      <c r="O403" t="str">
        <f t="shared" si="251"/>
        <v/>
      </c>
    </row>
    <row r="404" spans="1:15" x14ac:dyDescent="0.3">
      <c r="A404">
        <v>100628990</v>
      </c>
      <c r="B404" t="s">
        <v>1034</v>
      </c>
      <c r="C404">
        <v>36</v>
      </c>
      <c r="D404" t="s">
        <v>710</v>
      </c>
      <c r="E404" t="s">
        <v>131</v>
      </c>
      <c r="F404" s="26">
        <v>21645.96</v>
      </c>
      <c r="G404" s="3">
        <v>45804</v>
      </c>
      <c r="H404" t="s">
        <v>14</v>
      </c>
      <c r="I404" s="4" t="str">
        <f t="shared" si="268"/>
        <v>Living Annuity</v>
      </c>
      <c r="J404" t="str">
        <f t="shared" si="269"/>
        <v>Compulsory, LA</v>
      </c>
      <c r="K404" t="s">
        <v>15</v>
      </c>
      <c r="M404" t="str">
        <f t="shared" si="249"/>
        <v>b</v>
      </c>
      <c r="N404" t="str">
        <f t="shared" si="250"/>
        <v/>
      </c>
      <c r="O404" t="str">
        <f t="shared" si="251"/>
        <v/>
      </c>
    </row>
    <row r="405" spans="1:15" x14ac:dyDescent="0.3">
      <c r="A405">
        <v>100630706</v>
      </c>
      <c r="B405" t="s">
        <v>1035</v>
      </c>
      <c r="C405">
        <v>361</v>
      </c>
      <c r="D405" t="s">
        <v>847</v>
      </c>
      <c r="E405" t="s">
        <v>131</v>
      </c>
      <c r="F405" s="26">
        <v>23420.720000000001</v>
      </c>
      <c r="G405" s="3">
        <v>45804</v>
      </c>
      <c r="H405" t="s">
        <v>31</v>
      </c>
      <c r="I405" s="4" t="str">
        <f t="shared" si="268"/>
        <v>Investment Account</v>
      </c>
      <c r="J405" t="str">
        <f t="shared" si="269"/>
        <v>Voluntary</v>
      </c>
      <c r="K405" t="s">
        <v>15</v>
      </c>
      <c r="M405" t="str">
        <f t="shared" si="249"/>
        <v>b</v>
      </c>
      <c r="N405" t="str">
        <f t="shared" si="250"/>
        <v/>
      </c>
      <c r="O405" t="str">
        <f t="shared" si="251"/>
        <v/>
      </c>
    </row>
    <row r="406" spans="1:15" s="13" customFormat="1" x14ac:dyDescent="0.3">
      <c r="A406" s="13">
        <v>100631121</v>
      </c>
      <c r="B406" s="13" t="s">
        <v>794</v>
      </c>
      <c r="C406" s="13">
        <v>222</v>
      </c>
      <c r="D406" s="13" t="s">
        <v>716</v>
      </c>
      <c r="E406" s="13" t="s">
        <v>131</v>
      </c>
      <c r="F406" s="28">
        <v>74747.8</v>
      </c>
      <c r="G406" s="14">
        <v>45804</v>
      </c>
      <c r="H406" s="13" t="s">
        <v>31</v>
      </c>
      <c r="I406" s="15" t="str">
        <f t="shared" ref="I406" si="270">MID(H406,6,30)</f>
        <v>Investment Account</v>
      </c>
      <c r="J406" s="13" t="str">
        <f t="shared" ref="J406" si="271">IF(LEFT(I406)="L","Compulsory, LA",IF(LEFT(I406)="R","Compulsory, RA",IF(LEFT(I406,2)="Pe","Compulsory, Pens","Voluntary")))</f>
        <v>Voluntary</v>
      </c>
      <c r="K406" s="13" t="s">
        <v>15</v>
      </c>
      <c r="M406" t="str">
        <f t="shared" si="249"/>
        <v>b</v>
      </c>
      <c r="N406" t="str">
        <f t="shared" si="250"/>
        <v/>
      </c>
      <c r="O406" t="str">
        <f t="shared" si="251"/>
        <v/>
      </c>
    </row>
    <row r="407" spans="1:15" x14ac:dyDescent="0.3">
      <c r="A407">
        <v>100633203</v>
      </c>
      <c r="B407" t="s">
        <v>1141</v>
      </c>
      <c r="C407">
        <v>447</v>
      </c>
      <c r="D407" t="s">
        <v>712</v>
      </c>
      <c r="E407" t="s">
        <v>131</v>
      </c>
      <c r="F407" s="26">
        <v>256442.27</v>
      </c>
      <c r="G407" s="3">
        <v>45804</v>
      </c>
      <c r="H407" t="s">
        <v>31</v>
      </c>
      <c r="I407" s="4" t="str">
        <f t="shared" ref="I407:I445" si="272">MID(H407,6,30)</f>
        <v>Investment Account</v>
      </c>
      <c r="J407" t="str">
        <f t="shared" ref="J407:J445" si="273">IF(LEFT(I407)="L","Compulsory, LA",IF(LEFT(I407)="R","Compulsory, RA",IF(LEFT(I407,2)="Pe","Compulsory, Pens","Voluntary")))</f>
        <v>Voluntary</v>
      </c>
      <c r="K407" t="s">
        <v>15</v>
      </c>
      <c r="M407" t="str">
        <f t="shared" si="249"/>
        <v>b</v>
      </c>
      <c r="N407" t="str">
        <f t="shared" si="250"/>
        <v/>
      </c>
      <c r="O407" t="str">
        <f t="shared" si="251"/>
        <v/>
      </c>
    </row>
    <row r="408" spans="1:15" x14ac:dyDescent="0.3">
      <c r="A408">
        <v>100637079</v>
      </c>
      <c r="B408" t="s">
        <v>816</v>
      </c>
      <c r="C408">
        <v>7</v>
      </c>
      <c r="D408" t="s">
        <v>722</v>
      </c>
      <c r="E408" t="s">
        <v>131</v>
      </c>
      <c r="F408" s="26">
        <v>13030.08</v>
      </c>
      <c r="G408" s="3">
        <v>45804</v>
      </c>
      <c r="H408" t="s">
        <v>26</v>
      </c>
      <c r="I408" s="4" t="str">
        <f t="shared" si="272"/>
        <v>Retirement Annuity</v>
      </c>
      <c r="J408" t="str">
        <f t="shared" si="273"/>
        <v>Compulsory, RA</v>
      </c>
      <c r="K408" t="s">
        <v>15</v>
      </c>
      <c r="M408" t="str">
        <f t="shared" si="249"/>
        <v>d</v>
      </c>
      <c r="N408" t="str">
        <f t="shared" si="250"/>
        <v/>
      </c>
      <c r="O408" t="str">
        <f t="shared" si="251"/>
        <v/>
      </c>
    </row>
    <row r="409" spans="1:15" x14ac:dyDescent="0.3">
      <c r="A409">
        <v>100637079</v>
      </c>
      <c r="B409" t="s">
        <v>817</v>
      </c>
      <c r="C409">
        <v>7</v>
      </c>
      <c r="D409" t="s">
        <v>722</v>
      </c>
      <c r="E409" t="s">
        <v>131</v>
      </c>
      <c r="F409" s="26">
        <v>467550.24</v>
      </c>
      <c r="G409" s="3">
        <v>45804</v>
      </c>
      <c r="H409" t="s">
        <v>26</v>
      </c>
      <c r="I409" s="4" t="str">
        <f t="shared" si="272"/>
        <v>Retirement Annuity</v>
      </c>
      <c r="J409" t="str">
        <f t="shared" si="273"/>
        <v>Compulsory, RA</v>
      </c>
      <c r="K409" t="s">
        <v>15</v>
      </c>
      <c r="M409" t="str">
        <f t="shared" si="249"/>
        <v>d</v>
      </c>
      <c r="N409" t="str">
        <f t="shared" si="250"/>
        <v/>
      </c>
      <c r="O409" t="str">
        <f t="shared" si="251"/>
        <v/>
      </c>
    </row>
    <row r="410" spans="1:15" x14ac:dyDescent="0.3">
      <c r="A410">
        <v>100637079</v>
      </c>
      <c r="B410" t="s">
        <v>1192</v>
      </c>
      <c r="C410">
        <v>7</v>
      </c>
      <c r="D410" t="s">
        <v>722</v>
      </c>
      <c r="E410" t="s">
        <v>131</v>
      </c>
      <c r="F410" s="26">
        <v>706011.02</v>
      </c>
      <c r="G410" s="3">
        <v>45804</v>
      </c>
      <c r="H410" t="s">
        <v>1174</v>
      </c>
      <c r="I410" s="4" t="str">
        <f t="shared" si="272"/>
        <v>Retirement Annuity - Savings C</v>
      </c>
      <c r="J410" t="str">
        <f t="shared" si="273"/>
        <v>Compulsory, RA</v>
      </c>
      <c r="K410" t="s">
        <v>15</v>
      </c>
      <c r="M410" t="str">
        <f t="shared" si="249"/>
        <v>d</v>
      </c>
      <c r="N410" t="str">
        <f t="shared" si="250"/>
        <v/>
      </c>
      <c r="O410" t="str">
        <f t="shared" si="251"/>
        <v/>
      </c>
    </row>
    <row r="411" spans="1:15" x14ac:dyDescent="0.3">
      <c r="A411">
        <v>100637079</v>
      </c>
      <c r="B411" t="s">
        <v>1193</v>
      </c>
      <c r="C411">
        <v>7</v>
      </c>
      <c r="D411" t="s">
        <v>722</v>
      </c>
      <c r="E411" t="s">
        <v>131</v>
      </c>
      <c r="F411" s="26">
        <v>547912.56000000006</v>
      </c>
      <c r="G411" s="3">
        <v>45804</v>
      </c>
      <c r="H411" t="s">
        <v>1174</v>
      </c>
      <c r="I411" s="4" t="str">
        <f t="shared" si="272"/>
        <v>Retirement Annuity - Savings C</v>
      </c>
      <c r="J411" t="str">
        <f t="shared" si="273"/>
        <v>Compulsory, RA</v>
      </c>
      <c r="K411" t="s">
        <v>15</v>
      </c>
      <c r="M411" t="str">
        <f t="shared" si="249"/>
        <v>d</v>
      </c>
      <c r="N411" t="str">
        <f t="shared" si="250"/>
        <v/>
      </c>
      <c r="O411" t="str">
        <f t="shared" si="251"/>
        <v/>
      </c>
    </row>
    <row r="412" spans="1:15" x14ac:dyDescent="0.3">
      <c r="A412">
        <v>100637079</v>
      </c>
      <c r="B412" t="s">
        <v>1200</v>
      </c>
      <c r="C412">
        <v>7</v>
      </c>
      <c r="D412" t="s">
        <v>722</v>
      </c>
      <c r="E412" t="s">
        <v>131</v>
      </c>
      <c r="F412" s="26">
        <v>166289.16999999998</v>
      </c>
      <c r="G412" s="3">
        <v>45804</v>
      </c>
      <c r="H412" t="s">
        <v>1147</v>
      </c>
      <c r="I412" s="4" t="str">
        <f t="shared" ref="I412" si="274">MID(H412,6,30)</f>
        <v>Investment Account</v>
      </c>
      <c r="J412" t="str">
        <f t="shared" ref="J412" si="275">IF(LEFT(I412)="L","Compulsory, LA",IF(LEFT(I412)="R","Compulsory, RA",IF(LEFT(I412,2)="Pe","Compulsory, Pens","Voluntary")))</f>
        <v>Voluntary</v>
      </c>
      <c r="K412" t="s">
        <v>15</v>
      </c>
      <c r="M412" t="str">
        <f t="shared" si="249"/>
        <v>b</v>
      </c>
      <c r="N412" t="str">
        <f t="shared" si="250"/>
        <v/>
      </c>
      <c r="O412" t="str">
        <f t="shared" si="251"/>
        <v/>
      </c>
    </row>
    <row r="413" spans="1:15" x14ac:dyDescent="0.3">
      <c r="A413">
        <v>100641153</v>
      </c>
      <c r="B413" t="s">
        <v>1119</v>
      </c>
      <c r="C413">
        <v>455</v>
      </c>
      <c r="D413" t="s">
        <v>725</v>
      </c>
      <c r="E413" t="s">
        <v>131</v>
      </c>
      <c r="F413" s="26">
        <v>605673.27</v>
      </c>
      <c r="G413" s="3">
        <v>45804</v>
      </c>
      <c r="H413" t="s">
        <v>14</v>
      </c>
      <c r="I413" s="4" t="str">
        <f t="shared" si="272"/>
        <v>Living Annuity</v>
      </c>
      <c r="J413" t="str">
        <f t="shared" si="273"/>
        <v>Compulsory, LA</v>
      </c>
      <c r="K413" t="s">
        <v>15</v>
      </c>
      <c r="M413" t="str">
        <f t="shared" si="249"/>
        <v>b</v>
      </c>
      <c r="N413" t="str">
        <f t="shared" si="250"/>
        <v/>
      </c>
      <c r="O413" t="str">
        <f t="shared" si="251"/>
        <v/>
      </c>
    </row>
    <row r="414" spans="1:15" x14ac:dyDescent="0.3">
      <c r="A414">
        <v>100651921</v>
      </c>
      <c r="B414" t="s">
        <v>1036</v>
      </c>
      <c r="C414">
        <v>13</v>
      </c>
      <c r="D414" t="s">
        <v>732</v>
      </c>
      <c r="E414" t="s">
        <v>131</v>
      </c>
      <c r="F414" s="26">
        <v>56329.32</v>
      </c>
      <c r="G414" s="3">
        <v>45804</v>
      </c>
      <c r="H414" t="s">
        <v>31</v>
      </c>
      <c r="I414" s="4" t="str">
        <f>MID(H414,6,30)</f>
        <v>Investment Account</v>
      </c>
      <c r="J414" t="str">
        <f>IF(LEFT(I414)="L","Compulsory, LA",IF(LEFT(I414)="R","Compulsory, RA",IF(LEFT(I414,2)="Pe","Compulsory, Pens","Voluntary")))</f>
        <v>Voluntary</v>
      </c>
      <c r="K414" t="s">
        <v>15</v>
      </c>
      <c r="M414" t="str">
        <f t="shared" si="249"/>
        <v>b</v>
      </c>
      <c r="N414" t="str">
        <f t="shared" si="250"/>
        <v/>
      </c>
      <c r="O414" t="str">
        <f t="shared" si="251"/>
        <v/>
      </c>
    </row>
    <row r="415" spans="1:15" x14ac:dyDescent="0.3">
      <c r="A415">
        <v>100651921</v>
      </c>
      <c r="B415" t="s">
        <v>1037</v>
      </c>
      <c r="C415">
        <v>13</v>
      </c>
      <c r="D415" t="s">
        <v>732</v>
      </c>
      <c r="E415" t="s">
        <v>131</v>
      </c>
      <c r="F415" s="26">
        <v>794520.65999999992</v>
      </c>
      <c r="G415" s="3">
        <v>45804</v>
      </c>
      <c r="H415" t="s">
        <v>31</v>
      </c>
      <c r="I415" s="4" t="str">
        <f>MID(H415,6,30)</f>
        <v>Investment Account</v>
      </c>
      <c r="J415" t="str">
        <f>IF(LEFT(I415)="L","Compulsory, LA",IF(LEFT(I415)="R","Compulsory, RA",IF(LEFT(I415,2)="Pe","Compulsory, Pens","Voluntary")))</f>
        <v>Voluntary</v>
      </c>
      <c r="K415" t="s">
        <v>15</v>
      </c>
      <c r="M415" t="str">
        <f t="shared" si="249"/>
        <v>b</v>
      </c>
      <c r="N415" t="str">
        <f t="shared" si="250"/>
        <v/>
      </c>
      <c r="O415" t="str">
        <f t="shared" si="251"/>
        <v/>
      </c>
    </row>
    <row r="416" spans="1:15" x14ac:dyDescent="0.3">
      <c r="A416">
        <v>100655835</v>
      </c>
      <c r="B416" t="s">
        <v>795</v>
      </c>
      <c r="C416">
        <v>456</v>
      </c>
      <c r="D416" t="s">
        <v>731</v>
      </c>
      <c r="E416" t="s">
        <v>131</v>
      </c>
      <c r="F416" s="26">
        <v>3113884.87</v>
      </c>
      <c r="G416" s="3">
        <v>45804</v>
      </c>
      <c r="H416" t="s">
        <v>14</v>
      </c>
      <c r="I416" s="4" t="str">
        <f t="shared" si="272"/>
        <v>Living Annuity</v>
      </c>
      <c r="J416" t="str">
        <f t="shared" si="273"/>
        <v>Compulsory, LA</v>
      </c>
      <c r="K416" t="s">
        <v>15</v>
      </c>
      <c r="M416" t="str">
        <f t="shared" si="249"/>
        <v>b</v>
      </c>
      <c r="N416" t="str">
        <f t="shared" si="250"/>
        <v/>
      </c>
      <c r="O416" t="str">
        <f t="shared" si="251"/>
        <v/>
      </c>
    </row>
    <row r="417" spans="1:15" x14ac:dyDescent="0.3">
      <c r="A417">
        <v>100663638</v>
      </c>
      <c r="B417" t="s">
        <v>809</v>
      </c>
      <c r="C417">
        <v>58</v>
      </c>
      <c r="D417" t="s">
        <v>802</v>
      </c>
      <c r="E417" t="s">
        <v>131</v>
      </c>
      <c r="F417" s="26">
        <v>335027.27</v>
      </c>
      <c r="G417" s="3">
        <v>45804</v>
      </c>
      <c r="H417" t="s">
        <v>14</v>
      </c>
      <c r="I417" s="4" t="str">
        <f t="shared" si="272"/>
        <v>Living Annuity</v>
      </c>
      <c r="J417" t="str">
        <f t="shared" si="273"/>
        <v>Compulsory, LA</v>
      </c>
      <c r="K417" t="s">
        <v>15</v>
      </c>
      <c r="M417" t="str">
        <f t="shared" si="249"/>
        <v>b</v>
      </c>
      <c r="N417" t="str">
        <f t="shared" si="250"/>
        <v/>
      </c>
      <c r="O417" t="str">
        <f t="shared" si="251"/>
        <v/>
      </c>
    </row>
    <row r="418" spans="1:15" x14ac:dyDescent="0.3">
      <c r="A418">
        <v>100663638</v>
      </c>
      <c r="B418" t="s">
        <v>904</v>
      </c>
      <c r="C418">
        <v>58</v>
      </c>
      <c r="D418" t="s">
        <v>802</v>
      </c>
      <c r="E418" t="s">
        <v>131</v>
      </c>
      <c r="F418" s="26">
        <v>193893.91999999998</v>
      </c>
      <c r="G418" s="3">
        <v>45804</v>
      </c>
      <c r="H418" t="s">
        <v>14</v>
      </c>
      <c r="I418" s="4" t="str">
        <f t="shared" si="272"/>
        <v>Living Annuity</v>
      </c>
      <c r="J418" t="str">
        <f t="shared" si="273"/>
        <v>Compulsory, LA</v>
      </c>
      <c r="K418" t="s">
        <v>15</v>
      </c>
      <c r="M418" t="str">
        <f t="shared" si="249"/>
        <v>b</v>
      </c>
      <c r="N418" t="str">
        <f t="shared" si="250"/>
        <v/>
      </c>
      <c r="O418" t="str">
        <f t="shared" si="251"/>
        <v/>
      </c>
    </row>
    <row r="419" spans="1:15" x14ac:dyDescent="0.3">
      <c r="A419">
        <v>100664029</v>
      </c>
      <c r="B419" t="s">
        <v>905</v>
      </c>
      <c r="C419">
        <v>5</v>
      </c>
      <c r="D419" t="s">
        <v>864</v>
      </c>
      <c r="E419" t="s">
        <v>131</v>
      </c>
      <c r="F419" s="26">
        <v>1604.73</v>
      </c>
      <c r="G419" s="3">
        <v>45804</v>
      </c>
      <c r="H419" t="s">
        <v>14</v>
      </c>
      <c r="I419" s="4" t="str">
        <f t="shared" si="272"/>
        <v>Living Annuity</v>
      </c>
      <c r="J419" t="str">
        <f t="shared" si="273"/>
        <v>Compulsory, LA</v>
      </c>
      <c r="K419" t="s">
        <v>15</v>
      </c>
      <c r="M419" t="str">
        <f t="shared" si="249"/>
        <v>b</v>
      </c>
      <c r="N419" t="str">
        <f t="shared" si="250"/>
        <v/>
      </c>
      <c r="O419" t="str">
        <f t="shared" si="251"/>
        <v/>
      </c>
    </row>
    <row r="420" spans="1:15" x14ac:dyDescent="0.3">
      <c r="A420">
        <v>100664029</v>
      </c>
      <c r="B420" t="s">
        <v>906</v>
      </c>
      <c r="C420">
        <v>5</v>
      </c>
      <c r="D420" t="s">
        <v>864</v>
      </c>
      <c r="E420" t="s">
        <v>131</v>
      </c>
      <c r="F420" s="26">
        <v>429232.74</v>
      </c>
      <c r="G420" s="3">
        <v>45804</v>
      </c>
      <c r="H420" t="s">
        <v>14</v>
      </c>
      <c r="I420" s="4" t="str">
        <f t="shared" si="272"/>
        <v>Living Annuity</v>
      </c>
      <c r="J420" t="str">
        <f t="shared" si="273"/>
        <v>Compulsory, LA</v>
      </c>
      <c r="K420" t="s">
        <v>15</v>
      </c>
      <c r="M420" t="str">
        <f t="shared" si="249"/>
        <v>b</v>
      </c>
      <c r="N420" t="str">
        <f t="shared" si="250"/>
        <v/>
      </c>
      <c r="O420" t="str">
        <f t="shared" si="251"/>
        <v/>
      </c>
    </row>
    <row r="421" spans="1:15" x14ac:dyDescent="0.3">
      <c r="A421">
        <v>100664292</v>
      </c>
      <c r="B421" t="s">
        <v>1038</v>
      </c>
      <c r="C421">
        <v>21</v>
      </c>
      <c r="D421" t="s">
        <v>849</v>
      </c>
      <c r="E421" t="s">
        <v>131</v>
      </c>
      <c r="F421" s="25">
        <v>195165.06</v>
      </c>
      <c r="G421" s="3">
        <v>45804</v>
      </c>
      <c r="H421" t="s">
        <v>31</v>
      </c>
      <c r="I421" s="4" t="str">
        <f t="shared" si="272"/>
        <v>Investment Account</v>
      </c>
      <c r="J421" t="str">
        <f t="shared" si="273"/>
        <v>Voluntary</v>
      </c>
      <c r="K421" t="s">
        <v>15</v>
      </c>
      <c r="M421" t="str">
        <f t="shared" si="249"/>
        <v>b</v>
      </c>
      <c r="N421" t="str">
        <f t="shared" si="250"/>
        <v/>
      </c>
      <c r="O421" t="str">
        <f t="shared" si="251"/>
        <v/>
      </c>
    </row>
    <row r="422" spans="1:15" x14ac:dyDescent="0.3">
      <c r="A422">
        <v>100664292</v>
      </c>
      <c r="B422" t="s">
        <v>907</v>
      </c>
      <c r="C422">
        <v>21</v>
      </c>
      <c r="D422" t="s">
        <v>849</v>
      </c>
      <c r="E422" t="s">
        <v>131</v>
      </c>
      <c r="F422" s="25">
        <v>56242.680000000008</v>
      </c>
      <c r="G422" s="3">
        <v>45804</v>
      </c>
      <c r="H422" t="s">
        <v>14</v>
      </c>
      <c r="I422" s="4" t="str">
        <f t="shared" si="272"/>
        <v>Living Annuity</v>
      </c>
      <c r="J422" t="str">
        <f t="shared" si="273"/>
        <v>Compulsory, LA</v>
      </c>
      <c r="K422" t="s">
        <v>15</v>
      </c>
      <c r="M422" t="str">
        <f t="shared" si="249"/>
        <v>b</v>
      </c>
      <c r="N422" t="str">
        <f t="shared" si="250"/>
        <v/>
      </c>
      <c r="O422" t="str">
        <f t="shared" si="251"/>
        <v/>
      </c>
    </row>
    <row r="423" spans="1:15" x14ac:dyDescent="0.3">
      <c r="A423">
        <v>100664348</v>
      </c>
      <c r="B423" t="s">
        <v>908</v>
      </c>
      <c r="C423">
        <v>257</v>
      </c>
      <c r="D423" t="s">
        <v>871</v>
      </c>
      <c r="E423" t="s">
        <v>131</v>
      </c>
      <c r="F423" s="25">
        <v>16118.16</v>
      </c>
      <c r="G423" s="3">
        <v>45804</v>
      </c>
      <c r="H423" t="s">
        <v>14</v>
      </c>
      <c r="I423" s="4" t="str">
        <f t="shared" si="272"/>
        <v>Living Annuity</v>
      </c>
      <c r="J423" t="str">
        <f t="shared" si="273"/>
        <v>Compulsory, LA</v>
      </c>
      <c r="K423" t="s">
        <v>15</v>
      </c>
      <c r="M423" t="str">
        <f t="shared" si="249"/>
        <v>b</v>
      </c>
      <c r="N423" t="str">
        <f t="shared" si="250"/>
        <v/>
      </c>
      <c r="O423" t="str">
        <f t="shared" si="251"/>
        <v/>
      </c>
    </row>
    <row r="424" spans="1:15" x14ac:dyDescent="0.3">
      <c r="A424">
        <v>100664351</v>
      </c>
      <c r="B424" t="s">
        <v>909</v>
      </c>
      <c r="C424">
        <v>196</v>
      </c>
      <c r="D424" t="s">
        <v>873</v>
      </c>
      <c r="E424" t="s">
        <v>131</v>
      </c>
      <c r="F424" s="25">
        <v>85281</v>
      </c>
      <c r="G424" s="3">
        <v>45804</v>
      </c>
      <c r="H424" t="s">
        <v>14</v>
      </c>
      <c r="I424" s="4" t="str">
        <f t="shared" si="272"/>
        <v>Living Annuity</v>
      </c>
      <c r="J424" t="str">
        <f t="shared" si="273"/>
        <v>Compulsory, LA</v>
      </c>
      <c r="K424" t="s">
        <v>15</v>
      </c>
      <c r="M424" t="str">
        <f t="shared" si="249"/>
        <v>b</v>
      </c>
      <c r="N424" t="str">
        <f t="shared" si="250"/>
        <v/>
      </c>
      <c r="O424" t="str">
        <f t="shared" si="251"/>
        <v/>
      </c>
    </row>
    <row r="425" spans="1:15" x14ac:dyDescent="0.3">
      <c r="A425">
        <v>100664601</v>
      </c>
      <c r="B425" t="s">
        <v>880</v>
      </c>
      <c r="C425">
        <v>60</v>
      </c>
      <c r="D425" t="s">
        <v>875</v>
      </c>
      <c r="E425" t="s">
        <v>131</v>
      </c>
      <c r="F425" s="25">
        <v>11417.189999999999</v>
      </c>
      <c r="G425" s="3">
        <v>45804</v>
      </c>
      <c r="H425" t="s">
        <v>80</v>
      </c>
      <c r="I425" s="4" t="str">
        <f t="shared" si="272"/>
        <v>Pension Preservation Fund</v>
      </c>
      <c r="J425" t="str">
        <f t="shared" si="273"/>
        <v>Compulsory, Pens</v>
      </c>
      <c r="K425" t="s">
        <v>15</v>
      </c>
      <c r="M425" t="str">
        <f t="shared" si="249"/>
        <v>d</v>
      </c>
      <c r="N425" t="str">
        <f t="shared" si="250"/>
        <v/>
      </c>
      <c r="O425" t="str">
        <f t="shared" si="251"/>
        <v/>
      </c>
    </row>
    <row r="426" spans="1:15" x14ac:dyDescent="0.3">
      <c r="A426">
        <v>100664601</v>
      </c>
      <c r="B426" t="s">
        <v>881</v>
      </c>
      <c r="C426">
        <v>60</v>
      </c>
      <c r="D426" t="s">
        <v>875</v>
      </c>
      <c r="E426" t="s">
        <v>131</v>
      </c>
      <c r="F426" s="25">
        <v>30376.42</v>
      </c>
      <c r="G426" s="3">
        <v>45804</v>
      </c>
      <c r="H426" t="s">
        <v>26</v>
      </c>
      <c r="I426" s="4" t="str">
        <f t="shared" si="272"/>
        <v>Retirement Annuity</v>
      </c>
      <c r="J426" t="str">
        <f t="shared" si="273"/>
        <v>Compulsory, RA</v>
      </c>
      <c r="K426" t="s">
        <v>15</v>
      </c>
      <c r="M426" t="str">
        <f t="shared" si="249"/>
        <v>d</v>
      </c>
      <c r="N426" t="str">
        <f t="shared" si="250"/>
        <v/>
      </c>
      <c r="O426" t="str">
        <f t="shared" si="251"/>
        <v/>
      </c>
    </row>
    <row r="427" spans="1:15" x14ac:dyDescent="0.3">
      <c r="A427">
        <v>100664601</v>
      </c>
      <c r="B427" t="s">
        <v>1194</v>
      </c>
      <c r="C427">
        <v>60</v>
      </c>
      <c r="D427" t="s">
        <v>875</v>
      </c>
      <c r="E427" t="s">
        <v>131</v>
      </c>
      <c r="F427" s="25">
        <v>173554.37</v>
      </c>
      <c r="G427" s="3">
        <v>45804</v>
      </c>
      <c r="H427" t="s">
        <v>1187</v>
      </c>
      <c r="I427" s="4" t="str">
        <f t="shared" si="272"/>
        <v>Pension Preservation Fund - Sa</v>
      </c>
      <c r="J427" t="str">
        <f t="shared" si="273"/>
        <v>Compulsory, Pens</v>
      </c>
      <c r="K427" t="s">
        <v>15</v>
      </c>
      <c r="M427" t="str">
        <f t="shared" si="249"/>
        <v>d</v>
      </c>
      <c r="N427" t="str">
        <f t="shared" si="250"/>
        <v/>
      </c>
      <c r="O427" t="str">
        <f t="shared" si="251"/>
        <v/>
      </c>
    </row>
    <row r="428" spans="1:15" x14ac:dyDescent="0.3">
      <c r="A428">
        <v>100664601</v>
      </c>
      <c r="B428" t="s">
        <v>1195</v>
      </c>
      <c r="C428">
        <v>60</v>
      </c>
      <c r="D428" t="s">
        <v>875</v>
      </c>
      <c r="E428" t="s">
        <v>131</v>
      </c>
      <c r="F428" s="25">
        <v>10684.869999999999</v>
      </c>
      <c r="G428" s="3">
        <v>45804</v>
      </c>
      <c r="H428" t="s">
        <v>1174</v>
      </c>
      <c r="I428" s="4" t="str">
        <f t="shared" si="272"/>
        <v>Retirement Annuity - Savings C</v>
      </c>
      <c r="J428" t="str">
        <f t="shared" si="273"/>
        <v>Compulsory, RA</v>
      </c>
      <c r="K428" t="s">
        <v>15</v>
      </c>
      <c r="M428" t="str">
        <f t="shared" si="249"/>
        <v>d</v>
      </c>
      <c r="N428" t="str">
        <f t="shared" si="250"/>
        <v/>
      </c>
      <c r="O428" t="str">
        <f t="shared" si="251"/>
        <v/>
      </c>
    </row>
    <row r="429" spans="1:15" x14ac:dyDescent="0.3">
      <c r="A429">
        <v>100664737</v>
      </c>
      <c r="B429" t="s">
        <v>1117</v>
      </c>
      <c r="C429">
        <v>57</v>
      </c>
      <c r="D429" t="s">
        <v>882</v>
      </c>
      <c r="E429" t="s">
        <v>131</v>
      </c>
      <c r="F429" s="25">
        <v>100957.65000000001</v>
      </c>
      <c r="G429" s="3">
        <v>45804</v>
      </c>
      <c r="H429" t="s">
        <v>14</v>
      </c>
      <c r="I429" s="4" t="str">
        <f t="shared" si="272"/>
        <v>Living Annuity</v>
      </c>
      <c r="J429" t="str">
        <f t="shared" si="273"/>
        <v>Compulsory, LA</v>
      </c>
      <c r="K429" t="s">
        <v>15</v>
      </c>
      <c r="M429" t="str">
        <f t="shared" si="249"/>
        <v>b</v>
      </c>
      <c r="N429" t="str">
        <f t="shared" si="250"/>
        <v/>
      </c>
      <c r="O429" t="str">
        <f t="shared" si="251"/>
        <v/>
      </c>
    </row>
    <row r="430" spans="1:15" x14ac:dyDescent="0.3">
      <c r="A430">
        <v>100664737</v>
      </c>
      <c r="B430" t="s">
        <v>1123</v>
      </c>
      <c r="C430">
        <v>57</v>
      </c>
      <c r="D430" t="s">
        <v>882</v>
      </c>
      <c r="E430" t="s">
        <v>131</v>
      </c>
      <c r="F430" s="25">
        <v>704.74</v>
      </c>
      <c r="G430" s="3">
        <v>45804</v>
      </c>
      <c r="H430" t="s">
        <v>14</v>
      </c>
      <c r="I430" s="4" t="str">
        <f t="shared" si="272"/>
        <v>Living Annuity</v>
      </c>
      <c r="J430" t="str">
        <f t="shared" si="273"/>
        <v>Compulsory, LA</v>
      </c>
      <c r="K430" t="s">
        <v>15</v>
      </c>
      <c r="M430" t="str">
        <f t="shared" si="249"/>
        <v>b</v>
      </c>
      <c r="N430" t="str">
        <f t="shared" si="250"/>
        <v/>
      </c>
      <c r="O430" t="str">
        <f t="shared" si="251"/>
        <v/>
      </c>
    </row>
    <row r="431" spans="1:15" x14ac:dyDescent="0.3">
      <c r="A431">
        <v>100665510</v>
      </c>
      <c r="B431" t="s">
        <v>1039</v>
      </c>
      <c r="C431">
        <v>6</v>
      </c>
      <c r="D431" t="s">
        <v>850</v>
      </c>
      <c r="E431" t="s">
        <v>131</v>
      </c>
      <c r="F431" s="25">
        <v>202372.24</v>
      </c>
      <c r="G431" s="3">
        <v>45804</v>
      </c>
      <c r="H431" t="s">
        <v>31</v>
      </c>
      <c r="I431" s="4" t="str">
        <f t="shared" si="272"/>
        <v>Investment Account</v>
      </c>
      <c r="J431" t="str">
        <f t="shared" si="273"/>
        <v>Voluntary</v>
      </c>
      <c r="K431" t="s">
        <v>15</v>
      </c>
      <c r="M431" t="str">
        <f t="shared" si="249"/>
        <v>b</v>
      </c>
      <c r="N431" t="str">
        <f t="shared" si="250"/>
        <v/>
      </c>
      <c r="O431" t="str">
        <f t="shared" si="251"/>
        <v/>
      </c>
    </row>
    <row r="432" spans="1:15" x14ac:dyDescent="0.3">
      <c r="A432">
        <v>100665510</v>
      </c>
      <c r="B432" t="s">
        <v>910</v>
      </c>
      <c r="C432">
        <v>6</v>
      </c>
      <c r="D432" t="s">
        <v>850</v>
      </c>
      <c r="E432" t="s">
        <v>131</v>
      </c>
      <c r="F432" s="25">
        <v>35873.78</v>
      </c>
      <c r="G432" s="3">
        <v>45804</v>
      </c>
      <c r="H432" t="s">
        <v>14</v>
      </c>
      <c r="I432" s="4" t="str">
        <f t="shared" ref="I432" si="276">MID(H432,6,30)</f>
        <v>Living Annuity</v>
      </c>
      <c r="J432" t="str">
        <f t="shared" ref="J432" si="277">IF(LEFT(I432)="L","Compulsory, LA",IF(LEFT(I432)="R","Compulsory, RA",IF(LEFT(I432,2)="Pe","Compulsory, Pens","Voluntary")))</f>
        <v>Compulsory, LA</v>
      </c>
      <c r="K432" t="s">
        <v>15</v>
      </c>
      <c r="M432" t="str">
        <f t="shared" si="249"/>
        <v>b</v>
      </c>
      <c r="N432" t="str">
        <f t="shared" si="250"/>
        <v/>
      </c>
      <c r="O432" t="str">
        <f t="shared" si="251"/>
        <v/>
      </c>
    </row>
    <row r="433" spans="1:15" x14ac:dyDescent="0.3">
      <c r="A433">
        <v>100665581</v>
      </c>
      <c r="B433" t="s">
        <v>1230</v>
      </c>
      <c r="C433">
        <v>113</v>
      </c>
      <c r="D433" t="s">
        <v>884</v>
      </c>
      <c r="E433" t="s">
        <v>131</v>
      </c>
      <c r="F433" s="25">
        <v>330161.27</v>
      </c>
      <c r="G433" s="3">
        <v>45804</v>
      </c>
      <c r="H433" t="s">
        <v>1147</v>
      </c>
      <c r="I433" s="4" t="str">
        <f t="shared" si="272"/>
        <v>Investment Account</v>
      </c>
      <c r="J433" t="str">
        <f t="shared" si="273"/>
        <v>Voluntary</v>
      </c>
      <c r="K433" t="s">
        <v>15</v>
      </c>
      <c r="M433" t="str">
        <f t="shared" si="249"/>
        <v>b</v>
      </c>
      <c r="N433" t="str">
        <f t="shared" si="250"/>
        <v/>
      </c>
      <c r="O433" t="str">
        <f t="shared" si="251"/>
        <v/>
      </c>
    </row>
    <row r="434" spans="1:15" x14ac:dyDescent="0.3">
      <c r="A434">
        <v>100665581</v>
      </c>
      <c r="B434" t="s">
        <v>1236</v>
      </c>
      <c r="C434">
        <v>113</v>
      </c>
      <c r="D434" t="s">
        <v>884</v>
      </c>
      <c r="E434" t="s">
        <v>131</v>
      </c>
      <c r="F434" s="25">
        <v>365.29</v>
      </c>
      <c r="G434" s="3">
        <v>45804</v>
      </c>
      <c r="H434" t="s">
        <v>14</v>
      </c>
      <c r="I434" s="4" t="str">
        <f t="shared" si="272"/>
        <v>Living Annuity</v>
      </c>
      <c r="J434" t="str">
        <f t="shared" si="273"/>
        <v>Compulsory, LA</v>
      </c>
      <c r="K434" t="s">
        <v>15</v>
      </c>
      <c r="M434" t="str">
        <f t="shared" si="249"/>
        <v>b</v>
      </c>
      <c r="N434" t="str">
        <f t="shared" si="250"/>
        <v/>
      </c>
      <c r="O434" t="str">
        <f t="shared" si="251"/>
        <v/>
      </c>
    </row>
    <row r="435" spans="1:15" x14ac:dyDescent="0.3">
      <c r="A435">
        <v>100666150</v>
      </c>
      <c r="B435" t="s">
        <v>810</v>
      </c>
      <c r="C435">
        <v>163</v>
      </c>
      <c r="D435" t="s">
        <v>803</v>
      </c>
      <c r="E435" t="s">
        <v>131</v>
      </c>
      <c r="F435" s="26">
        <v>1597536.3499999999</v>
      </c>
      <c r="G435" s="3">
        <v>45804</v>
      </c>
      <c r="H435" t="s">
        <v>14</v>
      </c>
      <c r="I435" s="4" t="str">
        <f t="shared" si="272"/>
        <v>Living Annuity</v>
      </c>
      <c r="J435" t="str">
        <f t="shared" si="273"/>
        <v>Compulsory, LA</v>
      </c>
      <c r="K435" t="s">
        <v>15</v>
      </c>
      <c r="M435" t="str">
        <f t="shared" si="249"/>
        <v>b</v>
      </c>
      <c r="N435" t="str">
        <f t="shared" si="250"/>
        <v/>
      </c>
      <c r="O435" t="str">
        <f t="shared" si="251"/>
        <v/>
      </c>
    </row>
    <row r="436" spans="1:15" s="13" customFormat="1" x14ac:dyDescent="0.3">
      <c r="A436" s="13">
        <v>100668166</v>
      </c>
      <c r="B436" s="13" t="s">
        <v>915</v>
      </c>
      <c r="C436" s="13">
        <v>188</v>
      </c>
      <c r="D436" s="13" t="s">
        <v>913</v>
      </c>
      <c r="E436" s="13" t="s">
        <v>131</v>
      </c>
      <c r="F436" s="28">
        <v>162064.18</v>
      </c>
      <c r="G436" s="14">
        <v>45804</v>
      </c>
      <c r="H436" s="13" t="s">
        <v>31</v>
      </c>
      <c r="I436" s="15" t="str">
        <f t="shared" ref="I436:I438" si="278">MID(H436,6,30)</f>
        <v>Investment Account</v>
      </c>
      <c r="J436" s="13" t="str">
        <f t="shared" ref="J436:J438" si="279">IF(LEFT(I436)="L","Compulsory, LA",IF(LEFT(I436)="R","Compulsory, RA",IF(LEFT(I436,2)="Pe","Compulsory, Pens","Voluntary")))</f>
        <v>Voluntary</v>
      </c>
      <c r="K436" s="13" t="s">
        <v>15</v>
      </c>
      <c r="M436" t="str">
        <f t="shared" si="249"/>
        <v>b</v>
      </c>
      <c r="N436" t="str">
        <f t="shared" si="250"/>
        <v/>
      </c>
      <c r="O436" t="str">
        <f t="shared" si="251"/>
        <v/>
      </c>
    </row>
    <row r="437" spans="1:15" x14ac:dyDescent="0.3">
      <c r="A437">
        <v>100668409</v>
      </c>
      <c r="B437" t="s">
        <v>1040</v>
      </c>
      <c r="C437">
        <v>178</v>
      </c>
      <c r="D437" t="s">
        <v>852</v>
      </c>
      <c r="E437" t="s">
        <v>131</v>
      </c>
      <c r="F437" s="26">
        <v>133830.49000000002</v>
      </c>
      <c r="G437" s="3">
        <v>45804</v>
      </c>
      <c r="H437" t="s">
        <v>31</v>
      </c>
      <c r="I437" s="4" t="str">
        <f t="shared" si="278"/>
        <v>Investment Account</v>
      </c>
      <c r="J437" t="str">
        <f t="shared" si="279"/>
        <v>Voluntary</v>
      </c>
      <c r="K437" t="s">
        <v>15</v>
      </c>
      <c r="M437" t="str">
        <f t="shared" si="249"/>
        <v>b</v>
      </c>
      <c r="N437" t="str">
        <f t="shared" si="250"/>
        <v/>
      </c>
      <c r="O437" t="str">
        <f t="shared" si="251"/>
        <v/>
      </c>
    </row>
    <row r="438" spans="1:15" x14ac:dyDescent="0.3">
      <c r="A438">
        <v>100668534</v>
      </c>
      <c r="B438" t="s">
        <v>1041</v>
      </c>
      <c r="C438">
        <v>23</v>
      </c>
      <c r="D438" t="s">
        <v>194</v>
      </c>
      <c r="E438" t="s">
        <v>131</v>
      </c>
      <c r="F438" s="26">
        <v>3044.18</v>
      </c>
      <c r="G438" s="3">
        <v>45804</v>
      </c>
      <c r="H438" t="s">
        <v>31</v>
      </c>
      <c r="I438" s="4" t="str">
        <f t="shared" si="278"/>
        <v>Investment Account</v>
      </c>
      <c r="J438" t="str">
        <f t="shared" si="279"/>
        <v>Voluntary</v>
      </c>
      <c r="K438" t="s">
        <v>15</v>
      </c>
      <c r="M438" t="str">
        <f t="shared" si="249"/>
        <v>b</v>
      </c>
      <c r="N438" t="str">
        <f t="shared" si="250"/>
        <v/>
      </c>
      <c r="O438" t="str">
        <f t="shared" si="251"/>
        <v/>
      </c>
    </row>
    <row r="439" spans="1:15" x14ac:dyDescent="0.3">
      <c r="A439">
        <v>100669580</v>
      </c>
      <c r="B439" t="s">
        <v>911</v>
      </c>
      <c r="C439">
        <v>321</v>
      </c>
      <c r="D439" t="s">
        <v>887</v>
      </c>
      <c r="E439" t="s">
        <v>131</v>
      </c>
      <c r="F439" s="26">
        <v>16196.54</v>
      </c>
      <c r="G439" s="3">
        <v>45804</v>
      </c>
      <c r="H439" t="s">
        <v>14</v>
      </c>
      <c r="I439" s="4" t="str">
        <f t="shared" si="272"/>
        <v>Living Annuity</v>
      </c>
      <c r="J439" t="str">
        <f t="shared" si="273"/>
        <v>Compulsory, LA</v>
      </c>
      <c r="K439" t="s">
        <v>15</v>
      </c>
      <c r="M439" t="str">
        <f t="shared" si="249"/>
        <v>b</v>
      </c>
      <c r="N439" t="str">
        <f t="shared" si="250"/>
        <v/>
      </c>
      <c r="O439" t="str">
        <f t="shared" si="251"/>
        <v/>
      </c>
    </row>
    <row r="440" spans="1:15" x14ac:dyDescent="0.3">
      <c r="A440">
        <v>100670671</v>
      </c>
      <c r="B440" t="s">
        <v>912</v>
      </c>
      <c r="C440">
        <v>150</v>
      </c>
      <c r="D440" t="s">
        <v>890</v>
      </c>
      <c r="E440" t="s">
        <v>131</v>
      </c>
      <c r="F440" s="26">
        <v>201.64</v>
      </c>
      <c r="G440" s="3">
        <v>45804</v>
      </c>
      <c r="H440" t="s">
        <v>31</v>
      </c>
      <c r="I440" s="4" t="str">
        <f t="shared" si="272"/>
        <v>Investment Account</v>
      </c>
      <c r="J440" t="str">
        <f t="shared" si="273"/>
        <v>Voluntary</v>
      </c>
      <c r="K440" t="s">
        <v>15</v>
      </c>
      <c r="M440" t="str">
        <f t="shared" si="249"/>
        <v>b</v>
      </c>
      <c r="N440" t="str">
        <f t="shared" si="250"/>
        <v/>
      </c>
      <c r="O440" t="str">
        <f t="shared" si="251"/>
        <v/>
      </c>
    </row>
    <row r="441" spans="1:15" x14ac:dyDescent="0.3">
      <c r="A441">
        <v>100670671</v>
      </c>
      <c r="B441" t="s">
        <v>1110</v>
      </c>
      <c r="C441">
        <v>150</v>
      </c>
      <c r="D441" t="s">
        <v>890</v>
      </c>
      <c r="E441" t="s">
        <v>131</v>
      </c>
      <c r="F441" s="26">
        <v>30477.239999999998</v>
      </c>
      <c r="G441" s="3">
        <v>45804</v>
      </c>
      <c r="H441" t="s">
        <v>26</v>
      </c>
      <c r="I441" s="4" t="str">
        <f t="shared" si="272"/>
        <v>Retirement Annuity</v>
      </c>
      <c r="J441" t="str">
        <f t="shared" si="273"/>
        <v>Compulsory, RA</v>
      </c>
      <c r="K441" t="s">
        <v>15</v>
      </c>
      <c r="M441" t="str">
        <f t="shared" si="249"/>
        <v>d</v>
      </c>
      <c r="N441" t="str">
        <f t="shared" si="250"/>
        <v/>
      </c>
      <c r="O441" t="str">
        <f t="shared" si="251"/>
        <v/>
      </c>
    </row>
    <row r="442" spans="1:15" x14ac:dyDescent="0.3">
      <c r="A442">
        <v>100670671</v>
      </c>
      <c r="B442" t="s">
        <v>1196</v>
      </c>
      <c r="C442">
        <v>150</v>
      </c>
      <c r="D442" t="s">
        <v>890</v>
      </c>
      <c r="E442" t="s">
        <v>131</v>
      </c>
      <c r="F442" s="26">
        <v>116.84</v>
      </c>
      <c r="G442" s="3">
        <v>45804</v>
      </c>
      <c r="H442" t="s">
        <v>1174</v>
      </c>
      <c r="I442" s="4" t="str">
        <f t="shared" si="272"/>
        <v>Retirement Annuity - Savings C</v>
      </c>
      <c r="J442" t="str">
        <f t="shared" si="273"/>
        <v>Compulsory, RA</v>
      </c>
      <c r="K442" t="s">
        <v>15</v>
      </c>
      <c r="M442" t="str">
        <f t="shared" si="249"/>
        <v>d</v>
      </c>
      <c r="N442" t="str">
        <f t="shared" si="250"/>
        <v/>
      </c>
      <c r="O442" t="str">
        <f t="shared" si="251"/>
        <v/>
      </c>
    </row>
    <row r="443" spans="1:15" x14ac:dyDescent="0.3">
      <c r="A443">
        <v>100670671</v>
      </c>
      <c r="B443" t="s">
        <v>1197</v>
      </c>
      <c r="C443">
        <v>150</v>
      </c>
      <c r="D443" t="s">
        <v>890</v>
      </c>
      <c r="E443" t="s">
        <v>131</v>
      </c>
      <c r="F443" s="26">
        <v>2633.1</v>
      </c>
      <c r="G443" s="3">
        <v>45804</v>
      </c>
      <c r="H443" t="s">
        <v>1175</v>
      </c>
      <c r="I443" s="4" t="str">
        <f t="shared" si="272"/>
        <v>Retirement Annuity - Retiremen</v>
      </c>
      <c r="J443" t="str">
        <f t="shared" si="273"/>
        <v>Compulsory, RA</v>
      </c>
      <c r="K443" t="s">
        <v>15</v>
      </c>
      <c r="M443" t="str">
        <f t="shared" si="249"/>
        <v>d</v>
      </c>
      <c r="N443" t="str">
        <f t="shared" si="250"/>
        <v/>
      </c>
      <c r="O443" t="str">
        <f t="shared" si="251"/>
        <v/>
      </c>
    </row>
    <row r="444" spans="1:15" x14ac:dyDescent="0.3">
      <c r="A444">
        <v>100675336</v>
      </c>
      <c r="B444" t="s">
        <v>1099</v>
      </c>
      <c r="C444">
        <v>245</v>
      </c>
      <c r="D444" t="s">
        <v>1094</v>
      </c>
      <c r="E444" t="s">
        <v>131</v>
      </c>
      <c r="F444" s="25">
        <v>56831.869999999995</v>
      </c>
      <c r="G444" s="3">
        <v>45804</v>
      </c>
      <c r="H444" t="s">
        <v>14</v>
      </c>
      <c r="I444" s="4" t="str">
        <f t="shared" si="272"/>
        <v>Living Annuity</v>
      </c>
      <c r="J444" t="str">
        <f t="shared" si="273"/>
        <v>Compulsory, LA</v>
      </c>
      <c r="K444" t="s">
        <v>15</v>
      </c>
      <c r="M444" t="str">
        <f t="shared" si="249"/>
        <v>b</v>
      </c>
      <c r="N444" t="str">
        <f t="shared" si="250"/>
        <v/>
      </c>
      <c r="O444" t="str">
        <f t="shared" si="251"/>
        <v/>
      </c>
    </row>
    <row r="445" spans="1:15" x14ac:dyDescent="0.3">
      <c r="A445">
        <v>100677278</v>
      </c>
      <c r="B445" t="s">
        <v>1042</v>
      </c>
      <c r="C445">
        <v>460</v>
      </c>
      <c r="D445" t="s">
        <v>993</v>
      </c>
      <c r="E445" t="s">
        <v>131</v>
      </c>
      <c r="F445" s="25">
        <v>279.39</v>
      </c>
      <c r="G445" s="3">
        <v>45804</v>
      </c>
      <c r="H445" t="s">
        <v>14</v>
      </c>
      <c r="I445" s="4" t="str">
        <f t="shared" si="272"/>
        <v>Living Annuity</v>
      </c>
      <c r="J445" t="str">
        <f t="shared" si="273"/>
        <v>Compulsory, LA</v>
      </c>
      <c r="K445" t="s">
        <v>15</v>
      </c>
      <c r="M445" t="str">
        <f t="shared" ref="M445:M508" si="280">RIGHT(B445,1)</f>
        <v>b</v>
      </c>
      <c r="N445" t="str">
        <f t="shared" ref="N445:N508" si="281">IF(M445="f","FFFF","")</f>
        <v/>
      </c>
      <c r="O445" t="str">
        <f t="shared" ref="O445:O508" si="282">IF(M445="I","IIII","")</f>
        <v/>
      </c>
    </row>
    <row r="446" spans="1:15" x14ac:dyDescent="0.3">
      <c r="A446">
        <v>100677585</v>
      </c>
      <c r="B446" t="s">
        <v>1105</v>
      </c>
      <c r="C446">
        <v>175</v>
      </c>
      <c r="D446" t="s">
        <v>1104</v>
      </c>
      <c r="E446" t="s">
        <v>131</v>
      </c>
      <c r="F446" s="26">
        <v>193872.82</v>
      </c>
      <c r="G446" s="3">
        <v>45804</v>
      </c>
      <c r="H446" t="s">
        <v>14</v>
      </c>
      <c r="I446" s="4" t="str">
        <f>MID(H446,6,30)</f>
        <v>Living Annuity</v>
      </c>
      <c r="J446" t="str">
        <f>IF(LEFT(I446)="L","Compulsory, LA",IF(LEFT(I446)="R","Compulsory, RA",IF(LEFT(I446,2)="Pe","Compulsory, Pens","Voluntary")))</f>
        <v>Compulsory, LA</v>
      </c>
      <c r="K446" t="s">
        <v>15</v>
      </c>
      <c r="M446" t="str">
        <f t="shared" si="280"/>
        <v>b</v>
      </c>
      <c r="N446" t="str">
        <f t="shared" si="281"/>
        <v/>
      </c>
      <c r="O446" t="str">
        <f t="shared" si="282"/>
        <v/>
      </c>
    </row>
    <row r="447" spans="1:15" x14ac:dyDescent="0.3">
      <c r="A447">
        <v>100706842</v>
      </c>
      <c r="B447" t="s">
        <v>1134</v>
      </c>
      <c r="C447">
        <v>83</v>
      </c>
      <c r="D447" t="s">
        <v>1129</v>
      </c>
      <c r="E447" t="s">
        <v>131</v>
      </c>
      <c r="F447" s="26">
        <v>156142.6</v>
      </c>
      <c r="G447" s="3">
        <v>45804</v>
      </c>
      <c r="H447" t="s">
        <v>14</v>
      </c>
      <c r="I447" s="4" t="str">
        <f t="shared" ref="I447:I448" si="283">MID(H447,6,30)</f>
        <v>Living Annuity</v>
      </c>
      <c r="J447" t="str">
        <f t="shared" ref="J447:J448" si="284">IF(LEFT(I447)="L","Compulsory, LA",IF(LEFT(I447)="R","Compulsory, RA",IF(LEFT(I447,2)="Pe","Compulsory, Pens","Voluntary")))</f>
        <v>Compulsory, LA</v>
      </c>
      <c r="K447" t="s">
        <v>15</v>
      </c>
      <c r="M447" t="str">
        <f t="shared" si="280"/>
        <v>b</v>
      </c>
      <c r="N447" t="str">
        <f t="shared" si="281"/>
        <v/>
      </c>
      <c r="O447" t="str">
        <f t="shared" si="282"/>
        <v/>
      </c>
    </row>
    <row r="448" spans="1:15" x14ac:dyDescent="0.3">
      <c r="A448">
        <v>100711105</v>
      </c>
      <c r="B448" t="s">
        <v>1135</v>
      </c>
      <c r="C448">
        <v>470</v>
      </c>
      <c r="D448" t="s">
        <v>1130</v>
      </c>
      <c r="E448" t="s">
        <v>131</v>
      </c>
      <c r="F448" s="26">
        <v>142839.66</v>
      </c>
      <c r="G448" s="3">
        <v>45804</v>
      </c>
      <c r="H448" t="s">
        <v>31</v>
      </c>
      <c r="I448" s="4" t="str">
        <f t="shared" si="283"/>
        <v>Investment Account</v>
      </c>
      <c r="J448" t="str">
        <f t="shared" si="284"/>
        <v>Voluntary</v>
      </c>
      <c r="K448" t="s">
        <v>15</v>
      </c>
      <c r="M448" t="str">
        <f t="shared" si="280"/>
        <v>b</v>
      </c>
      <c r="N448" t="str">
        <f t="shared" si="281"/>
        <v/>
      </c>
      <c r="O448" t="str">
        <f t="shared" si="282"/>
        <v/>
      </c>
    </row>
    <row r="449" spans="1:15" x14ac:dyDescent="0.3">
      <c r="A449">
        <v>100786852</v>
      </c>
      <c r="B449" t="s">
        <v>1222</v>
      </c>
      <c r="C449">
        <v>209</v>
      </c>
      <c r="D449" t="s">
        <v>1201</v>
      </c>
      <c r="E449" t="s">
        <v>131</v>
      </c>
      <c r="F449" s="26">
        <v>1001</v>
      </c>
      <c r="G449" s="3">
        <v>45804</v>
      </c>
      <c r="H449" t="s">
        <v>14</v>
      </c>
      <c r="I449" s="4" t="str">
        <f>MID(H449,6,30)</f>
        <v>Living Annuity</v>
      </c>
      <c r="J449" t="str">
        <f>IF(LEFT(I449)="L","Compulsory, LA",IF(LEFT(I449)="R","Compulsory, RA",IF(LEFT(I449,2)="Pe","Compulsory, Pens","Voluntary")))</f>
        <v>Compulsory, LA</v>
      </c>
      <c r="K449" t="s">
        <v>15</v>
      </c>
      <c r="M449" t="str">
        <f t="shared" si="280"/>
        <v>b</v>
      </c>
      <c r="N449" t="str">
        <f t="shared" si="281"/>
        <v/>
      </c>
      <c r="O449" t="str">
        <f t="shared" si="282"/>
        <v/>
      </c>
    </row>
    <row r="450" spans="1:15" s="6" customFormat="1" x14ac:dyDescent="0.3">
      <c r="A450" s="6">
        <v>100799345</v>
      </c>
      <c r="B450" s="6" t="s">
        <v>1231</v>
      </c>
      <c r="C450" s="6">
        <v>478</v>
      </c>
      <c r="D450" s="6" t="s">
        <v>1228</v>
      </c>
      <c r="E450" s="6" t="s">
        <v>131</v>
      </c>
      <c r="F450" s="32">
        <v>172077.35</v>
      </c>
      <c r="G450" s="22">
        <v>45804</v>
      </c>
      <c r="H450" s="6" t="s">
        <v>1147</v>
      </c>
      <c r="I450" s="23" t="str">
        <f>MID(H450,6,30)</f>
        <v>Investment Account</v>
      </c>
      <c r="J450" s="6" t="str">
        <f>IF(LEFT(I450)="L","Compulsory, LA",IF(LEFT(I450)="R","Compulsory, RA",IF(LEFT(I450,2)="Pe","Compulsory, Pens","Voluntary")))</f>
        <v>Voluntary</v>
      </c>
      <c r="K450" s="6" t="s">
        <v>15</v>
      </c>
      <c r="M450" t="str">
        <f t="shared" si="280"/>
        <v>b</v>
      </c>
      <c r="N450" t="str">
        <f t="shared" si="281"/>
        <v/>
      </c>
      <c r="O450" t="str">
        <f t="shared" si="282"/>
        <v/>
      </c>
    </row>
    <row r="451" spans="1:15" s="6" customFormat="1" x14ac:dyDescent="0.3">
      <c r="A451" s="6">
        <v>32490</v>
      </c>
      <c r="B451" s="6" t="s">
        <v>713</v>
      </c>
      <c r="C451" s="6">
        <v>126</v>
      </c>
      <c r="D451" s="6" t="s">
        <v>12</v>
      </c>
      <c r="E451" s="6" t="s">
        <v>137</v>
      </c>
      <c r="F451" s="31">
        <v>97651.540000000008</v>
      </c>
      <c r="G451" s="22">
        <v>45804</v>
      </c>
      <c r="H451" s="24" t="s">
        <v>31</v>
      </c>
      <c r="I451" s="23" t="str">
        <f>MID(H451,6,30)</f>
        <v>Investment Account</v>
      </c>
      <c r="J451" s="6" t="str">
        <f>IF(LEFT(I451)="L","Compulsory, LA",IF(LEFT(I451)="R","Compulsory, RA",IF(LEFT(I451,2)="Pe","Compulsory, Pens","Voluntary")))</f>
        <v>Voluntary</v>
      </c>
      <c r="K451" s="6" t="s">
        <v>15</v>
      </c>
      <c r="M451" t="str">
        <f t="shared" si="280"/>
        <v>b</v>
      </c>
      <c r="N451" t="str">
        <f t="shared" si="281"/>
        <v/>
      </c>
      <c r="O451" t="str">
        <f t="shared" si="282"/>
        <v/>
      </c>
    </row>
    <row r="452" spans="1:15" x14ac:dyDescent="0.3">
      <c r="A452">
        <v>32490</v>
      </c>
      <c r="B452" t="s">
        <v>771</v>
      </c>
      <c r="C452">
        <v>126</v>
      </c>
      <c r="D452" t="s">
        <v>12</v>
      </c>
      <c r="E452" t="s">
        <v>137</v>
      </c>
      <c r="F452" s="25">
        <v>19028.5</v>
      </c>
      <c r="G452" s="3">
        <v>45804</v>
      </c>
      <c r="H452" t="s">
        <v>14</v>
      </c>
      <c r="I452" s="4" t="str">
        <f>MID(H452,6,30)</f>
        <v>Living Annuity</v>
      </c>
      <c r="J452" t="str">
        <f>IF(LEFT(I452)="L","Compulsory, LA",IF(LEFT(I452)="R","Compulsory, RA",IF(LEFT(I452,2)="Pe","Compulsory, Pens","Voluntary")))</f>
        <v>Compulsory, LA</v>
      </c>
      <c r="K452" t="s">
        <v>15</v>
      </c>
      <c r="M452" t="str">
        <f t="shared" si="280"/>
        <v>b</v>
      </c>
      <c r="N452" t="str">
        <f t="shared" si="281"/>
        <v/>
      </c>
      <c r="O452" t="str">
        <f t="shared" si="282"/>
        <v/>
      </c>
    </row>
    <row r="453" spans="1:15" x14ac:dyDescent="0.3">
      <c r="A453">
        <v>32490</v>
      </c>
      <c r="B453" t="s">
        <v>772</v>
      </c>
      <c r="C453">
        <v>126</v>
      </c>
      <c r="D453" t="s">
        <v>12</v>
      </c>
      <c r="E453" t="s">
        <v>137</v>
      </c>
      <c r="F453" s="25">
        <v>128.52000000000001</v>
      </c>
      <c r="G453" s="3">
        <v>45804</v>
      </c>
      <c r="H453" t="s">
        <v>14</v>
      </c>
      <c r="I453" s="4" t="str">
        <f>MID(H453,6,30)</f>
        <v>Living Annuity</v>
      </c>
      <c r="J453" t="str">
        <f>IF(LEFT(I453)="L","Compulsory, LA",IF(LEFT(I453)="R","Compulsory, RA",IF(LEFT(I453,2)="Pe","Compulsory, Pens","Voluntary")))</f>
        <v>Compulsory, LA</v>
      </c>
      <c r="K453" t="s">
        <v>15</v>
      </c>
      <c r="M453" t="str">
        <f t="shared" si="280"/>
        <v>b</v>
      </c>
      <c r="N453" t="str">
        <f t="shared" si="281"/>
        <v/>
      </c>
      <c r="O453" t="str">
        <f t="shared" si="282"/>
        <v/>
      </c>
    </row>
    <row r="454" spans="1:15" x14ac:dyDescent="0.3">
      <c r="A454">
        <v>33672</v>
      </c>
      <c r="B454" t="s">
        <v>996</v>
      </c>
      <c r="C454">
        <v>87</v>
      </c>
      <c r="D454" t="s">
        <v>18</v>
      </c>
      <c r="E454" t="s">
        <v>137</v>
      </c>
      <c r="F454" s="25">
        <v>133784.68</v>
      </c>
      <c r="G454" s="3">
        <v>45804</v>
      </c>
      <c r="H454" t="s">
        <v>14</v>
      </c>
      <c r="I454" s="4" t="str">
        <f t="shared" si="258"/>
        <v>Living Annuity</v>
      </c>
      <c r="J454" t="str">
        <f t="shared" si="259"/>
        <v>Compulsory, LA</v>
      </c>
      <c r="K454" t="s">
        <v>15</v>
      </c>
      <c r="M454" t="str">
        <f t="shared" si="280"/>
        <v>b</v>
      </c>
      <c r="N454" t="str">
        <f t="shared" si="281"/>
        <v/>
      </c>
      <c r="O454" t="str">
        <f t="shared" si="282"/>
        <v/>
      </c>
    </row>
    <row r="455" spans="1:15" x14ac:dyDescent="0.3">
      <c r="A455">
        <v>34171</v>
      </c>
      <c r="B455" t="s">
        <v>997</v>
      </c>
      <c r="C455">
        <v>268</v>
      </c>
      <c r="D455" t="s">
        <v>928</v>
      </c>
      <c r="E455" t="s">
        <v>137</v>
      </c>
      <c r="F455" s="25">
        <v>8379.7900000000009</v>
      </c>
      <c r="G455" s="3">
        <v>45804</v>
      </c>
      <c r="H455" t="s">
        <v>14</v>
      </c>
      <c r="I455" s="4" t="str">
        <f t="shared" si="258"/>
        <v>Living Annuity</v>
      </c>
      <c r="J455" t="str">
        <f t="shared" si="259"/>
        <v>Compulsory, LA</v>
      </c>
      <c r="K455" t="s">
        <v>15</v>
      </c>
      <c r="M455" t="str">
        <f t="shared" si="280"/>
        <v>b</v>
      </c>
      <c r="N455" t="str">
        <f t="shared" si="281"/>
        <v/>
      </c>
      <c r="O455" t="str">
        <f t="shared" si="282"/>
        <v/>
      </c>
    </row>
    <row r="456" spans="1:15" x14ac:dyDescent="0.3">
      <c r="A456">
        <v>34173</v>
      </c>
      <c r="B456" t="s">
        <v>998</v>
      </c>
      <c r="C456">
        <v>96</v>
      </c>
      <c r="D456" t="s">
        <v>22</v>
      </c>
      <c r="E456" t="s">
        <v>137</v>
      </c>
      <c r="F456" s="25">
        <v>57347.429999999993</v>
      </c>
      <c r="G456" s="3">
        <v>45804</v>
      </c>
      <c r="H456" t="s">
        <v>14</v>
      </c>
      <c r="I456" s="4" t="str">
        <f t="shared" si="258"/>
        <v>Living Annuity</v>
      </c>
      <c r="J456" t="str">
        <f t="shared" si="259"/>
        <v>Compulsory, LA</v>
      </c>
      <c r="K456" t="s">
        <v>15</v>
      </c>
      <c r="M456" t="str">
        <f t="shared" si="280"/>
        <v>b</v>
      </c>
      <c r="N456" t="str">
        <f t="shared" si="281"/>
        <v/>
      </c>
      <c r="O456" t="str">
        <f t="shared" si="282"/>
        <v/>
      </c>
    </row>
    <row r="457" spans="1:15" x14ac:dyDescent="0.3">
      <c r="A457">
        <v>34199</v>
      </c>
      <c r="B457" t="s">
        <v>999</v>
      </c>
      <c r="C457">
        <v>240</v>
      </c>
      <c r="D457" t="s">
        <v>24</v>
      </c>
      <c r="E457" t="s">
        <v>137</v>
      </c>
      <c r="F457" s="25">
        <v>1240.06</v>
      </c>
      <c r="G457" s="3">
        <v>45804</v>
      </c>
      <c r="H457" t="s">
        <v>14</v>
      </c>
      <c r="I457" s="4" t="str">
        <f t="shared" si="258"/>
        <v>Living Annuity</v>
      </c>
      <c r="J457" t="str">
        <f t="shared" si="259"/>
        <v>Compulsory, LA</v>
      </c>
      <c r="K457" t="s">
        <v>15</v>
      </c>
      <c r="M457" t="str">
        <f t="shared" si="280"/>
        <v>b</v>
      </c>
      <c r="N457" t="str">
        <f t="shared" si="281"/>
        <v/>
      </c>
      <c r="O457" t="str">
        <f t="shared" si="282"/>
        <v/>
      </c>
    </row>
    <row r="458" spans="1:15" x14ac:dyDescent="0.3">
      <c r="A458">
        <v>34200</v>
      </c>
      <c r="B458" t="s">
        <v>1148</v>
      </c>
      <c r="C458">
        <v>99</v>
      </c>
      <c r="D458" t="s">
        <v>25</v>
      </c>
      <c r="E458" t="s">
        <v>137</v>
      </c>
      <c r="F458" s="26">
        <v>54935.950000000004</v>
      </c>
      <c r="G458" s="3">
        <v>45804</v>
      </c>
      <c r="H458" t="s">
        <v>1147</v>
      </c>
      <c r="I458" s="4" t="str">
        <f>MID(H458,6,30)</f>
        <v>Investment Account</v>
      </c>
      <c r="J458" t="str">
        <f>IF(LEFT(I458)="L","Compulsory, LA",IF(LEFT(I458)="R","Compulsory, RA",IF(LEFT(I458,2)="Pe","Compulsory, Pens","Voluntary")))</f>
        <v>Voluntary</v>
      </c>
      <c r="K458" t="s">
        <v>15</v>
      </c>
      <c r="M458" t="str">
        <f t="shared" si="280"/>
        <v>b</v>
      </c>
      <c r="N458" t="str">
        <f t="shared" si="281"/>
        <v/>
      </c>
      <c r="O458" t="str">
        <f t="shared" si="282"/>
        <v/>
      </c>
    </row>
    <row r="459" spans="1:15" x14ac:dyDescent="0.3">
      <c r="A459">
        <v>34200</v>
      </c>
      <c r="B459" t="s">
        <v>933</v>
      </c>
      <c r="C459">
        <v>99</v>
      </c>
      <c r="D459" t="s">
        <v>25</v>
      </c>
      <c r="E459" t="s">
        <v>137</v>
      </c>
      <c r="F459" s="26">
        <v>135459.91999999998</v>
      </c>
      <c r="G459" s="3">
        <v>45804</v>
      </c>
      <c r="H459" t="s">
        <v>26</v>
      </c>
      <c r="I459" s="4" t="str">
        <f>MID(H459,6,30)</f>
        <v>Retirement Annuity</v>
      </c>
      <c r="J459" t="str">
        <f>IF(LEFT(I459)="L","Compulsory, LA",IF(LEFT(I459)="R","Compulsory, RA",IF(LEFT(I459,2)="Pe","Compulsory, Pens","Voluntary")))</f>
        <v>Compulsory, RA</v>
      </c>
      <c r="K459" t="s">
        <v>15</v>
      </c>
      <c r="M459" t="str">
        <f t="shared" si="280"/>
        <v>d</v>
      </c>
      <c r="N459" t="str">
        <f t="shared" si="281"/>
        <v/>
      </c>
      <c r="O459" t="str">
        <f t="shared" si="282"/>
        <v/>
      </c>
    </row>
    <row r="460" spans="1:15" x14ac:dyDescent="0.3">
      <c r="A460">
        <v>34200</v>
      </c>
      <c r="B460" t="s">
        <v>934</v>
      </c>
      <c r="C460">
        <v>99</v>
      </c>
      <c r="D460" t="s">
        <v>25</v>
      </c>
      <c r="E460" t="s">
        <v>137</v>
      </c>
      <c r="F460" s="26">
        <v>5779.75</v>
      </c>
      <c r="G460" s="3">
        <v>45804</v>
      </c>
      <c r="H460" t="s">
        <v>26</v>
      </c>
      <c r="I460" s="4" t="str">
        <f>MID(H460,6,30)</f>
        <v>Retirement Annuity</v>
      </c>
      <c r="J460" t="str">
        <f>IF(LEFT(I460)="L","Compulsory, LA",IF(LEFT(I460)="R","Compulsory, RA",IF(LEFT(I460,2)="Pe","Compulsory, Pens","Voluntary")))</f>
        <v>Compulsory, RA</v>
      </c>
      <c r="K460" t="s">
        <v>15</v>
      </c>
      <c r="M460" t="str">
        <f t="shared" si="280"/>
        <v>d</v>
      </c>
      <c r="N460" t="str">
        <f t="shared" si="281"/>
        <v/>
      </c>
      <c r="O460" t="str">
        <f t="shared" si="282"/>
        <v/>
      </c>
    </row>
    <row r="461" spans="1:15" x14ac:dyDescent="0.3">
      <c r="A461">
        <v>34200</v>
      </c>
      <c r="B461" t="s">
        <v>1178</v>
      </c>
      <c r="C461">
        <v>99</v>
      </c>
      <c r="D461" t="s">
        <v>25</v>
      </c>
      <c r="E461" t="s">
        <v>137</v>
      </c>
      <c r="F461" s="26">
        <v>4991.0999999999995</v>
      </c>
      <c r="G461" s="3">
        <v>45804</v>
      </c>
      <c r="H461" t="s">
        <v>1175</v>
      </c>
      <c r="I461" s="4" t="str">
        <f>MID(H461,6,30)</f>
        <v>Retirement Annuity - Retiremen</v>
      </c>
      <c r="J461" t="str">
        <f>IF(LEFT(I461)="L","Compulsory, LA",IF(LEFT(I461)="R","Compulsory, RA",IF(LEFT(I461,2)="Pe","Compulsory, Pens","Voluntary")))</f>
        <v>Compulsory, RA</v>
      </c>
      <c r="K461" t="s">
        <v>15</v>
      </c>
      <c r="M461" t="str">
        <f t="shared" si="280"/>
        <v>d</v>
      </c>
      <c r="N461" t="str">
        <f t="shared" si="281"/>
        <v/>
      </c>
      <c r="O461" t="str">
        <f t="shared" si="282"/>
        <v/>
      </c>
    </row>
    <row r="462" spans="1:15" x14ac:dyDescent="0.3">
      <c r="A462">
        <v>34200</v>
      </c>
      <c r="B462" t="s">
        <v>1176</v>
      </c>
      <c r="C462">
        <v>99</v>
      </c>
      <c r="D462" t="s">
        <v>25</v>
      </c>
      <c r="E462" t="s">
        <v>137</v>
      </c>
      <c r="F462" s="26">
        <v>313.39</v>
      </c>
      <c r="G462" s="3">
        <v>45804</v>
      </c>
      <c r="H462" t="s">
        <v>1174</v>
      </c>
      <c r="I462" s="4" t="str">
        <f t="shared" ref="I462:I463" si="285">MID(H462,6,30)</f>
        <v>Retirement Annuity - Savings C</v>
      </c>
      <c r="J462" t="str">
        <f t="shared" ref="J462:J463" si="286">IF(LEFT(I462)="L","Compulsory, LA",IF(LEFT(I462)="R","Compulsory, RA",IF(LEFT(I462,2)="Pe","Compulsory, Pens","Voluntary")))</f>
        <v>Compulsory, RA</v>
      </c>
      <c r="K462" t="s">
        <v>15</v>
      </c>
      <c r="M462" t="str">
        <f t="shared" si="280"/>
        <v>d</v>
      </c>
      <c r="N462" t="str">
        <f t="shared" si="281"/>
        <v/>
      </c>
      <c r="O462" t="str">
        <f t="shared" si="282"/>
        <v/>
      </c>
    </row>
    <row r="463" spans="1:15" x14ac:dyDescent="0.3">
      <c r="A463">
        <v>34200</v>
      </c>
      <c r="B463" t="s">
        <v>1177</v>
      </c>
      <c r="C463">
        <v>99</v>
      </c>
      <c r="D463" t="s">
        <v>25</v>
      </c>
      <c r="E463" t="s">
        <v>137</v>
      </c>
      <c r="F463" s="26">
        <v>191463.8</v>
      </c>
      <c r="G463" s="3">
        <v>45804</v>
      </c>
      <c r="H463" t="s">
        <v>1174</v>
      </c>
      <c r="I463" s="4" t="str">
        <f t="shared" si="285"/>
        <v>Retirement Annuity - Savings C</v>
      </c>
      <c r="J463" t="str">
        <f t="shared" si="286"/>
        <v>Compulsory, RA</v>
      </c>
      <c r="K463" t="s">
        <v>15</v>
      </c>
      <c r="M463" t="str">
        <f t="shared" si="280"/>
        <v>d</v>
      </c>
      <c r="N463" t="str">
        <f t="shared" si="281"/>
        <v/>
      </c>
      <c r="O463" t="str">
        <f t="shared" si="282"/>
        <v/>
      </c>
    </row>
    <row r="464" spans="1:15" x14ac:dyDescent="0.3">
      <c r="A464">
        <v>34202</v>
      </c>
      <c r="B464" t="s">
        <v>807</v>
      </c>
      <c r="C464">
        <v>104</v>
      </c>
      <c r="D464" t="s">
        <v>797</v>
      </c>
      <c r="E464" t="s">
        <v>137</v>
      </c>
      <c r="F464" s="26">
        <v>775154.12</v>
      </c>
      <c r="G464" s="3">
        <v>45804</v>
      </c>
      <c r="H464" t="s">
        <v>14</v>
      </c>
      <c r="I464" s="4" t="str">
        <f>MID(H464,6,30)</f>
        <v>Living Annuity</v>
      </c>
      <c r="J464" t="str">
        <f>IF(LEFT(I464)="L","Compulsory, LA",IF(LEFT(I464)="R","Compulsory, RA",IF(LEFT(I464,2)="Pe","Compulsory, Pens","Voluntary")))</f>
        <v>Compulsory, LA</v>
      </c>
      <c r="K464" t="s">
        <v>15</v>
      </c>
      <c r="M464" t="str">
        <f t="shared" si="280"/>
        <v>b</v>
      </c>
      <c r="N464" t="str">
        <f t="shared" si="281"/>
        <v/>
      </c>
      <c r="O464" t="str">
        <f t="shared" si="282"/>
        <v/>
      </c>
    </row>
    <row r="465" spans="1:15" x14ac:dyDescent="0.3">
      <c r="A465">
        <v>34202</v>
      </c>
      <c r="B465" t="s">
        <v>806</v>
      </c>
      <c r="C465">
        <v>104</v>
      </c>
      <c r="D465" t="s">
        <v>797</v>
      </c>
      <c r="E465" t="s">
        <v>137</v>
      </c>
      <c r="F465" s="26">
        <v>173802.74</v>
      </c>
      <c r="G465" s="3">
        <v>45804</v>
      </c>
      <c r="H465" t="s">
        <v>14</v>
      </c>
      <c r="I465" s="4" t="str">
        <f t="shared" ref="I465" si="287">MID(H465,6,30)</f>
        <v>Living Annuity</v>
      </c>
      <c r="J465" t="str">
        <f t="shared" ref="J465" si="288">IF(LEFT(I465)="L","Compulsory, LA",IF(LEFT(I465)="R","Compulsory, RA",IF(LEFT(I465,2)="Pe","Compulsory, Pens","Voluntary")))</f>
        <v>Compulsory, LA</v>
      </c>
      <c r="K465" t="s">
        <v>15</v>
      </c>
      <c r="M465" t="str">
        <f t="shared" si="280"/>
        <v>b</v>
      </c>
      <c r="N465" t="str">
        <f t="shared" si="281"/>
        <v/>
      </c>
      <c r="O465" t="str">
        <f t="shared" si="282"/>
        <v/>
      </c>
    </row>
    <row r="466" spans="1:15" x14ac:dyDescent="0.3">
      <c r="A466">
        <v>34202</v>
      </c>
      <c r="B466" t="s">
        <v>806</v>
      </c>
      <c r="C466">
        <v>104</v>
      </c>
      <c r="D466" t="s">
        <v>797</v>
      </c>
      <c r="E466" t="s">
        <v>137</v>
      </c>
      <c r="F466" s="26">
        <v>810857.5</v>
      </c>
      <c r="G466" s="3">
        <v>45804</v>
      </c>
      <c r="H466" t="s">
        <v>14</v>
      </c>
      <c r="I466" s="4" t="str">
        <f t="shared" si="258"/>
        <v>Living Annuity</v>
      </c>
      <c r="J466" t="str">
        <f t="shared" si="259"/>
        <v>Compulsory, LA</v>
      </c>
      <c r="K466" t="s">
        <v>15</v>
      </c>
      <c r="M466" t="str">
        <f t="shared" si="280"/>
        <v>b</v>
      </c>
      <c r="N466" t="str">
        <f t="shared" si="281"/>
        <v/>
      </c>
      <c r="O466" t="str">
        <f t="shared" si="282"/>
        <v/>
      </c>
    </row>
    <row r="467" spans="1:15" s="13" customFormat="1" x14ac:dyDescent="0.3">
      <c r="A467" s="13">
        <v>34209</v>
      </c>
      <c r="B467" s="13" t="s">
        <v>775</v>
      </c>
      <c r="C467" s="13">
        <v>25</v>
      </c>
      <c r="D467" s="13" t="s">
        <v>28</v>
      </c>
      <c r="E467" s="13" t="s">
        <v>137</v>
      </c>
      <c r="F467" s="27">
        <v>3280579.24</v>
      </c>
      <c r="G467" s="14">
        <v>45804</v>
      </c>
      <c r="H467" s="13" t="s">
        <v>31</v>
      </c>
      <c r="I467" s="15" t="str">
        <f>MID(H467,6,30)</f>
        <v>Investment Account</v>
      </c>
      <c r="J467" s="13" t="str">
        <f>IF(LEFT(I467)="L","Compulsory, LA",IF(LEFT(I467)="R","Compulsory, RA",IF(LEFT(I467,2)="Pe","Compulsory, Pens","Voluntary")))</f>
        <v>Voluntary</v>
      </c>
      <c r="K467" s="13" t="s">
        <v>15</v>
      </c>
      <c r="M467" t="str">
        <f t="shared" si="280"/>
        <v>b</v>
      </c>
      <c r="N467" t="str">
        <f t="shared" si="281"/>
        <v/>
      </c>
      <c r="O467" t="str">
        <f t="shared" si="282"/>
        <v/>
      </c>
    </row>
    <row r="468" spans="1:15" x14ac:dyDescent="0.3">
      <c r="A468">
        <v>34209</v>
      </c>
      <c r="B468" t="s">
        <v>774</v>
      </c>
      <c r="C468">
        <v>25</v>
      </c>
      <c r="D468" t="s">
        <v>28</v>
      </c>
      <c r="E468" t="s">
        <v>137</v>
      </c>
      <c r="F468" s="25">
        <v>529011.03</v>
      </c>
      <c r="G468" s="3">
        <v>45804</v>
      </c>
      <c r="H468" t="s">
        <v>14</v>
      </c>
      <c r="I468" s="4" t="str">
        <f t="shared" ref="I468" si="289">MID(H468,6,30)</f>
        <v>Living Annuity</v>
      </c>
      <c r="J468" t="str">
        <f t="shared" ref="J468" si="290">IF(LEFT(I468)="L","Compulsory, LA",IF(LEFT(I468)="R","Compulsory, RA",IF(LEFT(I468,2)="Pe","Compulsory, Pens","Voluntary")))</f>
        <v>Compulsory, LA</v>
      </c>
      <c r="K468" t="s">
        <v>15</v>
      </c>
      <c r="M468" t="str">
        <f t="shared" si="280"/>
        <v>b</v>
      </c>
      <c r="N468" t="str">
        <f t="shared" si="281"/>
        <v/>
      </c>
      <c r="O468" t="str">
        <f t="shared" si="282"/>
        <v/>
      </c>
    </row>
    <row r="469" spans="1:15" x14ac:dyDescent="0.3">
      <c r="A469">
        <v>34209</v>
      </c>
      <c r="B469" t="s">
        <v>773</v>
      </c>
      <c r="C469">
        <v>25</v>
      </c>
      <c r="D469" t="s">
        <v>28</v>
      </c>
      <c r="E469" t="s">
        <v>137</v>
      </c>
      <c r="F469" s="25">
        <v>187501.03</v>
      </c>
      <c r="G469" s="3">
        <v>45804</v>
      </c>
      <c r="H469" t="s">
        <v>14</v>
      </c>
      <c r="I469" s="4" t="str">
        <f>MID(H469,6,30)</f>
        <v>Living Annuity</v>
      </c>
      <c r="J469" t="str">
        <f>IF(LEFT(I469)="L","Compulsory, LA",IF(LEFT(I469)="R","Compulsory, RA",IF(LEFT(I469,2)="Pe","Compulsory, Pens","Voluntary")))</f>
        <v>Compulsory, LA</v>
      </c>
      <c r="K469" t="s">
        <v>15</v>
      </c>
      <c r="M469" t="str">
        <f t="shared" si="280"/>
        <v>b</v>
      </c>
      <c r="N469" t="str">
        <f t="shared" si="281"/>
        <v/>
      </c>
      <c r="O469" t="str">
        <f t="shared" si="282"/>
        <v/>
      </c>
    </row>
    <row r="470" spans="1:15" x14ac:dyDescent="0.3">
      <c r="A470">
        <v>34209</v>
      </c>
      <c r="B470" t="s">
        <v>935</v>
      </c>
      <c r="C470">
        <v>25</v>
      </c>
      <c r="D470" t="s">
        <v>28</v>
      </c>
      <c r="E470" t="s">
        <v>137</v>
      </c>
      <c r="F470" s="25">
        <v>758133.67</v>
      </c>
      <c r="G470" s="3">
        <v>45804</v>
      </c>
      <c r="H470" t="s">
        <v>29</v>
      </c>
      <c r="I470" s="4" t="str">
        <f>MID(H470,6,30)</f>
        <v>Provident Preservation Fund</v>
      </c>
      <c r="J470" t="str">
        <f>IF(LEFT(I470)="L","Compulsory, LA",IF(LEFT(I470)="R","Compulsory, RA",IF(LEFT(I470,2)="Pe","Compulsory, Pens","Voluntary")))</f>
        <v>Voluntary</v>
      </c>
      <c r="K470" t="s">
        <v>15</v>
      </c>
      <c r="M470" t="str">
        <f t="shared" si="280"/>
        <v>d</v>
      </c>
      <c r="N470" t="str">
        <f t="shared" si="281"/>
        <v/>
      </c>
      <c r="O470" t="str">
        <f t="shared" si="282"/>
        <v/>
      </c>
    </row>
    <row r="471" spans="1:15" x14ac:dyDescent="0.3">
      <c r="A471">
        <v>34216</v>
      </c>
      <c r="B471" t="s">
        <v>776</v>
      </c>
      <c r="C471">
        <v>95</v>
      </c>
      <c r="D471" t="s">
        <v>30</v>
      </c>
      <c r="E471" t="s">
        <v>137</v>
      </c>
      <c r="F471" s="25">
        <v>89390.459999999992</v>
      </c>
      <c r="G471" s="3">
        <v>45804</v>
      </c>
      <c r="H471" t="s">
        <v>14</v>
      </c>
      <c r="I471" s="4" t="str">
        <f t="shared" si="258"/>
        <v>Living Annuity</v>
      </c>
      <c r="J471" t="str">
        <f t="shared" si="259"/>
        <v>Compulsory, LA</v>
      </c>
      <c r="K471" t="s">
        <v>15</v>
      </c>
      <c r="M471" t="str">
        <f t="shared" si="280"/>
        <v>b</v>
      </c>
      <c r="N471" t="str">
        <f t="shared" si="281"/>
        <v/>
      </c>
      <c r="O471" t="str">
        <f t="shared" si="282"/>
        <v/>
      </c>
    </row>
    <row r="472" spans="1:15" x14ac:dyDescent="0.3">
      <c r="A472">
        <v>34337</v>
      </c>
      <c r="B472" t="s">
        <v>719</v>
      </c>
      <c r="C472">
        <v>243</v>
      </c>
      <c r="D472" t="s">
        <v>717</v>
      </c>
      <c r="E472" t="s">
        <v>137</v>
      </c>
      <c r="F472" s="25">
        <v>201040.05</v>
      </c>
      <c r="G472" s="3">
        <v>45804</v>
      </c>
      <c r="H472" t="s">
        <v>31</v>
      </c>
      <c r="I472" s="4" t="str">
        <f t="shared" si="258"/>
        <v>Investment Account</v>
      </c>
      <c r="J472" t="str">
        <f t="shared" si="259"/>
        <v>Voluntary</v>
      </c>
      <c r="K472" t="s">
        <v>15</v>
      </c>
      <c r="M472" t="str">
        <f t="shared" si="280"/>
        <v>b</v>
      </c>
      <c r="N472" t="str">
        <f t="shared" si="281"/>
        <v/>
      </c>
      <c r="O472" t="str">
        <f t="shared" si="282"/>
        <v/>
      </c>
    </row>
    <row r="473" spans="1:15" x14ac:dyDescent="0.3">
      <c r="A473">
        <v>34337</v>
      </c>
      <c r="B473" t="s">
        <v>724</v>
      </c>
      <c r="C473">
        <v>243</v>
      </c>
      <c r="D473" t="s">
        <v>717</v>
      </c>
      <c r="E473" t="s">
        <v>137</v>
      </c>
      <c r="F473" s="25">
        <v>32823.15</v>
      </c>
      <c r="G473" s="3">
        <v>45761</v>
      </c>
      <c r="H473" t="s">
        <v>14</v>
      </c>
      <c r="I473" s="4" t="str">
        <f t="shared" si="258"/>
        <v>Living Annuity</v>
      </c>
      <c r="J473" t="str">
        <f t="shared" si="259"/>
        <v>Compulsory, LA</v>
      </c>
      <c r="K473" t="s">
        <v>15</v>
      </c>
      <c r="M473" t="str">
        <f t="shared" si="280"/>
        <v>b</v>
      </c>
      <c r="N473" t="str">
        <f t="shared" si="281"/>
        <v/>
      </c>
      <c r="O473" t="str">
        <f t="shared" si="282"/>
        <v/>
      </c>
    </row>
    <row r="474" spans="1:15" s="13" customFormat="1" x14ac:dyDescent="0.3">
      <c r="A474" s="13">
        <v>34395</v>
      </c>
      <c r="B474" s="13" t="s">
        <v>777</v>
      </c>
      <c r="C474" s="13">
        <v>168</v>
      </c>
      <c r="D474" s="13" t="s">
        <v>111</v>
      </c>
      <c r="E474" s="13" t="s">
        <v>137</v>
      </c>
      <c r="F474" s="28">
        <v>14165.07</v>
      </c>
      <c r="G474" s="14">
        <v>45761</v>
      </c>
      <c r="H474" s="13" t="s">
        <v>31</v>
      </c>
      <c r="I474" s="15" t="str">
        <f>MID(H474,6,30)</f>
        <v>Investment Account</v>
      </c>
      <c r="J474" s="13" t="str">
        <f>IF(LEFT(I474)="L","Compulsory, LA",IF(LEFT(I474)="R","Compulsory, RA",IF(LEFT(I474,2)="Pe","Compulsory, Pens","Voluntary")))</f>
        <v>Voluntary</v>
      </c>
      <c r="K474" s="13" t="s">
        <v>15</v>
      </c>
      <c r="M474" t="str">
        <f t="shared" si="280"/>
        <v>b</v>
      </c>
      <c r="N474" t="str">
        <f t="shared" si="281"/>
        <v/>
      </c>
      <c r="O474" t="str">
        <f t="shared" si="282"/>
        <v/>
      </c>
    </row>
    <row r="475" spans="1:15" x14ac:dyDescent="0.3">
      <c r="A475">
        <v>34395</v>
      </c>
      <c r="B475" t="s">
        <v>1000</v>
      </c>
      <c r="C475">
        <v>168</v>
      </c>
      <c r="D475" t="s">
        <v>111</v>
      </c>
      <c r="E475" t="s">
        <v>137</v>
      </c>
      <c r="F475" s="26">
        <v>12604.97</v>
      </c>
      <c r="G475" s="3">
        <v>45761</v>
      </c>
      <c r="H475" t="s">
        <v>14</v>
      </c>
      <c r="I475" s="4" t="str">
        <f t="shared" ref="I475" si="291">MID(H475,6,30)</f>
        <v>Living Annuity</v>
      </c>
      <c r="J475" t="str">
        <f t="shared" ref="J475" si="292">IF(LEFT(I475)="L","Compulsory, LA",IF(LEFT(I475)="R","Compulsory, RA",IF(LEFT(I475,2)="Pe","Compulsory, Pens","Voluntary")))</f>
        <v>Compulsory, LA</v>
      </c>
      <c r="K475" t="s">
        <v>15</v>
      </c>
      <c r="M475" t="str">
        <f t="shared" si="280"/>
        <v>b</v>
      </c>
      <c r="N475" t="str">
        <f t="shared" si="281"/>
        <v/>
      </c>
      <c r="O475" t="str">
        <f t="shared" si="282"/>
        <v/>
      </c>
    </row>
    <row r="476" spans="1:15" x14ac:dyDescent="0.3">
      <c r="A476">
        <v>34395</v>
      </c>
      <c r="B476" t="s">
        <v>901</v>
      </c>
      <c r="C476">
        <v>168</v>
      </c>
      <c r="D476" t="s">
        <v>111</v>
      </c>
      <c r="E476" t="s">
        <v>137</v>
      </c>
      <c r="F476" s="26">
        <v>7593.33</v>
      </c>
      <c r="G476" s="3">
        <v>45761</v>
      </c>
      <c r="H476" t="s">
        <v>14</v>
      </c>
      <c r="I476" s="4" t="str">
        <f>MID(H476,6,30)</f>
        <v>Living Annuity</v>
      </c>
      <c r="J476" t="str">
        <f>IF(LEFT(I476)="L","Compulsory, LA",IF(LEFT(I476)="R","Compulsory, RA",IF(LEFT(I476,2)="Pe","Compulsory, Pens","Voluntary")))</f>
        <v>Compulsory, LA</v>
      </c>
      <c r="K476" t="s">
        <v>15</v>
      </c>
      <c r="M476" t="str">
        <f t="shared" si="280"/>
        <v>b</v>
      </c>
      <c r="N476" t="str">
        <f t="shared" si="281"/>
        <v/>
      </c>
      <c r="O476" t="str">
        <f t="shared" si="282"/>
        <v/>
      </c>
    </row>
    <row r="477" spans="1:15" x14ac:dyDescent="0.3">
      <c r="A477">
        <v>34395</v>
      </c>
      <c r="B477" t="s">
        <v>778</v>
      </c>
      <c r="C477">
        <v>168</v>
      </c>
      <c r="D477" t="s">
        <v>111</v>
      </c>
      <c r="E477" t="s">
        <v>137</v>
      </c>
      <c r="F477" s="26">
        <v>125499.77</v>
      </c>
      <c r="G477" s="3">
        <v>45761</v>
      </c>
      <c r="H477" t="s">
        <v>14</v>
      </c>
      <c r="I477" s="4" t="str">
        <f>MID(H477,6,30)</f>
        <v>Living Annuity</v>
      </c>
      <c r="J477" t="str">
        <f>IF(LEFT(I477)="L","Compulsory, LA",IF(LEFT(I477)="R","Compulsory, RA",IF(LEFT(I477,2)="Pe","Compulsory, Pens","Voluntary")))</f>
        <v>Compulsory, LA</v>
      </c>
      <c r="K477" t="s">
        <v>15</v>
      </c>
      <c r="M477" t="str">
        <f t="shared" si="280"/>
        <v>b</v>
      </c>
      <c r="N477" t="str">
        <f t="shared" si="281"/>
        <v/>
      </c>
      <c r="O477" t="str">
        <f t="shared" si="282"/>
        <v/>
      </c>
    </row>
    <row r="478" spans="1:15" x14ac:dyDescent="0.3">
      <c r="A478">
        <v>36048</v>
      </c>
      <c r="B478" t="s">
        <v>1001</v>
      </c>
      <c r="C478">
        <v>34</v>
      </c>
      <c r="D478" t="s">
        <v>937</v>
      </c>
      <c r="E478" t="s">
        <v>137</v>
      </c>
      <c r="F478" s="26">
        <v>6870.02</v>
      </c>
      <c r="G478" s="3">
        <v>45761</v>
      </c>
      <c r="H478" t="s">
        <v>14</v>
      </c>
      <c r="I478" s="4" t="str">
        <f t="shared" ref="I478:I493" si="293">MID(H478,6,30)</f>
        <v>Living Annuity</v>
      </c>
      <c r="J478" t="str">
        <f t="shared" ref="J478:J493" si="294">IF(LEFT(I478)="L","Compulsory, LA",IF(LEFT(I478)="R","Compulsory, RA",IF(LEFT(I478,2)="Pe","Compulsory, Pens","Voluntary")))</f>
        <v>Compulsory, LA</v>
      </c>
      <c r="K478" t="s">
        <v>15</v>
      </c>
      <c r="M478" t="str">
        <f t="shared" si="280"/>
        <v>b</v>
      </c>
      <c r="N478" t="str">
        <f t="shared" si="281"/>
        <v/>
      </c>
      <c r="O478" t="str">
        <f t="shared" si="282"/>
        <v/>
      </c>
    </row>
    <row r="479" spans="1:15" x14ac:dyDescent="0.3">
      <c r="A479">
        <v>36048</v>
      </c>
      <c r="B479" t="s">
        <v>1002</v>
      </c>
      <c r="C479">
        <v>34</v>
      </c>
      <c r="D479" t="s">
        <v>937</v>
      </c>
      <c r="E479" t="s">
        <v>137</v>
      </c>
      <c r="F479" s="26">
        <v>20782.849999999999</v>
      </c>
      <c r="G479" s="3">
        <v>45761</v>
      </c>
      <c r="H479" t="s">
        <v>14</v>
      </c>
      <c r="I479" s="4" t="str">
        <f t="shared" si="293"/>
        <v>Living Annuity</v>
      </c>
      <c r="J479" t="str">
        <f t="shared" si="294"/>
        <v>Compulsory, LA</v>
      </c>
      <c r="K479" t="s">
        <v>15</v>
      </c>
      <c r="M479" t="str">
        <f t="shared" si="280"/>
        <v>b</v>
      </c>
      <c r="N479" t="str">
        <f t="shared" si="281"/>
        <v/>
      </c>
      <c r="O479" t="str">
        <f t="shared" si="282"/>
        <v/>
      </c>
    </row>
    <row r="480" spans="1:15" x14ac:dyDescent="0.3">
      <c r="A480">
        <v>36059</v>
      </c>
      <c r="B480" t="s">
        <v>1003</v>
      </c>
      <c r="C480">
        <v>4</v>
      </c>
      <c r="D480" t="s">
        <v>35</v>
      </c>
      <c r="E480" t="s">
        <v>137</v>
      </c>
      <c r="F480" s="26">
        <v>30508.31</v>
      </c>
      <c r="G480" s="3">
        <v>45761</v>
      </c>
      <c r="H480" t="s">
        <v>14</v>
      </c>
      <c r="I480" s="4" t="str">
        <f t="shared" si="293"/>
        <v>Living Annuity</v>
      </c>
      <c r="J480" t="str">
        <f t="shared" si="294"/>
        <v>Compulsory, LA</v>
      </c>
      <c r="K480" t="s">
        <v>15</v>
      </c>
      <c r="M480" t="str">
        <f t="shared" si="280"/>
        <v>b</v>
      </c>
      <c r="N480" t="str">
        <f t="shared" si="281"/>
        <v/>
      </c>
      <c r="O480" t="str">
        <f t="shared" si="282"/>
        <v/>
      </c>
    </row>
    <row r="481" spans="1:15" x14ac:dyDescent="0.3">
      <c r="A481">
        <v>36059</v>
      </c>
      <c r="B481" t="s">
        <v>1004</v>
      </c>
      <c r="C481">
        <v>4</v>
      </c>
      <c r="D481" t="s">
        <v>35</v>
      </c>
      <c r="E481" t="s">
        <v>137</v>
      </c>
      <c r="F481" s="26">
        <v>19703.46</v>
      </c>
      <c r="G481" s="3">
        <v>45761</v>
      </c>
      <c r="H481" t="s">
        <v>14</v>
      </c>
      <c r="I481" s="4" t="str">
        <f t="shared" si="293"/>
        <v>Living Annuity</v>
      </c>
      <c r="J481" t="str">
        <f t="shared" si="294"/>
        <v>Compulsory, LA</v>
      </c>
      <c r="K481" t="s">
        <v>15</v>
      </c>
      <c r="M481" t="str">
        <f t="shared" si="280"/>
        <v>b</v>
      </c>
      <c r="N481" t="str">
        <f t="shared" si="281"/>
        <v/>
      </c>
      <c r="O481" t="str">
        <f t="shared" si="282"/>
        <v/>
      </c>
    </row>
    <row r="482" spans="1:15" x14ac:dyDescent="0.3">
      <c r="A482">
        <v>36060</v>
      </c>
      <c r="B482" t="s">
        <v>1005</v>
      </c>
      <c r="C482">
        <v>2</v>
      </c>
      <c r="D482" t="s">
        <v>38</v>
      </c>
      <c r="E482" t="s">
        <v>137</v>
      </c>
      <c r="F482" s="26">
        <v>48218.46</v>
      </c>
      <c r="G482" s="3">
        <v>45761</v>
      </c>
      <c r="H482" t="s">
        <v>14</v>
      </c>
      <c r="I482" s="4" t="str">
        <f t="shared" si="293"/>
        <v>Living Annuity</v>
      </c>
      <c r="J482" t="str">
        <f t="shared" si="294"/>
        <v>Compulsory, LA</v>
      </c>
      <c r="K482" t="s">
        <v>15</v>
      </c>
      <c r="M482" t="str">
        <f t="shared" si="280"/>
        <v>b</v>
      </c>
      <c r="N482" t="str">
        <f t="shared" si="281"/>
        <v/>
      </c>
      <c r="O482" t="str">
        <f t="shared" si="282"/>
        <v/>
      </c>
    </row>
    <row r="483" spans="1:15" x14ac:dyDescent="0.3">
      <c r="A483">
        <v>36060</v>
      </c>
      <c r="B483" t="s">
        <v>1006</v>
      </c>
      <c r="C483">
        <v>2</v>
      </c>
      <c r="D483" t="s">
        <v>38</v>
      </c>
      <c r="E483" t="s">
        <v>137</v>
      </c>
      <c r="F483" s="26">
        <v>8210.18</v>
      </c>
      <c r="G483" s="3">
        <v>45761</v>
      </c>
      <c r="H483" t="s">
        <v>14</v>
      </c>
      <c r="I483" s="4" t="str">
        <f t="shared" si="293"/>
        <v>Living Annuity</v>
      </c>
      <c r="J483" t="str">
        <f t="shared" si="294"/>
        <v>Compulsory, LA</v>
      </c>
      <c r="K483" t="s">
        <v>15</v>
      </c>
      <c r="M483" t="str">
        <f t="shared" si="280"/>
        <v>b</v>
      </c>
      <c r="N483" t="str">
        <f t="shared" si="281"/>
        <v/>
      </c>
      <c r="O483" t="str">
        <f t="shared" si="282"/>
        <v/>
      </c>
    </row>
    <row r="484" spans="1:15" x14ac:dyDescent="0.3">
      <c r="A484">
        <v>36062</v>
      </c>
      <c r="B484" t="s">
        <v>945</v>
      </c>
      <c r="C484">
        <v>224</v>
      </c>
      <c r="D484" t="s">
        <v>938</v>
      </c>
      <c r="E484" t="s">
        <v>137</v>
      </c>
      <c r="F484" s="26">
        <v>14156.88</v>
      </c>
      <c r="G484" s="3">
        <v>45761</v>
      </c>
      <c r="H484" t="s">
        <v>26</v>
      </c>
      <c r="I484" s="4" t="str">
        <f t="shared" si="293"/>
        <v>Retirement Annuity</v>
      </c>
      <c r="J484" t="str">
        <f t="shared" si="294"/>
        <v>Compulsory, RA</v>
      </c>
      <c r="K484" t="s">
        <v>15</v>
      </c>
      <c r="M484" t="str">
        <f t="shared" si="280"/>
        <v>d</v>
      </c>
      <c r="N484" t="str">
        <f t="shared" si="281"/>
        <v/>
      </c>
      <c r="O484" t="str">
        <f t="shared" si="282"/>
        <v/>
      </c>
    </row>
    <row r="485" spans="1:15" x14ac:dyDescent="0.3">
      <c r="A485">
        <v>36062</v>
      </c>
      <c r="B485" t="s">
        <v>1179</v>
      </c>
      <c r="C485">
        <v>224</v>
      </c>
      <c r="D485" t="s">
        <v>938</v>
      </c>
      <c r="E485" t="s">
        <v>137</v>
      </c>
      <c r="F485" s="26">
        <v>1544.8</v>
      </c>
      <c r="G485" s="3">
        <v>45761</v>
      </c>
      <c r="H485" t="s">
        <v>1174</v>
      </c>
      <c r="I485" s="4" t="str">
        <f t="shared" si="293"/>
        <v>Retirement Annuity - Savings C</v>
      </c>
      <c r="J485" t="str">
        <f t="shared" si="294"/>
        <v>Compulsory, RA</v>
      </c>
      <c r="K485" t="s">
        <v>15</v>
      </c>
      <c r="M485" t="str">
        <f t="shared" si="280"/>
        <v>d</v>
      </c>
      <c r="N485" t="str">
        <f t="shared" si="281"/>
        <v/>
      </c>
      <c r="O485" t="str">
        <f t="shared" si="282"/>
        <v/>
      </c>
    </row>
    <row r="486" spans="1:15" x14ac:dyDescent="0.3">
      <c r="A486">
        <v>36062</v>
      </c>
      <c r="B486" t="s">
        <v>1139</v>
      </c>
      <c r="C486">
        <v>224</v>
      </c>
      <c r="D486" t="s">
        <v>938</v>
      </c>
      <c r="E486" t="s">
        <v>137</v>
      </c>
      <c r="F486" s="26">
        <v>3016.36</v>
      </c>
      <c r="G486" s="3">
        <v>45761</v>
      </c>
      <c r="H486" t="s">
        <v>31</v>
      </c>
      <c r="I486" s="4" t="str">
        <f t="shared" si="293"/>
        <v>Investment Account</v>
      </c>
      <c r="J486" t="str">
        <f t="shared" si="294"/>
        <v>Voluntary</v>
      </c>
      <c r="K486" t="s">
        <v>15</v>
      </c>
      <c r="M486" t="str">
        <f t="shared" si="280"/>
        <v>b</v>
      </c>
      <c r="N486" t="str">
        <f t="shared" si="281"/>
        <v/>
      </c>
      <c r="O486" t="str">
        <f t="shared" si="282"/>
        <v/>
      </c>
    </row>
    <row r="487" spans="1:15" x14ac:dyDescent="0.3">
      <c r="A487">
        <v>36355</v>
      </c>
      <c r="B487" t="s">
        <v>1007</v>
      </c>
      <c r="C487">
        <v>53</v>
      </c>
      <c r="D487" t="s">
        <v>42</v>
      </c>
      <c r="E487" t="s">
        <v>137</v>
      </c>
      <c r="F487" s="26">
        <v>606.45000000000005</v>
      </c>
      <c r="G487" s="3">
        <v>45761</v>
      </c>
      <c r="H487" t="s">
        <v>14</v>
      </c>
      <c r="I487" s="4" t="str">
        <f t="shared" si="293"/>
        <v>Living Annuity</v>
      </c>
      <c r="J487" t="str">
        <f t="shared" si="294"/>
        <v>Compulsory, LA</v>
      </c>
      <c r="K487" t="s">
        <v>15</v>
      </c>
      <c r="M487" t="str">
        <f t="shared" si="280"/>
        <v>b</v>
      </c>
      <c r="N487" t="str">
        <f t="shared" si="281"/>
        <v/>
      </c>
      <c r="O487" t="str">
        <f t="shared" si="282"/>
        <v/>
      </c>
    </row>
    <row r="488" spans="1:15" x14ac:dyDescent="0.3">
      <c r="A488">
        <v>37040</v>
      </c>
      <c r="B488" t="s">
        <v>1008</v>
      </c>
      <c r="C488">
        <v>263</v>
      </c>
      <c r="D488" t="s">
        <v>44</v>
      </c>
      <c r="E488" t="s">
        <v>137</v>
      </c>
      <c r="F488" s="26">
        <v>25165.27</v>
      </c>
      <c r="G488" s="3">
        <v>45761</v>
      </c>
      <c r="H488" t="s">
        <v>14</v>
      </c>
      <c r="I488" s="4" t="str">
        <f t="shared" si="293"/>
        <v>Living Annuity</v>
      </c>
      <c r="J488" t="str">
        <f t="shared" si="294"/>
        <v>Compulsory, LA</v>
      </c>
      <c r="K488" t="s">
        <v>15</v>
      </c>
      <c r="M488" t="str">
        <f t="shared" si="280"/>
        <v>b</v>
      </c>
      <c r="N488" t="str">
        <f t="shared" si="281"/>
        <v/>
      </c>
      <c r="O488" t="str">
        <f t="shared" si="282"/>
        <v/>
      </c>
    </row>
    <row r="489" spans="1:15" x14ac:dyDescent="0.3">
      <c r="A489">
        <v>37041</v>
      </c>
      <c r="B489" t="s">
        <v>1009</v>
      </c>
      <c r="C489">
        <v>84</v>
      </c>
      <c r="D489" t="s">
        <v>46</v>
      </c>
      <c r="E489" t="s">
        <v>137</v>
      </c>
      <c r="F489" s="26">
        <v>5527.43</v>
      </c>
      <c r="G489" s="3">
        <v>45761</v>
      </c>
      <c r="H489" t="s">
        <v>14</v>
      </c>
      <c r="I489" s="4" t="str">
        <f t="shared" si="293"/>
        <v>Living Annuity</v>
      </c>
      <c r="J489" t="str">
        <f t="shared" si="294"/>
        <v>Compulsory, LA</v>
      </c>
      <c r="K489" t="s">
        <v>15</v>
      </c>
      <c r="M489" t="str">
        <f t="shared" si="280"/>
        <v>b</v>
      </c>
      <c r="N489" t="str">
        <f t="shared" si="281"/>
        <v/>
      </c>
      <c r="O489" t="str">
        <f t="shared" si="282"/>
        <v/>
      </c>
    </row>
    <row r="490" spans="1:15" x14ac:dyDescent="0.3">
      <c r="A490">
        <v>38586</v>
      </c>
      <c r="B490" t="s">
        <v>1010</v>
      </c>
      <c r="C490">
        <v>181</v>
      </c>
      <c r="D490" t="s">
        <v>48</v>
      </c>
      <c r="E490" t="s">
        <v>137</v>
      </c>
      <c r="F490" s="26">
        <v>3751.3</v>
      </c>
      <c r="G490" s="3">
        <v>45761</v>
      </c>
      <c r="H490" t="s">
        <v>14</v>
      </c>
      <c r="I490" s="4" t="str">
        <f t="shared" si="293"/>
        <v>Living Annuity</v>
      </c>
      <c r="J490" t="str">
        <f t="shared" si="294"/>
        <v>Compulsory, LA</v>
      </c>
      <c r="K490" t="s">
        <v>15</v>
      </c>
      <c r="M490" t="str">
        <f t="shared" si="280"/>
        <v>b</v>
      </c>
      <c r="N490" t="str">
        <f t="shared" si="281"/>
        <v/>
      </c>
      <c r="O490" t="str">
        <f t="shared" si="282"/>
        <v/>
      </c>
    </row>
    <row r="491" spans="1:15" x14ac:dyDescent="0.3">
      <c r="A491">
        <v>38842</v>
      </c>
      <c r="B491" t="s">
        <v>1097</v>
      </c>
      <c r="C491">
        <v>79</v>
      </c>
      <c r="D491" t="s">
        <v>50</v>
      </c>
      <c r="E491" t="s">
        <v>137</v>
      </c>
      <c r="F491" s="25">
        <v>6655.21</v>
      </c>
      <c r="G491" s="3">
        <v>45761</v>
      </c>
      <c r="H491" t="s">
        <v>14</v>
      </c>
      <c r="I491" s="4" t="str">
        <f>MID(H491,6,30)</f>
        <v>Living Annuity</v>
      </c>
      <c r="J491" t="str">
        <f>IF(LEFT(I491)="L","Compulsory, LA",IF(LEFT(I491)="R","Compulsory, RA",IF(LEFT(I491,2)="Pe","Compulsory, Pens","Voluntary")))</f>
        <v>Compulsory, LA</v>
      </c>
      <c r="K491" t="s">
        <v>15</v>
      </c>
      <c r="M491" t="str">
        <f t="shared" si="280"/>
        <v>b</v>
      </c>
      <c r="N491" t="str">
        <f t="shared" si="281"/>
        <v/>
      </c>
      <c r="O491" t="str">
        <f t="shared" si="282"/>
        <v/>
      </c>
    </row>
    <row r="492" spans="1:15" x14ac:dyDescent="0.3">
      <c r="A492">
        <v>38851</v>
      </c>
      <c r="B492" t="s">
        <v>1011</v>
      </c>
      <c r="C492">
        <v>172</v>
      </c>
      <c r="D492" t="s">
        <v>52</v>
      </c>
      <c r="E492" t="s">
        <v>137</v>
      </c>
      <c r="F492" s="26">
        <v>225.33</v>
      </c>
      <c r="G492" s="3">
        <v>45761</v>
      </c>
      <c r="H492" t="s">
        <v>14</v>
      </c>
      <c r="I492" s="4" t="str">
        <f t="shared" si="293"/>
        <v>Living Annuity</v>
      </c>
      <c r="J492" t="str">
        <f t="shared" si="294"/>
        <v>Compulsory, LA</v>
      </c>
      <c r="K492" t="s">
        <v>15</v>
      </c>
      <c r="M492" t="str">
        <f t="shared" si="280"/>
        <v>b</v>
      </c>
      <c r="N492" t="str">
        <f t="shared" si="281"/>
        <v/>
      </c>
      <c r="O492" t="str">
        <f t="shared" si="282"/>
        <v/>
      </c>
    </row>
    <row r="493" spans="1:15" x14ac:dyDescent="0.3">
      <c r="A493">
        <v>38887</v>
      </c>
      <c r="B493" t="s">
        <v>1012</v>
      </c>
      <c r="C493">
        <v>29</v>
      </c>
      <c r="D493" t="s">
        <v>54</v>
      </c>
      <c r="E493" t="s">
        <v>137</v>
      </c>
      <c r="F493" s="26">
        <v>1365.2</v>
      </c>
      <c r="G493" s="3">
        <v>45761</v>
      </c>
      <c r="H493" t="s">
        <v>14</v>
      </c>
      <c r="I493" s="4" t="str">
        <f t="shared" si="293"/>
        <v>Living Annuity</v>
      </c>
      <c r="J493" t="str">
        <f t="shared" si="294"/>
        <v>Compulsory, LA</v>
      </c>
      <c r="K493" t="s">
        <v>15</v>
      </c>
      <c r="M493" t="str">
        <f t="shared" si="280"/>
        <v>b</v>
      </c>
      <c r="N493" t="str">
        <f t="shared" si="281"/>
        <v/>
      </c>
      <c r="O493" t="str">
        <f t="shared" si="282"/>
        <v/>
      </c>
    </row>
    <row r="494" spans="1:15" x14ac:dyDescent="0.3">
      <c r="A494">
        <v>41695</v>
      </c>
      <c r="B494" t="s">
        <v>818</v>
      </c>
      <c r="C494">
        <v>278</v>
      </c>
      <c r="D494" t="s">
        <v>56</v>
      </c>
      <c r="E494" t="s">
        <v>137</v>
      </c>
      <c r="F494" s="25">
        <v>3675.47</v>
      </c>
      <c r="G494" s="3">
        <v>45761</v>
      </c>
      <c r="H494" t="s">
        <v>26</v>
      </c>
      <c r="I494" s="4" t="str">
        <f t="shared" ref="I494:I529" si="295">MID(H494,6,30)</f>
        <v>Retirement Annuity</v>
      </c>
      <c r="J494" t="str">
        <f t="shared" ref="J494:J529" si="296">IF(LEFT(I494)="L","Compulsory, LA",IF(LEFT(I494)="R","Compulsory, RA",IF(LEFT(I494,2)="Pe","Compulsory, Pens","Voluntary")))</f>
        <v>Compulsory, RA</v>
      </c>
      <c r="K494" t="s">
        <v>15</v>
      </c>
      <c r="M494" t="str">
        <f t="shared" si="280"/>
        <v>d</v>
      </c>
      <c r="N494" t="str">
        <f t="shared" si="281"/>
        <v/>
      </c>
      <c r="O494" t="str">
        <f t="shared" si="282"/>
        <v/>
      </c>
    </row>
    <row r="495" spans="1:15" x14ac:dyDescent="0.3">
      <c r="A495">
        <v>41695</v>
      </c>
      <c r="B495" t="s">
        <v>1180</v>
      </c>
      <c r="C495">
        <v>278</v>
      </c>
      <c r="D495" t="s">
        <v>56</v>
      </c>
      <c r="E495" t="s">
        <v>137</v>
      </c>
      <c r="F495" s="25">
        <v>399.48</v>
      </c>
      <c r="G495" s="3">
        <v>45761</v>
      </c>
      <c r="H495" t="s">
        <v>1174</v>
      </c>
      <c r="I495" s="4" t="str">
        <f t="shared" si="295"/>
        <v>Retirement Annuity - Savings C</v>
      </c>
      <c r="J495" t="str">
        <f t="shared" si="296"/>
        <v>Compulsory, RA</v>
      </c>
      <c r="K495" t="s">
        <v>15</v>
      </c>
      <c r="M495" t="str">
        <f t="shared" si="280"/>
        <v>d</v>
      </c>
      <c r="N495" t="str">
        <f t="shared" si="281"/>
        <v/>
      </c>
      <c r="O495" t="str">
        <f t="shared" si="282"/>
        <v/>
      </c>
    </row>
    <row r="496" spans="1:15" x14ac:dyDescent="0.3">
      <c r="A496">
        <v>41695</v>
      </c>
      <c r="B496" t="s">
        <v>779</v>
      </c>
      <c r="C496">
        <v>278</v>
      </c>
      <c r="D496" t="s">
        <v>56</v>
      </c>
      <c r="E496" t="s">
        <v>137</v>
      </c>
      <c r="F496" s="26">
        <v>62556.99</v>
      </c>
      <c r="G496" s="3">
        <v>45761</v>
      </c>
      <c r="H496" t="s">
        <v>31</v>
      </c>
      <c r="I496" s="4" t="str">
        <f t="shared" si="295"/>
        <v>Investment Account</v>
      </c>
      <c r="J496" t="str">
        <f t="shared" si="296"/>
        <v>Voluntary</v>
      </c>
      <c r="K496" t="s">
        <v>15</v>
      </c>
      <c r="M496" t="str">
        <f t="shared" si="280"/>
        <v>b</v>
      </c>
      <c r="N496" t="str">
        <f t="shared" si="281"/>
        <v/>
      </c>
      <c r="O496" t="str">
        <f t="shared" si="282"/>
        <v/>
      </c>
    </row>
    <row r="497" spans="1:15" x14ac:dyDescent="0.3">
      <c r="A497">
        <v>46589</v>
      </c>
      <c r="B497" t="s">
        <v>1013</v>
      </c>
      <c r="C497">
        <v>80</v>
      </c>
      <c r="D497" t="s">
        <v>58</v>
      </c>
      <c r="E497" t="s">
        <v>137</v>
      </c>
      <c r="F497" s="25">
        <v>71976.2</v>
      </c>
      <c r="G497" s="3">
        <v>45761</v>
      </c>
      <c r="H497" t="s">
        <v>14</v>
      </c>
      <c r="I497" s="4" t="str">
        <f t="shared" si="295"/>
        <v>Living Annuity</v>
      </c>
      <c r="J497" t="str">
        <f t="shared" si="296"/>
        <v>Compulsory, LA</v>
      </c>
      <c r="K497" t="s">
        <v>15</v>
      </c>
      <c r="M497" t="str">
        <f t="shared" si="280"/>
        <v>b</v>
      </c>
      <c r="N497" t="str">
        <f t="shared" si="281"/>
        <v/>
      </c>
      <c r="O497" t="str">
        <f t="shared" si="282"/>
        <v/>
      </c>
    </row>
    <row r="498" spans="1:15" x14ac:dyDescent="0.3">
      <c r="A498">
        <v>46589</v>
      </c>
      <c r="B498" t="s">
        <v>1014</v>
      </c>
      <c r="C498">
        <v>80</v>
      </c>
      <c r="D498" t="s">
        <v>58</v>
      </c>
      <c r="E498" t="s">
        <v>137</v>
      </c>
      <c r="F498" s="25">
        <v>3188.02</v>
      </c>
      <c r="G498" s="3">
        <v>45761</v>
      </c>
      <c r="H498" t="s">
        <v>14</v>
      </c>
      <c r="I498" s="4" t="str">
        <f t="shared" si="295"/>
        <v>Living Annuity</v>
      </c>
      <c r="J498" t="str">
        <f t="shared" si="296"/>
        <v>Compulsory, LA</v>
      </c>
      <c r="K498" t="s">
        <v>15</v>
      </c>
      <c r="M498" t="str">
        <f t="shared" si="280"/>
        <v>b</v>
      </c>
      <c r="N498" t="str">
        <f t="shared" si="281"/>
        <v/>
      </c>
      <c r="O498" t="str">
        <f t="shared" si="282"/>
        <v/>
      </c>
    </row>
    <row r="499" spans="1:15" x14ac:dyDescent="0.3">
      <c r="A499">
        <v>54985</v>
      </c>
      <c r="B499" t="s">
        <v>1015</v>
      </c>
      <c r="C499">
        <v>33</v>
      </c>
      <c r="D499" t="s">
        <v>60</v>
      </c>
      <c r="E499" t="s">
        <v>137</v>
      </c>
      <c r="F499" s="25">
        <v>1354.91</v>
      </c>
      <c r="G499" s="3">
        <v>45761</v>
      </c>
      <c r="H499" t="s">
        <v>14</v>
      </c>
      <c r="I499" s="4" t="str">
        <f t="shared" si="295"/>
        <v>Living Annuity</v>
      </c>
      <c r="J499" t="str">
        <f t="shared" si="296"/>
        <v>Compulsory, LA</v>
      </c>
      <c r="K499" t="s">
        <v>15</v>
      </c>
      <c r="M499" t="str">
        <f t="shared" si="280"/>
        <v>b</v>
      </c>
      <c r="N499" t="str">
        <f t="shared" si="281"/>
        <v/>
      </c>
      <c r="O499" t="str">
        <f t="shared" si="282"/>
        <v/>
      </c>
    </row>
    <row r="500" spans="1:15" x14ac:dyDescent="0.3">
      <c r="A500">
        <v>61172</v>
      </c>
      <c r="B500" t="s">
        <v>1062</v>
      </c>
      <c r="C500">
        <v>272</v>
      </c>
      <c r="D500" t="s">
        <v>62</v>
      </c>
      <c r="E500" t="s">
        <v>137</v>
      </c>
      <c r="F500" s="25">
        <v>28932.69</v>
      </c>
      <c r="G500" s="3">
        <v>45761</v>
      </c>
      <c r="H500" t="s">
        <v>26</v>
      </c>
      <c r="I500" s="4" t="str">
        <f>MID(H500,6,30)</f>
        <v>Retirement Annuity</v>
      </c>
      <c r="J500" t="str">
        <f>IF(LEFT(I500)="L","Compulsory, LA",IF(LEFT(I500)="R","Compulsory, RA",IF(LEFT(I500,2)="Pe","Compulsory, Pens",IF(LEFT(I500,2)="Pr","Compulsory, Prov","Voluntary"))))</f>
        <v>Compulsory, RA</v>
      </c>
      <c r="K500" t="s">
        <v>15</v>
      </c>
      <c r="M500" t="str">
        <f t="shared" si="280"/>
        <v>d</v>
      </c>
      <c r="N500" t="str">
        <f t="shared" si="281"/>
        <v/>
      </c>
      <c r="O500" t="str">
        <f t="shared" si="282"/>
        <v/>
      </c>
    </row>
    <row r="501" spans="1:15" x14ac:dyDescent="0.3">
      <c r="A501">
        <v>61172</v>
      </c>
      <c r="B501" t="s">
        <v>1181</v>
      </c>
      <c r="C501">
        <v>272</v>
      </c>
      <c r="D501" t="s">
        <v>62</v>
      </c>
      <c r="E501" t="s">
        <v>137</v>
      </c>
      <c r="F501" s="25">
        <v>2389.1</v>
      </c>
      <c r="G501" s="3">
        <v>45761</v>
      </c>
      <c r="H501" t="s">
        <v>1174</v>
      </c>
      <c r="I501" s="4" t="str">
        <f t="shared" ref="I501" si="297">MID(H501,6,30)</f>
        <v>Retirement Annuity - Savings C</v>
      </c>
      <c r="J501" t="str">
        <f t="shared" ref="J501" si="298">IF(LEFT(I501)="L","Compulsory, LA",IF(LEFT(I501)="R","Compulsory, RA",IF(LEFT(I501,2)="Pe","Compulsory, Pens",IF(LEFT(I501,2)="Pr","Compulsory, Prov","Voluntary"))))</f>
        <v>Compulsory, RA</v>
      </c>
      <c r="K501" t="s">
        <v>15</v>
      </c>
      <c r="M501" t="str">
        <f t="shared" si="280"/>
        <v>d</v>
      </c>
      <c r="N501" t="str">
        <f t="shared" si="281"/>
        <v/>
      </c>
      <c r="O501" t="str">
        <f t="shared" si="282"/>
        <v/>
      </c>
    </row>
    <row r="502" spans="1:15" x14ac:dyDescent="0.3">
      <c r="A502">
        <v>62166</v>
      </c>
      <c r="B502" t="s">
        <v>955</v>
      </c>
      <c r="C502">
        <v>153</v>
      </c>
      <c r="D502" t="s">
        <v>64</v>
      </c>
      <c r="E502" t="s">
        <v>137</v>
      </c>
      <c r="F502" s="25">
        <v>25410.34</v>
      </c>
      <c r="G502" s="3">
        <v>45761</v>
      </c>
      <c r="H502" t="s">
        <v>26</v>
      </c>
      <c r="I502" s="4" t="str">
        <f t="shared" ref="I502:I504" si="299">MID(H502,6,30)</f>
        <v>Retirement Annuity</v>
      </c>
      <c r="J502" t="str">
        <f t="shared" ref="J502:J504" si="300">IF(LEFT(I502)="L","Compulsory, LA",IF(LEFT(I502)="R","Compulsory, RA",IF(LEFT(I502,2)="Pe","Compulsory, Pens",IF(LEFT(I502,2)="Pr","Compulsory, Prov","Voluntary"))))</f>
        <v>Compulsory, RA</v>
      </c>
      <c r="K502" t="s">
        <v>15</v>
      </c>
      <c r="M502" t="str">
        <f t="shared" si="280"/>
        <v>d</v>
      </c>
      <c r="N502" t="str">
        <f t="shared" si="281"/>
        <v/>
      </c>
      <c r="O502" t="str">
        <f t="shared" si="282"/>
        <v/>
      </c>
    </row>
    <row r="503" spans="1:15" x14ac:dyDescent="0.3">
      <c r="A503">
        <v>62166</v>
      </c>
      <c r="B503" t="s">
        <v>1182</v>
      </c>
      <c r="C503">
        <v>153</v>
      </c>
      <c r="D503" t="s">
        <v>64</v>
      </c>
      <c r="E503" t="s">
        <v>137</v>
      </c>
      <c r="F503" s="25">
        <v>2374.6</v>
      </c>
      <c r="G503" s="3">
        <v>45761</v>
      </c>
      <c r="H503" t="s">
        <v>1174</v>
      </c>
      <c r="I503" s="4" t="str">
        <f t="shared" si="299"/>
        <v>Retirement Annuity - Savings C</v>
      </c>
      <c r="J503" t="str">
        <f t="shared" si="300"/>
        <v>Compulsory, RA</v>
      </c>
      <c r="K503" t="s">
        <v>15</v>
      </c>
      <c r="M503" t="str">
        <f t="shared" si="280"/>
        <v>d</v>
      </c>
      <c r="N503" t="str">
        <f t="shared" si="281"/>
        <v/>
      </c>
      <c r="O503" t="str">
        <f t="shared" si="282"/>
        <v/>
      </c>
    </row>
    <row r="504" spans="1:15" x14ac:dyDescent="0.3">
      <c r="A504">
        <v>69046</v>
      </c>
      <c r="B504" t="s">
        <v>1016</v>
      </c>
      <c r="C504">
        <v>167</v>
      </c>
      <c r="D504" t="s">
        <v>703</v>
      </c>
      <c r="E504" t="s">
        <v>137</v>
      </c>
      <c r="F504" s="25">
        <v>95969.71</v>
      </c>
      <c r="G504" s="3">
        <v>45761</v>
      </c>
      <c r="H504" t="s">
        <v>14</v>
      </c>
      <c r="I504" s="4" t="str">
        <f t="shared" si="299"/>
        <v>Living Annuity</v>
      </c>
      <c r="J504" t="str">
        <f t="shared" si="300"/>
        <v>Compulsory, LA</v>
      </c>
      <c r="K504" t="s">
        <v>15</v>
      </c>
      <c r="M504" t="str">
        <f t="shared" si="280"/>
        <v>b</v>
      </c>
      <c r="N504" t="str">
        <f t="shared" si="281"/>
        <v/>
      </c>
      <c r="O504" t="str">
        <f t="shared" si="282"/>
        <v/>
      </c>
    </row>
    <row r="505" spans="1:15" s="13" customFormat="1" x14ac:dyDescent="0.3">
      <c r="A505" s="13">
        <v>72002</v>
      </c>
      <c r="B505" s="13" t="s">
        <v>715</v>
      </c>
      <c r="C505" s="13">
        <v>67</v>
      </c>
      <c r="D505" s="13" t="s">
        <v>66</v>
      </c>
      <c r="E505" s="13" t="s">
        <v>137</v>
      </c>
      <c r="F505" s="27">
        <v>13942.22</v>
      </c>
      <c r="G505" s="14">
        <v>45761</v>
      </c>
      <c r="H505" s="13" t="s">
        <v>31</v>
      </c>
      <c r="I505" s="15" t="str">
        <f t="shared" ref="I505:I524" si="301">MID(H505,6,30)</f>
        <v>Investment Account</v>
      </c>
      <c r="J505" s="13" t="str">
        <f t="shared" ref="J505:J524" si="302">IF(LEFT(I505)="L","Compulsory, LA",IF(LEFT(I505)="R","Compulsory, RA",IF(LEFT(I505,2)="Pe","Compulsory, Pens","Voluntary")))</f>
        <v>Voluntary</v>
      </c>
      <c r="K505" s="13" t="s">
        <v>15</v>
      </c>
      <c r="M505" t="str">
        <f t="shared" si="280"/>
        <v>b</v>
      </c>
      <c r="N505" t="str">
        <f t="shared" si="281"/>
        <v/>
      </c>
      <c r="O505" t="str">
        <f t="shared" si="282"/>
        <v/>
      </c>
    </row>
    <row r="506" spans="1:15" x14ac:dyDescent="0.3">
      <c r="A506">
        <v>72002</v>
      </c>
      <c r="B506" t="s">
        <v>1017</v>
      </c>
      <c r="C506">
        <v>67</v>
      </c>
      <c r="D506" t="s">
        <v>66</v>
      </c>
      <c r="E506" t="s">
        <v>137</v>
      </c>
      <c r="F506" s="26">
        <v>43576.9</v>
      </c>
      <c r="G506" s="3">
        <v>45761</v>
      </c>
      <c r="H506" t="s">
        <v>14</v>
      </c>
      <c r="I506" s="4" t="str">
        <f t="shared" si="301"/>
        <v>Living Annuity</v>
      </c>
      <c r="J506" t="str">
        <f t="shared" si="302"/>
        <v>Compulsory, LA</v>
      </c>
      <c r="K506" t="s">
        <v>15</v>
      </c>
      <c r="M506" t="str">
        <f t="shared" si="280"/>
        <v>b</v>
      </c>
      <c r="N506" t="str">
        <f t="shared" si="281"/>
        <v/>
      </c>
      <c r="O506" t="str">
        <f t="shared" si="282"/>
        <v/>
      </c>
    </row>
    <row r="507" spans="1:15" x14ac:dyDescent="0.3">
      <c r="A507">
        <v>72002</v>
      </c>
      <c r="B507" t="s">
        <v>902</v>
      </c>
      <c r="C507">
        <v>67</v>
      </c>
      <c r="D507" t="s">
        <v>66</v>
      </c>
      <c r="E507" t="s">
        <v>137</v>
      </c>
      <c r="F507" s="26">
        <v>6408.19</v>
      </c>
      <c r="G507" s="3">
        <v>45761</v>
      </c>
      <c r="H507" t="s">
        <v>14</v>
      </c>
      <c r="I507" s="4" t="str">
        <f t="shared" si="301"/>
        <v>Living Annuity</v>
      </c>
      <c r="J507" t="str">
        <f t="shared" si="302"/>
        <v>Compulsory, LA</v>
      </c>
      <c r="K507" t="s">
        <v>15</v>
      </c>
      <c r="M507" t="str">
        <f t="shared" si="280"/>
        <v>b</v>
      </c>
      <c r="N507" t="str">
        <f t="shared" si="281"/>
        <v/>
      </c>
      <c r="O507" t="str">
        <f t="shared" si="282"/>
        <v/>
      </c>
    </row>
    <row r="508" spans="1:15" x14ac:dyDescent="0.3">
      <c r="A508">
        <v>80212</v>
      </c>
      <c r="B508" t="s">
        <v>1018</v>
      </c>
      <c r="C508">
        <v>372</v>
      </c>
      <c r="D508" t="s">
        <v>68</v>
      </c>
      <c r="E508" t="s">
        <v>137</v>
      </c>
      <c r="F508" s="26">
        <v>7594.92</v>
      </c>
      <c r="G508" s="3">
        <v>45761</v>
      </c>
      <c r="H508" t="s">
        <v>31</v>
      </c>
      <c r="I508" s="4" t="str">
        <f t="shared" si="301"/>
        <v>Investment Account</v>
      </c>
      <c r="J508" t="str">
        <f t="shared" si="302"/>
        <v>Voluntary</v>
      </c>
      <c r="K508" t="s">
        <v>15</v>
      </c>
      <c r="M508" t="str">
        <f t="shared" si="280"/>
        <v>b</v>
      </c>
      <c r="N508" t="str">
        <f t="shared" si="281"/>
        <v/>
      </c>
      <c r="O508" t="str">
        <f t="shared" si="282"/>
        <v/>
      </c>
    </row>
    <row r="509" spans="1:15" x14ac:dyDescent="0.3">
      <c r="A509">
        <v>80212</v>
      </c>
      <c r="B509" t="s">
        <v>961</v>
      </c>
      <c r="C509">
        <v>372</v>
      </c>
      <c r="D509" t="s">
        <v>68</v>
      </c>
      <c r="E509" t="s">
        <v>137</v>
      </c>
      <c r="F509" s="26">
        <v>10482.120000000001</v>
      </c>
      <c r="G509" s="3">
        <v>45761</v>
      </c>
      <c r="H509" t="s">
        <v>26</v>
      </c>
      <c r="I509" s="4" t="str">
        <f t="shared" si="301"/>
        <v>Retirement Annuity</v>
      </c>
      <c r="J509" t="str">
        <f t="shared" si="302"/>
        <v>Compulsory, RA</v>
      </c>
      <c r="K509" t="s">
        <v>15</v>
      </c>
      <c r="M509" t="str">
        <f t="shared" ref="M509:M570" si="303">RIGHT(B509,1)</f>
        <v>d</v>
      </c>
      <c r="N509" t="str">
        <f t="shared" ref="N509:N570" si="304">IF(M509="f","FFFF","")</f>
        <v/>
      </c>
      <c r="O509" t="str">
        <f t="shared" ref="O509:O570" si="305">IF(M509="I","IIII","")</f>
        <v/>
      </c>
    </row>
    <row r="510" spans="1:15" x14ac:dyDescent="0.3">
      <c r="A510">
        <v>80212</v>
      </c>
      <c r="B510" t="s">
        <v>1183</v>
      </c>
      <c r="C510">
        <v>372</v>
      </c>
      <c r="D510" t="s">
        <v>68</v>
      </c>
      <c r="E510" t="s">
        <v>137</v>
      </c>
      <c r="F510" s="26">
        <v>1142.1199999999999</v>
      </c>
      <c r="G510" s="3">
        <v>45761</v>
      </c>
      <c r="H510" t="s">
        <v>1174</v>
      </c>
      <c r="I510" s="4" t="str">
        <f>MID(H510,6,30)</f>
        <v>Retirement Annuity - Savings C</v>
      </c>
      <c r="J510" t="str">
        <f>IF(LEFT(I510)="L","Compulsory, LA",IF(LEFT(I510)="R","Compulsory, RA",IF(LEFT(I510,2)="Pe","Compulsory, Pens","Voluntary")))</f>
        <v>Compulsory, RA</v>
      </c>
      <c r="K510" t="s">
        <v>15</v>
      </c>
      <c r="M510" t="str">
        <f t="shared" si="303"/>
        <v>d</v>
      </c>
      <c r="N510" t="str">
        <f t="shared" si="304"/>
        <v/>
      </c>
      <c r="O510" t="str">
        <f t="shared" si="305"/>
        <v/>
      </c>
    </row>
    <row r="511" spans="1:15" x14ac:dyDescent="0.3">
      <c r="A511">
        <v>81381</v>
      </c>
      <c r="B511" t="s">
        <v>1019</v>
      </c>
      <c r="C511">
        <v>183</v>
      </c>
      <c r="D511" t="s">
        <v>71</v>
      </c>
      <c r="E511" t="s">
        <v>137</v>
      </c>
      <c r="F511" s="26">
        <v>15833.97</v>
      </c>
      <c r="G511" s="3">
        <v>45761</v>
      </c>
      <c r="H511" t="s">
        <v>14</v>
      </c>
      <c r="I511" s="4" t="str">
        <f t="shared" si="301"/>
        <v>Living Annuity</v>
      </c>
      <c r="J511" t="str">
        <f t="shared" si="302"/>
        <v>Compulsory, LA</v>
      </c>
      <c r="K511" t="s">
        <v>15</v>
      </c>
      <c r="M511" t="str">
        <f t="shared" si="303"/>
        <v>b</v>
      </c>
      <c r="N511" t="str">
        <f t="shared" si="304"/>
        <v/>
      </c>
      <c r="O511" t="str">
        <f t="shared" si="305"/>
        <v/>
      </c>
    </row>
    <row r="512" spans="1:15" x14ac:dyDescent="0.3">
      <c r="A512">
        <v>81381</v>
      </c>
      <c r="B512" t="s">
        <v>1020</v>
      </c>
      <c r="C512">
        <v>183</v>
      </c>
      <c r="D512" t="s">
        <v>71</v>
      </c>
      <c r="E512" t="s">
        <v>137</v>
      </c>
      <c r="F512" s="26">
        <v>533278.06999999995</v>
      </c>
      <c r="G512" s="3">
        <v>45761</v>
      </c>
      <c r="H512" t="s">
        <v>14</v>
      </c>
      <c r="I512" s="4" t="str">
        <f t="shared" si="301"/>
        <v>Living Annuity</v>
      </c>
      <c r="J512" t="str">
        <f t="shared" si="302"/>
        <v>Compulsory, LA</v>
      </c>
      <c r="K512" t="s">
        <v>15</v>
      </c>
      <c r="M512" t="str">
        <f t="shared" si="303"/>
        <v>b</v>
      </c>
      <c r="N512" t="str">
        <f t="shared" si="304"/>
        <v/>
      </c>
      <c r="O512" t="str">
        <f t="shared" si="305"/>
        <v/>
      </c>
    </row>
    <row r="513" spans="1:15" x14ac:dyDescent="0.3">
      <c r="A513">
        <v>113590</v>
      </c>
      <c r="B513" t="s">
        <v>1021</v>
      </c>
      <c r="C513">
        <v>44</v>
      </c>
      <c r="D513" t="s">
        <v>958</v>
      </c>
      <c r="E513" t="s">
        <v>137</v>
      </c>
      <c r="F513" s="26">
        <v>93968.81</v>
      </c>
      <c r="G513" s="3">
        <v>45761</v>
      </c>
      <c r="H513" t="s">
        <v>14</v>
      </c>
      <c r="I513" s="4" t="str">
        <f t="shared" si="301"/>
        <v>Living Annuity</v>
      </c>
      <c r="J513" t="str">
        <f t="shared" si="302"/>
        <v>Compulsory, LA</v>
      </c>
      <c r="K513" t="s">
        <v>15</v>
      </c>
      <c r="M513" t="str">
        <f t="shared" si="303"/>
        <v>b</v>
      </c>
      <c r="N513" t="str">
        <f t="shared" si="304"/>
        <v/>
      </c>
      <c r="O513" t="str">
        <f t="shared" si="305"/>
        <v/>
      </c>
    </row>
    <row r="514" spans="1:15" x14ac:dyDescent="0.3">
      <c r="A514">
        <v>113590</v>
      </c>
      <c r="B514" t="s">
        <v>1113</v>
      </c>
      <c r="C514">
        <v>44</v>
      </c>
      <c r="D514" t="s">
        <v>958</v>
      </c>
      <c r="E514" t="s">
        <v>137</v>
      </c>
      <c r="F514" s="26">
        <v>24468.240000000002</v>
      </c>
      <c r="G514" s="3">
        <v>45761</v>
      </c>
      <c r="H514" t="s">
        <v>14</v>
      </c>
      <c r="I514" s="4" t="str">
        <f t="shared" ref="I514:I515" si="306">MID(H514,6,30)</f>
        <v>Living Annuity</v>
      </c>
      <c r="J514" t="str">
        <f t="shared" ref="J514:J515" si="307">IF(LEFT(I514)="L","Compulsory, LA",IF(LEFT(I514)="R","Compulsory, RA",IF(LEFT(I514,2)="Pe","Compulsory, Pens","Voluntary")))</f>
        <v>Compulsory, LA</v>
      </c>
      <c r="K514" t="s">
        <v>15</v>
      </c>
      <c r="M514" t="str">
        <f t="shared" si="303"/>
        <v>b</v>
      </c>
      <c r="N514" t="str">
        <f t="shared" si="304"/>
        <v/>
      </c>
      <c r="O514" t="str">
        <f t="shared" si="305"/>
        <v/>
      </c>
    </row>
    <row r="515" spans="1:15" x14ac:dyDescent="0.3">
      <c r="A515">
        <v>130912</v>
      </c>
      <c r="B515" t="s">
        <v>1171</v>
      </c>
      <c r="C515">
        <v>35</v>
      </c>
      <c r="D515" t="s">
        <v>1169</v>
      </c>
      <c r="E515" t="s">
        <v>137</v>
      </c>
      <c r="F515" s="26">
        <v>16486.91</v>
      </c>
      <c r="G515" s="3">
        <v>45761</v>
      </c>
      <c r="H515" t="s">
        <v>1147</v>
      </c>
      <c r="I515" s="4" t="str">
        <f t="shared" si="306"/>
        <v>Investment Account</v>
      </c>
      <c r="J515" t="str">
        <f t="shared" si="307"/>
        <v>Voluntary</v>
      </c>
      <c r="K515" t="s">
        <v>15</v>
      </c>
      <c r="M515" t="str">
        <f t="shared" si="303"/>
        <v>b</v>
      </c>
      <c r="N515" t="str">
        <f t="shared" si="304"/>
        <v/>
      </c>
      <c r="O515" t="str">
        <f t="shared" si="305"/>
        <v/>
      </c>
    </row>
    <row r="516" spans="1:15" x14ac:dyDescent="0.3">
      <c r="A516">
        <v>133380</v>
      </c>
      <c r="B516" t="s">
        <v>965</v>
      </c>
      <c r="C516">
        <v>298</v>
      </c>
      <c r="D516" t="s">
        <v>959</v>
      </c>
      <c r="E516" t="s">
        <v>137</v>
      </c>
      <c r="F516" s="26">
        <v>6360.88</v>
      </c>
      <c r="G516" s="3">
        <v>45761</v>
      </c>
      <c r="H516" t="s">
        <v>26</v>
      </c>
      <c r="I516" s="4" t="str">
        <f t="shared" si="301"/>
        <v>Retirement Annuity</v>
      </c>
      <c r="J516" t="str">
        <f t="shared" si="302"/>
        <v>Compulsory, RA</v>
      </c>
      <c r="K516" t="s">
        <v>15</v>
      </c>
      <c r="M516" t="str">
        <f t="shared" si="303"/>
        <v>d</v>
      </c>
      <c r="N516" t="str">
        <f t="shared" si="304"/>
        <v/>
      </c>
      <c r="O516" t="str">
        <f t="shared" si="305"/>
        <v/>
      </c>
    </row>
    <row r="517" spans="1:15" x14ac:dyDescent="0.3">
      <c r="A517">
        <v>133380</v>
      </c>
      <c r="B517" t="s">
        <v>1184</v>
      </c>
      <c r="C517">
        <v>298</v>
      </c>
      <c r="D517" t="s">
        <v>959</v>
      </c>
      <c r="E517" t="s">
        <v>137</v>
      </c>
      <c r="F517" s="26">
        <v>691.47</v>
      </c>
      <c r="G517" s="3">
        <v>45761</v>
      </c>
      <c r="H517" t="s">
        <v>1174</v>
      </c>
      <c r="I517" s="4" t="str">
        <f t="shared" si="301"/>
        <v>Retirement Annuity - Savings C</v>
      </c>
      <c r="J517" t="str">
        <f t="shared" si="302"/>
        <v>Compulsory, RA</v>
      </c>
      <c r="K517" t="s">
        <v>15</v>
      </c>
      <c r="M517" t="str">
        <f t="shared" si="303"/>
        <v>d</v>
      </c>
      <c r="N517" t="str">
        <f t="shared" si="304"/>
        <v/>
      </c>
      <c r="O517" t="str">
        <f t="shared" si="305"/>
        <v/>
      </c>
    </row>
    <row r="518" spans="1:15" x14ac:dyDescent="0.3">
      <c r="A518">
        <v>133382</v>
      </c>
      <c r="B518" t="s">
        <v>966</v>
      </c>
      <c r="C518">
        <v>202</v>
      </c>
      <c r="D518" t="s">
        <v>78</v>
      </c>
      <c r="E518" t="s">
        <v>137</v>
      </c>
      <c r="F518" s="26">
        <v>712.84</v>
      </c>
      <c r="G518" s="3">
        <v>45761</v>
      </c>
      <c r="H518" t="s">
        <v>26</v>
      </c>
      <c r="I518" s="4" t="str">
        <f t="shared" si="301"/>
        <v>Retirement Annuity</v>
      </c>
      <c r="J518" t="str">
        <f t="shared" si="302"/>
        <v>Compulsory, RA</v>
      </c>
      <c r="K518" t="s">
        <v>15</v>
      </c>
      <c r="M518" t="str">
        <f t="shared" si="303"/>
        <v>d</v>
      </c>
      <c r="N518" t="str">
        <f t="shared" si="304"/>
        <v/>
      </c>
      <c r="O518" t="str">
        <f t="shared" si="305"/>
        <v/>
      </c>
    </row>
    <row r="519" spans="1:15" x14ac:dyDescent="0.3">
      <c r="A519">
        <v>133382</v>
      </c>
      <c r="B519" t="s">
        <v>1185</v>
      </c>
      <c r="C519">
        <v>202</v>
      </c>
      <c r="D519" t="s">
        <v>78</v>
      </c>
      <c r="E519" t="s">
        <v>137</v>
      </c>
      <c r="F519" s="26">
        <v>78.349999999999994</v>
      </c>
      <c r="G519" s="3">
        <v>45761</v>
      </c>
      <c r="H519" t="s">
        <v>1174</v>
      </c>
      <c r="I519" s="4" t="str">
        <f t="shared" si="301"/>
        <v>Retirement Annuity - Savings C</v>
      </c>
      <c r="J519" t="str">
        <f t="shared" si="302"/>
        <v>Compulsory, RA</v>
      </c>
      <c r="K519" t="s">
        <v>15</v>
      </c>
      <c r="M519" t="str">
        <f t="shared" si="303"/>
        <v>d</v>
      </c>
      <c r="N519" t="str">
        <f t="shared" si="304"/>
        <v/>
      </c>
      <c r="O519" t="str">
        <f t="shared" si="305"/>
        <v/>
      </c>
    </row>
    <row r="520" spans="1:15" x14ac:dyDescent="0.3">
      <c r="A520">
        <v>100202693</v>
      </c>
      <c r="B520" t="s">
        <v>1158</v>
      </c>
      <c r="C520">
        <v>92</v>
      </c>
      <c r="D520" t="s">
        <v>79</v>
      </c>
      <c r="E520" t="s">
        <v>137</v>
      </c>
      <c r="F520" s="26">
        <v>170511.66</v>
      </c>
      <c r="G520" s="3">
        <v>45761</v>
      </c>
      <c r="H520" t="s">
        <v>1147</v>
      </c>
      <c r="I520" s="4" t="str">
        <f>MID(H520,6,30)</f>
        <v>Investment Account</v>
      </c>
      <c r="J520" t="str">
        <f>IF(LEFT(I520)="L","Compulsory, LA",IF(LEFT(I520)="R","Compulsory, RA",IF(LEFT(I520,2)="Pe","Compulsory, Pens","Voluntary")))</f>
        <v>Voluntary</v>
      </c>
      <c r="K520" t="s">
        <v>15</v>
      </c>
      <c r="M520" t="str">
        <f t="shared" si="303"/>
        <v>b</v>
      </c>
      <c r="N520" t="str">
        <f t="shared" si="304"/>
        <v/>
      </c>
      <c r="O520" t="str">
        <f t="shared" si="305"/>
        <v/>
      </c>
    </row>
    <row r="521" spans="1:15" x14ac:dyDescent="0.3">
      <c r="A521">
        <v>100202693</v>
      </c>
      <c r="B521" t="s">
        <v>1154</v>
      </c>
      <c r="C521">
        <v>92</v>
      </c>
      <c r="D521" t="s">
        <v>79</v>
      </c>
      <c r="E521" t="s">
        <v>137</v>
      </c>
      <c r="F521" s="26">
        <v>61568.67</v>
      </c>
      <c r="G521" s="3">
        <v>45761</v>
      </c>
      <c r="H521" t="s">
        <v>14</v>
      </c>
      <c r="I521" s="4" t="str">
        <f>MID(H521,6,30)</f>
        <v>Living Annuity</v>
      </c>
      <c r="J521" t="str">
        <f>IF(LEFT(I521)="L","Compulsory, LA",IF(LEFT(I521)="R","Compulsory, RA",IF(LEFT(I521,2)="Pe","Compulsory, Pens","Voluntary")))</f>
        <v>Compulsory, LA</v>
      </c>
      <c r="K521" t="s">
        <v>15</v>
      </c>
      <c r="M521" t="str">
        <f t="shared" si="303"/>
        <v>b</v>
      </c>
      <c r="N521" t="str">
        <f t="shared" si="304"/>
        <v/>
      </c>
      <c r="O521" t="str">
        <f t="shared" si="305"/>
        <v/>
      </c>
    </row>
    <row r="522" spans="1:15" x14ac:dyDescent="0.3">
      <c r="A522">
        <v>100202693</v>
      </c>
      <c r="B522" t="s">
        <v>1153</v>
      </c>
      <c r="C522">
        <v>92</v>
      </c>
      <c r="D522" t="s">
        <v>79</v>
      </c>
      <c r="E522" t="s">
        <v>137</v>
      </c>
      <c r="F522" s="26">
        <v>240158.86</v>
      </c>
      <c r="G522" s="3">
        <v>45761</v>
      </c>
      <c r="H522" t="s">
        <v>14</v>
      </c>
      <c r="I522" s="4" t="str">
        <f t="shared" si="301"/>
        <v>Living Annuity</v>
      </c>
      <c r="J522" t="str">
        <f t="shared" si="302"/>
        <v>Compulsory, LA</v>
      </c>
      <c r="K522" t="s">
        <v>15</v>
      </c>
      <c r="M522" t="str">
        <f t="shared" si="303"/>
        <v>b</v>
      </c>
      <c r="N522" t="str">
        <f t="shared" si="304"/>
        <v/>
      </c>
      <c r="O522" t="str">
        <f t="shared" si="305"/>
        <v/>
      </c>
    </row>
    <row r="523" spans="1:15" x14ac:dyDescent="0.3">
      <c r="A523">
        <v>100205932</v>
      </c>
      <c r="B523" t="s">
        <v>1224</v>
      </c>
      <c r="C523">
        <v>117</v>
      </c>
      <c r="D523" t="s">
        <v>81</v>
      </c>
      <c r="E523" t="s">
        <v>137</v>
      </c>
      <c r="F523" s="26">
        <v>26217.53</v>
      </c>
      <c r="G523" s="3">
        <v>45761</v>
      </c>
      <c r="H523" t="s">
        <v>14</v>
      </c>
      <c r="I523" s="4" t="str">
        <f>MID(H523,6,30)</f>
        <v>Living Annuity</v>
      </c>
      <c r="J523" t="str">
        <f>IF(LEFT(I523)="L","Compulsory, LA",IF(LEFT(I523)="R","Compulsory, RA",IF(LEFT(I523,2)="Pe","Compulsory, Pens","Voluntary")))</f>
        <v>Compulsory, LA</v>
      </c>
      <c r="K523" t="s">
        <v>15</v>
      </c>
      <c r="M523" t="str">
        <f t="shared" si="303"/>
        <v>b</v>
      </c>
      <c r="N523" t="str">
        <f t="shared" si="304"/>
        <v/>
      </c>
      <c r="O523" t="str">
        <f t="shared" si="305"/>
        <v/>
      </c>
    </row>
    <row r="524" spans="1:15" x14ac:dyDescent="0.3">
      <c r="A524">
        <v>100220898</v>
      </c>
      <c r="B524" t="s">
        <v>1022</v>
      </c>
      <c r="C524">
        <v>115</v>
      </c>
      <c r="D524" t="s">
        <v>83</v>
      </c>
      <c r="E524" t="s">
        <v>137</v>
      </c>
      <c r="F524" s="25">
        <v>62319.23</v>
      </c>
      <c r="G524" s="3">
        <v>45761</v>
      </c>
      <c r="H524" t="s">
        <v>14</v>
      </c>
      <c r="I524" s="4" t="str">
        <f t="shared" si="301"/>
        <v>Living Annuity</v>
      </c>
      <c r="J524" t="str">
        <f t="shared" si="302"/>
        <v>Compulsory, LA</v>
      </c>
      <c r="K524" t="s">
        <v>15</v>
      </c>
      <c r="M524" t="str">
        <f t="shared" si="303"/>
        <v>b</v>
      </c>
      <c r="N524" t="str">
        <f t="shared" si="304"/>
        <v/>
      </c>
      <c r="O524" t="str">
        <f t="shared" si="305"/>
        <v/>
      </c>
    </row>
    <row r="525" spans="1:15" x14ac:dyDescent="0.3">
      <c r="A525">
        <v>100220898</v>
      </c>
      <c r="B525" t="s">
        <v>780</v>
      </c>
      <c r="C525">
        <v>115</v>
      </c>
      <c r="D525" t="s">
        <v>83</v>
      </c>
      <c r="E525" t="s">
        <v>137</v>
      </c>
      <c r="F525" s="25">
        <v>49313.88</v>
      </c>
      <c r="G525" s="3">
        <v>45761</v>
      </c>
      <c r="H525" t="s">
        <v>14</v>
      </c>
      <c r="I525" s="4" t="str">
        <f t="shared" si="295"/>
        <v>Living Annuity</v>
      </c>
      <c r="J525" t="str">
        <f t="shared" si="296"/>
        <v>Compulsory, LA</v>
      </c>
      <c r="K525" t="s">
        <v>15</v>
      </c>
      <c r="M525" t="str">
        <f t="shared" si="303"/>
        <v>b</v>
      </c>
      <c r="N525" t="str">
        <f t="shared" si="304"/>
        <v/>
      </c>
      <c r="O525" t="str">
        <f t="shared" si="305"/>
        <v/>
      </c>
    </row>
    <row r="526" spans="1:15" x14ac:dyDescent="0.3">
      <c r="A526">
        <v>100247003</v>
      </c>
      <c r="B526" t="s">
        <v>1023</v>
      </c>
      <c r="C526">
        <v>79</v>
      </c>
      <c r="D526" t="s">
        <v>50</v>
      </c>
      <c r="E526" t="s">
        <v>137</v>
      </c>
      <c r="F526" s="25">
        <v>39580.39</v>
      </c>
      <c r="G526" s="3">
        <v>45761</v>
      </c>
      <c r="H526" t="s">
        <v>14</v>
      </c>
      <c r="I526" s="4" t="str">
        <f t="shared" si="295"/>
        <v>Living Annuity</v>
      </c>
      <c r="J526" t="str">
        <f t="shared" si="296"/>
        <v>Compulsory, LA</v>
      </c>
      <c r="K526" t="s">
        <v>15</v>
      </c>
      <c r="M526" t="str">
        <f t="shared" si="303"/>
        <v>b</v>
      </c>
      <c r="N526" t="str">
        <f t="shared" si="304"/>
        <v/>
      </c>
      <c r="O526" t="str">
        <f t="shared" si="305"/>
        <v/>
      </c>
    </row>
    <row r="527" spans="1:15" x14ac:dyDescent="0.3">
      <c r="A527">
        <v>100249944</v>
      </c>
      <c r="B527" t="s">
        <v>1024</v>
      </c>
      <c r="C527">
        <v>56</v>
      </c>
      <c r="D527" t="s">
        <v>86</v>
      </c>
      <c r="E527" t="s">
        <v>137</v>
      </c>
      <c r="F527" s="25">
        <v>83711.100000000006</v>
      </c>
      <c r="G527" s="3">
        <v>45761</v>
      </c>
      <c r="H527" t="s">
        <v>14</v>
      </c>
      <c r="I527" s="4" t="str">
        <f t="shared" si="295"/>
        <v>Living Annuity</v>
      </c>
      <c r="J527" t="str">
        <f t="shared" si="296"/>
        <v>Compulsory, LA</v>
      </c>
      <c r="K527" t="s">
        <v>15</v>
      </c>
      <c r="M527" t="str">
        <f t="shared" si="303"/>
        <v>b</v>
      </c>
      <c r="N527" t="str">
        <f t="shared" si="304"/>
        <v/>
      </c>
      <c r="O527" t="str">
        <f t="shared" si="305"/>
        <v/>
      </c>
    </row>
    <row r="528" spans="1:15" x14ac:dyDescent="0.3">
      <c r="A528">
        <v>100250182</v>
      </c>
      <c r="B528" t="s">
        <v>1025</v>
      </c>
      <c r="C528">
        <v>193</v>
      </c>
      <c r="D528" t="s">
        <v>968</v>
      </c>
      <c r="E528" t="s">
        <v>137</v>
      </c>
      <c r="F528" s="25">
        <v>180998.89</v>
      </c>
      <c r="G528" s="3">
        <v>45761</v>
      </c>
      <c r="H528" t="s">
        <v>14</v>
      </c>
      <c r="I528" s="4" t="str">
        <f t="shared" si="295"/>
        <v>Living Annuity</v>
      </c>
      <c r="J528" t="str">
        <f t="shared" si="296"/>
        <v>Compulsory, LA</v>
      </c>
      <c r="K528" t="s">
        <v>15</v>
      </c>
      <c r="M528" t="str">
        <f t="shared" si="303"/>
        <v>b</v>
      </c>
      <c r="N528" t="str">
        <f t="shared" si="304"/>
        <v/>
      </c>
      <c r="O528" t="str">
        <f t="shared" si="305"/>
        <v/>
      </c>
    </row>
    <row r="529" spans="1:15" x14ac:dyDescent="0.3">
      <c r="A529">
        <v>100271808</v>
      </c>
      <c r="B529" t="s">
        <v>972</v>
      </c>
      <c r="C529">
        <v>144</v>
      </c>
      <c r="D529" t="s">
        <v>90</v>
      </c>
      <c r="E529" t="s">
        <v>137</v>
      </c>
      <c r="F529" s="25">
        <v>4847.01</v>
      </c>
      <c r="G529" s="3">
        <v>45761</v>
      </c>
      <c r="H529" t="s">
        <v>26</v>
      </c>
      <c r="I529" s="4" t="str">
        <f t="shared" si="295"/>
        <v>Retirement Annuity</v>
      </c>
      <c r="J529" t="str">
        <f t="shared" si="296"/>
        <v>Compulsory, RA</v>
      </c>
      <c r="K529" t="s">
        <v>15</v>
      </c>
      <c r="M529" t="str">
        <f t="shared" si="303"/>
        <v>d</v>
      </c>
      <c r="N529" t="str">
        <f t="shared" si="304"/>
        <v/>
      </c>
      <c r="O529" t="str">
        <f t="shared" si="305"/>
        <v/>
      </c>
    </row>
    <row r="530" spans="1:15" x14ac:dyDescent="0.3">
      <c r="A530">
        <v>100273792</v>
      </c>
      <c r="B530" t="s">
        <v>781</v>
      </c>
      <c r="C530">
        <v>299</v>
      </c>
      <c r="D530" t="s">
        <v>114</v>
      </c>
      <c r="E530" t="s">
        <v>137</v>
      </c>
      <c r="F530" s="26">
        <v>81908.77</v>
      </c>
      <c r="G530" s="3">
        <v>45761</v>
      </c>
      <c r="H530" t="s">
        <v>14</v>
      </c>
      <c r="I530" s="4" t="str">
        <f>MID(H530,6,30)</f>
        <v>Living Annuity</v>
      </c>
      <c r="J530" t="str">
        <f>IF(LEFT(I530)="L","Compulsory, LA",IF(LEFT(I530)="R","Compulsory, RA",IF(LEFT(I530,2)="Pe","Compulsory, Pens","Voluntary")))</f>
        <v>Compulsory, LA</v>
      </c>
      <c r="K530" t="s">
        <v>15</v>
      </c>
      <c r="M530" t="str">
        <f t="shared" si="303"/>
        <v>b</v>
      </c>
      <c r="N530" t="str">
        <f t="shared" si="304"/>
        <v/>
      </c>
      <c r="O530" t="str">
        <f t="shared" si="305"/>
        <v/>
      </c>
    </row>
    <row r="531" spans="1:15" x14ac:dyDescent="0.3">
      <c r="A531">
        <v>100273792</v>
      </c>
      <c r="B531" t="s">
        <v>782</v>
      </c>
      <c r="C531">
        <v>299</v>
      </c>
      <c r="D531" t="s">
        <v>114</v>
      </c>
      <c r="E531" t="s">
        <v>137</v>
      </c>
      <c r="F531" s="26">
        <v>117115.65</v>
      </c>
      <c r="G531" s="3">
        <v>45761</v>
      </c>
      <c r="H531" t="s">
        <v>14</v>
      </c>
      <c r="I531" s="4" t="str">
        <f t="shared" ref="I531:I535" si="308">MID(H531,6,30)</f>
        <v>Living Annuity</v>
      </c>
      <c r="J531" t="str">
        <f t="shared" ref="J531:J535" si="309">IF(LEFT(I531)="L","Compulsory, LA",IF(LEFT(I531)="R","Compulsory, RA",IF(LEFT(I531,2)="Pe","Compulsory, Pens","Voluntary")))</f>
        <v>Compulsory, LA</v>
      </c>
      <c r="K531" t="s">
        <v>15</v>
      </c>
      <c r="M531" t="str">
        <f t="shared" si="303"/>
        <v>b</v>
      </c>
      <c r="N531" t="str">
        <f t="shared" si="304"/>
        <v/>
      </c>
      <c r="O531" t="str">
        <f t="shared" si="305"/>
        <v/>
      </c>
    </row>
    <row r="532" spans="1:15" x14ac:dyDescent="0.3">
      <c r="A532">
        <v>100273792</v>
      </c>
      <c r="B532" t="s">
        <v>1144</v>
      </c>
      <c r="C532">
        <v>299</v>
      </c>
      <c r="D532" t="s">
        <v>114</v>
      </c>
      <c r="E532" t="s">
        <v>137</v>
      </c>
      <c r="F532" s="26">
        <v>14234.74</v>
      </c>
      <c r="G532" s="3">
        <v>45761</v>
      </c>
      <c r="H532" t="s">
        <v>31</v>
      </c>
      <c r="I532" s="4" t="str">
        <f t="shared" si="308"/>
        <v>Investment Account</v>
      </c>
      <c r="J532" t="str">
        <f t="shared" si="309"/>
        <v>Voluntary</v>
      </c>
      <c r="K532" t="s">
        <v>15</v>
      </c>
      <c r="M532" t="str">
        <f t="shared" si="303"/>
        <v>b</v>
      </c>
      <c r="N532" t="str">
        <f t="shared" si="304"/>
        <v/>
      </c>
      <c r="O532" t="str">
        <f t="shared" si="305"/>
        <v/>
      </c>
    </row>
    <row r="533" spans="1:15" x14ac:dyDescent="0.3">
      <c r="A533">
        <v>100278188</v>
      </c>
      <c r="B533" t="s">
        <v>1027</v>
      </c>
      <c r="C533">
        <v>300</v>
      </c>
      <c r="D533" t="s">
        <v>92</v>
      </c>
      <c r="E533" t="s">
        <v>137</v>
      </c>
      <c r="F533" s="25">
        <v>16664.79</v>
      </c>
      <c r="G533" s="3">
        <v>45761</v>
      </c>
      <c r="H533" t="s">
        <v>14</v>
      </c>
      <c r="I533" s="4" t="str">
        <f>MID(H533,6,30)</f>
        <v>Living Annuity</v>
      </c>
      <c r="J533" t="str">
        <f>IF(LEFT(I533)="L","Compulsory, LA",IF(LEFT(I533)="R","Compulsory, RA",IF(LEFT(I533,2)="Pe","Compulsory, Pens","Voluntary")))</f>
        <v>Compulsory, LA</v>
      </c>
      <c r="K533" t="s">
        <v>15</v>
      </c>
      <c r="M533" t="str">
        <f t="shared" si="303"/>
        <v>b</v>
      </c>
      <c r="N533" t="str">
        <f t="shared" si="304"/>
        <v/>
      </c>
      <c r="O533" t="str">
        <f t="shared" si="305"/>
        <v/>
      </c>
    </row>
    <row r="534" spans="1:15" x14ac:dyDescent="0.3">
      <c r="A534">
        <v>100278188</v>
      </c>
      <c r="B534" t="s">
        <v>903</v>
      </c>
      <c r="C534">
        <v>300</v>
      </c>
      <c r="D534" t="s">
        <v>92</v>
      </c>
      <c r="E534" t="s">
        <v>137</v>
      </c>
      <c r="F534" s="25">
        <v>30544.7</v>
      </c>
      <c r="G534" s="3">
        <v>45761</v>
      </c>
      <c r="H534" t="s">
        <v>14</v>
      </c>
      <c r="I534" s="4" t="str">
        <f>MID(H534,6,30)</f>
        <v>Living Annuity</v>
      </c>
      <c r="J534" t="str">
        <f>IF(LEFT(I534)="L","Compulsory, LA",IF(LEFT(I534)="R","Compulsory, RA",IF(LEFT(I534,2)="Pe","Compulsory, Pens","Voluntary")))</f>
        <v>Compulsory, LA</v>
      </c>
      <c r="K534" t="s">
        <v>15</v>
      </c>
      <c r="M534" t="str">
        <f t="shared" si="303"/>
        <v>b</v>
      </c>
      <c r="N534" t="str">
        <f t="shared" si="304"/>
        <v/>
      </c>
      <c r="O534" t="str">
        <f t="shared" si="305"/>
        <v/>
      </c>
    </row>
    <row r="535" spans="1:15" x14ac:dyDescent="0.3">
      <c r="A535">
        <v>100278188</v>
      </c>
      <c r="B535" t="s">
        <v>1026</v>
      </c>
      <c r="C535">
        <v>300</v>
      </c>
      <c r="D535" t="s">
        <v>92</v>
      </c>
      <c r="E535" t="s">
        <v>137</v>
      </c>
      <c r="F535" s="25">
        <v>9316.15</v>
      </c>
      <c r="G535" s="3">
        <v>45761</v>
      </c>
      <c r="H535" t="s">
        <v>14</v>
      </c>
      <c r="I535" s="4" t="str">
        <f t="shared" si="308"/>
        <v>Living Annuity</v>
      </c>
      <c r="J535" t="str">
        <f t="shared" si="309"/>
        <v>Compulsory, LA</v>
      </c>
      <c r="K535" t="s">
        <v>15</v>
      </c>
      <c r="M535" t="str">
        <f t="shared" si="303"/>
        <v>b</v>
      </c>
      <c r="N535" t="str">
        <f t="shared" si="304"/>
        <v/>
      </c>
      <c r="O535" t="str">
        <f t="shared" si="305"/>
        <v/>
      </c>
    </row>
    <row r="536" spans="1:15" x14ac:dyDescent="0.3">
      <c r="A536">
        <v>100309343</v>
      </c>
      <c r="B536" t="s">
        <v>783</v>
      </c>
      <c r="C536">
        <v>30</v>
      </c>
      <c r="D536" t="s">
        <v>94</v>
      </c>
      <c r="E536" t="s">
        <v>137</v>
      </c>
      <c r="F536" s="26">
        <v>7685.86</v>
      </c>
      <c r="G536" s="3">
        <v>45761</v>
      </c>
      <c r="H536" t="s">
        <v>31</v>
      </c>
      <c r="I536" s="4" t="str">
        <f t="shared" ref="I536" si="310">MID(H536,6,30)</f>
        <v>Investment Account</v>
      </c>
      <c r="J536" t="str">
        <f t="shared" ref="J536" si="311">IF(LEFT(I536)="L","Compulsory, LA",IF(LEFT(I536)="R","Compulsory, RA",IF(LEFT(I536,2)="Pe","Compulsory, Pens","Voluntary")))</f>
        <v>Voluntary</v>
      </c>
      <c r="K536" t="s">
        <v>15</v>
      </c>
      <c r="M536" t="str">
        <f t="shared" si="303"/>
        <v>b</v>
      </c>
      <c r="N536" t="str">
        <f t="shared" si="304"/>
        <v/>
      </c>
      <c r="O536" t="str">
        <f t="shared" si="305"/>
        <v/>
      </c>
    </row>
    <row r="537" spans="1:15" x14ac:dyDescent="0.3">
      <c r="A537">
        <v>100317997</v>
      </c>
      <c r="B537" t="s">
        <v>975</v>
      </c>
      <c r="C537">
        <v>32</v>
      </c>
      <c r="D537" t="s">
        <v>96</v>
      </c>
      <c r="E537" t="s">
        <v>137</v>
      </c>
      <c r="F537" s="26">
        <v>981.8</v>
      </c>
      <c r="G537" s="3">
        <v>45761</v>
      </c>
      <c r="H537" t="s">
        <v>26</v>
      </c>
      <c r="I537" s="4" t="str">
        <f t="shared" ref="I537:I541" si="312">MID(H537,6,30)</f>
        <v>Retirement Annuity</v>
      </c>
      <c r="J537" t="str">
        <f t="shared" ref="J537:J541" si="313">IF(LEFT(I537)="L","Compulsory, LA",IF(LEFT(I537)="R","Compulsory, RA",IF(LEFT(I537,2)="Pe","Compulsory, Pens","Voluntary")))</f>
        <v>Compulsory, RA</v>
      </c>
      <c r="K537" t="s">
        <v>15</v>
      </c>
      <c r="M537" t="str">
        <f t="shared" si="303"/>
        <v>d</v>
      </c>
      <c r="N537" t="str">
        <f t="shared" si="304"/>
        <v/>
      </c>
      <c r="O537" t="str">
        <f t="shared" si="305"/>
        <v/>
      </c>
    </row>
    <row r="538" spans="1:15" x14ac:dyDescent="0.3">
      <c r="A538">
        <v>100317997</v>
      </c>
      <c r="B538" t="s">
        <v>1220</v>
      </c>
      <c r="C538">
        <v>32</v>
      </c>
      <c r="D538" t="s">
        <v>96</v>
      </c>
      <c r="E538" t="s">
        <v>137</v>
      </c>
      <c r="F538" s="26">
        <v>107.22</v>
      </c>
      <c r="G538" s="3">
        <v>45761</v>
      </c>
      <c r="H538" t="s">
        <v>1174</v>
      </c>
      <c r="I538" s="4" t="str">
        <f t="shared" si="312"/>
        <v>Retirement Annuity - Savings C</v>
      </c>
      <c r="J538" t="str">
        <f t="shared" si="313"/>
        <v>Compulsory, RA</v>
      </c>
      <c r="K538" t="s">
        <v>15</v>
      </c>
      <c r="M538" t="str">
        <f t="shared" si="303"/>
        <v>d</v>
      </c>
      <c r="N538" t="str">
        <f t="shared" si="304"/>
        <v/>
      </c>
      <c r="O538" t="str">
        <f t="shared" si="305"/>
        <v/>
      </c>
    </row>
    <row r="539" spans="1:15" x14ac:dyDescent="0.3">
      <c r="A539">
        <v>100325823</v>
      </c>
      <c r="B539" t="s">
        <v>1028</v>
      </c>
      <c r="C539">
        <v>114</v>
      </c>
      <c r="D539" t="s">
        <v>97</v>
      </c>
      <c r="E539" t="s">
        <v>137</v>
      </c>
      <c r="F539" s="26">
        <v>204756.84</v>
      </c>
      <c r="G539" s="3">
        <v>45761</v>
      </c>
      <c r="H539" t="s">
        <v>14</v>
      </c>
      <c r="I539" s="4" t="str">
        <f>MID(H539,6,30)</f>
        <v>Living Annuity</v>
      </c>
      <c r="J539" t="str">
        <f>IF(LEFT(I539)="L","Compulsory, LA",IF(LEFT(I539)="R","Compulsory, RA",IF(LEFT(I539,2)="Pe","Compulsory, Pens","Voluntary")))</f>
        <v>Compulsory, LA</v>
      </c>
      <c r="K539" t="s">
        <v>15</v>
      </c>
      <c r="M539" t="str">
        <f t="shared" si="303"/>
        <v>b</v>
      </c>
      <c r="N539" t="str">
        <f t="shared" si="304"/>
        <v/>
      </c>
      <c r="O539" t="str">
        <f t="shared" si="305"/>
        <v/>
      </c>
    </row>
    <row r="540" spans="1:15" x14ac:dyDescent="0.3">
      <c r="A540">
        <v>100376880</v>
      </c>
      <c r="B540" t="s">
        <v>1029</v>
      </c>
      <c r="C540">
        <v>97</v>
      </c>
      <c r="D540" t="s">
        <v>618</v>
      </c>
      <c r="E540" t="s">
        <v>137</v>
      </c>
      <c r="F540" s="26">
        <v>8127.76</v>
      </c>
      <c r="G540" s="3">
        <v>45761</v>
      </c>
      <c r="H540" t="s">
        <v>14</v>
      </c>
      <c r="I540" s="4" t="str">
        <f t="shared" si="312"/>
        <v>Living Annuity</v>
      </c>
      <c r="J540" t="str">
        <f t="shared" si="313"/>
        <v>Compulsory, LA</v>
      </c>
      <c r="K540" t="s">
        <v>15</v>
      </c>
      <c r="M540" t="str">
        <f t="shared" si="303"/>
        <v>b</v>
      </c>
      <c r="N540" t="str">
        <f t="shared" si="304"/>
        <v/>
      </c>
      <c r="O540" t="str">
        <f t="shared" si="305"/>
        <v/>
      </c>
    </row>
    <row r="541" spans="1:15" x14ac:dyDescent="0.3">
      <c r="A541">
        <v>100388471</v>
      </c>
      <c r="B541" t="s">
        <v>1031</v>
      </c>
      <c r="C541">
        <v>3</v>
      </c>
      <c r="D541" t="s">
        <v>101</v>
      </c>
      <c r="E541" t="s">
        <v>137</v>
      </c>
      <c r="F541" s="25">
        <v>206893.39</v>
      </c>
      <c r="G541" s="3">
        <v>45761</v>
      </c>
      <c r="H541" t="s">
        <v>14</v>
      </c>
      <c r="I541" s="4" t="str">
        <f t="shared" si="312"/>
        <v>Living Annuity</v>
      </c>
      <c r="J541" t="str">
        <f t="shared" si="313"/>
        <v>Compulsory, LA</v>
      </c>
      <c r="K541" t="s">
        <v>15</v>
      </c>
      <c r="M541" t="str">
        <f t="shared" si="303"/>
        <v>b</v>
      </c>
      <c r="N541" t="str">
        <f t="shared" si="304"/>
        <v/>
      </c>
      <c r="O541" t="str">
        <f t="shared" si="305"/>
        <v/>
      </c>
    </row>
    <row r="542" spans="1:15" x14ac:dyDescent="0.3">
      <c r="A542">
        <v>100388471</v>
      </c>
      <c r="B542" t="s">
        <v>784</v>
      </c>
      <c r="C542">
        <v>3</v>
      </c>
      <c r="D542" t="s">
        <v>101</v>
      </c>
      <c r="E542" t="s">
        <v>137</v>
      </c>
      <c r="F542" s="25">
        <v>8824.56</v>
      </c>
      <c r="G542" s="3">
        <v>45761</v>
      </c>
      <c r="H542" t="s">
        <v>14</v>
      </c>
      <c r="I542" s="4" t="str">
        <f t="shared" ref="I542:I607" si="314">MID(H542,6,30)</f>
        <v>Living Annuity</v>
      </c>
      <c r="J542" t="str">
        <f t="shared" ref="J542:J607" si="315">IF(LEFT(I542)="L","Compulsory, LA",IF(LEFT(I542)="R","Compulsory, RA",IF(LEFT(I542,2)="Pe","Compulsory, Pens","Voluntary")))</f>
        <v>Compulsory, LA</v>
      </c>
      <c r="K542" t="s">
        <v>15</v>
      </c>
      <c r="M542" t="str">
        <f t="shared" si="303"/>
        <v>b</v>
      </c>
      <c r="N542" t="str">
        <f t="shared" si="304"/>
        <v/>
      </c>
      <c r="O542" t="str">
        <f t="shared" si="305"/>
        <v/>
      </c>
    </row>
    <row r="543" spans="1:15" x14ac:dyDescent="0.3">
      <c r="A543">
        <v>100408912</v>
      </c>
      <c r="B543" t="s">
        <v>1030</v>
      </c>
      <c r="C543">
        <v>297</v>
      </c>
      <c r="D543" t="s">
        <v>103</v>
      </c>
      <c r="E543" t="s">
        <v>137</v>
      </c>
      <c r="F543" s="25">
        <v>122135.43</v>
      </c>
      <c r="G543" s="3">
        <v>45761</v>
      </c>
      <c r="H543" t="s">
        <v>14</v>
      </c>
      <c r="I543" s="4" t="str">
        <f t="shared" si="314"/>
        <v>Living Annuity</v>
      </c>
      <c r="J543" t="str">
        <f t="shared" si="315"/>
        <v>Compulsory, LA</v>
      </c>
      <c r="K543" t="s">
        <v>15</v>
      </c>
      <c r="M543" t="str">
        <f t="shared" si="303"/>
        <v>b</v>
      </c>
      <c r="N543" t="str">
        <f t="shared" si="304"/>
        <v/>
      </c>
      <c r="O543" t="str">
        <f t="shared" si="305"/>
        <v/>
      </c>
    </row>
    <row r="544" spans="1:15" x14ac:dyDescent="0.3">
      <c r="A544">
        <v>100421069</v>
      </c>
      <c r="B544" t="s">
        <v>1032</v>
      </c>
      <c r="C544">
        <v>37</v>
      </c>
      <c r="D544" t="s">
        <v>105</v>
      </c>
      <c r="E544" t="s">
        <v>137</v>
      </c>
      <c r="F544" s="26">
        <v>65662.649999999994</v>
      </c>
      <c r="G544" s="3">
        <v>45761</v>
      </c>
      <c r="H544" t="s">
        <v>14</v>
      </c>
      <c r="I544" s="4" t="str">
        <f t="shared" si="314"/>
        <v>Living Annuity</v>
      </c>
      <c r="J544" t="str">
        <f t="shared" si="315"/>
        <v>Compulsory, LA</v>
      </c>
      <c r="K544" t="s">
        <v>15</v>
      </c>
      <c r="M544" t="str">
        <f t="shared" si="303"/>
        <v>b</v>
      </c>
      <c r="N544" t="str">
        <f t="shared" si="304"/>
        <v/>
      </c>
      <c r="O544" t="str">
        <f t="shared" si="305"/>
        <v/>
      </c>
    </row>
    <row r="545" spans="1:15" x14ac:dyDescent="0.3">
      <c r="A545">
        <v>100421069</v>
      </c>
      <c r="B545" t="s">
        <v>785</v>
      </c>
      <c r="C545">
        <v>37</v>
      </c>
      <c r="D545" t="s">
        <v>105</v>
      </c>
      <c r="E545" t="s">
        <v>137</v>
      </c>
      <c r="F545" s="26">
        <v>30015.41</v>
      </c>
      <c r="G545" s="3">
        <v>45761</v>
      </c>
      <c r="H545" t="s">
        <v>14</v>
      </c>
      <c r="I545" s="4" t="str">
        <f t="shared" si="314"/>
        <v>Living Annuity</v>
      </c>
      <c r="J545" t="str">
        <f t="shared" si="315"/>
        <v>Compulsory, LA</v>
      </c>
      <c r="K545" t="s">
        <v>15</v>
      </c>
      <c r="M545" t="str">
        <f t="shared" si="303"/>
        <v>b</v>
      </c>
      <c r="N545" t="str">
        <f t="shared" si="304"/>
        <v/>
      </c>
      <c r="O545" t="str">
        <f t="shared" si="305"/>
        <v/>
      </c>
    </row>
    <row r="546" spans="1:15" x14ac:dyDescent="0.3">
      <c r="A546">
        <v>100421069</v>
      </c>
      <c r="B546" t="s">
        <v>808</v>
      </c>
      <c r="C546">
        <v>37</v>
      </c>
      <c r="D546" t="s">
        <v>105</v>
      </c>
      <c r="E546" t="s">
        <v>137</v>
      </c>
      <c r="F546" s="26">
        <v>35742.959999999999</v>
      </c>
      <c r="G546" s="3">
        <v>45761</v>
      </c>
      <c r="H546" t="s">
        <v>14</v>
      </c>
      <c r="I546" s="4" t="str">
        <f t="shared" si="314"/>
        <v>Living Annuity</v>
      </c>
      <c r="J546" t="str">
        <f t="shared" si="315"/>
        <v>Compulsory, LA</v>
      </c>
      <c r="K546" t="s">
        <v>15</v>
      </c>
      <c r="M546" t="str">
        <f t="shared" si="303"/>
        <v>b</v>
      </c>
      <c r="N546" t="str">
        <f t="shared" si="304"/>
        <v/>
      </c>
      <c r="O546" t="str">
        <f t="shared" si="305"/>
        <v/>
      </c>
    </row>
    <row r="547" spans="1:15" x14ac:dyDescent="0.3">
      <c r="A547" s="7">
        <v>100489695</v>
      </c>
      <c r="B547" t="s">
        <v>1098</v>
      </c>
      <c r="C547">
        <v>294</v>
      </c>
      <c r="D547" t="s">
        <v>136</v>
      </c>
      <c r="E547" t="s">
        <v>137</v>
      </c>
      <c r="F547" s="26">
        <v>236980.26</v>
      </c>
      <c r="G547" s="3">
        <v>45761</v>
      </c>
      <c r="H547" t="s">
        <v>31</v>
      </c>
      <c r="I547" s="4" t="str">
        <f t="shared" si="314"/>
        <v>Investment Account</v>
      </c>
      <c r="J547" t="str">
        <f t="shared" si="315"/>
        <v>Voluntary</v>
      </c>
      <c r="K547" t="s">
        <v>15</v>
      </c>
      <c r="M547" t="str">
        <f t="shared" si="303"/>
        <v>b</v>
      </c>
      <c r="N547" t="str">
        <f t="shared" si="304"/>
        <v/>
      </c>
      <c r="O547" t="str">
        <f t="shared" si="305"/>
        <v/>
      </c>
    </row>
    <row r="548" spans="1:15" x14ac:dyDescent="0.3">
      <c r="A548">
        <v>100492707</v>
      </c>
      <c r="B548" t="s">
        <v>1033</v>
      </c>
      <c r="C548">
        <v>233</v>
      </c>
      <c r="D548" t="s">
        <v>107</v>
      </c>
      <c r="E548" t="s">
        <v>137</v>
      </c>
      <c r="F548" s="26">
        <v>56261.51</v>
      </c>
      <c r="G548" s="3">
        <v>45761</v>
      </c>
      <c r="H548" t="s">
        <v>14</v>
      </c>
      <c r="I548" s="4" t="str">
        <f t="shared" si="314"/>
        <v>Living Annuity</v>
      </c>
      <c r="J548" t="str">
        <f t="shared" si="315"/>
        <v>Compulsory, LA</v>
      </c>
      <c r="K548" t="s">
        <v>15</v>
      </c>
      <c r="M548" t="str">
        <f t="shared" si="303"/>
        <v>b</v>
      </c>
      <c r="N548" t="str">
        <f t="shared" si="304"/>
        <v/>
      </c>
      <c r="O548" t="str">
        <f t="shared" si="305"/>
        <v/>
      </c>
    </row>
    <row r="549" spans="1:15" x14ac:dyDescent="0.3">
      <c r="A549">
        <v>100492707</v>
      </c>
      <c r="B549" t="s">
        <v>1198</v>
      </c>
      <c r="C549">
        <v>233</v>
      </c>
      <c r="D549" t="s">
        <v>107</v>
      </c>
      <c r="E549" t="s">
        <v>137</v>
      </c>
      <c r="F549" s="26">
        <v>460220.06</v>
      </c>
      <c r="G549" s="3">
        <v>45761</v>
      </c>
      <c r="H549" t="s">
        <v>14</v>
      </c>
      <c r="I549" s="4" t="str">
        <f t="shared" si="314"/>
        <v>Living Annuity</v>
      </c>
      <c r="J549" t="str">
        <f t="shared" si="315"/>
        <v>Compulsory, LA</v>
      </c>
      <c r="K549" t="s">
        <v>15</v>
      </c>
      <c r="M549" t="str">
        <f t="shared" si="303"/>
        <v>b</v>
      </c>
      <c r="N549" t="str">
        <f t="shared" si="304"/>
        <v/>
      </c>
      <c r="O549" t="str">
        <f t="shared" si="305"/>
        <v/>
      </c>
    </row>
    <row r="550" spans="1:15" x14ac:dyDescent="0.3">
      <c r="A550">
        <v>100497270</v>
      </c>
      <c r="B550" t="s">
        <v>1189</v>
      </c>
      <c r="C550">
        <v>364</v>
      </c>
      <c r="D550" t="s">
        <v>109</v>
      </c>
      <c r="E550" t="s">
        <v>137</v>
      </c>
      <c r="F550" s="26">
        <v>874.88</v>
      </c>
      <c r="G550" s="3">
        <v>45761</v>
      </c>
      <c r="H550" t="s">
        <v>1174</v>
      </c>
      <c r="I550" s="4" t="str">
        <f t="shared" si="314"/>
        <v>Retirement Annuity - Savings C</v>
      </c>
      <c r="J550" t="str">
        <f t="shared" si="315"/>
        <v>Compulsory, RA</v>
      </c>
      <c r="K550" t="s">
        <v>15</v>
      </c>
      <c r="M550" t="str">
        <f t="shared" si="303"/>
        <v>d</v>
      </c>
      <c r="N550" t="str">
        <f t="shared" si="304"/>
        <v/>
      </c>
      <c r="O550" t="str">
        <f t="shared" si="305"/>
        <v/>
      </c>
    </row>
    <row r="551" spans="1:15" x14ac:dyDescent="0.3">
      <c r="A551">
        <v>100497270</v>
      </c>
      <c r="B551" t="s">
        <v>983</v>
      </c>
      <c r="C551">
        <v>364</v>
      </c>
      <c r="D551" t="s">
        <v>109</v>
      </c>
      <c r="E551" t="s">
        <v>137</v>
      </c>
      <c r="F551" s="26">
        <v>8017.33</v>
      </c>
      <c r="G551" s="3">
        <v>45761</v>
      </c>
      <c r="H551" t="s">
        <v>26</v>
      </c>
      <c r="I551" s="4" t="str">
        <f t="shared" si="314"/>
        <v>Retirement Annuity</v>
      </c>
      <c r="J551" t="str">
        <f t="shared" si="315"/>
        <v>Compulsory, RA</v>
      </c>
      <c r="K551" t="s">
        <v>15</v>
      </c>
      <c r="M551" t="str">
        <f t="shared" si="303"/>
        <v>d</v>
      </c>
      <c r="N551" t="str">
        <f t="shared" si="304"/>
        <v/>
      </c>
      <c r="O551" t="str">
        <f t="shared" si="305"/>
        <v/>
      </c>
    </row>
    <row r="552" spans="1:15" x14ac:dyDescent="0.3">
      <c r="A552">
        <v>100528113</v>
      </c>
      <c r="B552" t="s">
        <v>786</v>
      </c>
      <c r="C552">
        <v>134</v>
      </c>
      <c r="D552" t="s">
        <v>118</v>
      </c>
      <c r="E552" t="s">
        <v>137</v>
      </c>
      <c r="F552" s="26">
        <v>47845.93</v>
      </c>
      <c r="G552" s="3">
        <v>45761</v>
      </c>
      <c r="H552" t="s">
        <v>31</v>
      </c>
      <c r="I552" s="4" t="str">
        <f t="shared" si="314"/>
        <v>Investment Account</v>
      </c>
      <c r="J552" t="str">
        <f t="shared" si="315"/>
        <v>Voluntary</v>
      </c>
      <c r="K552" t="s">
        <v>15</v>
      </c>
      <c r="M552" t="str">
        <f t="shared" si="303"/>
        <v>b</v>
      </c>
      <c r="N552" t="str">
        <f t="shared" si="304"/>
        <v/>
      </c>
      <c r="O552" t="str">
        <f t="shared" si="305"/>
        <v/>
      </c>
    </row>
    <row r="553" spans="1:15" x14ac:dyDescent="0.3">
      <c r="A553">
        <v>100562496</v>
      </c>
      <c r="B553" t="s">
        <v>984</v>
      </c>
      <c r="C553">
        <v>381</v>
      </c>
      <c r="D553" t="s">
        <v>981</v>
      </c>
      <c r="E553" t="s">
        <v>137</v>
      </c>
      <c r="F553" s="26">
        <v>9579.84</v>
      </c>
      <c r="G553" s="3">
        <v>45761</v>
      </c>
      <c r="H553" t="s">
        <v>26</v>
      </c>
      <c r="I553" s="4" t="str">
        <f t="shared" si="314"/>
        <v>Retirement Annuity</v>
      </c>
      <c r="J553" t="str">
        <f t="shared" si="315"/>
        <v>Compulsory, RA</v>
      </c>
      <c r="K553" t="s">
        <v>15</v>
      </c>
      <c r="M553" t="str">
        <f t="shared" si="303"/>
        <v>d</v>
      </c>
      <c r="N553" t="str">
        <f t="shared" si="304"/>
        <v/>
      </c>
      <c r="O553" t="str">
        <f t="shared" si="305"/>
        <v/>
      </c>
    </row>
    <row r="554" spans="1:15" x14ac:dyDescent="0.3">
      <c r="A554">
        <v>100562496</v>
      </c>
      <c r="B554" t="s">
        <v>1190</v>
      </c>
      <c r="C554">
        <v>381</v>
      </c>
      <c r="D554" t="s">
        <v>981</v>
      </c>
      <c r="E554" t="s">
        <v>137</v>
      </c>
      <c r="F554" s="26">
        <v>1196.1199999999999</v>
      </c>
      <c r="G554" s="3">
        <v>45761</v>
      </c>
      <c r="H554" t="s">
        <v>1174</v>
      </c>
      <c r="I554" s="4" t="str">
        <f t="shared" si="314"/>
        <v>Retirement Annuity - Savings C</v>
      </c>
      <c r="J554" t="str">
        <f t="shared" si="315"/>
        <v>Compulsory, RA</v>
      </c>
      <c r="K554" t="s">
        <v>15</v>
      </c>
      <c r="M554" t="str">
        <f t="shared" si="303"/>
        <v>d</v>
      </c>
      <c r="N554" t="str">
        <f t="shared" si="304"/>
        <v/>
      </c>
      <c r="O554" t="str">
        <f t="shared" si="305"/>
        <v/>
      </c>
    </row>
    <row r="555" spans="1:15" x14ac:dyDescent="0.3">
      <c r="A555">
        <v>100562496</v>
      </c>
      <c r="B555" t="s">
        <v>1191</v>
      </c>
      <c r="C555">
        <v>381</v>
      </c>
      <c r="D555" t="s">
        <v>981</v>
      </c>
      <c r="E555" t="s">
        <v>137</v>
      </c>
      <c r="F555" s="26">
        <v>315.86</v>
      </c>
      <c r="G555" s="3">
        <v>45761</v>
      </c>
      <c r="H555" t="s">
        <v>1175</v>
      </c>
      <c r="I555" s="4" t="str">
        <f t="shared" si="314"/>
        <v>Retirement Annuity - Retiremen</v>
      </c>
      <c r="J555" t="str">
        <f t="shared" si="315"/>
        <v>Compulsory, RA</v>
      </c>
      <c r="K555" t="s">
        <v>15</v>
      </c>
      <c r="M555" t="str">
        <f t="shared" si="303"/>
        <v>d</v>
      </c>
      <c r="N555" t="str">
        <f t="shared" si="304"/>
        <v/>
      </c>
      <c r="O555" t="str">
        <f t="shared" si="305"/>
        <v/>
      </c>
    </row>
    <row r="556" spans="1:15" x14ac:dyDescent="0.3">
      <c r="A556">
        <v>100564770</v>
      </c>
      <c r="B556" t="s">
        <v>787</v>
      </c>
      <c r="C556">
        <v>384</v>
      </c>
      <c r="D556" t="s">
        <v>123</v>
      </c>
      <c r="E556" t="s">
        <v>137</v>
      </c>
      <c r="F556" s="26">
        <v>33368.839999999997</v>
      </c>
      <c r="G556" s="3">
        <v>45761</v>
      </c>
      <c r="H556" t="s">
        <v>14</v>
      </c>
      <c r="I556" s="4" t="str">
        <f>MID(H556,6,30)</f>
        <v>Living Annuity</v>
      </c>
      <c r="J556" t="str">
        <f>IF(LEFT(I556)="L","Compulsory, LA",IF(LEFT(I556)="R","Compulsory, RA",IF(LEFT(I556,2)="Pe","Compulsory, Pens","Voluntary")))</f>
        <v>Compulsory, LA</v>
      </c>
      <c r="K556" t="s">
        <v>15</v>
      </c>
      <c r="M556" t="str">
        <f>RIGHT(B556,1)</f>
        <v>b</v>
      </c>
      <c r="N556" t="str">
        <f>IF(M556="f","FFFF","")</f>
        <v/>
      </c>
      <c r="O556" t="str">
        <f>IF(M556="I","IIII","")</f>
        <v/>
      </c>
    </row>
    <row r="557" spans="1:15" x14ac:dyDescent="0.3">
      <c r="A557">
        <v>100596195</v>
      </c>
      <c r="B557" t="s">
        <v>1238</v>
      </c>
      <c r="C557">
        <v>142</v>
      </c>
      <c r="D557" t="s">
        <v>620</v>
      </c>
      <c r="E557" t="s">
        <v>137</v>
      </c>
      <c r="F557" s="26">
        <v>6922.35</v>
      </c>
      <c r="G557" s="3">
        <v>45761</v>
      </c>
      <c r="H557" t="s">
        <v>31</v>
      </c>
      <c r="I557" s="4" t="str">
        <f t="shared" si="314"/>
        <v>Investment Account</v>
      </c>
      <c r="J557" t="str">
        <f t="shared" si="315"/>
        <v>Voluntary</v>
      </c>
      <c r="K557" t="s">
        <v>15</v>
      </c>
      <c r="M557" t="str">
        <f t="shared" si="303"/>
        <v>b</v>
      </c>
      <c r="N557" t="str">
        <f t="shared" si="304"/>
        <v/>
      </c>
      <c r="O557" t="str">
        <f t="shared" si="305"/>
        <v/>
      </c>
    </row>
    <row r="558" spans="1:15" x14ac:dyDescent="0.3">
      <c r="A558">
        <v>100596689</v>
      </c>
      <c r="B558" t="s">
        <v>788</v>
      </c>
      <c r="C558">
        <v>180</v>
      </c>
      <c r="D558" t="s">
        <v>149</v>
      </c>
      <c r="E558" t="s">
        <v>137</v>
      </c>
      <c r="F558" s="25">
        <v>27753.3</v>
      </c>
      <c r="G558" s="3">
        <v>45761</v>
      </c>
      <c r="H558" t="s">
        <v>31</v>
      </c>
      <c r="I558" s="4" t="str">
        <f t="shared" ref="I558:I560" si="316">MID(H558,6,30)</f>
        <v>Investment Account</v>
      </c>
      <c r="J558" t="str">
        <f t="shared" ref="J558:J560" si="317">IF(LEFT(I558)="L","Compulsory, LA",IF(LEFT(I558)="R","Compulsory, RA",IF(LEFT(I558,2)="Pe","Compulsory, Pens","Voluntary")))</f>
        <v>Voluntary</v>
      </c>
      <c r="K558" t="s">
        <v>15</v>
      </c>
      <c r="M558" t="str">
        <f t="shared" si="303"/>
        <v>b</v>
      </c>
      <c r="N558" t="str">
        <f t="shared" si="304"/>
        <v/>
      </c>
      <c r="O558" t="str">
        <f t="shared" si="305"/>
        <v/>
      </c>
    </row>
    <row r="559" spans="1:15" x14ac:dyDescent="0.3">
      <c r="A559">
        <v>100596689</v>
      </c>
      <c r="B559" t="s">
        <v>1083</v>
      </c>
      <c r="C559">
        <v>180</v>
      </c>
      <c r="D559" t="s">
        <v>149</v>
      </c>
      <c r="E559" t="s">
        <v>137</v>
      </c>
      <c r="F559" s="26">
        <v>9956.7199999999993</v>
      </c>
      <c r="G559" s="3">
        <v>45761</v>
      </c>
      <c r="H559" t="s">
        <v>31</v>
      </c>
      <c r="I559" s="4" t="str">
        <f t="shared" si="316"/>
        <v>Investment Account</v>
      </c>
      <c r="J559" t="str">
        <f t="shared" si="317"/>
        <v>Voluntary</v>
      </c>
      <c r="K559" t="s">
        <v>15</v>
      </c>
      <c r="M559" t="str">
        <f t="shared" si="303"/>
        <v>b</v>
      </c>
      <c r="N559" t="str">
        <f t="shared" si="304"/>
        <v/>
      </c>
      <c r="O559" t="str">
        <f t="shared" si="305"/>
        <v/>
      </c>
    </row>
    <row r="560" spans="1:15" s="13" customFormat="1" x14ac:dyDescent="0.3">
      <c r="A560" s="13">
        <v>100614771</v>
      </c>
      <c r="B560" s="13" t="s">
        <v>789</v>
      </c>
      <c r="C560" s="13">
        <v>365</v>
      </c>
      <c r="D560" s="13" t="s">
        <v>632</v>
      </c>
      <c r="E560" s="13" t="s">
        <v>137</v>
      </c>
      <c r="F560" s="27">
        <v>3019.51</v>
      </c>
      <c r="G560" s="14">
        <v>45761</v>
      </c>
      <c r="H560" s="13" t="s">
        <v>31</v>
      </c>
      <c r="I560" s="15" t="str">
        <f t="shared" si="316"/>
        <v>Investment Account</v>
      </c>
      <c r="J560" s="13" t="str">
        <f t="shared" si="317"/>
        <v>Voluntary</v>
      </c>
      <c r="K560" s="13" t="s">
        <v>15</v>
      </c>
      <c r="M560" t="str">
        <f t="shared" si="303"/>
        <v>b</v>
      </c>
      <c r="N560" t="str">
        <f t="shared" si="304"/>
        <v/>
      </c>
      <c r="O560" t="str">
        <f t="shared" si="305"/>
        <v/>
      </c>
    </row>
    <row r="561" spans="1:15" s="13" customFormat="1" x14ac:dyDescent="0.3">
      <c r="A561" s="13">
        <v>100620477</v>
      </c>
      <c r="B561" s="13" t="s">
        <v>790</v>
      </c>
      <c r="C561" s="13">
        <v>437</v>
      </c>
      <c r="D561" s="13" t="s">
        <v>643</v>
      </c>
      <c r="E561" s="13" t="s">
        <v>137</v>
      </c>
      <c r="F561" s="27">
        <v>20992.560000000001</v>
      </c>
      <c r="G561" s="14">
        <v>45761</v>
      </c>
      <c r="H561" s="13" t="s">
        <v>31</v>
      </c>
      <c r="I561" s="15" t="str">
        <f t="shared" si="314"/>
        <v>Investment Account</v>
      </c>
      <c r="J561" s="13" t="str">
        <f t="shared" si="315"/>
        <v>Voluntary</v>
      </c>
      <c r="K561" s="13" t="s">
        <v>15</v>
      </c>
      <c r="M561" t="str">
        <f t="shared" si="303"/>
        <v>b</v>
      </c>
      <c r="N561" t="str">
        <f t="shared" si="304"/>
        <v/>
      </c>
      <c r="O561" t="str">
        <f t="shared" si="305"/>
        <v/>
      </c>
    </row>
    <row r="562" spans="1:15" s="16" customFormat="1" x14ac:dyDescent="0.3">
      <c r="A562" s="16">
        <v>100623191</v>
      </c>
      <c r="B562" s="16" t="s">
        <v>791</v>
      </c>
      <c r="C562" s="16">
        <v>293</v>
      </c>
      <c r="D562" s="16" t="s">
        <v>645</v>
      </c>
      <c r="E562" s="16" t="s">
        <v>137</v>
      </c>
      <c r="F562" s="33">
        <v>3809.11</v>
      </c>
      <c r="G562" s="17">
        <v>45761</v>
      </c>
      <c r="H562" s="16" t="s">
        <v>31</v>
      </c>
      <c r="I562" s="18" t="str">
        <f t="shared" si="314"/>
        <v>Investment Account</v>
      </c>
      <c r="J562" s="16" t="str">
        <f t="shared" si="315"/>
        <v>Voluntary</v>
      </c>
      <c r="K562" s="16" t="s">
        <v>15</v>
      </c>
      <c r="M562" t="str">
        <f t="shared" si="303"/>
        <v>b</v>
      </c>
      <c r="N562" t="str">
        <f t="shared" si="304"/>
        <v/>
      </c>
      <c r="O562" t="str">
        <f t="shared" si="305"/>
        <v/>
      </c>
    </row>
    <row r="563" spans="1:15" x14ac:dyDescent="0.3">
      <c r="A563">
        <v>100625039</v>
      </c>
      <c r="B563" t="s">
        <v>792</v>
      </c>
      <c r="C563">
        <v>444</v>
      </c>
      <c r="D563" t="s">
        <v>647</v>
      </c>
      <c r="E563" t="s">
        <v>137</v>
      </c>
      <c r="F563" s="25">
        <v>22477.02</v>
      </c>
      <c r="G563" s="3">
        <v>45761</v>
      </c>
      <c r="H563" t="s">
        <v>31</v>
      </c>
      <c r="I563" s="4" t="str">
        <f t="shared" si="314"/>
        <v>Investment Account</v>
      </c>
      <c r="J563" t="str">
        <f t="shared" si="315"/>
        <v>Voluntary</v>
      </c>
      <c r="K563" t="s">
        <v>15</v>
      </c>
      <c r="M563" t="str">
        <f t="shared" si="303"/>
        <v>b</v>
      </c>
      <c r="N563" t="str">
        <f t="shared" si="304"/>
        <v/>
      </c>
      <c r="O563" t="str">
        <f t="shared" si="305"/>
        <v/>
      </c>
    </row>
    <row r="564" spans="1:15" x14ac:dyDescent="0.3">
      <c r="A564">
        <v>100625041</v>
      </c>
      <c r="B564" t="s">
        <v>793</v>
      </c>
      <c r="C564">
        <v>445</v>
      </c>
      <c r="D564" t="s">
        <v>692</v>
      </c>
      <c r="E564" t="s">
        <v>137</v>
      </c>
      <c r="F564" s="25">
        <v>17200.47</v>
      </c>
      <c r="G564" s="3">
        <v>45761</v>
      </c>
      <c r="H564" t="s">
        <v>31</v>
      </c>
      <c r="I564" s="4" t="str">
        <f t="shared" si="314"/>
        <v>Investment Account</v>
      </c>
      <c r="J564" t="str">
        <f t="shared" si="315"/>
        <v>Voluntary</v>
      </c>
      <c r="K564" t="s">
        <v>15</v>
      </c>
      <c r="M564" t="str">
        <f t="shared" si="303"/>
        <v>b</v>
      </c>
      <c r="N564" t="str">
        <f t="shared" si="304"/>
        <v/>
      </c>
      <c r="O564" t="str">
        <f t="shared" si="305"/>
        <v/>
      </c>
    </row>
    <row r="565" spans="1:15" x14ac:dyDescent="0.3">
      <c r="A565">
        <v>100628018</v>
      </c>
      <c r="B565" t="s">
        <v>1140</v>
      </c>
      <c r="C565">
        <v>448</v>
      </c>
      <c r="D565" t="s">
        <v>706</v>
      </c>
      <c r="E565" t="s">
        <v>137</v>
      </c>
      <c r="F565" s="26">
        <v>76877.08</v>
      </c>
      <c r="G565" s="3">
        <v>45761</v>
      </c>
      <c r="H565" t="s">
        <v>31</v>
      </c>
      <c r="I565" s="4" t="str">
        <f t="shared" si="314"/>
        <v>Investment Account</v>
      </c>
      <c r="J565" t="str">
        <f t="shared" si="315"/>
        <v>Voluntary</v>
      </c>
      <c r="K565" t="s">
        <v>15</v>
      </c>
      <c r="M565" t="str">
        <f t="shared" si="303"/>
        <v>b</v>
      </c>
      <c r="N565" t="str">
        <f t="shared" si="304"/>
        <v/>
      </c>
      <c r="O565" t="str">
        <f t="shared" si="305"/>
        <v/>
      </c>
    </row>
    <row r="566" spans="1:15" x14ac:dyDescent="0.3">
      <c r="A566">
        <v>100628990</v>
      </c>
      <c r="B566" t="s">
        <v>1034</v>
      </c>
      <c r="C566">
        <v>36</v>
      </c>
      <c r="D566" t="s">
        <v>710</v>
      </c>
      <c r="E566" t="s">
        <v>137</v>
      </c>
      <c r="F566" s="26">
        <v>25200.67</v>
      </c>
      <c r="G566" s="3">
        <v>45761</v>
      </c>
      <c r="H566" t="s">
        <v>14</v>
      </c>
      <c r="I566" s="4" t="str">
        <f t="shared" si="314"/>
        <v>Living Annuity</v>
      </c>
      <c r="J566" t="str">
        <f t="shared" si="315"/>
        <v>Compulsory, LA</v>
      </c>
      <c r="K566" t="s">
        <v>15</v>
      </c>
      <c r="M566" t="str">
        <f t="shared" si="303"/>
        <v>b</v>
      </c>
      <c r="N566" t="str">
        <f t="shared" si="304"/>
        <v/>
      </c>
      <c r="O566" t="str">
        <f t="shared" si="305"/>
        <v/>
      </c>
    </row>
    <row r="567" spans="1:15" x14ac:dyDescent="0.3">
      <c r="A567">
        <v>100630706</v>
      </c>
      <c r="B567" t="s">
        <v>1035</v>
      </c>
      <c r="C567">
        <v>361</v>
      </c>
      <c r="D567" t="s">
        <v>847</v>
      </c>
      <c r="E567" t="s">
        <v>137</v>
      </c>
      <c r="F567" s="26">
        <v>8482.24</v>
      </c>
      <c r="G567" s="3">
        <v>45761</v>
      </c>
      <c r="H567" t="s">
        <v>31</v>
      </c>
      <c r="I567" s="4" t="str">
        <f t="shared" si="314"/>
        <v>Investment Account</v>
      </c>
      <c r="J567" t="str">
        <f t="shared" si="315"/>
        <v>Voluntary</v>
      </c>
      <c r="K567" t="s">
        <v>15</v>
      </c>
      <c r="M567" t="str">
        <f t="shared" si="303"/>
        <v>b</v>
      </c>
      <c r="N567" t="str">
        <f t="shared" si="304"/>
        <v/>
      </c>
      <c r="O567" t="str">
        <f t="shared" si="305"/>
        <v/>
      </c>
    </row>
    <row r="568" spans="1:15" s="13" customFormat="1" x14ac:dyDescent="0.3">
      <c r="A568" s="13">
        <v>100631121</v>
      </c>
      <c r="B568" s="13" t="s">
        <v>794</v>
      </c>
      <c r="C568" s="13">
        <v>222</v>
      </c>
      <c r="D568" s="13" t="s">
        <v>716</v>
      </c>
      <c r="E568" s="13" t="s">
        <v>137</v>
      </c>
      <c r="F568" s="28">
        <v>4516.07</v>
      </c>
      <c r="G568" s="14">
        <v>45761</v>
      </c>
      <c r="H568" s="13" t="s">
        <v>31</v>
      </c>
      <c r="I568" s="15" t="str">
        <f t="shared" si="314"/>
        <v>Investment Account</v>
      </c>
      <c r="J568" s="13" t="str">
        <f t="shared" si="315"/>
        <v>Voluntary</v>
      </c>
      <c r="K568" s="13" t="s">
        <v>15</v>
      </c>
      <c r="M568" t="str">
        <f t="shared" si="303"/>
        <v>b</v>
      </c>
      <c r="N568" t="str">
        <f t="shared" si="304"/>
        <v/>
      </c>
      <c r="O568" t="str">
        <f t="shared" si="305"/>
        <v/>
      </c>
    </row>
    <row r="569" spans="1:15" x14ac:dyDescent="0.3">
      <c r="A569">
        <v>100633203</v>
      </c>
      <c r="B569" t="s">
        <v>1141</v>
      </c>
      <c r="C569">
        <v>447</v>
      </c>
      <c r="D569" t="s">
        <v>712</v>
      </c>
      <c r="E569" t="s">
        <v>137</v>
      </c>
      <c r="F569" s="26">
        <v>140819.59</v>
      </c>
      <c r="G569" s="3">
        <v>45761</v>
      </c>
      <c r="H569" t="s">
        <v>31</v>
      </c>
      <c r="I569" s="4" t="str">
        <f t="shared" si="314"/>
        <v>Investment Account</v>
      </c>
      <c r="J569" t="str">
        <f t="shared" si="315"/>
        <v>Voluntary</v>
      </c>
      <c r="K569" t="s">
        <v>15</v>
      </c>
      <c r="M569" t="str">
        <f t="shared" si="303"/>
        <v>b</v>
      </c>
      <c r="N569" t="str">
        <f t="shared" si="304"/>
        <v/>
      </c>
      <c r="O569" t="str">
        <f t="shared" si="305"/>
        <v/>
      </c>
    </row>
    <row r="570" spans="1:15" x14ac:dyDescent="0.3">
      <c r="A570">
        <v>100637079</v>
      </c>
      <c r="B570" t="s">
        <v>816</v>
      </c>
      <c r="C570">
        <v>7</v>
      </c>
      <c r="D570" t="s">
        <v>722</v>
      </c>
      <c r="E570" t="s">
        <v>137</v>
      </c>
      <c r="F570" s="26">
        <v>10858.68</v>
      </c>
      <c r="G570" s="3">
        <v>45761</v>
      </c>
      <c r="H570" t="s">
        <v>26</v>
      </c>
      <c r="I570" s="4" t="str">
        <f t="shared" si="314"/>
        <v>Retirement Annuity</v>
      </c>
      <c r="J570" t="str">
        <f t="shared" si="315"/>
        <v>Compulsory, RA</v>
      </c>
      <c r="K570" t="s">
        <v>15</v>
      </c>
      <c r="M570" t="str">
        <f t="shared" si="303"/>
        <v>d</v>
      </c>
      <c r="N570" t="str">
        <f t="shared" si="304"/>
        <v/>
      </c>
      <c r="O570" t="str">
        <f t="shared" si="305"/>
        <v/>
      </c>
    </row>
    <row r="571" spans="1:15" x14ac:dyDescent="0.3">
      <c r="A571">
        <v>100637079</v>
      </c>
      <c r="B571" t="s">
        <v>817</v>
      </c>
      <c r="C571">
        <v>7</v>
      </c>
      <c r="D571" t="s">
        <v>722</v>
      </c>
      <c r="E571" t="s">
        <v>137</v>
      </c>
      <c r="F571" s="26">
        <v>15562.13</v>
      </c>
      <c r="G571" s="3">
        <v>45761</v>
      </c>
      <c r="H571" t="s">
        <v>26</v>
      </c>
      <c r="I571" s="4" t="str">
        <f t="shared" si="314"/>
        <v>Retirement Annuity</v>
      </c>
      <c r="J571" t="str">
        <f t="shared" si="315"/>
        <v>Compulsory, RA</v>
      </c>
      <c r="K571" t="s">
        <v>15</v>
      </c>
      <c r="M571" t="str">
        <f t="shared" ref="M571:M631" si="318">RIGHT(B571,1)</f>
        <v>d</v>
      </c>
      <c r="N571" t="str">
        <f t="shared" ref="N571:N631" si="319">IF(M571="f","FFFF","")</f>
        <v/>
      </c>
      <c r="O571" t="str">
        <f t="shared" ref="O571:O631" si="320">IF(M571="I","IIII","")</f>
        <v/>
      </c>
    </row>
    <row r="572" spans="1:15" x14ac:dyDescent="0.3">
      <c r="A572">
        <v>100637079</v>
      </c>
      <c r="B572" t="s">
        <v>1192</v>
      </c>
      <c r="C572">
        <v>7</v>
      </c>
      <c r="D572" t="s">
        <v>722</v>
      </c>
      <c r="E572" t="s">
        <v>137</v>
      </c>
      <c r="F572" s="26">
        <v>1183.81</v>
      </c>
      <c r="G572" s="3">
        <v>45761</v>
      </c>
      <c r="H572" t="s">
        <v>1174</v>
      </c>
      <c r="I572" s="4" t="str">
        <f t="shared" si="314"/>
        <v>Retirement Annuity - Savings C</v>
      </c>
      <c r="J572" t="str">
        <f t="shared" si="315"/>
        <v>Compulsory, RA</v>
      </c>
      <c r="K572" t="s">
        <v>15</v>
      </c>
      <c r="M572" t="str">
        <f t="shared" si="318"/>
        <v>d</v>
      </c>
      <c r="N572" t="str">
        <f t="shared" si="319"/>
        <v/>
      </c>
      <c r="O572" t="str">
        <f t="shared" si="320"/>
        <v/>
      </c>
    </row>
    <row r="573" spans="1:15" x14ac:dyDescent="0.3">
      <c r="A573">
        <v>100637079</v>
      </c>
      <c r="B573" t="s">
        <v>1193</v>
      </c>
      <c r="C573">
        <v>7</v>
      </c>
      <c r="D573" t="s">
        <v>722</v>
      </c>
      <c r="E573" t="s">
        <v>137</v>
      </c>
      <c r="F573" s="26">
        <v>1724.15</v>
      </c>
      <c r="G573" s="3">
        <v>45761</v>
      </c>
      <c r="H573" t="s">
        <v>1174</v>
      </c>
      <c r="I573" s="4" t="str">
        <f t="shared" si="314"/>
        <v>Retirement Annuity - Savings C</v>
      </c>
      <c r="J573" t="str">
        <f t="shared" si="315"/>
        <v>Compulsory, RA</v>
      </c>
      <c r="K573" t="s">
        <v>15</v>
      </c>
      <c r="M573" t="str">
        <f t="shared" si="318"/>
        <v>d</v>
      </c>
      <c r="N573" t="str">
        <f t="shared" si="319"/>
        <v/>
      </c>
      <c r="O573" t="str">
        <f t="shared" si="320"/>
        <v/>
      </c>
    </row>
    <row r="574" spans="1:15" x14ac:dyDescent="0.3">
      <c r="A574">
        <v>100637079</v>
      </c>
      <c r="B574" t="s">
        <v>1200</v>
      </c>
      <c r="C574">
        <v>7</v>
      </c>
      <c r="D574" t="s">
        <v>722</v>
      </c>
      <c r="E574" t="s">
        <v>137</v>
      </c>
      <c r="F574" s="26">
        <v>2660.59</v>
      </c>
      <c r="G574" s="3">
        <v>45761</v>
      </c>
      <c r="H574" t="s">
        <v>1147</v>
      </c>
      <c r="I574" s="4" t="str">
        <f t="shared" si="314"/>
        <v>Investment Account</v>
      </c>
      <c r="J574" t="str">
        <f t="shared" si="315"/>
        <v>Voluntary</v>
      </c>
      <c r="K574" t="s">
        <v>15</v>
      </c>
      <c r="M574" t="str">
        <f t="shared" si="318"/>
        <v>b</v>
      </c>
      <c r="N574" t="str">
        <f t="shared" si="319"/>
        <v/>
      </c>
      <c r="O574" t="str">
        <f t="shared" si="320"/>
        <v/>
      </c>
    </row>
    <row r="575" spans="1:15" x14ac:dyDescent="0.3">
      <c r="A575">
        <v>100641153</v>
      </c>
      <c r="B575" t="s">
        <v>1119</v>
      </c>
      <c r="C575">
        <v>455</v>
      </c>
      <c r="D575" t="s">
        <v>725</v>
      </c>
      <c r="E575" t="s">
        <v>137</v>
      </c>
      <c r="F575" s="26">
        <v>314385.14</v>
      </c>
      <c r="G575" s="3">
        <v>45761</v>
      </c>
      <c r="H575" t="s">
        <v>14</v>
      </c>
      <c r="I575" s="4" t="str">
        <f t="shared" si="314"/>
        <v>Living Annuity</v>
      </c>
      <c r="J575" t="str">
        <f t="shared" si="315"/>
        <v>Compulsory, LA</v>
      </c>
      <c r="K575" t="s">
        <v>15</v>
      </c>
      <c r="M575" t="str">
        <f t="shared" si="318"/>
        <v>b</v>
      </c>
      <c r="N575" t="str">
        <f t="shared" si="319"/>
        <v/>
      </c>
      <c r="O575" t="str">
        <f t="shared" si="320"/>
        <v/>
      </c>
    </row>
    <row r="576" spans="1:15" x14ac:dyDescent="0.3">
      <c r="A576">
        <v>100651921</v>
      </c>
      <c r="B576" t="s">
        <v>1036</v>
      </c>
      <c r="C576">
        <v>13</v>
      </c>
      <c r="D576" t="s">
        <v>732</v>
      </c>
      <c r="E576" t="s">
        <v>137</v>
      </c>
      <c r="F576" s="26">
        <v>51090.69</v>
      </c>
      <c r="G576" s="3">
        <v>45761</v>
      </c>
      <c r="H576" t="s">
        <v>31</v>
      </c>
      <c r="I576" s="4" t="str">
        <f t="shared" si="314"/>
        <v>Investment Account</v>
      </c>
      <c r="J576" t="str">
        <f t="shared" si="315"/>
        <v>Voluntary</v>
      </c>
      <c r="K576" t="s">
        <v>15</v>
      </c>
      <c r="M576" t="str">
        <f t="shared" si="318"/>
        <v>b</v>
      </c>
      <c r="N576" t="str">
        <f t="shared" si="319"/>
        <v/>
      </c>
      <c r="O576" t="str">
        <f t="shared" si="320"/>
        <v/>
      </c>
    </row>
    <row r="577" spans="1:15" x14ac:dyDescent="0.3">
      <c r="A577">
        <v>100651921</v>
      </c>
      <c r="B577" t="s">
        <v>1037</v>
      </c>
      <c r="C577">
        <v>13</v>
      </c>
      <c r="D577" t="s">
        <v>732</v>
      </c>
      <c r="E577" t="s">
        <v>137</v>
      </c>
      <c r="F577" s="26">
        <v>52036.78</v>
      </c>
      <c r="G577" s="3">
        <v>45761</v>
      </c>
      <c r="H577" t="s">
        <v>31</v>
      </c>
      <c r="I577" s="4" t="str">
        <f t="shared" si="314"/>
        <v>Investment Account</v>
      </c>
      <c r="J577" t="str">
        <f t="shared" si="315"/>
        <v>Voluntary</v>
      </c>
      <c r="K577" t="s">
        <v>15</v>
      </c>
      <c r="M577" t="str">
        <f t="shared" si="318"/>
        <v>b</v>
      </c>
      <c r="N577" t="str">
        <f t="shared" si="319"/>
        <v/>
      </c>
      <c r="O577" t="str">
        <f t="shared" si="320"/>
        <v/>
      </c>
    </row>
    <row r="578" spans="1:15" x14ac:dyDescent="0.3">
      <c r="A578">
        <v>100655835</v>
      </c>
      <c r="B578" t="s">
        <v>795</v>
      </c>
      <c r="C578">
        <v>456</v>
      </c>
      <c r="D578" t="s">
        <v>731</v>
      </c>
      <c r="E578" t="s">
        <v>137</v>
      </c>
      <c r="F578" s="26">
        <v>846377.39</v>
      </c>
      <c r="G578" s="3">
        <v>45761</v>
      </c>
      <c r="H578" t="s">
        <v>14</v>
      </c>
      <c r="I578" s="4" t="str">
        <f t="shared" si="314"/>
        <v>Living Annuity</v>
      </c>
      <c r="J578" t="str">
        <f t="shared" si="315"/>
        <v>Compulsory, LA</v>
      </c>
      <c r="K578" t="s">
        <v>15</v>
      </c>
      <c r="M578" t="str">
        <f t="shared" si="318"/>
        <v>b</v>
      </c>
      <c r="N578" t="str">
        <f t="shared" si="319"/>
        <v/>
      </c>
      <c r="O578" t="str">
        <f t="shared" si="320"/>
        <v/>
      </c>
    </row>
    <row r="579" spans="1:15" x14ac:dyDescent="0.3">
      <c r="A579">
        <v>100663638</v>
      </c>
      <c r="B579" t="s">
        <v>809</v>
      </c>
      <c r="C579">
        <v>58</v>
      </c>
      <c r="D579" t="s">
        <v>802</v>
      </c>
      <c r="E579" t="s">
        <v>137</v>
      </c>
      <c r="F579" s="26">
        <v>260627.55</v>
      </c>
      <c r="G579" s="3">
        <v>45761</v>
      </c>
      <c r="H579" t="s">
        <v>14</v>
      </c>
      <c r="I579" s="4" t="str">
        <f t="shared" si="314"/>
        <v>Living Annuity</v>
      </c>
      <c r="J579" t="str">
        <f t="shared" si="315"/>
        <v>Compulsory, LA</v>
      </c>
      <c r="K579" t="s">
        <v>15</v>
      </c>
      <c r="M579" t="str">
        <f t="shared" si="318"/>
        <v>b</v>
      </c>
      <c r="N579" t="str">
        <f t="shared" si="319"/>
        <v/>
      </c>
      <c r="O579" t="str">
        <f t="shared" si="320"/>
        <v/>
      </c>
    </row>
    <row r="580" spans="1:15" x14ac:dyDescent="0.3">
      <c r="A580">
        <v>100663638</v>
      </c>
      <c r="B580" t="s">
        <v>904</v>
      </c>
      <c r="C580">
        <v>58</v>
      </c>
      <c r="D580" t="s">
        <v>802</v>
      </c>
      <c r="E580" t="s">
        <v>137</v>
      </c>
      <c r="F580" s="26">
        <v>9016.31</v>
      </c>
      <c r="G580" s="3">
        <v>45761</v>
      </c>
      <c r="H580" t="s">
        <v>14</v>
      </c>
      <c r="I580" s="4" t="str">
        <f t="shared" si="314"/>
        <v>Living Annuity</v>
      </c>
      <c r="J580" t="str">
        <f t="shared" si="315"/>
        <v>Compulsory, LA</v>
      </c>
      <c r="K580" t="s">
        <v>15</v>
      </c>
      <c r="M580" t="str">
        <f t="shared" si="318"/>
        <v>b</v>
      </c>
      <c r="N580" t="str">
        <f t="shared" si="319"/>
        <v/>
      </c>
      <c r="O580" t="str">
        <f t="shared" si="320"/>
        <v/>
      </c>
    </row>
    <row r="581" spans="1:15" x14ac:dyDescent="0.3">
      <c r="A581">
        <v>100664029</v>
      </c>
      <c r="B581" t="s">
        <v>905</v>
      </c>
      <c r="C581">
        <v>5</v>
      </c>
      <c r="D581" t="s">
        <v>864</v>
      </c>
      <c r="E581" t="s">
        <v>137</v>
      </c>
      <c r="F581" s="26">
        <v>23551.040000000001</v>
      </c>
      <c r="G581" s="3">
        <v>45761</v>
      </c>
      <c r="H581" t="s">
        <v>14</v>
      </c>
      <c r="I581" s="4" t="str">
        <f t="shared" si="314"/>
        <v>Living Annuity</v>
      </c>
      <c r="J581" t="str">
        <f t="shared" si="315"/>
        <v>Compulsory, LA</v>
      </c>
      <c r="K581" t="s">
        <v>15</v>
      </c>
      <c r="M581" t="str">
        <f t="shared" si="318"/>
        <v>b</v>
      </c>
      <c r="N581" t="str">
        <f t="shared" si="319"/>
        <v/>
      </c>
      <c r="O581" t="str">
        <f t="shared" si="320"/>
        <v/>
      </c>
    </row>
    <row r="582" spans="1:15" x14ac:dyDescent="0.3">
      <c r="A582">
        <v>100664029</v>
      </c>
      <c r="B582" t="s">
        <v>906</v>
      </c>
      <c r="C582">
        <v>5</v>
      </c>
      <c r="D582" t="s">
        <v>864</v>
      </c>
      <c r="E582" t="s">
        <v>137</v>
      </c>
      <c r="F582" s="26">
        <v>15109.45</v>
      </c>
      <c r="G582" s="3">
        <v>45761</v>
      </c>
      <c r="H582" t="s">
        <v>14</v>
      </c>
      <c r="I582" s="4" t="str">
        <f t="shared" si="314"/>
        <v>Living Annuity</v>
      </c>
      <c r="J582" t="str">
        <f t="shared" si="315"/>
        <v>Compulsory, LA</v>
      </c>
      <c r="K582" t="s">
        <v>15</v>
      </c>
      <c r="M582" t="str">
        <f t="shared" si="318"/>
        <v>b</v>
      </c>
      <c r="N582" t="str">
        <f t="shared" si="319"/>
        <v/>
      </c>
      <c r="O582" t="str">
        <f t="shared" si="320"/>
        <v/>
      </c>
    </row>
    <row r="583" spans="1:15" x14ac:dyDescent="0.3">
      <c r="A583">
        <v>100664292</v>
      </c>
      <c r="B583" t="s">
        <v>1038</v>
      </c>
      <c r="C583">
        <v>21</v>
      </c>
      <c r="D583" t="s">
        <v>849</v>
      </c>
      <c r="E583" t="s">
        <v>137</v>
      </c>
      <c r="F583" s="25">
        <v>1393.93</v>
      </c>
      <c r="G583" s="3">
        <v>45761</v>
      </c>
      <c r="H583" t="s">
        <v>31</v>
      </c>
      <c r="I583" s="4" t="str">
        <f t="shared" si="314"/>
        <v>Investment Account</v>
      </c>
      <c r="J583" t="str">
        <f t="shared" si="315"/>
        <v>Voluntary</v>
      </c>
      <c r="K583" t="s">
        <v>15</v>
      </c>
      <c r="M583" t="str">
        <f t="shared" si="318"/>
        <v>b</v>
      </c>
      <c r="N583" t="str">
        <f t="shared" si="319"/>
        <v/>
      </c>
      <c r="O583" t="str">
        <f t="shared" si="320"/>
        <v/>
      </c>
    </row>
    <row r="584" spans="1:15" s="13" customFormat="1" x14ac:dyDescent="0.3">
      <c r="A584" s="13">
        <v>100664292</v>
      </c>
      <c r="B584" s="13" t="s">
        <v>907</v>
      </c>
      <c r="C584" s="13">
        <v>21</v>
      </c>
      <c r="D584" s="13" t="s">
        <v>849</v>
      </c>
      <c r="E584" s="13" t="s">
        <v>137</v>
      </c>
      <c r="F584" s="27">
        <v>120376</v>
      </c>
      <c r="G584" s="14">
        <v>45761</v>
      </c>
      <c r="H584" s="13" t="s">
        <v>14</v>
      </c>
      <c r="I584" s="15" t="str">
        <f t="shared" si="314"/>
        <v>Living Annuity</v>
      </c>
      <c r="J584" s="13" t="str">
        <f t="shared" si="315"/>
        <v>Compulsory, LA</v>
      </c>
      <c r="K584" s="13" t="s">
        <v>15</v>
      </c>
      <c r="M584" t="str">
        <f t="shared" si="318"/>
        <v>b</v>
      </c>
      <c r="N584" t="str">
        <f t="shared" si="319"/>
        <v/>
      </c>
      <c r="O584" t="str">
        <f t="shared" si="320"/>
        <v/>
      </c>
    </row>
    <row r="585" spans="1:15" x14ac:dyDescent="0.3">
      <c r="A585">
        <v>100664348</v>
      </c>
      <c r="B585" t="s">
        <v>908</v>
      </c>
      <c r="C585">
        <v>257</v>
      </c>
      <c r="D585" t="s">
        <v>871</v>
      </c>
      <c r="E585" t="s">
        <v>137</v>
      </c>
      <c r="F585" s="25">
        <v>19838.38</v>
      </c>
      <c r="G585" s="3">
        <v>45761</v>
      </c>
      <c r="H585" t="s">
        <v>14</v>
      </c>
      <c r="I585" s="4" t="str">
        <f t="shared" si="314"/>
        <v>Living Annuity</v>
      </c>
      <c r="J585" t="str">
        <f t="shared" si="315"/>
        <v>Compulsory, LA</v>
      </c>
      <c r="K585" t="s">
        <v>15</v>
      </c>
      <c r="M585" t="str">
        <f t="shared" si="318"/>
        <v>b</v>
      </c>
      <c r="N585" t="str">
        <f t="shared" si="319"/>
        <v/>
      </c>
      <c r="O585" t="str">
        <f t="shared" si="320"/>
        <v/>
      </c>
    </row>
    <row r="586" spans="1:15" x14ac:dyDescent="0.3">
      <c r="A586">
        <v>100664351</v>
      </c>
      <c r="B586" t="s">
        <v>909</v>
      </c>
      <c r="C586">
        <v>196</v>
      </c>
      <c r="D586" t="s">
        <v>873</v>
      </c>
      <c r="E586" t="s">
        <v>137</v>
      </c>
      <c r="F586" s="25">
        <v>29429.919999999998</v>
      </c>
      <c r="G586" s="3">
        <v>45761</v>
      </c>
      <c r="H586" t="s">
        <v>14</v>
      </c>
      <c r="I586" s="4" t="str">
        <f t="shared" si="314"/>
        <v>Living Annuity</v>
      </c>
      <c r="J586" t="str">
        <f t="shared" si="315"/>
        <v>Compulsory, LA</v>
      </c>
      <c r="K586" t="s">
        <v>15</v>
      </c>
      <c r="M586" t="str">
        <f t="shared" si="318"/>
        <v>b</v>
      </c>
      <c r="N586" t="str">
        <f t="shared" si="319"/>
        <v/>
      </c>
      <c r="O586" t="str">
        <f t="shared" si="320"/>
        <v/>
      </c>
    </row>
    <row r="587" spans="1:15" x14ac:dyDescent="0.3">
      <c r="A587">
        <v>100664601</v>
      </c>
      <c r="B587" t="s">
        <v>880</v>
      </c>
      <c r="C587">
        <v>60</v>
      </c>
      <c r="D587" t="s">
        <v>875</v>
      </c>
      <c r="E587" t="s">
        <v>137</v>
      </c>
      <c r="F587" s="25">
        <v>164766.99</v>
      </c>
      <c r="G587" s="3">
        <v>45761</v>
      </c>
      <c r="H587" t="s">
        <v>80</v>
      </c>
      <c r="I587" s="4" t="str">
        <f t="shared" si="314"/>
        <v>Pension Preservation Fund</v>
      </c>
      <c r="J587" t="str">
        <f t="shared" si="315"/>
        <v>Compulsory, Pens</v>
      </c>
      <c r="K587" t="s">
        <v>15</v>
      </c>
      <c r="M587" t="str">
        <f t="shared" si="318"/>
        <v>d</v>
      </c>
      <c r="N587" t="str">
        <f t="shared" si="319"/>
        <v/>
      </c>
      <c r="O587" t="str">
        <f t="shared" si="320"/>
        <v/>
      </c>
    </row>
    <row r="588" spans="1:15" x14ac:dyDescent="0.3">
      <c r="A588">
        <v>100664601</v>
      </c>
      <c r="B588" t="s">
        <v>881</v>
      </c>
      <c r="C588">
        <v>60</v>
      </c>
      <c r="D588" t="s">
        <v>875</v>
      </c>
      <c r="E588" t="s">
        <v>137</v>
      </c>
      <c r="F588" s="25">
        <v>50938.51</v>
      </c>
      <c r="G588" s="3">
        <v>45761</v>
      </c>
      <c r="H588" t="s">
        <v>26</v>
      </c>
      <c r="I588" s="4" t="str">
        <f t="shared" si="314"/>
        <v>Retirement Annuity</v>
      </c>
      <c r="J588" t="str">
        <f t="shared" si="315"/>
        <v>Compulsory, RA</v>
      </c>
      <c r="K588" t="s">
        <v>15</v>
      </c>
      <c r="M588" t="str">
        <f t="shared" si="318"/>
        <v>d</v>
      </c>
      <c r="N588" t="str">
        <f t="shared" si="319"/>
        <v/>
      </c>
      <c r="O588" t="str">
        <f t="shared" si="320"/>
        <v/>
      </c>
    </row>
    <row r="589" spans="1:15" x14ac:dyDescent="0.3">
      <c r="A589">
        <v>100664601</v>
      </c>
      <c r="B589" t="s">
        <v>1194</v>
      </c>
      <c r="C589">
        <v>60</v>
      </c>
      <c r="D589" t="s">
        <v>875</v>
      </c>
      <c r="E589" t="s">
        <v>137</v>
      </c>
      <c r="F589" s="25">
        <v>2395.25</v>
      </c>
      <c r="G589" s="3">
        <v>45761</v>
      </c>
      <c r="H589" t="s">
        <v>1187</v>
      </c>
      <c r="I589" s="4" t="str">
        <f t="shared" si="314"/>
        <v>Pension Preservation Fund - Sa</v>
      </c>
      <c r="J589" t="str">
        <f t="shared" si="315"/>
        <v>Compulsory, Pens</v>
      </c>
      <c r="K589" t="s">
        <v>15</v>
      </c>
      <c r="M589" t="str">
        <f t="shared" si="318"/>
        <v>d</v>
      </c>
      <c r="N589" t="str">
        <f t="shared" si="319"/>
        <v/>
      </c>
      <c r="O589" t="str">
        <f t="shared" si="320"/>
        <v/>
      </c>
    </row>
    <row r="590" spans="1:15" x14ac:dyDescent="0.3">
      <c r="A590">
        <v>100664601</v>
      </c>
      <c r="B590" t="s">
        <v>1195</v>
      </c>
      <c r="C590">
        <v>60</v>
      </c>
      <c r="D590" t="s">
        <v>875</v>
      </c>
      <c r="E590" t="s">
        <v>137</v>
      </c>
      <c r="F590" s="25">
        <v>2374.9</v>
      </c>
      <c r="G590" s="3">
        <v>45761</v>
      </c>
      <c r="H590" t="s">
        <v>1174</v>
      </c>
      <c r="I590" s="4" t="str">
        <f t="shared" si="314"/>
        <v>Retirement Annuity - Savings C</v>
      </c>
      <c r="J590" t="str">
        <f t="shared" si="315"/>
        <v>Compulsory, RA</v>
      </c>
      <c r="K590" t="s">
        <v>15</v>
      </c>
      <c r="M590" t="str">
        <f t="shared" si="318"/>
        <v>d</v>
      </c>
      <c r="N590" t="str">
        <f t="shared" si="319"/>
        <v/>
      </c>
      <c r="O590" t="str">
        <f t="shared" si="320"/>
        <v/>
      </c>
    </row>
    <row r="591" spans="1:15" x14ac:dyDescent="0.3">
      <c r="A591">
        <v>100664737</v>
      </c>
      <c r="B591" t="s">
        <v>1117</v>
      </c>
      <c r="C591">
        <v>57</v>
      </c>
      <c r="D591" t="s">
        <v>882</v>
      </c>
      <c r="E591" t="s">
        <v>137</v>
      </c>
      <c r="F591" s="25">
        <v>16593.43</v>
      </c>
      <c r="G591" s="3">
        <v>45761</v>
      </c>
      <c r="H591" t="s">
        <v>14</v>
      </c>
      <c r="I591" s="4" t="str">
        <f t="shared" si="314"/>
        <v>Living Annuity</v>
      </c>
      <c r="J591" t="str">
        <f t="shared" si="315"/>
        <v>Compulsory, LA</v>
      </c>
      <c r="K591" t="s">
        <v>15</v>
      </c>
      <c r="M591" t="str">
        <f t="shared" si="318"/>
        <v>b</v>
      </c>
      <c r="N591" t="str">
        <f t="shared" si="319"/>
        <v/>
      </c>
      <c r="O591" t="str">
        <f t="shared" si="320"/>
        <v/>
      </c>
    </row>
    <row r="592" spans="1:15" x14ac:dyDescent="0.3">
      <c r="A592">
        <v>100664737</v>
      </c>
      <c r="B592" t="s">
        <v>1123</v>
      </c>
      <c r="C592">
        <v>57</v>
      </c>
      <c r="D592" t="s">
        <v>882</v>
      </c>
      <c r="E592" t="s">
        <v>137</v>
      </c>
      <c r="F592" s="25">
        <v>7738.13</v>
      </c>
      <c r="G592" s="3">
        <v>45761</v>
      </c>
      <c r="H592" t="s">
        <v>14</v>
      </c>
      <c r="I592" s="4" t="str">
        <f t="shared" si="314"/>
        <v>Living Annuity</v>
      </c>
      <c r="J592" t="str">
        <f t="shared" si="315"/>
        <v>Compulsory, LA</v>
      </c>
      <c r="K592" t="s">
        <v>15</v>
      </c>
      <c r="M592" t="str">
        <f t="shared" si="318"/>
        <v>b</v>
      </c>
      <c r="N592" t="str">
        <f t="shared" si="319"/>
        <v/>
      </c>
      <c r="O592" t="str">
        <f t="shared" si="320"/>
        <v/>
      </c>
    </row>
    <row r="593" spans="1:15" x14ac:dyDescent="0.3">
      <c r="A593">
        <v>100665510</v>
      </c>
      <c r="B593" t="s">
        <v>1039</v>
      </c>
      <c r="C593">
        <v>6</v>
      </c>
      <c r="D593" t="s">
        <v>850</v>
      </c>
      <c r="E593" t="s">
        <v>137</v>
      </c>
      <c r="F593" s="25">
        <v>7378.06</v>
      </c>
      <c r="G593" s="3">
        <v>45761</v>
      </c>
      <c r="H593" t="s">
        <v>31</v>
      </c>
      <c r="I593" s="4" t="str">
        <f t="shared" si="314"/>
        <v>Investment Account</v>
      </c>
      <c r="J593" t="str">
        <f t="shared" si="315"/>
        <v>Voluntary</v>
      </c>
      <c r="K593" t="s">
        <v>15</v>
      </c>
      <c r="M593" t="str">
        <f t="shared" si="318"/>
        <v>b</v>
      </c>
      <c r="N593" t="str">
        <f t="shared" si="319"/>
        <v/>
      </c>
      <c r="O593" t="str">
        <f t="shared" si="320"/>
        <v/>
      </c>
    </row>
    <row r="594" spans="1:15" x14ac:dyDescent="0.3">
      <c r="A594">
        <v>100665510</v>
      </c>
      <c r="B594" t="s">
        <v>910</v>
      </c>
      <c r="C594">
        <v>6</v>
      </c>
      <c r="D594" t="s">
        <v>850</v>
      </c>
      <c r="E594" t="s">
        <v>137</v>
      </c>
      <c r="F594" s="25">
        <v>76700.5</v>
      </c>
      <c r="G594" s="3">
        <v>45761</v>
      </c>
      <c r="H594" t="s">
        <v>14</v>
      </c>
      <c r="I594" s="4" t="str">
        <f t="shared" si="314"/>
        <v>Living Annuity</v>
      </c>
      <c r="J594" t="str">
        <f t="shared" si="315"/>
        <v>Compulsory, LA</v>
      </c>
      <c r="K594" t="s">
        <v>15</v>
      </c>
      <c r="M594" t="str">
        <f t="shared" si="318"/>
        <v>b</v>
      </c>
      <c r="N594" t="str">
        <f t="shared" si="319"/>
        <v/>
      </c>
      <c r="O594" t="str">
        <f t="shared" si="320"/>
        <v/>
      </c>
    </row>
    <row r="595" spans="1:15" x14ac:dyDescent="0.3">
      <c r="A595">
        <v>100665581</v>
      </c>
      <c r="B595" t="s">
        <v>1230</v>
      </c>
      <c r="C595">
        <v>113</v>
      </c>
      <c r="D595" t="s">
        <v>884</v>
      </c>
      <c r="E595" t="s">
        <v>137</v>
      </c>
      <c r="F595" s="25">
        <v>207287.08</v>
      </c>
      <c r="G595" s="3">
        <v>45761</v>
      </c>
      <c r="H595" t="s">
        <v>1147</v>
      </c>
      <c r="I595" s="4" t="str">
        <f t="shared" si="314"/>
        <v>Investment Account</v>
      </c>
      <c r="J595" t="str">
        <f t="shared" si="315"/>
        <v>Voluntary</v>
      </c>
      <c r="K595" t="s">
        <v>15</v>
      </c>
      <c r="M595" t="str">
        <f t="shared" si="318"/>
        <v>b</v>
      </c>
      <c r="N595" t="str">
        <f t="shared" si="319"/>
        <v/>
      </c>
      <c r="O595" t="str">
        <f t="shared" si="320"/>
        <v/>
      </c>
    </row>
    <row r="596" spans="1:15" x14ac:dyDescent="0.3">
      <c r="A596">
        <v>100665581</v>
      </c>
      <c r="B596" t="s">
        <v>1236</v>
      </c>
      <c r="C596">
        <v>113</v>
      </c>
      <c r="D596" t="s">
        <v>884</v>
      </c>
      <c r="E596" t="s">
        <v>137</v>
      </c>
      <c r="F596" s="25">
        <v>662475.93000000005</v>
      </c>
      <c r="G596" s="3">
        <v>45761</v>
      </c>
      <c r="H596" t="s">
        <v>14</v>
      </c>
      <c r="I596" s="4" t="str">
        <f t="shared" si="314"/>
        <v>Living Annuity</v>
      </c>
      <c r="J596" t="str">
        <f t="shared" si="315"/>
        <v>Compulsory, LA</v>
      </c>
      <c r="K596" t="s">
        <v>15</v>
      </c>
      <c r="M596" t="str">
        <f t="shared" si="318"/>
        <v>b</v>
      </c>
      <c r="N596" t="str">
        <f t="shared" si="319"/>
        <v/>
      </c>
      <c r="O596" t="str">
        <f t="shared" si="320"/>
        <v/>
      </c>
    </row>
    <row r="597" spans="1:15" x14ac:dyDescent="0.3">
      <c r="A597">
        <v>100666150</v>
      </c>
      <c r="B597" t="s">
        <v>810</v>
      </c>
      <c r="C597">
        <v>163</v>
      </c>
      <c r="D597" t="s">
        <v>803</v>
      </c>
      <c r="E597" t="s">
        <v>137</v>
      </c>
      <c r="F597" s="26">
        <v>127786.75</v>
      </c>
      <c r="G597" s="3">
        <v>45761</v>
      </c>
      <c r="H597" t="s">
        <v>14</v>
      </c>
      <c r="I597" s="4" t="str">
        <f t="shared" si="314"/>
        <v>Living Annuity</v>
      </c>
      <c r="J597" t="str">
        <f t="shared" si="315"/>
        <v>Compulsory, LA</v>
      </c>
      <c r="K597" t="s">
        <v>15</v>
      </c>
      <c r="M597" t="str">
        <f t="shared" si="318"/>
        <v>b</v>
      </c>
      <c r="N597" t="str">
        <f t="shared" si="319"/>
        <v/>
      </c>
      <c r="O597" t="str">
        <f t="shared" si="320"/>
        <v/>
      </c>
    </row>
    <row r="598" spans="1:15" x14ac:dyDescent="0.3">
      <c r="A598">
        <v>100668166</v>
      </c>
      <c r="B598" t="s">
        <v>915</v>
      </c>
      <c r="C598">
        <v>188</v>
      </c>
      <c r="D598" t="s">
        <v>913</v>
      </c>
      <c r="E598" t="s">
        <v>137</v>
      </c>
      <c r="F598" s="26">
        <v>17035.400000000001</v>
      </c>
      <c r="G598" s="3">
        <v>45761</v>
      </c>
      <c r="H598" t="s">
        <v>31</v>
      </c>
      <c r="I598" s="4" t="str">
        <f t="shared" si="314"/>
        <v>Investment Account</v>
      </c>
      <c r="J598" t="str">
        <f t="shared" si="315"/>
        <v>Voluntary</v>
      </c>
      <c r="K598" t="s">
        <v>15</v>
      </c>
      <c r="M598" t="str">
        <f t="shared" si="318"/>
        <v>b</v>
      </c>
      <c r="N598" t="str">
        <f t="shared" si="319"/>
        <v/>
      </c>
      <c r="O598" t="str">
        <f t="shared" si="320"/>
        <v/>
      </c>
    </row>
    <row r="599" spans="1:15" x14ac:dyDescent="0.3">
      <c r="A599">
        <v>100668409</v>
      </c>
      <c r="B599" t="s">
        <v>1040</v>
      </c>
      <c r="C599">
        <v>178</v>
      </c>
      <c r="D599" t="s">
        <v>852</v>
      </c>
      <c r="E599" t="s">
        <v>137</v>
      </c>
      <c r="F599" s="26">
        <v>25686.54</v>
      </c>
      <c r="G599" s="3">
        <v>45761</v>
      </c>
      <c r="H599" t="s">
        <v>31</v>
      </c>
      <c r="I599" s="4" t="str">
        <f t="shared" si="314"/>
        <v>Investment Account</v>
      </c>
      <c r="J599" t="str">
        <f t="shared" si="315"/>
        <v>Voluntary</v>
      </c>
      <c r="K599" t="s">
        <v>15</v>
      </c>
      <c r="M599" t="str">
        <f t="shared" si="318"/>
        <v>b</v>
      </c>
      <c r="N599" t="str">
        <f t="shared" si="319"/>
        <v/>
      </c>
      <c r="O599" t="str">
        <f t="shared" si="320"/>
        <v/>
      </c>
    </row>
    <row r="600" spans="1:15" x14ac:dyDescent="0.3">
      <c r="A600">
        <v>100668534</v>
      </c>
      <c r="B600" t="s">
        <v>1041</v>
      </c>
      <c r="C600">
        <v>23</v>
      </c>
      <c r="D600" t="s">
        <v>194</v>
      </c>
      <c r="E600" t="s">
        <v>137</v>
      </c>
      <c r="F600" s="26">
        <v>51835.29</v>
      </c>
      <c r="G600" s="3">
        <v>45761</v>
      </c>
      <c r="H600" t="s">
        <v>31</v>
      </c>
      <c r="I600" s="4" t="str">
        <f t="shared" si="314"/>
        <v>Investment Account</v>
      </c>
      <c r="J600" t="str">
        <f t="shared" si="315"/>
        <v>Voluntary</v>
      </c>
      <c r="K600" t="s">
        <v>15</v>
      </c>
      <c r="M600" t="str">
        <f t="shared" si="318"/>
        <v>b</v>
      </c>
      <c r="N600" t="str">
        <f t="shared" si="319"/>
        <v/>
      </c>
      <c r="O600" t="str">
        <f t="shared" si="320"/>
        <v/>
      </c>
    </row>
    <row r="601" spans="1:15" x14ac:dyDescent="0.3">
      <c r="A601">
        <v>100669580</v>
      </c>
      <c r="B601" t="s">
        <v>911</v>
      </c>
      <c r="C601">
        <v>321</v>
      </c>
      <c r="D601" t="s">
        <v>887</v>
      </c>
      <c r="E601" t="s">
        <v>137</v>
      </c>
      <c r="F601" s="26">
        <v>60261.22</v>
      </c>
      <c r="G601" s="3">
        <v>45761</v>
      </c>
      <c r="H601" t="s">
        <v>14</v>
      </c>
      <c r="I601" s="4" t="str">
        <f t="shared" si="314"/>
        <v>Living Annuity</v>
      </c>
      <c r="J601" t="str">
        <f t="shared" si="315"/>
        <v>Compulsory, LA</v>
      </c>
      <c r="K601" t="s">
        <v>15</v>
      </c>
      <c r="M601" t="str">
        <f t="shared" si="318"/>
        <v>b</v>
      </c>
      <c r="N601" t="str">
        <f t="shared" si="319"/>
        <v/>
      </c>
      <c r="O601" t="str">
        <f t="shared" si="320"/>
        <v/>
      </c>
    </row>
    <row r="602" spans="1:15" x14ac:dyDescent="0.3">
      <c r="A602">
        <v>100670671</v>
      </c>
      <c r="B602" t="s">
        <v>912</v>
      </c>
      <c r="C602">
        <v>150</v>
      </c>
      <c r="D602" t="s">
        <v>890</v>
      </c>
      <c r="E602" t="s">
        <v>137</v>
      </c>
      <c r="F602" s="26">
        <v>471250.49</v>
      </c>
      <c r="G602" s="3">
        <v>45761</v>
      </c>
      <c r="H602" t="s">
        <v>31</v>
      </c>
      <c r="I602" s="4" t="str">
        <f t="shared" si="314"/>
        <v>Investment Account</v>
      </c>
      <c r="J602" t="str">
        <f t="shared" si="315"/>
        <v>Voluntary</v>
      </c>
      <c r="K602" t="s">
        <v>15</v>
      </c>
      <c r="M602" t="str">
        <f t="shared" si="318"/>
        <v>b</v>
      </c>
      <c r="N602" t="str">
        <f t="shared" si="319"/>
        <v/>
      </c>
      <c r="O602" t="str">
        <f t="shared" si="320"/>
        <v/>
      </c>
    </row>
    <row r="603" spans="1:15" x14ac:dyDescent="0.3">
      <c r="A603">
        <v>100670671</v>
      </c>
      <c r="B603" t="s">
        <v>1110</v>
      </c>
      <c r="C603">
        <v>150</v>
      </c>
      <c r="D603" t="s">
        <v>890</v>
      </c>
      <c r="E603" t="s">
        <v>137</v>
      </c>
      <c r="F603" s="26">
        <v>10250.56</v>
      </c>
      <c r="G603" s="3">
        <v>45761</v>
      </c>
      <c r="H603" t="s">
        <v>26</v>
      </c>
      <c r="I603" s="4" t="str">
        <f t="shared" si="314"/>
        <v>Retirement Annuity</v>
      </c>
      <c r="J603" t="str">
        <f t="shared" si="315"/>
        <v>Compulsory, RA</v>
      </c>
      <c r="K603" t="s">
        <v>15</v>
      </c>
      <c r="M603" t="str">
        <f t="shared" si="318"/>
        <v>d</v>
      </c>
      <c r="N603" t="str">
        <f t="shared" si="319"/>
        <v/>
      </c>
      <c r="O603" t="str">
        <f t="shared" si="320"/>
        <v/>
      </c>
    </row>
    <row r="604" spans="1:15" x14ac:dyDescent="0.3">
      <c r="A604">
        <v>100670671</v>
      </c>
      <c r="B604" t="s">
        <v>1196</v>
      </c>
      <c r="C604">
        <v>150</v>
      </c>
      <c r="D604" t="s">
        <v>890</v>
      </c>
      <c r="E604" t="s">
        <v>137</v>
      </c>
      <c r="F604" s="26">
        <v>1220.8800000000001</v>
      </c>
      <c r="G604" s="3">
        <v>45761</v>
      </c>
      <c r="H604" t="s">
        <v>1174</v>
      </c>
      <c r="I604" s="4" t="str">
        <f t="shared" si="314"/>
        <v>Retirement Annuity - Savings C</v>
      </c>
      <c r="J604" t="str">
        <f t="shared" si="315"/>
        <v>Compulsory, RA</v>
      </c>
      <c r="K604" t="s">
        <v>15</v>
      </c>
      <c r="M604" t="str">
        <f t="shared" si="318"/>
        <v>d</v>
      </c>
      <c r="N604" t="str">
        <f t="shared" si="319"/>
        <v/>
      </c>
      <c r="O604" t="str">
        <f t="shared" si="320"/>
        <v/>
      </c>
    </row>
    <row r="605" spans="1:15" x14ac:dyDescent="0.3">
      <c r="A605">
        <v>100670671</v>
      </c>
      <c r="B605" t="s">
        <v>1197</v>
      </c>
      <c r="C605">
        <v>150</v>
      </c>
      <c r="D605" t="s">
        <v>890</v>
      </c>
      <c r="E605" t="s">
        <v>137</v>
      </c>
      <c r="F605" s="26">
        <v>206.4</v>
      </c>
      <c r="G605" s="3">
        <v>45761</v>
      </c>
      <c r="H605" t="s">
        <v>1175</v>
      </c>
      <c r="I605" s="4" t="str">
        <f t="shared" si="314"/>
        <v>Retirement Annuity - Retiremen</v>
      </c>
      <c r="J605" t="str">
        <f t="shared" si="315"/>
        <v>Compulsory, RA</v>
      </c>
      <c r="K605" t="s">
        <v>15</v>
      </c>
      <c r="M605" t="str">
        <f t="shared" si="318"/>
        <v>d</v>
      </c>
      <c r="N605" t="str">
        <f t="shared" si="319"/>
        <v/>
      </c>
      <c r="O605" t="str">
        <f t="shared" si="320"/>
        <v/>
      </c>
    </row>
    <row r="606" spans="1:15" x14ac:dyDescent="0.3">
      <c r="A606">
        <v>100675336</v>
      </c>
      <c r="B606" t="s">
        <v>1099</v>
      </c>
      <c r="C606">
        <v>245</v>
      </c>
      <c r="D606" t="s">
        <v>1094</v>
      </c>
      <c r="E606" t="s">
        <v>137</v>
      </c>
      <c r="F606" s="25">
        <v>83030.77</v>
      </c>
      <c r="G606" s="3">
        <v>45761</v>
      </c>
      <c r="H606" t="s">
        <v>14</v>
      </c>
      <c r="I606" s="4" t="str">
        <f t="shared" si="314"/>
        <v>Living Annuity</v>
      </c>
      <c r="J606" t="str">
        <f t="shared" si="315"/>
        <v>Compulsory, LA</v>
      </c>
      <c r="K606" t="s">
        <v>15</v>
      </c>
      <c r="M606" t="str">
        <f t="shared" si="318"/>
        <v>b</v>
      </c>
      <c r="N606" t="str">
        <f t="shared" si="319"/>
        <v/>
      </c>
      <c r="O606" t="str">
        <f t="shared" si="320"/>
        <v/>
      </c>
    </row>
    <row r="607" spans="1:15" x14ac:dyDescent="0.3">
      <c r="A607">
        <v>100677278</v>
      </c>
      <c r="B607" t="s">
        <v>1042</v>
      </c>
      <c r="C607">
        <v>460</v>
      </c>
      <c r="D607" t="s">
        <v>993</v>
      </c>
      <c r="E607" t="s">
        <v>137</v>
      </c>
      <c r="F607" s="25">
        <v>51460.6</v>
      </c>
      <c r="G607" s="3">
        <v>45761</v>
      </c>
      <c r="H607" t="s">
        <v>14</v>
      </c>
      <c r="I607" s="4" t="str">
        <f t="shared" si="314"/>
        <v>Living Annuity</v>
      </c>
      <c r="J607" t="str">
        <f t="shared" si="315"/>
        <v>Compulsory, LA</v>
      </c>
      <c r="K607" t="s">
        <v>15</v>
      </c>
      <c r="M607" t="str">
        <f t="shared" si="318"/>
        <v>b</v>
      </c>
      <c r="N607" t="str">
        <f t="shared" si="319"/>
        <v/>
      </c>
      <c r="O607" t="str">
        <f t="shared" si="320"/>
        <v/>
      </c>
    </row>
    <row r="608" spans="1:15" x14ac:dyDescent="0.3">
      <c r="A608">
        <v>100677585</v>
      </c>
      <c r="B608" t="s">
        <v>1105</v>
      </c>
      <c r="C608">
        <v>175</v>
      </c>
      <c r="D608" t="s">
        <v>1104</v>
      </c>
      <c r="E608" t="s">
        <v>137</v>
      </c>
      <c r="F608" s="26">
        <v>40032.400000000001</v>
      </c>
      <c r="G608" s="3">
        <v>45761</v>
      </c>
      <c r="H608" t="s">
        <v>14</v>
      </c>
      <c r="I608" s="4" t="str">
        <f>MID(H608,6,30)</f>
        <v>Living Annuity</v>
      </c>
      <c r="J608" t="str">
        <f>IF(LEFT(I608)="L","Compulsory, LA",IF(LEFT(I608)="R","Compulsory, RA",IF(LEFT(I608,2)="Pe","Compulsory, Pens","Voluntary")))</f>
        <v>Compulsory, LA</v>
      </c>
      <c r="K608" t="s">
        <v>15</v>
      </c>
      <c r="M608" t="str">
        <f t="shared" si="318"/>
        <v>b</v>
      </c>
      <c r="N608" t="str">
        <f t="shared" si="319"/>
        <v/>
      </c>
      <c r="O608" t="str">
        <f t="shared" si="320"/>
        <v/>
      </c>
    </row>
    <row r="609" spans="1:15" x14ac:dyDescent="0.3">
      <c r="A609">
        <v>100706842</v>
      </c>
      <c r="B609" t="s">
        <v>1134</v>
      </c>
      <c r="C609">
        <v>83</v>
      </c>
      <c r="D609" t="s">
        <v>1129</v>
      </c>
      <c r="E609" t="s">
        <v>137</v>
      </c>
      <c r="F609" s="26">
        <v>16718.36</v>
      </c>
      <c r="G609" s="3">
        <v>45761</v>
      </c>
      <c r="H609" t="s">
        <v>14</v>
      </c>
      <c r="I609" s="4" t="str">
        <f t="shared" ref="I609:I610" si="321">MID(H609,6,30)</f>
        <v>Living Annuity</v>
      </c>
      <c r="J609" t="str">
        <f t="shared" ref="J609:J610" si="322">IF(LEFT(I609)="L","Compulsory, LA",IF(LEFT(I609)="R","Compulsory, RA",IF(LEFT(I609,2)="Pe","Compulsory, Pens","Voluntary")))</f>
        <v>Compulsory, LA</v>
      </c>
      <c r="K609" t="s">
        <v>15</v>
      </c>
      <c r="M609" t="str">
        <f t="shared" si="318"/>
        <v>b</v>
      </c>
      <c r="N609" t="str">
        <f t="shared" si="319"/>
        <v/>
      </c>
      <c r="O609" t="str">
        <f t="shared" si="320"/>
        <v/>
      </c>
    </row>
    <row r="610" spans="1:15" x14ac:dyDescent="0.3">
      <c r="A610">
        <v>100711105</v>
      </c>
      <c r="B610" t="s">
        <v>1135</v>
      </c>
      <c r="C610">
        <v>470</v>
      </c>
      <c r="D610" t="s">
        <v>1130</v>
      </c>
      <c r="E610" t="s">
        <v>137</v>
      </c>
      <c r="F610" s="26">
        <v>2567.8200000000002</v>
      </c>
      <c r="G610" s="3">
        <v>45761</v>
      </c>
      <c r="H610" t="s">
        <v>31</v>
      </c>
      <c r="I610" s="4" t="str">
        <f t="shared" si="321"/>
        <v>Investment Account</v>
      </c>
      <c r="J610" t="str">
        <f t="shared" si="322"/>
        <v>Voluntary</v>
      </c>
      <c r="K610" t="s">
        <v>15</v>
      </c>
      <c r="M610" t="str">
        <f t="shared" si="318"/>
        <v>b</v>
      </c>
      <c r="N610" t="str">
        <f t="shared" si="319"/>
        <v/>
      </c>
      <c r="O610" t="str">
        <f t="shared" si="320"/>
        <v/>
      </c>
    </row>
    <row r="611" spans="1:15" x14ac:dyDescent="0.3">
      <c r="A611">
        <v>100786852</v>
      </c>
      <c r="B611" t="s">
        <v>1222</v>
      </c>
      <c r="C611">
        <v>209</v>
      </c>
      <c r="D611" t="s">
        <v>1201</v>
      </c>
      <c r="E611" t="s">
        <v>137</v>
      </c>
      <c r="F611" s="26">
        <v>228986.57</v>
      </c>
      <c r="G611" s="3">
        <v>45761</v>
      </c>
      <c r="H611" t="s">
        <v>14</v>
      </c>
      <c r="I611" s="4" t="str">
        <f>MID(H611,6,30)</f>
        <v>Living Annuity</v>
      </c>
      <c r="J611" t="str">
        <f>IF(LEFT(I611)="L","Compulsory, LA",IF(LEFT(I611)="R","Compulsory, RA",IF(LEFT(I611,2)="Pe","Compulsory, Pens","Voluntary")))</f>
        <v>Compulsory, LA</v>
      </c>
      <c r="K611" t="s">
        <v>15</v>
      </c>
      <c r="M611" t="str">
        <f t="shared" si="318"/>
        <v>b</v>
      </c>
      <c r="N611" t="str">
        <f t="shared" si="319"/>
        <v/>
      </c>
      <c r="O611" t="str">
        <f t="shared" si="320"/>
        <v/>
      </c>
    </row>
    <row r="612" spans="1:15" s="6" customFormat="1" x14ac:dyDescent="0.3">
      <c r="A612" s="6">
        <v>100799345</v>
      </c>
      <c r="B612" s="6" t="s">
        <v>1231</v>
      </c>
      <c r="C612" s="6">
        <v>478</v>
      </c>
      <c r="D612" s="6" t="s">
        <v>1228</v>
      </c>
      <c r="E612" s="6" t="s">
        <v>137</v>
      </c>
      <c r="F612" s="32">
        <v>957986.84</v>
      </c>
      <c r="G612" s="22">
        <v>45761</v>
      </c>
      <c r="H612" s="6" t="s">
        <v>1147</v>
      </c>
      <c r="I612" s="23" t="str">
        <f>MID(H612,6,30)</f>
        <v>Investment Account</v>
      </c>
      <c r="J612" s="6" t="str">
        <f>IF(LEFT(I612)="L","Compulsory, LA",IF(LEFT(I612)="R","Compulsory, RA",IF(LEFT(I612,2)="Pe","Compulsory, Pens","Voluntary")))</f>
        <v>Voluntary</v>
      </c>
      <c r="K612" s="6" t="s">
        <v>15</v>
      </c>
      <c r="M612" t="str">
        <f t="shared" si="318"/>
        <v>b</v>
      </c>
      <c r="N612" t="str">
        <f t="shared" si="319"/>
        <v/>
      </c>
      <c r="O612" t="str">
        <f t="shared" si="320"/>
        <v/>
      </c>
    </row>
    <row r="613" spans="1:15" s="6" customFormat="1" x14ac:dyDescent="0.3">
      <c r="A613" s="6">
        <v>32490</v>
      </c>
      <c r="B613" s="6" t="s">
        <v>735</v>
      </c>
      <c r="C613" s="6">
        <v>126</v>
      </c>
      <c r="D613" s="6" t="s">
        <v>12</v>
      </c>
      <c r="E613" s="6" t="s">
        <v>734</v>
      </c>
      <c r="F613" s="31">
        <v>5482.67</v>
      </c>
      <c r="G613" s="22">
        <v>45761</v>
      </c>
      <c r="H613" s="6" t="s">
        <v>14</v>
      </c>
      <c r="I613" s="23" t="str">
        <f t="shared" ref="I613:I656" si="323">MID(H613,6,30)</f>
        <v>Living Annuity</v>
      </c>
      <c r="J613" s="6" t="str">
        <f t="shared" ref="J613:J656" si="324">IF(LEFT(I613)="L","Compulsory, LA",IF(LEFT(I613)="R","Compulsory, RA",IF(LEFT(I613,2)="Pe","Compulsory, Pens","Voluntary")))</f>
        <v>Compulsory, LA</v>
      </c>
      <c r="K613" s="6" t="s">
        <v>15</v>
      </c>
      <c r="M613" t="str">
        <f t="shared" si="318"/>
        <v>c</v>
      </c>
      <c r="N613" t="str">
        <f t="shared" si="319"/>
        <v/>
      </c>
      <c r="O613" t="str">
        <f t="shared" si="320"/>
        <v/>
      </c>
    </row>
    <row r="614" spans="1:15" x14ac:dyDescent="0.3">
      <c r="A614">
        <v>32490</v>
      </c>
      <c r="B614" t="s">
        <v>736</v>
      </c>
      <c r="C614">
        <v>126</v>
      </c>
      <c r="D614" t="s">
        <v>12</v>
      </c>
      <c r="E614" t="s">
        <v>734</v>
      </c>
      <c r="F614" s="25">
        <v>20179.740000000002</v>
      </c>
      <c r="G614" s="3">
        <v>45761</v>
      </c>
      <c r="H614" t="s">
        <v>14</v>
      </c>
      <c r="I614" s="4" t="str">
        <f t="shared" si="323"/>
        <v>Living Annuity</v>
      </c>
      <c r="J614" t="str">
        <f t="shared" si="324"/>
        <v>Compulsory, LA</v>
      </c>
      <c r="K614" t="s">
        <v>15</v>
      </c>
      <c r="M614" t="str">
        <f t="shared" si="318"/>
        <v>c</v>
      </c>
      <c r="N614" t="str">
        <f t="shared" si="319"/>
        <v/>
      </c>
      <c r="O614" t="str">
        <f t="shared" si="320"/>
        <v/>
      </c>
    </row>
    <row r="615" spans="1:15" x14ac:dyDescent="0.3">
      <c r="A615">
        <v>33672</v>
      </c>
      <c r="B615" t="s">
        <v>1043</v>
      </c>
      <c r="C615">
        <v>87</v>
      </c>
      <c r="D615" t="s">
        <v>18</v>
      </c>
      <c r="E615" t="s">
        <v>734</v>
      </c>
      <c r="F615" s="25">
        <v>50946.7</v>
      </c>
      <c r="G615" s="3">
        <v>45761</v>
      </c>
      <c r="H615" t="s">
        <v>14</v>
      </c>
      <c r="I615" s="4" t="str">
        <f t="shared" si="323"/>
        <v>Living Annuity</v>
      </c>
      <c r="J615" t="str">
        <f t="shared" si="324"/>
        <v>Compulsory, LA</v>
      </c>
      <c r="K615" t="s">
        <v>15</v>
      </c>
      <c r="M615" t="str">
        <f t="shared" si="318"/>
        <v>c</v>
      </c>
      <c r="N615" t="str">
        <f t="shared" si="319"/>
        <v/>
      </c>
      <c r="O615" t="str">
        <f t="shared" si="320"/>
        <v/>
      </c>
    </row>
    <row r="616" spans="1:15" x14ac:dyDescent="0.3">
      <c r="A616">
        <v>34171</v>
      </c>
      <c r="B616" t="s">
        <v>1044</v>
      </c>
      <c r="C616">
        <v>268</v>
      </c>
      <c r="D616" t="s">
        <v>928</v>
      </c>
      <c r="E616" t="s">
        <v>734</v>
      </c>
      <c r="F616" s="25">
        <v>3215.44</v>
      </c>
      <c r="G616" s="3">
        <v>45761</v>
      </c>
      <c r="H616" t="s">
        <v>14</v>
      </c>
      <c r="I616" s="4" t="str">
        <f t="shared" si="323"/>
        <v>Living Annuity</v>
      </c>
      <c r="J616" t="str">
        <f t="shared" si="324"/>
        <v>Compulsory, LA</v>
      </c>
      <c r="K616" t="s">
        <v>15</v>
      </c>
      <c r="M616" t="str">
        <f t="shared" si="318"/>
        <v>c</v>
      </c>
      <c r="N616" t="str">
        <f t="shared" si="319"/>
        <v/>
      </c>
      <c r="O616" t="str">
        <f t="shared" si="320"/>
        <v/>
      </c>
    </row>
    <row r="617" spans="1:15" x14ac:dyDescent="0.3">
      <c r="A617">
        <v>34173</v>
      </c>
      <c r="B617" t="s">
        <v>1045</v>
      </c>
      <c r="C617">
        <v>96</v>
      </c>
      <c r="D617" t="s">
        <v>22</v>
      </c>
      <c r="E617" t="s">
        <v>734</v>
      </c>
      <c r="F617" s="25">
        <v>18667.3</v>
      </c>
      <c r="G617" s="3">
        <v>45761</v>
      </c>
      <c r="H617" t="s">
        <v>14</v>
      </c>
      <c r="I617" s="4" t="str">
        <f t="shared" si="323"/>
        <v>Living Annuity</v>
      </c>
      <c r="J617" t="str">
        <f t="shared" si="324"/>
        <v>Compulsory, LA</v>
      </c>
      <c r="K617" t="s">
        <v>15</v>
      </c>
      <c r="M617" t="str">
        <f t="shared" si="318"/>
        <v>c</v>
      </c>
      <c r="N617" t="str">
        <f t="shared" si="319"/>
        <v/>
      </c>
      <c r="O617" t="str">
        <f t="shared" si="320"/>
        <v/>
      </c>
    </row>
    <row r="618" spans="1:15" x14ac:dyDescent="0.3">
      <c r="A618">
        <v>34199</v>
      </c>
      <c r="B618" t="s">
        <v>1046</v>
      </c>
      <c r="C618">
        <v>240</v>
      </c>
      <c r="D618" t="s">
        <v>24</v>
      </c>
      <c r="E618" t="s">
        <v>734</v>
      </c>
      <c r="F618" s="25">
        <v>2923</v>
      </c>
      <c r="G618" s="3">
        <v>45761</v>
      </c>
      <c r="H618" t="s">
        <v>14</v>
      </c>
      <c r="I618" s="4" t="str">
        <f t="shared" si="323"/>
        <v>Living Annuity</v>
      </c>
      <c r="J618" t="str">
        <f t="shared" si="324"/>
        <v>Compulsory, LA</v>
      </c>
      <c r="K618" t="s">
        <v>15</v>
      </c>
      <c r="M618" t="str">
        <f t="shared" si="318"/>
        <v>c</v>
      </c>
      <c r="N618" t="str">
        <f t="shared" si="319"/>
        <v/>
      </c>
      <c r="O618" t="str">
        <f t="shared" si="320"/>
        <v/>
      </c>
    </row>
    <row r="619" spans="1:15" x14ac:dyDescent="0.3">
      <c r="A619">
        <v>34202</v>
      </c>
      <c r="B619" t="s">
        <v>814</v>
      </c>
      <c r="C619">
        <v>104</v>
      </c>
      <c r="D619" t="s">
        <v>797</v>
      </c>
      <c r="E619" t="s">
        <v>734</v>
      </c>
      <c r="F619" s="26">
        <v>112246.9</v>
      </c>
      <c r="G619" s="3">
        <v>45761</v>
      </c>
      <c r="H619" t="s">
        <v>14</v>
      </c>
      <c r="I619" s="4" t="str">
        <f>MID(H619,6,30)</f>
        <v>Living Annuity</v>
      </c>
      <c r="J619" t="str">
        <f>IF(LEFT(I619)="L","Compulsory, LA",IF(LEFT(I619)="R","Compulsory, RA",IF(LEFT(I619,2)="Pe","Compulsory, Pens","Voluntary")))</f>
        <v>Compulsory, LA</v>
      </c>
      <c r="K619" t="s">
        <v>15</v>
      </c>
      <c r="M619" t="str">
        <f t="shared" si="318"/>
        <v>c</v>
      </c>
      <c r="N619" t="str">
        <f t="shared" si="319"/>
        <v/>
      </c>
      <c r="O619" t="str">
        <f t="shared" si="320"/>
        <v/>
      </c>
    </row>
    <row r="620" spans="1:15" x14ac:dyDescent="0.3">
      <c r="A620">
        <v>34202</v>
      </c>
      <c r="B620" t="s">
        <v>813</v>
      </c>
      <c r="C620">
        <v>104</v>
      </c>
      <c r="D620" t="s">
        <v>797</v>
      </c>
      <c r="E620" t="s">
        <v>734</v>
      </c>
      <c r="F620" s="26">
        <v>21499.89</v>
      </c>
      <c r="G620" s="3">
        <v>45761</v>
      </c>
      <c r="H620" t="s">
        <v>14</v>
      </c>
      <c r="I620" s="4" t="str">
        <f t="shared" si="323"/>
        <v>Living Annuity</v>
      </c>
      <c r="J620" t="str">
        <f t="shared" si="324"/>
        <v>Compulsory, LA</v>
      </c>
      <c r="K620" t="s">
        <v>15</v>
      </c>
      <c r="M620" t="str">
        <f t="shared" si="318"/>
        <v>c</v>
      </c>
      <c r="N620" t="str">
        <f t="shared" si="319"/>
        <v/>
      </c>
      <c r="O620" t="str">
        <f t="shared" si="320"/>
        <v/>
      </c>
    </row>
    <row r="621" spans="1:15" x14ac:dyDescent="0.3">
      <c r="A621">
        <v>34209</v>
      </c>
      <c r="B621" t="s">
        <v>737</v>
      </c>
      <c r="C621">
        <v>25</v>
      </c>
      <c r="D621" t="s">
        <v>28</v>
      </c>
      <c r="E621" t="s">
        <v>734</v>
      </c>
      <c r="F621" s="25">
        <v>38255.64</v>
      </c>
      <c r="G621" s="3">
        <v>45761</v>
      </c>
      <c r="H621" t="s">
        <v>14</v>
      </c>
      <c r="I621" s="4" t="str">
        <f t="shared" si="323"/>
        <v>Living Annuity</v>
      </c>
      <c r="J621" t="str">
        <f t="shared" si="324"/>
        <v>Compulsory, LA</v>
      </c>
      <c r="K621" t="s">
        <v>15</v>
      </c>
      <c r="M621" t="str">
        <f t="shared" si="318"/>
        <v>c</v>
      </c>
      <c r="N621" t="str">
        <f t="shared" si="319"/>
        <v/>
      </c>
      <c r="O621" t="str">
        <f t="shared" si="320"/>
        <v/>
      </c>
    </row>
    <row r="622" spans="1:15" x14ac:dyDescent="0.3">
      <c r="A622">
        <v>34209</v>
      </c>
      <c r="B622" t="s">
        <v>738</v>
      </c>
      <c r="C622">
        <v>25</v>
      </c>
      <c r="D622" t="s">
        <v>28</v>
      </c>
      <c r="E622" t="s">
        <v>734</v>
      </c>
      <c r="F622" s="25">
        <v>49331.17</v>
      </c>
      <c r="G622" s="3">
        <v>45761</v>
      </c>
      <c r="H622" t="s">
        <v>14</v>
      </c>
      <c r="I622" s="4" t="str">
        <f t="shared" si="323"/>
        <v>Living Annuity</v>
      </c>
      <c r="J622" t="str">
        <f t="shared" si="324"/>
        <v>Compulsory, LA</v>
      </c>
      <c r="K622" t="s">
        <v>15</v>
      </c>
      <c r="M622" t="str">
        <f t="shared" si="318"/>
        <v>c</v>
      </c>
      <c r="N622" t="str">
        <f t="shared" si="319"/>
        <v/>
      </c>
      <c r="O622" t="str">
        <f t="shared" si="320"/>
        <v/>
      </c>
    </row>
    <row r="623" spans="1:15" x14ac:dyDescent="0.3">
      <c r="A623">
        <v>34216</v>
      </c>
      <c r="B623" t="s">
        <v>739</v>
      </c>
      <c r="C623">
        <v>95</v>
      </c>
      <c r="D623" t="s">
        <v>30</v>
      </c>
      <c r="E623" t="s">
        <v>734</v>
      </c>
      <c r="F623" s="25">
        <v>25582.26</v>
      </c>
      <c r="G623" s="3">
        <v>45761</v>
      </c>
      <c r="H623" t="s">
        <v>14</v>
      </c>
      <c r="I623" s="4" t="str">
        <f t="shared" si="323"/>
        <v>Living Annuity</v>
      </c>
      <c r="J623" t="str">
        <f t="shared" si="324"/>
        <v>Compulsory, LA</v>
      </c>
      <c r="K623" t="s">
        <v>15</v>
      </c>
      <c r="M623" t="str">
        <f t="shared" si="318"/>
        <v>c</v>
      </c>
      <c r="N623" t="str">
        <f t="shared" si="319"/>
        <v/>
      </c>
      <c r="O623" t="str">
        <f t="shared" si="320"/>
        <v/>
      </c>
    </row>
    <row r="624" spans="1:15" x14ac:dyDescent="0.3">
      <c r="A624">
        <v>34395</v>
      </c>
      <c r="B624" t="s">
        <v>1091</v>
      </c>
      <c r="C624">
        <v>168</v>
      </c>
      <c r="D624" t="s">
        <v>111</v>
      </c>
      <c r="E624" t="s">
        <v>734</v>
      </c>
      <c r="F624" s="26">
        <v>8365.3799999999992</v>
      </c>
      <c r="G624" s="3">
        <v>45761</v>
      </c>
      <c r="H624" t="s">
        <v>14</v>
      </c>
      <c r="I624" s="4" t="str">
        <f>MID(H624,6,30)</f>
        <v>Living Annuity</v>
      </c>
      <c r="J624" t="str">
        <f>IF(LEFT(I624)="L","Compulsory, LA",IF(LEFT(I624)="R","Compulsory, RA",IF(LEFT(I624,2)="Pe","Compulsory, Pens","Voluntary")))</f>
        <v>Compulsory, LA</v>
      </c>
      <c r="K624" t="s">
        <v>15</v>
      </c>
      <c r="M624" t="str">
        <f t="shared" si="318"/>
        <v>c</v>
      </c>
      <c r="N624" t="str">
        <f t="shared" si="319"/>
        <v/>
      </c>
      <c r="O624" t="str">
        <f t="shared" si="320"/>
        <v/>
      </c>
    </row>
    <row r="625" spans="1:15" x14ac:dyDescent="0.3">
      <c r="A625">
        <v>34395</v>
      </c>
      <c r="B625" t="s">
        <v>916</v>
      </c>
      <c r="C625">
        <v>168</v>
      </c>
      <c r="D625" t="s">
        <v>111</v>
      </c>
      <c r="E625" t="s">
        <v>734</v>
      </c>
      <c r="F625" s="26">
        <v>5041.84</v>
      </c>
      <c r="G625" s="3">
        <v>45761</v>
      </c>
      <c r="H625" t="s">
        <v>14</v>
      </c>
      <c r="I625" s="4" t="str">
        <f>MID(H625,6,30)</f>
        <v>Living Annuity</v>
      </c>
      <c r="J625" t="str">
        <f>IF(LEFT(I625)="L","Compulsory, LA",IF(LEFT(I625)="R","Compulsory, RA",IF(LEFT(I625,2)="Pe","Compulsory, Pens","Voluntary")))</f>
        <v>Compulsory, LA</v>
      </c>
      <c r="K625" t="s">
        <v>15</v>
      </c>
      <c r="M625" t="str">
        <f t="shared" si="318"/>
        <v>c</v>
      </c>
      <c r="N625" t="str">
        <f t="shared" si="319"/>
        <v/>
      </c>
      <c r="O625" t="str">
        <f t="shared" si="320"/>
        <v/>
      </c>
    </row>
    <row r="626" spans="1:15" x14ac:dyDescent="0.3">
      <c r="A626">
        <v>34395</v>
      </c>
      <c r="B626" t="s">
        <v>740</v>
      </c>
      <c r="C626">
        <v>168</v>
      </c>
      <c r="D626" t="s">
        <v>111</v>
      </c>
      <c r="E626" t="s">
        <v>734</v>
      </c>
      <c r="F626" s="26">
        <v>78517.31</v>
      </c>
      <c r="G626" s="3">
        <v>45761</v>
      </c>
      <c r="H626" t="s">
        <v>14</v>
      </c>
      <c r="I626" s="4" t="str">
        <f t="shared" si="323"/>
        <v>Living Annuity</v>
      </c>
      <c r="J626" t="str">
        <f t="shared" si="324"/>
        <v>Compulsory, LA</v>
      </c>
      <c r="K626" t="s">
        <v>15</v>
      </c>
      <c r="M626" t="str">
        <f t="shared" si="318"/>
        <v>c</v>
      </c>
      <c r="N626" t="str">
        <f t="shared" si="319"/>
        <v/>
      </c>
      <c r="O626" t="str">
        <f t="shared" si="320"/>
        <v/>
      </c>
    </row>
    <row r="627" spans="1:15" x14ac:dyDescent="0.3">
      <c r="A627">
        <v>36048</v>
      </c>
      <c r="B627" t="s">
        <v>1047</v>
      </c>
      <c r="C627">
        <v>34</v>
      </c>
      <c r="D627" t="s">
        <v>937</v>
      </c>
      <c r="E627" t="s">
        <v>734</v>
      </c>
      <c r="F627" s="26">
        <v>4974.0200000000004</v>
      </c>
      <c r="G627" s="3">
        <v>45761</v>
      </c>
      <c r="H627" t="s">
        <v>14</v>
      </c>
      <c r="I627" s="4" t="str">
        <f t="shared" si="323"/>
        <v>Living Annuity</v>
      </c>
      <c r="J627" t="str">
        <f t="shared" si="324"/>
        <v>Compulsory, LA</v>
      </c>
      <c r="K627" t="s">
        <v>15</v>
      </c>
      <c r="M627" t="str">
        <f t="shared" si="318"/>
        <v>c</v>
      </c>
      <c r="N627" t="str">
        <f t="shared" si="319"/>
        <v/>
      </c>
      <c r="O627" t="str">
        <f t="shared" si="320"/>
        <v/>
      </c>
    </row>
    <row r="628" spans="1:15" x14ac:dyDescent="0.3">
      <c r="A628">
        <v>36048</v>
      </c>
      <c r="B628" t="s">
        <v>1048</v>
      </c>
      <c r="C628">
        <v>34</v>
      </c>
      <c r="D628" t="s">
        <v>937</v>
      </c>
      <c r="E628" t="s">
        <v>734</v>
      </c>
      <c r="F628" s="26">
        <v>14846.83</v>
      </c>
      <c r="G628" s="3">
        <v>45761</v>
      </c>
      <c r="H628" t="s">
        <v>14</v>
      </c>
      <c r="I628" s="4" t="str">
        <f t="shared" si="323"/>
        <v>Living Annuity</v>
      </c>
      <c r="J628" t="str">
        <f t="shared" si="324"/>
        <v>Compulsory, LA</v>
      </c>
      <c r="K628" t="s">
        <v>15</v>
      </c>
      <c r="M628" t="str">
        <f t="shared" si="318"/>
        <v>c</v>
      </c>
      <c r="N628" t="str">
        <f t="shared" si="319"/>
        <v/>
      </c>
      <c r="O628" t="str">
        <f t="shared" si="320"/>
        <v/>
      </c>
    </row>
    <row r="629" spans="1:15" x14ac:dyDescent="0.3">
      <c r="A629">
        <v>36059</v>
      </c>
      <c r="B629" t="s">
        <v>1049</v>
      </c>
      <c r="C629">
        <v>4</v>
      </c>
      <c r="D629" t="s">
        <v>35</v>
      </c>
      <c r="E629" t="s">
        <v>734</v>
      </c>
      <c r="F629" s="26">
        <v>30405.91</v>
      </c>
      <c r="G629" s="3">
        <v>45761</v>
      </c>
      <c r="H629" t="s">
        <v>14</v>
      </c>
      <c r="I629" s="4" t="str">
        <f t="shared" si="323"/>
        <v>Living Annuity</v>
      </c>
      <c r="J629" t="str">
        <f t="shared" si="324"/>
        <v>Compulsory, LA</v>
      </c>
      <c r="K629" t="s">
        <v>15</v>
      </c>
      <c r="M629" t="str">
        <f t="shared" si="318"/>
        <v>c</v>
      </c>
      <c r="N629" t="str">
        <f t="shared" si="319"/>
        <v/>
      </c>
      <c r="O629" t="str">
        <f t="shared" si="320"/>
        <v/>
      </c>
    </row>
    <row r="630" spans="1:15" x14ac:dyDescent="0.3">
      <c r="A630">
        <v>36059</v>
      </c>
      <c r="B630" t="s">
        <v>1050</v>
      </c>
      <c r="C630">
        <v>4</v>
      </c>
      <c r="D630" t="s">
        <v>35</v>
      </c>
      <c r="E630" t="s">
        <v>734</v>
      </c>
      <c r="F630" s="26">
        <v>19656.82</v>
      </c>
      <c r="G630" s="3">
        <v>45761</v>
      </c>
      <c r="H630" t="s">
        <v>14</v>
      </c>
      <c r="I630" s="4" t="str">
        <f t="shared" si="323"/>
        <v>Living Annuity</v>
      </c>
      <c r="J630" t="str">
        <f t="shared" si="324"/>
        <v>Compulsory, LA</v>
      </c>
      <c r="K630" t="s">
        <v>15</v>
      </c>
      <c r="M630" t="str">
        <f t="shared" si="318"/>
        <v>c</v>
      </c>
      <c r="N630" t="str">
        <f t="shared" si="319"/>
        <v/>
      </c>
      <c r="O630" t="str">
        <f t="shared" si="320"/>
        <v/>
      </c>
    </row>
    <row r="631" spans="1:15" x14ac:dyDescent="0.3">
      <c r="A631">
        <v>36060</v>
      </c>
      <c r="B631" t="s">
        <v>1051</v>
      </c>
      <c r="C631">
        <v>2</v>
      </c>
      <c r="D631" t="s">
        <v>38</v>
      </c>
      <c r="E631" t="s">
        <v>734</v>
      </c>
      <c r="F631" s="26">
        <v>42128.11</v>
      </c>
      <c r="G631" s="3">
        <v>45761</v>
      </c>
      <c r="H631" t="s">
        <v>14</v>
      </c>
      <c r="I631" s="4" t="str">
        <f t="shared" si="323"/>
        <v>Living Annuity</v>
      </c>
      <c r="J631" t="str">
        <f t="shared" si="324"/>
        <v>Compulsory, LA</v>
      </c>
      <c r="K631" t="s">
        <v>15</v>
      </c>
      <c r="M631" t="str">
        <f t="shared" si="318"/>
        <v>c</v>
      </c>
      <c r="N631" t="str">
        <f t="shared" si="319"/>
        <v/>
      </c>
      <c r="O631" t="str">
        <f t="shared" si="320"/>
        <v/>
      </c>
    </row>
    <row r="632" spans="1:15" x14ac:dyDescent="0.3">
      <c r="A632">
        <v>36060</v>
      </c>
      <c r="B632" t="s">
        <v>1052</v>
      </c>
      <c r="C632">
        <v>2</v>
      </c>
      <c r="D632" t="s">
        <v>38</v>
      </c>
      <c r="E632" t="s">
        <v>734</v>
      </c>
      <c r="F632" s="26">
        <v>7354.97</v>
      </c>
      <c r="G632" s="3">
        <v>45761</v>
      </c>
      <c r="H632" t="s">
        <v>14</v>
      </c>
      <c r="I632" s="4" t="str">
        <f t="shared" si="323"/>
        <v>Living Annuity</v>
      </c>
      <c r="J632" t="str">
        <f t="shared" si="324"/>
        <v>Compulsory, LA</v>
      </c>
      <c r="K632" t="s">
        <v>15</v>
      </c>
      <c r="M632" t="str">
        <f t="shared" ref="M632:M697" si="325">RIGHT(B632,1)</f>
        <v>c</v>
      </c>
      <c r="N632" t="str">
        <f t="shared" ref="N632:N697" si="326">IF(M632="f","FFFF","")</f>
        <v/>
      </c>
      <c r="O632" t="str">
        <f t="shared" ref="O632:O697" si="327">IF(M632="I","IIII","")</f>
        <v/>
      </c>
    </row>
    <row r="633" spans="1:15" x14ac:dyDescent="0.3">
      <c r="A633">
        <v>36355</v>
      </c>
      <c r="B633" t="s">
        <v>1053</v>
      </c>
      <c r="C633">
        <v>53</v>
      </c>
      <c r="D633" t="s">
        <v>42</v>
      </c>
      <c r="E633" t="s">
        <v>734</v>
      </c>
      <c r="F633" s="26">
        <v>455.33</v>
      </c>
      <c r="G633" s="3">
        <v>45761</v>
      </c>
      <c r="H633" t="s">
        <v>14</v>
      </c>
      <c r="I633" s="4" t="str">
        <f t="shared" si="323"/>
        <v>Living Annuity</v>
      </c>
      <c r="J633" t="str">
        <f t="shared" si="324"/>
        <v>Compulsory, LA</v>
      </c>
      <c r="K633" t="s">
        <v>15</v>
      </c>
      <c r="M633" t="str">
        <f t="shared" si="325"/>
        <v>c</v>
      </c>
      <c r="N633" t="str">
        <f t="shared" si="326"/>
        <v/>
      </c>
      <c r="O633" t="str">
        <f t="shared" si="327"/>
        <v/>
      </c>
    </row>
    <row r="634" spans="1:15" x14ac:dyDescent="0.3">
      <c r="A634">
        <v>37040</v>
      </c>
      <c r="B634" t="s">
        <v>1054</v>
      </c>
      <c r="C634">
        <v>263</v>
      </c>
      <c r="D634" t="s">
        <v>44</v>
      </c>
      <c r="E634" t="s">
        <v>734</v>
      </c>
      <c r="F634" s="26">
        <v>22134.66</v>
      </c>
      <c r="G634" s="3">
        <v>45761</v>
      </c>
      <c r="H634" t="s">
        <v>14</v>
      </c>
      <c r="I634" s="4" t="str">
        <f t="shared" si="323"/>
        <v>Living Annuity</v>
      </c>
      <c r="J634" t="str">
        <f t="shared" si="324"/>
        <v>Compulsory, LA</v>
      </c>
      <c r="K634" t="s">
        <v>15</v>
      </c>
      <c r="M634" t="str">
        <f t="shared" si="325"/>
        <v>c</v>
      </c>
      <c r="N634" t="str">
        <f t="shared" si="326"/>
        <v/>
      </c>
      <c r="O634" t="str">
        <f t="shared" si="327"/>
        <v/>
      </c>
    </row>
    <row r="635" spans="1:15" x14ac:dyDescent="0.3">
      <c r="A635">
        <v>37041</v>
      </c>
      <c r="B635" t="s">
        <v>1055</v>
      </c>
      <c r="C635">
        <v>84</v>
      </c>
      <c r="D635" t="s">
        <v>46</v>
      </c>
      <c r="E635" t="s">
        <v>734</v>
      </c>
      <c r="F635" s="26">
        <v>4050.69</v>
      </c>
      <c r="G635" s="3">
        <v>45761</v>
      </c>
      <c r="H635" t="s">
        <v>14</v>
      </c>
      <c r="I635" s="4" t="str">
        <f t="shared" si="323"/>
        <v>Living Annuity</v>
      </c>
      <c r="J635" t="str">
        <f t="shared" si="324"/>
        <v>Compulsory, LA</v>
      </c>
      <c r="K635" t="s">
        <v>15</v>
      </c>
      <c r="M635" t="str">
        <f t="shared" si="325"/>
        <v>c</v>
      </c>
      <c r="N635" t="str">
        <f t="shared" si="326"/>
        <v/>
      </c>
      <c r="O635" t="str">
        <f t="shared" si="327"/>
        <v/>
      </c>
    </row>
    <row r="636" spans="1:15" x14ac:dyDescent="0.3">
      <c r="A636">
        <v>38586</v>
      </c>
      <c r="B636" t="s">
        <v>1056</v>
      </c>
      <c r="C636">
        <v>181</v>
      </c>
      <c r="D636" t="s">
        <v>48</v>
      </c>
      <c r="E636" t="s">
        <v>734</v>
      </c>
      <c r="F636" s="26">
        <v>2863.48</v>
      </c>
      <c r="G636" s="3">
        <v>45761</v>
      </c>
      <c r="H636" t="s">
        <v>14</v>
      </c>
      <c r="I636" s="4" t="str">
        <f t="shared" si="323"/>
        <v>Living Annuity</v>
      </c>
      <c r="J636" t="str">
        <f t="shared" si="324"/>
        <v>Compulsory, LA</v>
      </c>
      <c r="K636" t="s">
        <v>15</v>
      </c>
      <c r="M636" t="str">
        <f t="shared" si="325"/>
        <v>c</v>
      </c>
      <c r="N636" t="str">
        <f t="shared" si="326"/>
        <v/>
      </c>
      <c r="O636" t="str">
        <f t="shared" si="327"/>
        <v/>
      </c>
    </row>
    <row r="637" spans="1:15" x14ac:dyDescent="0.3">
      <c r="A637">
        <v>38842</v>
      </c>
      <c r="B637" t="s">
        <v>1100</v>
      </c>
      <c r="C637">
        <v>79</v>
      </c>
      <c r="D637" t="s">
        <v>50</v>
      </c>
      <c r="E637" t="s">
        <v>734</v>
      </c>
      <c r="F637" s="25">
        <v>2112.59</v>
      </c>
      <c r="G637" s="3">
        <v>45761</v>
      </c>
      <c r="H637" t="s">
        <v>14</v>
      </c>
      <c r="I637" s="4" t="str">
        <f>MID(H637,6,30)</f>
        <v>Living Annuity</v>
      </c>
      <c r="J637" t="str">
        <f>IF(LEFT(I637)="L","Compulsory, LA",IF(LEFT(I637)="R","Compulsory, RA",IF(LEFT(I637,2)="Pe","Compulsory, Pens","Voluntary")))</f>
        <v>Compulsory, LA</v>
      </c>
      <c r="K637" t="s">
        <v>15</v>
      </c>
      <c r="M637" t="str">
        <f t="shared" si="325"/>
        <v>c</v>
      </c>
      <c r="N637" t="str">
        <f t="shared" si="326"/>
        <v/>
      </c>
      <c r="O637" t="str">
        <f t="shared" si="327"/>
        <v/>
      </c>
    </row>
    <row r="638" spans="1:15" x14ac:dyDescent="0.3">
      <c r="A638">
        <v>38851</v>
      </c>
      <c r="B638" t="s">
        <v>1057</v>
      </c>
      <c r="C638">
        <v>172</v>
      </c>
      <c r="D638" t="s">
        <v>52</v>
      </c>
      <c r="E638" t="s">
        <v>734</v>
      </c>
      <c r="F638" s="26">
        <v>170.48</v>
      </c>
      <c r="G638" s="3">
        <v>45761</v>
      </c>
      <c r="H638" t="s">
        <v>14</v>
      </c>
      <c r="I638" s="4" t="str">
        <f t="shared" si="323"/>
        <v>Living Annuity</v>
      </c>
      <c r="J638" t="str">
        <f t="shared" si="324"/>
        <v>Compulsory, LA</v>
      </c>
      <c r="K638" t="s">
        <v>15</v>
      </c>
      <c r="M638" t="str">
        <f t="shared" si="325"/>
        <v>c</v>
      </c>
      <c r="N638" t="str">
        <f t="shared" si="326"/>
        <v/>
      </c>
      <c r="O638" t="str">
        <f t="shared" si="327"/>
        <v/>
      </c>
    </row>
    <row r="639" spans="1:15" x14ac:dyDescent="0.3">
      <c r="A639">
        <v>38887</v>
      </c>
      <c r="B639" t="s">
        <v>1058</v>
      </c>
      <c r="C639">
        <v>29</v>
      </c>
      <c r="D639" t="s">
        <v>54</v>
      </c>
      <c r="E639" t="s">
        <v>734</v>
      </c>
      <c r="F639" s="26">
        <v>1064.05</v>
      </c>
      <c r="G639" s="3">
        <v>45761</v>
      </c>
      <c r="H639" t="s">
        <v>14</v>
      </c>
      <c r="I639" s="4" t="str">
        <f t="shared" si="323"/>
        <v>Living Annuity</v>
      </c>
      <c r="J639" t="str">
        <f t="shared" si="324"/>
        <v>Compulsory, LA</v>
      </c>
      <c r="K639" t="s">
        <v>15</v>
      </c>
      <c r="M639" t="str">
        <f t="shared" si="325"/>
        <v>c</v>
      </c>
      <c r="N639" t="str">
        <f t="shared" si="326"/>
        <v/>
      </c>
      <c r="O639" t="str">
        <f t="shared" si="327"/>
        <v/>
      </c>
    </row>
    <row r="640" spans="1:15" x14ac:dyDescent="0.3">
      <c r="A640">
        <v>46589</v>
      </c>
      <c r="B640" t="s">
        <v>1059</v>
      </c>
      <c r="C640">
        <v>80</v>
      </c>
      <c r="D640" t="s">
        <v>58</v>
      </c>
      <c r="E640" t="s">
        <v>734</v>
      </c>
      <c r="F640" s="25">
        <v>52237.49</v>
      </c>
      <c r="G640" s="3">
        <v>45761</v>
      </c>
      <c r="H640" t="s">
        <v>14</v>
      </c>
      <c r="I640" s="4" t="str">
        <f t="shared" si="323"/>
        <v>Living Annuity</v>
      </c>
      <c r="J640" t="str">
        <f t="shared" si="324"/>
        <v>Compulsory, LA</v>
      </c>
      <c r="K640" t="s">
        <v>15</v>
      </c>
      <c r="M640" t="str">
        <f t="shared" si="325"/>
        <v>c</v>
      </c>
      <c r="N640" t="str">
        <f t="shared" si="326"/>
        <v/>
      </c>
      <c r="O640" t="str">
        <f t="shared" si="327"/>
        <v/>
      </c>
    </row>
    <row r="641" spans="1:15" x14ac:dyDescent="0.3">
      <c r="A641">
        <v>46589</v>
      </c>
      <c r="B641" t="s">
        <v>1060</v>
      </c>
      <c r="C641">
        <v>80</v>
      </c>
      <c r="D641" t="s">
        <v>58</v>
      </c>
      <c r="E641" t="s">
        <v>734</v>
      </c>
      <c r="F641" s="25">
        <v>2470.6</v>
      </c>
      <c r="G641" s="3">
        <v>45761</v>
      </c>
      <c r="H641" t="s">
        <v>14</v>
      </c>
      <c r="I641" s="4" t="str">
        <f t="shared" si="323"/>
        <v>Living Annuity</v>
      </c>
      <c r="J641" t="str">
        <f t="shared" si="324"/>
        <v>Compulsory, LA</v>
      </c>
      <c r="K641" t="s">
        <v>15</v>
      </c>
      <c r="M641" t="str">
        <f t="shared" si="325"/>
        <v>c</v>
      </c>
      <c r="N641" t="str">
        <f t="shared" si="326"/>
        <v/>
      </c>
      <c r="O641" t="str">
        <f t="shared" si="327"/>
        <v/>
      </c>
    </row>
    <row r="642" spans="1:15" x14ac:dyDescent="0.3">
      <c r="A642">
        <v>54985</v>
      </c>
      <c r="B642" t="s">
        <v>1061</v>
      </c>
      <c r="C642">
        <v>33</v>
      </c>
      <c r="D642" t="s">
        <v>60</v>
      </c>
      <c r="E642" t="s">
        <v>734</v>
      </c>
      <c r="F642" s="25">
        <v>1072.03</v>
      </c>
      <c r="G642" s="3">
        <v>45761</v>
      </c>
      <c r="H642" t="s">
        <v>14</v>
      </c>
      <c r="I642" s="4" t="str">
        <f t="shared" si="323"/>
        <v>Living Annuity</v>
      </c>
      <c r="J642" t="str">
        <f t="shared" si="324"/>
        <v>Compulsory, LA</v>
      </c>
      <c r="K642" t="s">
        <v>15</v>
      </c>
      <c r="M642" t="str">
        <f t="shared" si="325"/>
        <v>c</v>
      </c>
      <c r="N642" t="str">
        <f t="shared" si="326"/>
        <v/>
      </c>
      <c r="O642" t="str">
        <f t="shared" si="327"/>
        <v/>
      </c>
    </row>
    <row r="643" spans="1:15" x14ac:dyDescent="0.3">
      <c r="A643">
        <v>69046</v>
      </c>
      <c r="B643" t="s">
        <v>1063</v>
      </c>
      <c r="C643">
        <v>167</v>
      </c>
      <c r="D643" t="s">
        <v>703</v>
      </c>
      <c r="E643" t="s">
        <v>734</v>
      </c>
      <c r="F643" s="25">
        <v>39423.39</v>
      </c>
      <c r="G643" s="3">
        <v>45761</v>
      </c>
      <c r="H643" t="s">
        <v>14</v>
      </c>
      <c r="I643" s="4" t="str">
        <f t="shared" si="323"/>
        <v>Living Annuity</v>
      </c>
      <c r="J643" t="str">
        <f t="shared" ref="J643" si="328">IF(LEFT(I643)="L","Compulsory, LA",IF(LEFT(I643)="R","Compulsory, RA",IF(LEFT(I643,2)="Pe","Compulsory, Pens",IF(LEFT(I643,2)="Pr","Compulsory, Prov","Voluntary"))))</f>
        <v>Compulsory, LA</v>
      </c>
      <c r="K643" t="s">
        <v>15</v>
      </c>
      <c r="M643" t="str">
        <f t="shared" si="325"/>
        <v>c</v>
      </c>
      <c r="N643" t="str">
        <f t="shared" si="326"/>
        <v/>
      </c>
      <c r="O643" t="str">
        <f t="shared" si="327"/>
        <v/>
      </c>
    </row>
    <row r="644" spans="1:15" x14ac:dyDescent="0.3">
      <c r="A644">
        <v>72002</v>
      </c>
      <c r="B644" t="s">
        <v>1064</v>
      </c>
      <c r="C644">
        <v>67</v>
      </c>
      <c r="D644" t="s">
        <v>66</v>
      </c>
      <c r="E644" t="s">
        <v>734</v>
      </c>
      <c r="F644" s="26">
        <v>42394.13</v>
      </c>
      <c r="G644" s="3">
        <v>45761</v>
      </c>
      <c r="H644" t="s">
        <v>14</v>
      </c>
      <c r="I644" s="4" t="str">
        <f t="shared" si="323"/>
        <v>Living Annuity</v>
      </c>
      <c r="J644" t="str">
        <f t="shared" ref="J644" si="329">IF(LEFT(I644)="L","Compulsory, LA",IF(LEFT(I644)="R","Compulsory, RA",IF(LEFT(I644,2)="Pe","Compulsory, Pens","Voluntary")))</f>
        <v>Compulsory, LA</v>
      </c>
      <c r="K644" t="s">
        <v>15</v>
      </c>
      <c r="M644" t="str">
        <f t="shared" si="325"/>
        <v>c</v>
      </c>
      <c r="N644" t="str">
        <f t="shared" si="326"/>
        <v/>
      </c>
      <c r="O644" t="str">
        <f t="shared" si="327"/>
        <v/>
      </c>
    </row>
    <row r="645" spans="1:15" x14ac:dyDescent="0.3">
      <c r="A645">
        <v>72002</v>
      </c>
      <c r="B645" t="s">
        <v>917</v>
      </c>
      <c r="C645">
        <v>67</v>
      </c>
      <c r="D645" t="s">
        <v>66</v>
      </c>
      <c r="E645" t="s">
        <v>734</v>
      </c>
      <c r="F645" s="26">
        <v>6205.05</v>
      </c>
      <c r="G645" s="3">
        <v>45761</v>
      </c>
      <c r="H645" t="s">
        <v>14</v>
      </c>
      <c r="I645" s="4" t="str">
        <f t="shared" ref="I645:I655" si="330">MID(H645,6,30)</f>
        <v>Living Annuity</v>
      </c>
      <c r="J645" t="str">
        <f t="shared" ref="J645:J655" si="331">IF(LEFT(I645)="L","Compulsory, LA",IF(LEFT(I645)="R","Compulsory, RA",IF(LEFT(I645,2)="Pe","Compulsory, Pens","Voluntary")))</f>
        <v>Compulsory, LA</v>
      </c>
      <c r="K645" t="s">
        <v>15</v>
      </c>
      <c r="M645" t="str">
        <f t="shared" si="325"/>
        <v>c</v>
      </c>
      <c r="N645" t="str">
        <f t="shared" si="326"/>
        <v/>
      </c>
      <c r="O645" t="str">
        <f t="shared" si="327"/>
        <v/>
      </c>
    </row>
    <row r="646" spans="1:15" x14ac:dyDescent="0.3">
      <c r="A646">
        <v>80212</v>
      </c>
      <c r="B646" t="s">
        <v>1065</v>
      </c>
      <c r="C646">
        <v>372</v>
      </c>
      <c r="D646" t="s">
        <v>68</v>
      </c>
      <c r="E646" t="s">
        <v>734</v>
      </c>
      <c r="F646" s="26">
        <v>309.11</v>
      </c>
      <c r="G646" s="3">
        <v>45761</v>
      </c>
      <c r="H646" t="s">
        <v>31</v>
      </c>
      <c r="I646" s="4" t="str">
        <f t="shared" si="330"/>
        <v>Investment Account</v>
      </c>
      <c r="J646" t="str">
        <f t="shared" si="331"/>
        <v>Voluntary</v>
      </c>
      <c r="K646" t="s">
        <v>15</v>
      </c>
      <c r="M646" t="str">
        <f t="shared" si="325"/>
        <v>c</v>
      </c>
      <c r="N646" t="str">
        <f t="shared" si="326"/>
        <v/>
      </c>
      <c r="O646" t="str">
        <f t="shared" si="327"/>
        <v/>
      </c>
    </row>
    <row r="647" spans="1:15" x14ac:dyDescent="0.3">
      <c r="A647">
        <v>81381</v>
      </c>
      <c r="B647" t="s">
        <v>1066</v>
      </c>
      <c r="C647">
        <v>183</v>
      </c>
      <c r="D647" t="s">
        <v>71</v>
      </c>
      <c r="E647" t="s">
        <v>734</v>
      </c>
      <c r="F647" s="26">
        <v>2910.62</v>
      </c>
      <c r="G647" s="3">
        <v>45761</v>
      </c>
      <c r="H647" t="s">
        <v>14</v>
      </c>
      <c r="I647" s="4" t="str">
        <f t="shared" si="330"/>
        <v>Living Annuity</v>
      </c>
      <c r="J647" t="str">
        <f t="shared" si="331"/>
        <v>Compulsory, LA</v>
      </c>
      <c r="K647" t="s">
        <v>15</v>
      </c>
      <c r="M647" t="str">
        <f t="shared" si="325"/>
        <v>c</v>
      </c>
      <c r="N647" t="str">
        <f t="shared" si="326"/>
        <v/>
      </c>
      <c r="O647" t="str">
        <f t="shared" si="327"/>
        <v/>
      </c>
    </row>
    <row r="648" spans="1:15" x14ac:dyDescent="0.3">
      <c r="A648">
        <v>81381</v>
      </c>
      <c r="B648" t="s">
        <v>1067</v>
      </c>
      <c r="C648">
        <v>183</v>
      </c>
      <c r="D648" t="s">
        <v>71</v>
      </c>
      <c r="E648" t="s">
        <v>734</v>
      </c>
      <c r="F648" s="26">
        <v>97982.63</v>
      </c>
      <c r="G648" s="3">
        <v>45761</v>
      </c>
      <c r="H648" t="s">
        <v>14</v>
      </c>
      <c r="I648" s="4" t="str">
        <f t="shared" si="330"/>
        <v>Living Annuity</v>
      </c>
      <c r="J648" t="str">
        <f t="shared" si="331"/>
        <v>Compulsory, LA</v>
      </c>
      <c r="K648" t="s">
        <v>15</v>
      </c>
      <c r="M648" t="str">
        <f t="shared" si="325"/>
        <v>c</v>
      </c>
      <c r="N648" t="str">
        <f t="shared" si="326"/>
        <v/>
      </c>
      <c r="O648" t="str">
        <f t="shared" si="327"/>
        <v/>
      </c>
    </row>
    <row r="649" spans="1:15" x14ac:dyDescent="0.3">
      <c r="A649">
        <v>113590</v>
      </c>
      <c r="B649" t="s">
        <v>1068</v>
      </c>
      <c r="C649">
        <v>44</v>
      </c>
      <c r="D649" t="s">
        <v>958</v>
      </c>
      <c r="E649" t="s">
        <v>734</v>
      </c>
      <c r="F649" s="26">
        <v>11514.34</v>
      </c>
      <c r="G649" s="3">
        <v>45761</v>
      </c>
      <c r="H649" t="s">
        <v>14</v>
      </c>
      <c r="I649" s="4" t="str">
        <f t="shared" si="330"/>
        <v>Living Annuity</v>
      </c>
      <c r="J649" t="str">
        <f t="shared" si="331"/>
        <v>Compulsory, LA</v>
      </c>
      <c r="K649" t="s">
        <v>15</v>
      </c>
      <c r="M649" t="str">
        <f t="shared" si="325"/>
        <v>c</v>
      </c>
      <c r="N649" t="str">
        <f t="shared" si="326"/>
        <v/>
      </c>
      <c r="O649" t="str">
        <f t="shared" si="327"/>
        <v/>
      </c>
    </row>
    <row r="650" spans="1:15" x14ac:dyDescent="0.3">
      <c r="A650">
        <v>113590</v>
      </c>
      <c r="B650" t="s">
        <v>1114</v>
      </c>
      <c r="C650">
        <v>44</v>
      </c>
      <c r="D650" t="s">
        <v>958</v>
      </c>
      <c r="E650" t="s">
        <v>734</v>
      </c>
      <c r="F650" s="26">
        <v>3009.87</v>
      </c>
      <c r="G650" s="3">
        <v>45761</v>
      </c>
      <c r="H650" t="s">
        <v>14</v>
      </c>
      <c r="I650" s="4" t="str">
        <f t="shared" ref="I650:I654" si="332">MID(H650,6,30)</f>
        <v>Living Annuity</v>
      </c>
      <c r="J650" t="str">
        <f t="shared" ref="J650:J654" si="333">IF(LEFT(I650)="L","Compulsory, LA",IF(LEFT(I650)="R","Compulsory, RA",IF(LEFT(I650,2)="Pe","Compulsory, Pens","Voluntary")))</f>
        <v>Compulsory, LA</v>
      </c>
      <c r="K650" t="s">
        <v>15</v>
      </c>
      <c r="M650" t="str">
        <f t="shared" si="325"/>
        <v>c</v>
      </c>
      <c r="N650" t="str">
        <f t="shared" si="326"/>
        <v/>
      </c>
      <c r="O650" t="str">
        <f t="shared" si="327"/>
        <v/>
      </c>
    </row>
    <row r="651" spans="1:15" x14ac:dyDescent="0.3">
      <c r="A651">
        <v>130912</v>
      </c>
      <c r="B651" t="s">
        <v>1172</v>
      </c>
      <c r="C651">
        <v>35</v>
      </c>
      <c r="D651" t="s">
        <v>1169</v>
      </c>
      <c r="E651" t="s">
        <v>734</v>
      </c>
      <c r="F651" s="26">
        <v>10835.17</v>
      </c>
      <c r="G651" s="3">
        <v>45761</v>
      </c>
      <c r="H651" t="s">
        <v>1147</v>
      </c>
      <c r="I651" s="4" t="str">
        <f t="shared" si="332"/>
        <v>Investment Account</v>
      </c>
      <c r="J651" t="str">
        <f t="shared" si="333"/>
        <v>Voluntary</v>
      </c>
      <c r="K651" t="s">
        <v>15</v>
      </c>
      <c r="M651" t="str">
        <f t="shared" si="325"/>
        <v>c</v>
      </c>
      <c r="N651" t="str">
        <f t="shared" si="326"/>
        <v/>
      </c>
      <c r="O651" t="str">
        <f t="shared" si="327"/>
        <v/>
      </c>
    </row>
    <row r="652" spans="1:15" x14ac:dyDescent="0.3">
      <c r="A652">
        <v>100202693</v>
      </c>
      <c r="B652" t="s">
        <v>1159</v>
      </c>
      <c r="C652">
        <v>92</v>
      </c>
      <c r="D652" t="s">
        <v>79</v>
      </c>
      <c r="E652" t="s">
        <v>734</v>
      </c>
      <c r="F652" s="26">
        <v>34721.93</v>
      </c>
      <c r="G652" s="3">
        <v>45761</v>
      </c>
      <c r="H652" t="s">
        <v>1147</v>
      </c>
      <c r="I652" s="4" t="str">
        <f>MID(H652,6,30)</f>
        <v>Investment Account</v>
      </c>
      <c r="J652" t="str">
        <f>IF(LEFT(I652)="L","Compulsory, LA",IF(LEFT(I652)="R","Compulsory, RA",IF(LEFT(I652,2)="Pe","Compulsory, Pens","Voluntary")))</f>
        <v>Voluntary</v>
      </c>
      <c r="K652" t="s">
        <v>15</v>
      </c>
      <c r="M652" t="str">
        <f t="shared" si="325"/>
        <v>c</v>
      </c>
      <c r="N652" t="str">
        <f t="shared" si="326"/>
        <v/>
      </c>
      <c r="O652" t="str">
        <f t="shared" si="327"/>
        <v/>
      </c>
    </row>
    <row r="653" spans="1:15" x14ac:dyDescent="0.3">
      <c r="A653">
        <v>100202693</v>
      </c>
      <c r="B653" t="s">
        <v>1156</v>
      </c>
      <c r="C653">
        <v>92</v>
      </c>
      <c r="D653" t="s">
        <v>79</v>
      </c>
      <c r="E653" t="s">
        <v>734</v>
      </c>
      <c r="F653" s="26">
        <v>27064.46</v>
      </c>
      <c r="G653" s="3">
        <v>45761</v>
      </c>
      <c r="H653" t="s">
        <v>14</v>
      </c>
      <c r="I653" s="4" t="str">
        <f>MID(H653,6,30)</f>
        <v>Living Annuity</v>
      </c>
      <c r="J653" t="str">
        <f>IF(LEFT(I653)="L","Compulsory, LA",IF(LEFT(I653)="R","Compulsory, RA",IF(LEFT(I653,2)="Pe","Compulsory, Pens","Voluntary")))</f>
        <v>Compulsory, LA</v>
      </c>
      <c r="K653" t="s">
        <v>15</v>
      </c>
      <c r="M653" t="str">
        <f t="shared" si="325"/>
        <v>c</v>
      </c>
      <c r="N653" t="str">
        <f t="shared" si="326"/>
        <v/>
      </c>
      <c r="O653" t="str">
        <f t="shared" si="327"/>
        <v/>
      </c>
    </row>
    <row r="654" spans="1:15" x14ac:dyDescent="0.3">
      <c r="A654">
        <v>100202693</v>
      </c>
      <c r="B654" t="s">
        <v>1155</v>
      </c>
      <c r="C654">
        <v>92</v>
      </c>
      <c r="D654" t="s">
        <v>79</v>
      </c>
      <c r="E654" t="s">
        <v>734</v>
      </c>
      <c r="F654" s="26">
        <v>105565.71</v>
      </c>
      <c r="G654" s="3">
        <v>45761</v>
      </c>
      <c r="H654" t="s">
        <v>14</v>
      </c>
      <c r="I654" s="4" t="str">
        <f t="shared" si="332"/>
        <v>Living Annuity</v>
      </c>
      <c r="J654" t="str">
        <f t="shared" si="333"/>
        <v>Compulsory, LA</v>
      </c>
      <c r="K654" t="s">
        <v>15</v>
      </c>
      <c r="M654" t="str">
        <f t="shared" si="325"/>
        <v>c</v>
      </c>
      <c r="N654" t="str">
        <f t="shared" si="326"/>
        <v/>
      </c>
      <c r="O654" t="str">
        <f t="shared" si="327"/>
        <v/>
      </c>
    </row>
    <row r="655" spans="1:15" x14ac:dyDescent="0.3">
      <c r="A655">
        <v>100220898</v>
      </c>
      <c r="B655" t="s">
        <v>1069</v>
      </c>
      <c r="C655">
        <v>115</v>
      </c>
      <c r="D655" t="s">
        <v>83</v>
      </c>
      <c r="E655" t="s">
        <v>734</v>
      </c>
      <c r="F655" s="25">
        <v>31837.200000000001</v>
      </c>
      <c r="G655" s="3">
        <v>45761</v>
      </c>
      <c r="H655" t="s">
        <v>14</v>
      </c>
      <c r="I655" s="4" t="str">
        <f t="shared" si="330"/>
        <v>Living Annuity</v>
      </c>
      <c r="J655" t="str">
        <f t="shared" si="331"/>
        <v>Compulsory, LA</v>
      </c>
      <c r="K655" t="s">
        <v>15</v>
      </c>
      <c r="M655" t="str">
        <f t="shared" si="325"/>
        <v>c</v>
      </c>
      <c r="N655" t="str">
        <f t="shared" si="326"/>
        <v/>
      </c>
      <c r="O655" t="str">
        <f t="shared" si="327"/>
        <v/>
      </c>
    </row>
    <row r="656" spans="1:15" x14ac:dyDescent="0.3">
      <c r="A656">
        <v>100220898</v>
      </c>
      <c r="B656" t="s">
        <v>741</v>
      </c>
      <c r="C656">
        <v>115</v>
      </c>
      <c r="D656" t="s">
        <v>83</v>
      </c>
      <c r="E656" t="s">
        <v>734</v>
      </c>
      <c r="F656" s="25">
        <v>23504.53</v>
      </c>
      <c r="G656" s="3">
        <v>45761</v>
      </c>
      <c r="H656" t="s">
        <v>14</v>
      </c>
      <c r="I656" s="4" t="str">
        <f t="shared" si="323"/>
        <v>Living Annuity</v>
      </c>
      <c r="J656" t="str">
        <f t="shared" si="324"/>
        <v>Compulsory, LA</v>
      </c>
      <c r="K656" t="s">
        <v>15</v>
      </c>
      <c r="M656" t="str">
        <f t="shared" si="325"/>
        <v>c</v>
      </c>
      <c r="N656" t="str">
        <f t="shared" si="326"/>
        <v/>
      </c>
      <c r="O656" t="str">
        <f t="shared" si="327"/>
        <v/>
      </c>
    </row>
    <row r="657" spans="1:15" x14ac:dyDescent="0.3">
      <c r="A657">
        <v>100247003</v>
      </c>
      <c r="B657" t="s">
        <v>1070</v>
      </c>
      <c r="C657">
        <v>79</v>
      </c>
      <c r="D657" t="s">
        <v>50</v>
      </c>
      <c r="E657" t="s">
        <v>734</v>
      </c>
      <c r="F657" s="25">
        <v>11778.87</v>
      </c>
      <c r="G657" s="3">
        <v>45761</v>
      </c>
      <c r="H657" t="s">
        <v>14</v>
      </c>
      <c r="I657" s="4" t="str">
        <f t="shared" ref="I657:I659" si="334">MID(H657,6,30)</f>
        <v>Living Annuity</v>
      </c>
      <c r="J657" t="str">
        <f t="shared" ref="J657:J659" si="335">IF(LEFT(I657)="L","Compulsory, LA",IF(LEFT(I657)="R","Compulsory, RA",IF(LEFT(I657,2)="Pe","Compulsory, Pens","Voluntary")))</f>
        <v>Compulsory, LA</v>
      </c>
      <c r="K657" t="s">
        <v>15</v>
      </c>
      <c r="M657" t="str">
        <f t="shared" si="325"/>
        <v>c</v>
      </c>
      <c r="N657" t="str">
        <f t="shared" si="326"/>
        <v/>
      </c>
      <c r="O657" t="str">
        <f t="shared" si="327"/>
        <v/>
      </c>
    </row>
    <row r="658" spans="1:15" x14ac:dyDescent="0.3">
      <c r="A658">
        <v>100249944</v>
      </c>
      <c r="B658" t="s">
        <v>1071</v>
      </c>
      <c r="C658">
        <v>56</v>
      </c>
      <c r="D658" t="s">
        <v>86</v>
      </c>
      <c r="E658" t="s">
        <v>734</v>
      </c>
      <c r="F658" s="25">
        <v>25756.54</v>
      </c>
      <c r="G658" s="3">
        <v>45761</v>
      </c>
      <c r="H658" t="s">
        <v>14</v>
      </c>
      <c r="I658" s="4" t="str">
        <f t="shared" si="334"/>
        <v>Living Annuity</v>
      </c>
      <c r="J658" t="str">
        <f t="shared" si="335"/>
        <v>Compulsory, LA</v>
      </c>
      <c r="K658" t="s">
        <v>15</v>
      </c>
      <c r="M658" t="str">
        <f t="shared" si="325"/>
        <v>c</v>
      </c>
      <c r="N658" t="str">
        <f t="shared" si="326"/>
        <v/>
      </c>
      <c r="O658" t="str">
        <f t="shared" si="327"/>
        <v/>
      </c>
    </row>
    <row r="659" spans="1:15" x14ac:dyDescent="0.3">
      <c r="A659">
        <v>100250182</v>
      </c>
      <c r="B659" t="s">
        <v>1072</v>
      </c>
      <c r="C659">
        <v>193</v>
      </c>
      <c r="D659" t="s">
        <v>968</v>
      </c>
      <c r="E659" t="s">
        <v>734</v>
      </c>
      <c r="F659" s="25">
        <v>50017.69</v>
      </c>
      <c r="G659" s="3">
        <v>45761</v>
      </c>
      <c r="H659" t="s">
        <v>14</v>
      </c>
      <c r="I659" s="4" t="str">
        <f t="shared" si="334"/>
        <v>Living Annuity</v>
      </c>
      <c r="J659" t="str">
        <f t="shared" si="335"/>
        <v>Compulsory, LA</v>
      </c>
      <c r="K659" t="s">
        <v>15</v>
      </c>
      <c r="M659" t="str">
        <f t="shared" si="325"/>
        <v>c</v>
      </c>
      <c r="N659" t="str">
        <f t="shared" si="326"/>
        <v/>
      </c>
      <c r="O659" t="str">
        <f t="shared" si="327"/>
        <v/>
      </c>
    </row>
    <row r="660" spans="1:15" x14ac:dyDescent="0.3">
      <c r="A660">
        <v>100273792</v>
      </c>
      <c r="B660" t="s">
        <v>742</v>
      </c>
      <c r="C660">
        <v>299</v>
      </c>
      <c r="D660" t="s">
        <v>114</v>
      </c>
      <c r="E660" t="s">
        <v>734</v>
      </c>
      <c r="F660" s="26">
        <v>27248.5</v>
      </c>
      <c r="G660" s="3">
        <v>45761</v>
      </c>
      <c r="H660" t="s">
        <v>14</v>
      </c>
      <c r="I660" s="4" t="str">
        <f>MID(H660,6,30)</f>
        <v>Living Annuity</v>
      </c>
      <c r="J660" t="str">
        <f>IF(LEFT(I660)="L","Compulsory, LA",IF(LEFT(I660)="R","Compulsory, RA",IF(LEFT(I660,2)="Pe","Compulsory, Pens","Voluntary")))</f>
        <v>Compulsory, LA</v>
      </c>
      <c r="K660" t="s">
        <v>15</v>
      </c>
      <c r="M660" t="str">
        <f t="shared" si="325"/>
        <v>c</v>
      </c>
      <c r="N660" t="str">
        <f t="shared" si="326"/>
        <v/>
      </c>
      <c r="O660" t="str">
        <f t="shared" si="327"/>
        <v/>
      </c>
    </row>
    <row r="661" spans="1:15" x14ac:dyDescent="0.3">
      <c r="A661">
        <v>100273792</v>
      </c>
      <c r="B661" t="s">
        <v>743</v>
      </c>
      <c r="C661">
        <v>299</v>
      </c>
      <c r="D661" t="s">
        <v>114</v>
      </c>
      <c r="E661" t="s">
        <v>734</v>
      </c>
      <c r="F661" s="26">
        <v>37469.620000000003</v>
      </c>
      <c r="G661" s="3">
        <v>45761</v>
      </c>
      <c r="H661" t="s">
        <v>14</v>
      </c>
      <c r="I661" s="4" t="str">
        <f t="shared" ref="I661:I675" si="336">MID(H661,6,30)</f>
        <v>Living Annuity</v>
      </c>
      <c r="J661" t="str">
        <f t="shared" ref="J661:J675" si="337">IF(LEFT(I661)="L","Compulsory, LA",IF(LEFT(I661)="R","Compulsory, RA",IF(LEFT(I661,2)="Pe","Compulsory, Pens","Voluntary")))</f>
        <v>Compulsory, LA</v>
      </c>
      <c r="K661" t="s">
        <v>15</v>
      </c>
      <c r="M661" t="str">
        <f t="shared" si="325"/>
        <v>c</v>
      </c>
      <c r="N661" t="str">
        <f t="shared" si="326"/>
        <v/>
      </c>
      <c r="O661" t="str">
        <f t="shared" si="327"/>
        <v/>
      </c>
    </row>
    <row r="662" spans="1:15" x14ac:dyDescent="0.3">
      <c r="A662">
        <v>100278188</v>
      </c>
      <c r="B662" t="s">
        <v>1074</v>
      </c>
      <c r="C662">
        <v>300</v>
      </c>
      <c r="D662" t="s">
        <v>92</v>
      </c>
      <c r="E662" t="s">
        <v>734</v>
      </c>
      <c r="F662" s="25">
        <v>10424.83</v>
      </c>
      <c r="G662" s="3">
        <v>45761</v>
      </c>
      <c r="H662" t="s">
        <v>14</v>
      </c>
      <c r="I662" s="4" t="str">
        <f>MID(H662,6,30)</f>
        <v>Living Annuity</v>
      </c>
      <c r="J662" t="str">
        <f>IF(LEFT(I662)="L","Compulsory, LA",IF(LEFT(I662)="R","Compulsory, RA",IF(LEFT(I662,2)="Pe","Compulsory, Pens","Voluntary")))</f>
        <v>Compulsory, LA</v>
      </c>
      <c r="K662" t="s">
        <v>15</v>
      </c>
      <c r="M662" t="str">
        <f t="shared" si="325"/>
        <v>c</v>
      </c>
      <c r="N662" t="str">
        <f t="shared" si="326"/>
        <v/>
      </c>
      <c r="O662" t="str">
        <f t="shared" si="327"/>
        <v/>
      </c>
    </row>
    <row r="663" spans="1:15" x14ac:dyDescent="0.3">
      <c r="A663">
        <v>100278188</v>
      </c>
      <c r="B663" t="s">
        <v>918</v>
      </c>
      <c r="C663">
        <v>300</v>
      </c>
      <c r="D663" t="s">
        <v>92</v>
      </c>
      <c r="E663" t="s">
        <v>734</v>
      </c>
      <c r="F663" s="25">
        <v>19061.66</v>
      </c>
      <c r="G663" s="3">
        <v>45761</v>
      </c>
      <c r="H663" t="s">
        <v>14</v>
      </c>
      <c r="I663" s="4" t="str">
        <f>MID(H663,6,30)</f>
        <v>Living Annuity</v>
      </c>
      <c r="J663" t="str">
        <f>IF(LEFT(I663)="L","Compulsory, LA",IF(LEFT(I663)="R","Compulsory, RA",IF(LEFT(I663,2)="Pe","Compulsory, Pens","Voluntary")))</f>
        <v>Compulsory, LA</v>
      </c>
      <c r="K663" t="s">
        <v>15</v>
      </c>
      <c r="M663" t="str">
        <f t="shared" si="325"/>
        <v>c</v>
      </c>
      <c r="N663" t="str">
        <f t="shared" si="326"/>
        <v/>
      </c>
      <c r="O663" t="str">
        <f t="shared" si="327"/>
        <v/>
      </c>
    </row>
    <row r="664" spans="1:15" x14ac:dyDescent="0.3">
      <c r="A664">
        <v>100278188</v>
      </c>
      <c r="B664" t="s">
        <v>1073</v>
      </c>
      <c r="C664">
        <v>300</v>
      </c>
      <c r="D664" t="s">
        <v>92</v>
      </c>
      <c r="E664" t="s">
        <v>734</v>
      </c>
      <c r="F664" s="25">
        <v>5834.53</v>
      </c>
      <c r="G664" s="3">
        <v>45761</v>
      </c>
      <c r="H664" t="s">
        <v>14</v>
      </c>
      <c r="I664" s="4" t="str">
        <f t="shared" si="336"/>
        <v>Living Annuity</v>
      </c>
      <c r="J664" t="str">
        <f t="shared" si="337"/>
        <v>Compulsory, LA</v>
      </c>
      <c r="K664" t="s">
        <v>15</v>
      </c>
      <c r="M664" t="str">
        <f t="shared" si="325"/>
        <v>c</v>
      </c>
      <c r="N664" t="str">
        <f t="shared" si="326"/>
        <v/>
      </c>
      <c r="O664" t="str">
        <f t="shared" si="327"/>
        <v/>
      </c>
    </row>
    <row r="665" spans="1:15" x14ac:dyDescent="0.3">
      <c r="A665">
        <v>100325823</v>
      </c>
      <c r="B665" t="s">
        <v>1075</v>
      </c>
      <c r="C665">
        <v>114</v>
      </c>
      <c r="D665" t="s">
        <v>97</v>
      </c>
      <c r="E665" t="s">
        <v>734</v>
      </c>
      <c r="F665" s="26">
        <v>66600.710000000006</v>
      </c>
      <c r="G665" s="3">
        <v>45761</v>
      </c>
      <c r="H665" t="s">
        <v>14</v>
      </c>
      <c r="I665" s="4" t="str">
        <f t="shared" ref="I665:I667" si="338">MID(H665,6,30)</f>
        <v>Living Annuity</v>
      </c>
      <c r="J665" t="str">
        <f t="shared" ref="J665:J667" si="339">IF(LEFT(I665)="L","Compulsory, LA",IF(LEFT(I665)="R","Compulsory, RA",IF(LEFT(I665,2)="Pe","Compulsory, Pens","Voluntary")))</f>
        <v>Compulsory, LA</v>
      </c>
      <c r="K665" t="s">
        <v>15</v>
      </c>
      <c r="M665" t="str">
        <f t="shared" si="325"/>
        <v>c</v>
      </c>
      <c r="N665" t="str">
        <f t="shared" si="326"/>
        <v/>
      </c>
      <c r="O665" t="str">
        <f t="shared" si="327"/>
        <v/>
      </c>
    </row>
    <row r="666" spans="1:15" x14ac:dyDescent="0.3">
      <c r="A666">
        <v>100376880</v>
      </c>
      <c r="B666" t="s">
        <v>1076</v>
      </c>
      <c r="C666">
        <v>97</v>
      </c>
      <c r="D666" t="s">
        <v>618</v>
      </c>
      <c r="E666" t="s">
        <v>734</v>
      </c>
      <c r="F666" s="26">
        <v>1916.49</v>
      </c>
      <c r="G666" s="3">
        <v>45761</v>
      </c>
      <c r="H666" t="s">
        <v>14</v>
      </c>
      <c r="I666" s="4" t="str">
        <f t="shared" si="338"/>
        <v>Living Annuity</v>
      </c>
      <c r="J666" t="str">
        <f t="shared" si="339"/>
        <v>Compulsory, LA</v>
      </c>
      <c r="K666" t="s">
        <v>15</v>
      </c>
      <c r="M666" t="str">
        <f t="shared" si="325"/>
        <v>c</v>
      </c>
      <c r="N666" t="str">
        <f t="shared" si="326"/>
        <v/>
      </c>
      <c r="O666" t="str">
        <f t="shared" si="327"/>
        <v/>
      </c>
    </row>
    <row r="667" spans="1:15" x14ac:dyDescent="0.3">
      <c r="A667">
        <v>100388471</v>
      </c>
      <c r="B667" t="s">
        <v>1077</v>
      </c>
      <c r="C667">
        <v>3</v>
      </c>
      <c r="D667" t="s">
        <v>101</v>
      </c>
      <c r="E667" t="s">
        <v>734</v>
      </c>
      <c r="F667" s="25">
        <v>32719.119999999999</v>
      </c>
      <c r="G667" s="3">
        <v>45761</v>
      </c>
      <c r="H667" t="s">
        <v>14</v>
      </c>
      <c r="I667" s="4" t="str">
        <f t="shared" si="338"/>
        <v>Living Annuity</v>
      </c>
      <c r="J667" t="str">
        <f t="shared" si="339"/>
        <v>Compulsory, LA</v>
      </c>
      <c r="K667" t="s">
        <v>15</v>
      </c>
      <c r="M667" t="str">
        <f t="shared" si="325"/>
        <v>c</v>
      </c>
      <c r="N667" t="str">
        <f t="shared" si="326"/>
        <v/>
      </c>
      <c r="O667" t="str">
        <f t="shared" si="327"/>
        <v/>
      </c>
    </row>
    <row r="668" spans="1:15" x14ac:dyDescent="0.3">
      <c r="A668">
        <v>100388471</v>
      </c>
      <c r="B668" t="s">
        <v>744</v>
      </c>
      <c r="C668">
        <v>3</v>
      </c>
      <c r="D668" t="s">
        <v>101</v>
      </c>
      <c r="E668" t="s">
        <v>734</v>
      </c>
      <c r="F668" s="25">
        <v>3493.24</v>
      </c>
      <c r="G668" s="3">
        <v>45761</v>
      </c>
      <c r="H668" t="s">
        <v>14</v>
      </c>
      <c r="I668" s="4" t="str">
        <f t="shared" si="336"/>
        <v>Living Annuity</v>
      </c>
      <c r="J668" t="str">
        <f t="shared" si="337"/>
        <v>Compulsory, LA</v>
      </c>
      <c r="K668" t="s">
        <v>15</v>
      </c>
      <c r="M668" t="str">
        <f t="shared" si="325"/>
        <v>c</v>
      </c>
      <c r="N668" t="str">
        <f t="shared" si="326"/>
        <v/>
      </c>
      <c r="O668" t="str">
        <f t="shared" si="327"/>
        <v/>
      </c>
    </row>
    <row r="669" spans="1:15" x14ac:dyDescent="0.3">
      <c r="A669">
        <v>100408912</v>
      </c>
      <c r="B669" t="s">
        <v>1078</v>
      </c>
      <c r="C669">
        <v>297</v>
      </c>
      <c r="D669" t="s">
        <v>103</v>
      </c>
      <c r="E669" t="s">
        <v>734</v>
      </c>
      <c r="F669" s="25">
        <v>91671.69</v>
      </c>
      <c r="G669" s="3">
        <v>45761</v>
      </c>
      <c r="H669" t="s">
        <v>14</v>
      </c>
      <c r="I669" s="4" t="str">
        <f t="shared" si="336"/>
        <v>Living Annuity</v>
      </c>
      <c r="J669" t="str">
        <f t="shared" si="337"/>
        <v>Compulsory, LA</v>
      </c>
      <c r="K669" t="s">
        <v>15</v>
      </c>
      <c r="M669" t="str">
        <f t="shared" si="325"/>
        <v>c</v>
      </c>
      <c r="N669" t="str">
        <f t="shared" si="326"/>
        <v/>
      </c>
      <c r="O669" t="str">
        <f t="shared" si="327"/>
        <v/>
      </c>
    </row>
    <row r="670" spans="1:15" x14ac:dyDescent="0.3">
      <c r="A670">
        <v>100421069</v>
      </c>
      <c r="B670" t="s">
        <v>1079</v>
      </c>
      <c r="C670">
        <v>37</v>
      </c>
      <c r="D670" t="s">
        <v>105</v>
      </c>
      <c r="E670" t="s">
        <v>734</v>
      </c>
      <c r="F670" s="26">
        <v>16035.91</v>
      </c>
      <c r="G670" s="3">
        <v>45761</v>
      </c>
      <c r="H670" t="s">
        <v>14</v>
      </c>
      <c r="I670" s="4" t="str">
        <f t="shared" si="336"/>
        <v>Living Annuity</v>
      </c>
      <c r="J670" t="str">
        <f t="shared" si="337"/>
        <v>Compulsory, LA</v>
      </c>
      <c r="K670" t="s">
        <v>15</v>
      </c>
      <c r="M670" t="str">
        <f t="shared" si="325"/>
        <v>c</v>
      </c>
      <c r="N670" t="str">
        <f t="shared" si="326"/>
        <v/>
      </c>
      <c r="O670" t="str">
        <f t="shared" si="327"/>
        <v/>
      </c>
    </row>
    <row r="671" spans="1:15" x14ac:dyDescent="0.3">
      <c r="A671">
        <v>100421069</v>
      </c>
      <c r="B671" t="s">
        <v>745</v>
      </c>
      <c r="C671">
        <v>37</v>
      </c>
      <c r="D671" t="s">
        <v>105</v>
      </c>
      <c r="E671" t="s">
        <v>734</v>
      </c>
      <c r="F671" s="26">
        <v>6971.56</v>
      </c>
      <c r="G671" s="3">
        <v>45761</v>
      </c>
      <c r="H671" t="s">
        <v>14</v>
      </c>
      <c r="I671" s="4" t="str">
        <f t="shared" si="336"/>
        <v>Living Annuity</v>
      </c>
      <c r="J671" t="str">
        <f t="shared" si="337"/>
        <v>Compulsory, LA</v>
      </c>
      <c r="K671" t="s">
        <v>15</v>
      </c>
      <c r="M671" t="str">
        <f t="shared" si="325"/>
        <v>c</v>
      </c>
      <c r="N671" t="str">
        <f t="shared" si="326"/>
        <v/>
      </c>
      <c r="O671" t="str">
        <f t="shared" si="327"/>
        <v/>
      </c>
    </row>
    <row r="672" spans="1:15" x14ac:dyDescent="0.3">
      <c r="A672">
        <v>100421069</v>
      </c>
      <c r="B672" t="s">
        <v>815</v>
      </c>
      <c r="C672">
        <v>37</v>
      </c>
      <c r="D672" t="s">
        <v>105</v>
      </c>
      <c r="E672" t="s">
        <v>734</v>
      </c>
      <c r="F672" s="26">
        <v>8751.0499999999993</v>
      </c>
      <c r="G672" s="3">
        <v>45761</v>
      </c>
      <c r="H672" t="s">
        <v>14</v>
      </c>
      <c r="I672" s="4" t="str">
        <f t="shared" si="336"/>
        <v>Living Annuity</v>
      </c>
      <c r="J672" t="str">
        <f t="shared" si="337"/>
        <v>Compulsory, LA</v>
      </c>
      <c r="K672" t="s">
        <v>15</v>
      </c>
      <c r="M672" t="str">
        <f t="shared" si="325"/>
        <v>c</v>
      </c>
      <c r="N672" t="str">
        <f t="shared" si="326"/>
        <v/>
      </c>
      <c r="O672" t="str">
        <f t="shared" si="327"/>
        <v/>
      </c>
    </row>
    <row r="673" spans="1:15" x14ac:dyDescent="0.3">
      <c r="A673" s="7">
        <v>100489695</v>
      </c>
      <c r="B673" t="s">
        <v>1101</v>
      </c>
      <c r="C673">
        <v>294</v>
      </c>
      <c r="D673" t="s">
        <v>136</v>
      </c>
      <c r="E673" t="s">
        <v>734</v>
      </c>
      <c r="F673" s="26">
        <v>298689.33</v>
      </c>
      <c r="G673" s="3">
        <v>45761</v>
      </c>
      <c r="H673" t="s">
        <v>31</v>
      </c>
      <c r="I673" s="4" t="str">
        <f t="shared" si="336"/>
        <v>Investment Account</v>
      </c>
      <c r="J673" t="str">
        <f t="shared" si="337"/>
        <v>Voluntary</v>
      </c>
      <c r="K673" t="s">
        <v>15</v>
      </c>
      <c r="M673" t="str">
        <f t="shared" si="325"/>
        <v>c</v>
      </c>
      <c r="N673" t="str">
        <f t="shared" si="326"/>
        <v/>
      </c>
      <c r="O673" t="str">
        <f t="shared" si="327"/>
        <v/>
      </c>
    </row>
    <row r="674" spans="1:15" x14ac:dyDescent="0.3">
      <c r="A674">
        <v>100492707</v>
      </c>
      <c r="B674" t="s">
        <v>1080</v>
      </c>
      <c r="C674">
        <v>233</v>
      </c>
      <c r="D674" t="s">
        <v>107</v>
      </c>
      <c r="E674" t="s">
        <v>734</v>
      </c>
      <c r="F674" s="26">
        <v>8040.76</v>
      </c>
      <c r="G674" s="3">
        <v>45761</v>
      </c>
      <c r="H674" t="s">
        <v>14</v>
      </c>
      <c r="I674" s="4" t="str">
        <f t="shared" si="336"/>
        <v>Living Annuity</v>
      </c>
      <c r="J674" t="str">
        <f t="shared" si="337"/>
        <v>Compulsory, LA</v>
      </c>
      <c r="K674" t="s">
        <v>15</v>
      </c>
      <c r="M674" t="str">
        <f t="shared" si="325"/>
        <v>c</v>
      </c>
      <c r="N674" t="str">
        <f t="shared" si="326"/>
        <v/>
      </c>
      <c r="O674" t="str">
        <f t="shared" si="327"/>
        <v/>
      </c>
    </row>
    <row r="675" spans="1:15" x14ac:dyDescent="0.3">
      <c r="A675">
        <v>100492707</v>
      </c>
      <c r="B675" t="s">
        <v>1199</v>
      </c>
      <c r="C675">
        <v>233</v>
      </c>
      <c r="D675" t="s">
        <v>107</v>
      </c>
      <c r="E675" t="s">
        <v>734</v>
      </c>
      <c r="F675" s="26">
        <v>114578.63</v>
      </c>
      <c r="G675" s="3">
        <v>45761</v>
      </c>
      <c r="H675" t="s">
        <v>14</v>
      </c>
      <c r="I675" s="4" t="str">
        <f t="shared" si="336"/>
        <v>Living Annuity</v>
      </c>
      <c r="J675" t="str">
        <f t="shared" si="337"/>
        <v>Compulsory, LA</v>
      </c>
      <c r="K675" t="s">
        <v>15</v>
      </c>
      <c r="M675" t="str">
        <f t="shared" si="325"/>
        <v>c</v>
      </c>
      <c r="N675" t="str">
        <f t="shared" si="326"/>
        <v/>
      </c>
      <c r="O675" t="str">
        <f t="shared" si="327"/>
        <v/>
      </c>
    </row>
    <row r="676" spans="1:15" x14ac:dyDescent="0.3">
      <c r="A676">
        <v>100564770</v>
      </c>
      <c r="B676" t="s">
        <v>746</v>
      </c>
      <c r="C676">
        <v>384</v>
      </c>
      <c r="D676" t="s">
        <v>123</v>
      </c>
      <c r="E676" t="s">
        <v>734</v>
      </c>
      <c r="F676" s="26">
        <v>21024.1</v>
      </c>
      <c r="G676" s="3">
        <v>45761</v>
      </c>
      <c r="H676" t="s">
        <v>14</v>
      </c>
      <c r="I676" s="4" t="str">
        <f>MID(H676,6,30)</f>
        <v>Living Annuity</v>
      </c>
      <c r="J676" t="str">
        <f>IF(LEFT(I676)="L","Compulsory, LA",IF(LEFT(I676)="R","Compulsory, RA",IF(LEFT(I676,2)="Pe","Compulsory, Pens","Voluntary")))</f>
        <v>Compulsory, LA</v>
      </c>
      <c r="K676" t="s">
        <v>15</v>
      </c>
      <c r="M676" t="str">
        <f t="shared" si="325"/>
        <v>c</v>
      </c>
      <c r="N676" t="str">
        <f t="shared" si="326"/>
        <v/>
      </c>
      <c r="O676" t="str">
        <f t="shared" si="327"/>
        <v/>
      </c>
    </row>
    <row r="677" spans="1:15" x14ac:dyDescent="0.3">
      <c r="A677">
        <v>100596689</v>
      </c>
      <c r="B677" t="s">
        <v>1081</v>
      </c>
      <c r="C677">
        <v>180</v>
      </c>
      <c r="D677" t="s">
        <v>149</v>
      </c>
      <c r="E677" t="s">
        <v>734</v>
      </c>
      <c r="F677" s="26">
        <v>581.32000000000005</v>
      </c>
      <c r="G677" s="3">
        <v>45761</v>
      </c>
      <c r="H677" t="s">
        <v>31</v>
      </c>
      <c r="I677" s="4" t="str">
        <f t="shared" ref="I677:I682" si="340">MID(H677,6,30)</f>
        <v>Investment Account</v>
      </c>
      <c r="J677" t="str">
        <f t="shared" ref="J677:J682" si="341">IF(LEFT(I677)="L","Compulsory, LA",IF(LEFT(I677)="R","Compulsory, RA",IF(LEFT(I677,2)="Pe","Compulsory, Pens","Voluntary")))</f>
        <v>Voluntary</v>
      </c>
      <c r="K677" t="s">
        <v>15</v>
      </c>
      <c r="M677" t="str">
        <f t="shared" si="325"/>
        <v>c</v>
      </c>
      <c r="N677" t="str">
        <f t="shared" si="326"/>
        <v/>
      </c>
      <c r="O677" t="str">
        <f t="shared" si="327"/>
        <v/>
      </c>
    </row>
    <row r="678" spans="1:15" x14ac:dyDescent="0.3">
      <c r="A678">
        <v>100628990</v>
      </c>
      <c r="B678" t="s">
        <v>1084</v>
      </c>
      <c r="C678">
        <v>36</v>
      </c>
      <c r="D678" t="s">
        <v>710</v>
      </c>
      <c r="E678" t="s">
        <v>734</v>
      </c>
      <c r="F678" s="26">
        <v>5909.26</v>
      </c>
      <c r="G678" s="3">
        <v>45761</v>
      </c>
      <c r="H678" t="s">
        <v>14</v>
      </c>
      <c r="I678" s="4" t="str">
        <f t="shared" si="340"/>
        <v>Living Annuity</v>
      </c>
      <c r="J678" t="str">
        <f t="shared" si="341"/>
        <v>Compulsory, LA</v>
      </c>
      <c r="K678" t="s">
        <v>15</v>
      </c>
      <c r="M678" t="str">
        <f t="shared" si="325"/>
        <v>c</v>
      </c>
      <c r="N678" t="str">
        <f t="shared" si="326"/>
        <v/>
      </c>
      <c r="O678" t="str">
        <f t="shared" si="327"/>
        <v/>
      </c>
    </row>
    <row r="679" spans="1:15" x14ac:dyDescent="0.3">
      <c r="A679">
        <v>100630706</v>
      </c>
      <c r="B679" t="s">
        <v>1085</v>
      </c>
      <c r="C679">
        <v>361</v>
      </c>
      <c r="D679" t="s">
        <v>847</v>
      </c>
      <c r="E679" t="s">
        <v>734</v>
      </c>
      <c r="F679" s="26">
        <v>1525.55</v>
      </c>
      <c r="G679" s="3">
        <v>45761</v>
      </c>
      <c r="H679" t="s">
        <v>31</v>
      </c>
      <c r="I679" s="4" t="str">
        <f t="shared" si="340"/>
        <v>Investment Account</v>
      </c>
      <c r="J679" t="str">
        <f t="shared" si="341"/>
        <v>Voluntary</v>
      </c>
      <c r="K679" t="s">
        <v>15</v>
      </c>
      <c r="M679" t="str">
        <f t="shared" si="325"/>
        <v>c</v>
      </c>
      <c r="N679" t="str">
        <f t="shared" si="326"/>
        <v/>
      </c>
      <c r="O679" t="str">
        <f t="shared" si="327"/>
        <v/>
      </c>
    </row>
    <row r="680" spans="1:15" x14ac:dyDescent="0.3">
      <c r="A680">
        <v>100641153</v>
      </c>
      <c r="B680" t="s">
        <v>1146</v>
      </c>
      <c r="C680">
        <v>455</v>
      </c>
      <c r="D680" t="s">
        <v>725</v>
      </c>
      <c r="E680" t="s">
        <v>734</v>
      </c>
      <c r="F680" s="26">
        <v>88171.64</v>
      </c>
      <c r="G680" s="3">
        <v>45761</v>
      </c>
      <c r="H680" t="s">
        <v>14</v>
      </c>
      <c r="I680" s="4" t="str">
        <f t="shared" si="340"/>
        <v>Living Annuity</v>
      </c>
      <c r="J680" t="str">
        <f t="shared" si="341"/>
        <v>Compulsory, LA</v>
      </c>
      <c r="K680" t="s">
        <v>15</v>
      </c>
      <c r="M680" t="str">
        <f t="shared" si="325"/>
        <v>c</v>
      </c>
      <c r="N680" t="str">
        <f t="shared" si="326"/>
        <v/>
      </c>
      <c r="O680" t="str">
        <f t="shared" si="327"/>
        <v/>
      </c>
    </row>
    <row r="681" spans="1:15" x14ac:dyDescent="0.3">
      <c r="A681">
        <v>100651921</v>
      </c>
      <c r="B681" t="s">
        <v>1086</v>
      </c>
      <c r="C681">
        <v>13</v>
      </c>
      <c r="D681" t="s">
        <v>732</v>
      </c>
      <c r="E681" t="s">
        <v>734</v>
      </c>
      <c r="F681" s="26">
        <v>8122.37</v>
      </c>
      <c r="G681" s="3">
        <v>45761</v>
      </c>
      <c r="H681" t="s">
        <v>31</v>
      </c>
      <c r="I681" s="4" t="str">
        <f t="shared" si="340"/>
        <v>Investment Account</v>
      </c>
      <c r="J681" t="str">
        <f t="shared" si="341"/>
        <v>Voluntary</v>
      </c>
      <c r="K681" t="s">
        <v>15</v>
      </c>
      <c r="M681" t="str">
        <f t="shared" si="325"/>
        <v>c</v>
      </c>
      <c r="N681" t="str">
        <f t="shared" si="326"/>
        <v/>
      </c>
      <c r="O681" t="str">
        <f t="shared" si="327"/>
        <v/>
      </c>
    </row>
    <row r="682" spans="1:15" x14ac:dyDescent="0.3">
      <c r="A682">
        <v>100651921</v>
      </c>
      <c r="B682" t="s">
        <v>1087</v>
      </c>
      <c r="C682">
        <v>13</v>
      </c>
      <c r="D682" t="s">
        <v>732</v>
      </c>
      <c r="E682" t="s">
        <v>734</v>
      </c>
      <c r="F682" s="26">
        <v>9222.6</v>
      </c>
      <c r="G682" s="3">
        <v>45761</v>
      </c>
      <c r="H682" t="s">
        <v>31</v>
      </c>
      <c r="I682" s="4" t="str">
        <f t="shared" si="340"/>
        <v>Investment Account</v>
      </c>
      <c r="J682" t="str">
        <f t="shared" si="341"/>
        <v>Voluntary</v>
      </c>
      <c r="K682" t="s">
        <v>15</v>
      </c>
      <c r="M682" t="str">
        <f t="shared" si="325"/>
        <v>c</v>
      </c>
      <c r="N682" t="str">
        <f t="shared" si="326"/>
        <v/>
      </c>
      <c r="O682" t="str">
        <f t="shared" si="327"/>
        <v/>
      </c>
    </row>
    <row r="683" spans="1:15" x14ac:dyDescent="0.3">
      <c r="A683">
        <v>100655835</v>
      </c>
      <c r="B683" t="s">
        <v>747</v>
      </c>
      <c r="C683">
        <v>456</v>
      </c>
      <c r="D683" t="s">
        <v>731</v>
      </c>
      <c r="E683" t="s">
        <v>734</v>
      </c>
      <c r="F683" s="26">
        <v>475468.4</v>
      </c>
      <c r="G683" s="3">
        <v>45761</v>
      </c>
      <c r="H683" t="s">
        <v>14</v>
      </c>
      <c r="I683" s="4" t="str">
        <f t="shared" ref="I683:I703" si="342">MID(H683,6,30)</f>
        <v>Living Annuity</v>
      </c>
      <c r="J683" t="str">
        <f t="shared" ref="J683:J703" si="343">IF(LEFT(I683)="L","Compulsory, LA",IF(LEFT(I683)="R","Compulsory, RA",IF(LEFT(I683,2)="Pe","Compulsory, Pens","Voluntary")))</f>
        <v>Compulsory, LA</v>
      </c>
      <c r="K683" t="s">
        <v>15</v>
      </c>
      <c r="M683" t="str">
        <f t="shared" si="325"/>
        <v>c</v>
      </c>
      <c r="N683" t="str">
        <f t="shared" si="326"/>
        <v/>
      </c>
      <c r="O683" t="str">
        <f t="shared" si="327"/>
        <v/>
      </c>
    </row>
    <row r="684" spans="1:15" x14ac:dyDescent="0.3">
      <c r="A684">
        <v>100663638</v>
      </c>
      <c r="B684" t="s">
        <v>811</v>
      </c>
      <c r="C684">
        <v>58</v>
      </c>
      <c r="D684" t="s">
        <v>802</v>
      </c>
      <c r="E684" t="s">
        <v>734</v>
      </c>
      <c r="F684" s="26">
        <v>104075.6</v>
      </c>
      <c r="G684" s="3">
        <v>45761</v>
      </c>
      <c r="H684" t="s">
        <v>14</v>
      </c>
      <c r="I684" s="4" t="str">
        <f t="shared" si="342"/>
        <v>Living Annuity</v>
      </c>
      <c r="J684" t="str">
        <f t="shared" si="343"/>
        <v>Compulsory, LA</v>
      </c>
      <c r="K684" t="s">
        <v>15</v>
      </c>
      <c r="M684" t="str">
        <f t="shared" si="325"/>
        <v>c</v>
      </c>
      <c r="N684" t="str">
        <f t="shared" si="326"/>
        <v/>
      </c>
      <c r="O684" t="str">
        <f t="shared" si="327"/>
        <v/>
      </c>
    </row>
    <row r="685" spans="1:15" x14ac:dyDescent="0.3">
      <c r="A685">
        <v>100663638</v>
      </c>
      <c r="B685" t="s">
        <v>919</v>
      </c>
      <c r="C685">
        <v>58</v>
      </c>
      <c r="D685" t="s">
        <v>802</v>
      </c>
      <c r="E685" t="s">
        <v>734</v>
      </c>
      <c r="F685" s="26">
        <v>3628.94</v>
      </c>
      <c r="G685" s="3">
        <v>45761</v>
      </c>
      <c r="H685" t="s">
        <v>14</v>
      </c>
      <c r="I685" s="4" t="str">
        <f t="shared" si="342"/>
        <v>Living Annuity</v>
      </c>
      <c r="J685" t="str">
        <f t="shared" si="343"/>
        <v>Compulsory, LA</v>
      </c>
      <c r="K685" t="s">
        <v>15</v>
      </c>
      <c r="M685" t="str">
        <f t="shared" si="325"/>
        <v>c</v>
      </c>
      <c r="N685" t="str">
        <f t="shared" si="326"/>
        <v/>
      </c>
      <c r="O685" t="str">
        <f t="shared" si="327"/>
        <v/>
      </c>
    </row>
    <row r="686" spans="1:15" x14ac:dyDescent="0.3">
      <c r="A686">
        <v>100664029</v>
      </c>
      <c r="B686" t="s">
        <v>920</v>
      </c>
      <c r="C686">
        <v>5</v>
      </c>
      <c r="D686" t="s">
        <v>864</v>
      </c>
      <c r="E686" t="s">
        <v>734</v>
      </c>
      <c r="F686" s="26">
        <v>11776.3</v>
      </c>
      <c r="G686" s="3">
        <v>45761</v>
      </c>
      <c r="H686" t="s">
        <v>14</v>
      </c>
      <c r="I686" s="4" t="str">
        <f t="shared" si="342"/>
        <v>Living Annuity</v>
      </c>
      <c r="J686" t="str">
        <f t="shared" si="343"/>
        <v>Compulsory, LA</v>
      </c>
      <c r="K686" t="s">
        <v>15</v>
      </c>
      <c r="M686" t="str">
        <f t="shared" si="325"/>
        <v>c</v>
      </c>
      <c r="N686" t="str">
        <f t="shared" si="326"/>
        <v/>
      </c>
      <c r="O686" t="str">
        <f t="shared" si="327"/>
        <v/>
      </c>
    </row>
    <row r="687" spans="1:15" x14ac:dyDescent="0.3">
      <c r="A687">
        <v>100664029</v>
      </c>
      <c r="B687" t="s">
        <v>921</v>
      </c>
      <c r="C687">
        <v>5</v>
      </c>
      <c r="D687" t="s">
        <v>864</v>
      </c>
      <c r="E687" t="s">
        <v>734</v>
      </c>
      <c r="F687" s="26">
        <v>7577.41</v>
      </c>
      <c r="G687" s="3">
        <v>45761</v>
      </c>
      <c r="H687" t="s">
        <v>14</v>
      </c>
      <c r="I687" s="4" t="str">
        <f t="shared" si="342"/>
        <v>Living Annuity</v>
      </c>
      <c r="J687" t="str">
        <f t="shared" si="343"/>
        <v>Compulsory, LA</v>
      </c>
      <c r="K687" t="s">
        <v>15</v>
      </c>
      <c r="M687" t="str">
        <f t="shared" si="325"/>
        <v>c</v>
      </c>
      <c r="N687" t="str">
        <f t="shared" si="326"/>
        <v/>
      </c>
      <c r="O687" t="str">
        <f t="shared" si="327"/>
        <v/>
      </c>
    </row>
    <row r="688" spans="1:15" x14ac:dyDescent="0.3">
      <c r="A688">
        <v>100664292</v>
      </c>
      <c r="B688" t="s">
        <v>1088</v>
      </c>
      <c r="C688">
        <v>21</v>
      </c>
      <c r="D688" t="s">
        <v>849</v>
      </c>
      <c r="E688" t="s">
        <v>734</v>
      </c>
      <c r="F688" s="25">
        <v>202.57</v>
      </c>
      <c r="G688" s="3">
        <v>45761</v>
      </c>
      <c r="H688" t="s">
        <v>31</v>
      </c>
      <c r="I688" s="4" t="str">
        <f t="shared" si="342"/>
        <v>Investment Account</v>
      </c>
      <c r="J688" t="str">
        <f t="shared" si="343"/>
        <v>Voluntary</v>
      </c>
      <c r="K688" t="s">
        <v>15</v>
      </c>
      <c r="M688" t="str">
        <f t="shared" si="325"/>
        <v>c</v>
      </c>
      <c r="N688" t="str">
        <f t="shared" si="326"/>
        <v/>
      </c>
      <c r="O688" t="str">
        <f t="shared" si="327"/>
        <v/>
      </c>
    </row>
    <row r="689" spans="1:15" x14ac:dyDescent="0.3">
      <c r="A689">
        <v>100664292</v>
      </c>
      <c r="B689" t="s">
        <v>922</v>
      </c>
      <c r="C689">
        <v>21</v>
      </c>
      <c r="D689" t="s">
        <v>849</v>
      </c>
      <c r="E689" t="s">
        <v>734</v>
      </c>
      <c r="F689" s="25">
        <v>36652.959999999999</v>
      </c>
      <c r="G689" s="3">
        <v>45761</v>
      </c>
      <c r="H689" t="s">
        <v>14</v>
      </c>
      <c r="I689" s="4" t="str">
        <f t="shared" si="342"/>
        <v>Living Annuity</v>
      </c>
      <c r="J689" t="str">
        <f t="shared" si="343"/>
        <v>Compulsory, LA</v>
      </c>
      <c r="K689" t="s">
        <v>15</v>
      </c>
      <c r="M689" t="str">
        <f t="shared" si="325"/>
        <v>c</v>
      </c>
      <c r="N689" t="str">
        <f t="shared" si="326"/>
        <v/>
      </c>
      <c r="O689" t="str">
        <f t="shared" si="327"/>
        <v/>
      </c>
    </row>
    <row r="690" spans="1:15" x14ac:dyDescent="0.3">
      <c r="A690">
        <v>100664348</v>
      </c>
      <c r="B690" t="s">
        <v>923</v>
      </c>
      <c r="C690">
        <v>257</v>
      </c>
      <c r="D690" t="s">
        <v>871</v>
      </c>
      <c r="E690" t="s">
        <v>734</v>
      </c>
      <c r="F690" s="25">
        <v>19871.07</v>
      </c>
      <c r="G690" s="3">
        <v>45761</v>
      </c>
      <c r="H690" t="s">
        <v>14</v>
      </c>
      <c r="I690" s="4" t="str">
        <f t="shared" si="342"/>
        <v>Living Annuity</v>
      </c>
      <c r="J690" t="str">
        <f t="shared" si="343"/>
        <v>Compulsory, LA</v>
      </c>
      <c r="K690" t="s">
        <v>15</v>
      </c>
      <c r="M690" t="str">
        <f t="shared" si="325"/>
        <v>c</v>
      </c>
      <c r="N690" t="str">
        <f t="shared" si="326"/>
        <v/>
      </c>
      <c r="O690" t="str">
        <f t="shared" si="327"/>
        <v/>
      </c>
    </row>
    <row r="691" spans="1:15" x14ac:dyDescent="0.3">
      <c r="A691">
        <v>100664351</v>
      </c>
      <c r="B691" t="s">
        <v>924</v>
      </c>
      <c r="C691">
        <v>196</v>
      </c>
      <c r="D691" t="s">
        <v>873</v>
      </c>
      <c r="E691" t="s">
        <v>734</v>
      </c>
      <c r="F691" s="25">
        <v>8450.0400000000009</v>
      </c>
      <c r="G691" s="3">
        <v>45761</v>
      </c>
      <c r="H691" t="s">
        <v>14</v>
      </c>
      <c r="I691" s="4" t="str">
        <f t="shared" si="342"/>
        <v>Living Annuity</v>
      </c>
      <c r="J691" t="str">
        <f t="shared" si="343"/>
        <v>Compulsory, LA</v>
      </c>
      <c r="K691" t="s">
        <v>15</v>
      </c>
      <c r="M691" t="str">
        <f t="shared" si="325"/>
        <v>c</v>
      </c>
      <c r="N691" t="str">
        <f t="shared" si="326"/>
        <v/>
      </c>
      <c r="O691" t="str">
        <f t="shared" si="327"/>
        <v/>
      </c>
    </row>
    <row r="692" spans="1:15" x14ac:dyDescent="0.3">
      <c r="A692">
        <v>100664737</v>
      </c>
      <c r="B692" t="s">
        <v>1118</v>
      </c>
      <c r="C692">
        <v>57</v>
      </c>
      <c r="D692" t="s">
        <v>882</v>
      </c>
      <c r="E692" t="s">
        <v>734</v>
      </c>
      <c r="F692" s="25">
        <v>13726.39</v>
      </c>
      <c r="G692" s="3">
        <v>45761</v>
      </c>
      <c r="H692" t="s">
        <v>14</v>
      </c>
      <c r="I692" s="4" t="str">
        <f t="shared" si="342"/>
        <v>Living Annuity</v>
      </c>
      <c r="J692" t="str">
        <f t="shared" si="343"/>
        <v>Compulsory, LA</v>
      </c>
      <c r="K692" t="s">
        <v>15</v>
      </c>
      <c r="M692" t="str">
        <f t="shared" si="325"/>
        <v>c</v>
      </c>
      <c r="N692" t="str">
        <f t="shared" si="326"/>
        <v/>
      </c>
      <c r="O692" t="str">
        <f t="shared" si="327"/>
        <v/>
      </c>
    </row>
    <row r="693" spans="1:15" x14ac:dyDescent="0.3">
      <c r="A693">
        <v>100664737</v>
      </c>
      <c r="B693" t="s">
        <v>1124</v>
      </c>
      <c r="C693">
        <v>57</v>
      </c>
      <c r="D693" t="s">
        <v>882</v>
      </c>
      <c r="E693" t="s">
        <v>734</v>
      </c>
      <c r="F693" s="25">
        <v>6410.7</v>
      </c>
      <c r="G693" s="3">
        <v>45761</v>
      </c>
      <c r="H693" t="s">
        <v>14</v>
      </c>
      <c r="I693" s="4" t="str">
        <f t="shared" si="342"/>
        <v>Living Annuity</v>
      </c>
      <c r="J693" t="str">
        <f t="shared" si="343"/>
        <v>Compulsory, LA</v>
      </c>
      <c r="K693" t="s">
        <v>15</v>
      </c>
      <c r="M693" t="str">
        <f t="shared" si="325"/>
        <v>c</v>
      </c>
      <c r="N693" t="str">
        <f t="shared" si="326"/>
        <v/>
      </c>
      <c r="O693" t="str">
        <f t="shared" si="327"/>
        <v/>
      </c>
    </row>
    <row r="694" spans="1:15" x14ac:dyDescent="0.3">
      <c r="A694">
        <v>100665510</v>
      </c>
      <c r="B694" t="s">
        <v>925</v>
      </c>
      <c r="C694">
        <v>6</v>
      </c>
      <c r="D694" t="s">
        <v>850</v>
      </c>
      <c r="E694" t="s">
        <v>734</v>
      </c>
      <c r="F694" s="25">
        <v>21997.52</v>
      </c>
      <c r="G694" s="3">
        <v>45761</v>
      </c>
      <c r="H694" t="s">
        <v>14</v>
      </c>
      <c r="I694" s="4" t="str">
        <f t="shared" si="342"/>
        <v>Living Annuity</v>
      </c>
      <c r="J694" t="str">
        <f t="shared" si="343"/>
        <v>Compulsory, LA</v>
      </c>
      <c r="K694" t="s">
        <v>15</v>
      </c>
      <c r="M694" t="str">
        <f t="shared" si="325"/>
        <v>c</v>
      </c>
      <c r="N694" t="str">
        <f t="shared" si="326"/>
        <v/>
      </c>
      <c r="O694" t="str">
        <f t="shared" si="327"/>
        <v/>
      </c>
    </row>
    <row r="695" spans="1:15" x14ac:dyDescent="0.3">
      <c r="A695">
        <v>100665581</v>
      </c>
      <c r="B695" t="s">
        <v>1233</v>
      </c>
      <c r="C695">
        <v>113</v>
      </c>
      <c r="D695" t="s">
        <v>884</v>
      </c>
      <c r="E695" t="s">
        <v>734</v>
      </c>
      <c r="F695" s="25">
        <v>63861.47</v>
      </c>
      <c r="G695" s="3">
        <v>45761</v>
      </c>
      <c r="H695" t="s">
        <v>1147</v>
      </c>
      <c r="I695" s="4" t="str">
        <f t="shared" si="342"/>
        <v>Investment Account</v>
      </c>
      <c r="J695" t="str">
        <f t="shared" si="343"/>
        <v>Voluntary</v>
      </c>
      <c r="K695" t="s">
        <v>15</v>
      </c>
      <c r="M695" t="str">
        <f t="shared" si="325"/>
        <v>c</v>
      </c>
      <c r="N695" t="str">
        <f t="shared" si="326"/>
        <v/>
      </c>
      <c r="O695" t="str">
        <f t="shared" si="327"/>
        <v/>
      </c>
    </row>
    <row r="696" spans="1:15" x14ac:dyDescent="0.3">
      <c r="A696">
        <v>100665581</v>
      </c>
      <c r="B696" t="s">
        <v>1237</v>
      </c>
      <c r="C696">
        <v>113</v>
      </c>
      <c r="D696" t="s">
        <v>884</v>
      </c>
      <c r="E696" t="s">
        <v>734</v>
      </c>
      <c r="F696" s="25">
        <v>170563.85</v>
      </c>
      <c r="G696" s="3">
        <v>45761</v>
      </c>
      <c r="H696" t="s">
        <v>14</v>
      </c>
      <c r="I696" s="4" t="str">
        <f t="shared" si="342"/>
        <v>Living Annuity</v>
      </c>
      <c r="J696" t="str">
        <f t="shared" si="343"/>
        <v>Compulsory, LA</v>
      </c>
      <c r="K696" t="s">
        <v>15</v>
      </c>
      <c r="M696" t="str">
        <f t="shared" si="325"/>
        <v>c</v>
      </c>
      <c r="N696" t="str">
        <f t="shared" si="326"/>
        <v/>
      </c>
      <c r="O696" t="str">
        <f t="shared" si="327"/>
        <v/>
      </c>
    </row>
    <row r="697" spans="1:15" x14ac:dyDescent="0.3">
      <c r="A697">
        <v>100666150</v>
      </c>
      <c r="B697" t="s">
        <v>812</v>
      </c>
      <c r="C697">
        <v>163</v>
      </c>
      <c r="D697" t="s">
        <v>803</v>
      </c>
      <c r="E697" t="s">
        <v>734</v>
      </c>
      <c r="F697" s="26">
        <v>57498.5</v>
      </c>
      <c r="G697" s="3">
        <v>45761</v>
      </c>
      <c r="H697" t="s">
        <v>14</v>
      </c>
      <c r="I697" s="4" t="str">
        <f t="shared" si="342"/>
        <v>Living Annuity</v>
      </c>
      <c r="J697" t="str">
        <f t="shared" si="343"/>
        <v>Compulsory, LA</v>
      </c>
      <c r="K697" t="s">
        <v>15</v>
      </c>
      <c r="M697" t="str">
        <f t="shared" si="325"/>
        <v>c</v>
      </c>
      <c r="N697" t="str">
        <f t="shared" si="326"/>
        <v/>
      </c>
      <c r="O697" t="str">
        <f t="shared" si="327"/>
        <v/>
      </c>
    </row>
    <row r="698" spans="1:15" x14ac:dyDescent="0.3">
      <c r="A698">
        <v>100668409</v>
      </c>
      <c r="B698" t="s">
        <v>1089</v>
      </c>
      <c r="C698">
        <v>178</v>
      </c>
      <c r="D698" t="s">
        <v>852</v>
      </c>
      <c r="E698" t="s">
        <v>734</v>
      </c>
      <c r="F698" s="26">
        <v>4754.59</v>
      </c>
      <c r="G698" s="3">
        <v>45761</v>
      </c>
      <c r="H698" t="s">
        <v>31</v>
      </c>
      <c r="I698" s="4" t="str">
        <f t="shared" si="342"/>
        <v>Investment Account</v>
      </c>
      <c r="J698" t="str">
        <f t="shared" si="343"/>
        <v>Voluntary</v>
      </c>
      <c r="K698" t="s">
        <v>15</v>
      </c>
      <c r="M698" t="str">
        <f t="shared" ref="M698:M761" si="344">RIGHT(B698,1)</f>
        <v>c</v>
      </c>
      <c r="N698" t="str">
        <f t="shared" ref="N698:N761" si="345">IF(M698="f","FFFF","")</f>
        <v/>
      </c>
      <c r="O698" t="str">
        <f t="shared" ref="O698:O761" si="346">IF(M698="I","IIII","")</f>
        <v/>
      </c>
    </row>
    <row r="699" spans="1:15" x14ac:dyDescent="0.3">
      <c r="A699">
        <v>100668534</v>
      </c>
      <c r="B699" t="s">
        <v>1090</v>
      </c>
      <c r="C699">
        <v>23</v>
      </c>
      <c r="D699" t="s">
        <v>194</v>
      </c>
      <c r="E699" t="s">
        <v>734</v>
      </c>
      <c r="F699" s="26">
        <v>9003.65</v>
      </c>
      <c r="G699" s="3">
        <v>45761</v>
      </c>
      <c r="H699" t="s">
        <v>31</v>
      </c>
      <c r="I699" s="4" t="str">
        <f t="shared" si="342"/>
        <v>Investment Account</v>
      </c>
      <c r="J699" t="str">
        <f t="shared" si="343"/>
        <v>Voluntary</v>
      </c>
      <c r="K699" t="s">
        <v>15</v>
      </c>
      <c r="M699" t="str">
        <f t="shared" si="344"/>
        <v>c</v>
      </c>
      <c r="N699" t="str">
        <f t="shared" si="345"/>
        <v/>
      </c>
      <c r="O699" t="str">
        <f t="shared" si="346"/>
        <v/>
      </c>
    </row>
    <row r="700" spans="1:15" x14ac:dyDescent="0.3">
      <c r="A700">
        <v>100669580</v>
      </c>
      <c r="B700" t="s">
        <v>926</v>
      </c>
      <c r="C700">
        <v>321</v>
      </c>
      <c r="D700" t="s">
        <v>887</v>
      </c>
      <c r="E700" t="s">
        <v>734</v>
      </c>
      <c r="F700" s="26">
        <v>29928.6</v>
      </c>
      <c r="G700" s="3">
        <v>45761</v>
      </c>
      <c r="H700" t="s">
        <v>14</v>
      </c>
      <c r="I700" s="4" t="str">
        <f t="shared" si="342"/>
        <v>Living Annuity</v>
      </c>
      <c r="J700" t="str">
        <f t="shared" si="343"/>
        <v>Compulsory, LA</v>
      </c>
      <c r="K700" t="s">
        <v>15</v>
      </c>
      <c r="M700" t="str">
        <f t="shared" si="344"/>
        <v>c</v>
      </c>
      <c r="N700" t="str">
        <f t="shared" si="345"/>
        <v/>
      </c>
      <c r="O700" t="str">
        <f t="shared" si="346"/>
        <v/>
      </c>
    </row>
    <row r="701" spans="1:15" x14ac:dyDescent="0.3">
      <c r="A701">
        <v>100670671</v>
      </c>
      <c r="B701" t="s">
        <v>927</v>
      </c>
      <c r="C701">
        <v>150</v>
      </c>
      <c r="D701" t="s">
        <v>890</v>
      </c>
      <c r="E701" t="s">
        <v>734</v>
      </c>
      <c r="F701" s="26">
        <v>97400.36</v>
      </c>
      <c r="G701" s="3">
        <v>45761</v>
      </c>
      <c r="H701" t="s">
        <v>31</v>
      </c>
      <c r="I701" s="4" t="str">
        <f t="shared" si="342"/>
        <v>Investment Account</v>
      </c>
      <c r="J701" t="str">
        <f t="shared" si="343"/>
        <v>Voluntary</v>
      </c>
      <c r="K701" t="s">
        <v>15</v>
      </c>
      <c r="M701" t="str">
        <f t="shared" si="344"/>
        <v>c</v>
      </c>
      <c r="N701" t="str">
        <f t="shared" si="345"/>
        <v/>
      </c>
      <c r="O701" t="str">
        <f t="shared" si="346"/>
        <v/>
      </c>
    </row>
    <row r="702" spans="1:15" x14ac:dyDescent="0.3">
      <c r="A702">
        <v>100675336</v>
      </c>
      <c r="B702" t="s">
        <v>1102</v>
      </c>
      <c r="C702">
        <v>245</v>
      </c>
      <c r="D702" t="s">
        <v>1094</v>
      </c>
      <c r="E702" t="s">
        <v>734</v>
      </c>
      <c r="F702" s="25">
        <v>41502.25</v>
      </c>
      <c r="G702" s="3">
        <v>45761</v>
      </c>
      <c r="H702" t="s">
        <v>14</v>
      </c>
      <c r="I702" s="4" t="str">
        <f t="shared" si="342"/>
        <v>Living Annuity</v>
      </c>
      <c r="J702" t="str">
        <f t="shared" si="343"/>
        <v>Compulsory, LA</v>
      </c>
      <c r="K702" t="s">
        <v>15</v>
      </c>
      <c r="M702" t="str">
        <f t="shared" si="344"/>
        <v>c</v>
      </c>
      <c r="N702" t="str">
        <f t="shared" si="345"/>
        <v/>
      </c>
      <c r="O702" t="str">
        <f t="shared" si="346"/>
        <v/>
      </c>
    </row>
    <row r="703" spans="1:15" x14ac:dyDescent="0.3">
      <c r="A703">
        <v>100677278</v>
      </c>
      <c r="B703" t="s">
        <v>1092</v>
      </c>
      <c r="C703">
        <v>460</v>
      </c>
      <c r="D703" t="s">
        <v>993</v>
      </c>
      <c r="E703" t="s">
        <v>734</v>
      </c>
      <c r="F703" s="25">
        <v>42360.29</v>
      </c>
      <c r="G703" s="3">
        <v>45761</v>
      </c>
      <c r="H703" t="s">
        <v>14</v>
      </c>
      <c r="I703" s="4" t="str">
        <f t="shared" si="342"/>
        <v>Living Annuity</v>
      </c>
      <c r="J703" t="str">
        <f t="shared" si="343"/>
        <v>Compulsory, LA</v>
      </c>
      <c r="K703" t="s">
        <v>15</v>
      </c>
      <c r="M703" t="str">
        <f t="shared" si="344"/>
        <v>c</v>
      </c>
      <c r="N703" t="str">
        <f t="shared" si="345"/>
        <v/>
      </c>
      <c r="O703" t="str">
        <f t="shared" si="346"/>
        <v/>
      </c>
    </row>
    <row r="704" spans="1:15" x14ac:dyDescent="0.3">
      <c r="A704">
        <v>100677585</v>
      </c>
      <c r="B704" t="s">
        <v>1106</v>
      </c>
      <c r="C704">
        <v>175</v>
      </c>
      <c r="D704" t="s">
        <v>1104</v>
      </c>
      <c r="E704" t="s">
        <v>734</v>
      </c>
      <c r="F704" s="26">
        <v>5627.18</v>
      </c>
      <c r="G704" s="3">
        <v>45761</v>
      </c>
      <c r="H704" t="s">
        <v>14</v>
      </c>
      <c r="I704" s="4" t="str">
        <f>MID(H704,6,30)</f>
        <v>Living Annuity</v>
      </c>
      <c r="J704" t="str">
        <f>IF(LEFT(I704)="L","Compulsory, LA",IF(LEFT(I704)="R","Compulsory, RA",IF(LEFT(I704,2)="Pe","Compulsory, Pens","Voluntary")))</f>
        <v>Compulsory, LA</v>
      </c>
      <c r="K704" t="s">
        <v>15</v>
      </c>
      <c r="M704" t="str">
        <f t="shared" si="344"/>
        <v>c</v>
      </c>
      <c r="N704" t="str">
        <f t="shared" si="345"/>
        <v/>
      </c>
      <c r="O704" t="str">
        <f t="shared" si="346"/>
        <v/>
      </c>
    </row>
    <row r="705" spans="1:15" x14ac:dyDescent="0.3">
      <c r="A705">
        <v>100706842</v>
      </c>
      <c r="B705" t="s">
        <v>1132</v>
      </c>
      <c r="C705">
        <v>83</v>
      </c>
      <c r="D705" t="s">
        <v>1129</v>
      </c>
      <c r="E705" t="s">
        <v>734</v>
      </c>
      <c r="F705" s="26">
        <v>17011.95</v>
      </c>
      <c r="G705" s="3">
        <v>45761</v>
      </c>
      <c r="H705" t="s">
        <v>14</v>
      </c>
      <c r="I705" s="4" t="str">
        <f t="shared" ref="I705" si="347">MID(H705,6,30)</f>
        <v>Living Annuity</v>
      </c>
      <c r="J705" t="str">
        <f t="shared" ref="J705" si="348">IF(LEFT(I705)="L","Compulsory, LA",IF(LEFT(I705)="R","Compulsory, RA",IF(LEFT(I705,2)="Pe","Compulsory, Pens","Voluntary")))</f>
        <v>Compulsory, LA</v>
      </c>
      <c r="K705" t="s">
        <v>15</v>
      </c>
      <c r="M705" t="str">
        <f t="shared" si="344"/>
        <v>c</v>
      </c>
      <c r="N705" t="str">
        <f t="shared" si="345"/>
        <v/>
      </c>
      <c r="O705" t="str">
        <f t="shared" si="346"/>
        <v/>
      </c>
    </row>
    <row r="706" spans="1:15" x14ac:dyDescent="0.3">
      <c r="A706">
        <v>100711105</v>
      </c>
      <c r="B706" t="s">
        <v>1133</v>
      </c>
      <c r="C706">
        <v>470</v>
      </c>
      <c r="D706" t="s">
        <v>1130</v>
      </c>
      <c r="E706" t="s">
        <v>734</v>
      </c>
      <c r="F706" s="26">
        <v>2481.44</v>
      </c>
      <c r="G706" s="3">
        <v>45761</v>
      </c>
      <c r="H706" t="s">
        <v>31</v>
      </c>
      <c r="I706" s="4" t="str">
        <f t="shared" ref="I706" si="349">MID(H706,6,30)</f>
        <v>Investment Account</v>
      </c>
      <c r="J706" t="str">
        <f t="shared" ref="J706" si="350">IF(LEFT(I706)="L","Compulsory, LA",IF(LEFT(I706)="R","Compulsory, RA",IF(LEFT(I706,2)="Pe","Compulsory, Pens","Voluntary")))</f>
        <v>Voluntary</v>
      </c>
      <c r="K706" t="s">
        <v>15</v>
      </c>
      <c r="M706" t="str">
        <f t="shared" si="344"/>
        <v>c</v>
      </c>
      <c r="N706" t="str">
        <f t="shared" si="345"/>
        <v/>
      </c>
      <c r="O706" t="str">
        <f t="shared" si="346"/>
        <v/>
      </c>
    </row>
    <row r="707" spans="1:15" x14ac:dyDescent="0.3">
      <c r="A707">
        <v>100786852</v>
      </c>
      <c r="B707" t="s">
        <v>1223</v>
      </c>
      <c r="C707">
        <v>209</v>
      </c>
      <c r="D707" t="s">
        <v>1201</v>
      </c>
      <c r="E707" t="s">
        <v>734</v>
      </c>
      <c r="F707" s="26">
        <v>56982.8</v>
      </c>
      <c r="G707" s="3">
        <v>45761</v>
      </c>
      <c r="H707" t="s">
        <v>14</v>
      </c>
      <c r="I707" s="4" t="str">
        <f>MID(H707,6,30)</f>
        <v>Living Annuity</v>
      </c>
      <c r="J707" t="str">
        <f>IF(LEFT(I707)="L","Compulsory, LA",IF(LEFT(I707)="R","Compulsory, RA",IF(LEFT(I707,2)="Pe","Compulsory, Pens","Voluntary")))</f>
        <v>Compulsory, LA</v>
      </c>
      <c r="K707" t="s">
        <v>15</v>
      </c>
      <c r="M707" t="str">
        <f t="shared" si="344"/>
        <v>c</v>
      </c>
      <c r="N707" t="str">
        <f t="shared" si="345"/>
        <v/>
      </c>
      <c r="O707" t="str">
        <f t="shared" si="346"/>
        <v/>
      </c>
    </row>
    <row r="708" spans="1:15" s="6" customFormat="1" x14ac:dyDescent="0.3">
      <c r="A708" s="6">
        <v>100799345</v>
      </c>
      <c r="B708" s="6" t="s">
        <v>1232</v>
      </c>
      <c r="C708" s="6">
        <v>478</v>
      </c>
      <c r="D708" s="6" t="s">
        <v>1228</v>
      </c>
      <c r="E708" s="6" t="s">
        <v>734</v>
      </c>
      <c r="F708" s="32">
        <v>233730.43</v>
      </c>
      <c r="G708" s="22">
        <v>45761</v>
      </c>
      <c r="H708" s="6" t="s">
        <v>1147</v>
      </c>
      <c r="I708" s="23" t="str">
        <f>MID(H708,6,30)</f>
        <v>Investment Account</v>
      </c>
      <c r="J708" s="6" t="str">
        <f>IF(LEFT(I708)="L","Compulsory, LA",IF(LEFT(I708)="R","Compulsory, RA",IF(LEFT(I708,2)="Pe","Compulsory, Pens","Voluntary")))</f>
        <v>Voluntary</v>
      </c>
      <c r="K708" s="6" t="s">
        <v>15</v>
      </c>
      <c r="M708" t="str">
        <f t="shared" si="344"/>
        <v>c</v>
      </c>
      <c r="N708" t="str">
        <f t="shared" si="345"/>
        <v/>
      </c>
      <c r="O708" t="str">
        <f t="shared" si="346"/>
        <v/>
      </c>
    </row>
    <row r="709" spans="1:15" s="6" customFormat="1" x14ac:dyDescent="0.3">
      <c r="A709" s="6">
        <v>32490</v>
      </c>
      <c r="B709" s="6" t="s">
        <v>735</v>
      </c>
      <c r="C709" s="6">
        <v>126</v>
      </c>
      <c r="D709" s="6" t="s">
        <v>12</v>
      </c>
      <c r="E709" s="6" t="s">
        <v>796</v>
      </c>
      <c r="F709" s="31">
        <v>6694.58</v>
      </c>
      <c r="G709" s="22">
        <v>45761</v>
      </c>
      <c r="H709" s="6" t="s">
        <v>14</v>
      </c>
      <c r="I709" s="23" t="str">
        <f t="shared" ref="I709:I755" si="351">MID(H709,6,30)</f>
        <v>Living Annuity</v>
      </c>
      <c r="J709" s="6" t="str">
        <f t="shared" ref="J709:J755" si="352">IF(LEFT(I709)="L","Compulsory, LA",IF(LEFT(I709)="R","Compulsory, RA",IF(LEFT(I709,2)="Pe","Compulsory, Pens","Voluntary")))</f>
        <v>Compulsory, LA</v>
      </c>
      <c r="K709" s="6" t="s">
        <v>15</v>
      </c>
      <c r="M709" t="str">
        <f t="shared" si="344"/>
        <v>c</v>
      </c>
      <c r="N709" t="str">
        <f t="shared" si="345"/>
        <v/>
      </c>
      <c r="O709" t="str">
        <f t="shared" si="346"/>
        <v/>
      </c>
    </row>
    <row r="710" spans="1:15" x14ac:dyDescent="0.3">
      <c r="A710">
        <v>32490</v>
      </c>
      <c r="B710" t="s">
        <v>736</v>
      </c>
      <c r="C710">
        <v>126</v>
      </c>
      <c r="D710" t="s">
        <v>12</v>
      </c>
      <c r="E710" t="s">
        <v>796</v>
      </c>
      <c r="F710" s="25">
        <v>24658.83</v>
      </c>
      <c r="G710" s="3">
        <v>45761</v>
      </c>
      <c r="H710" t="s">
        <v>14</v>
      </c>
      <c r="I710" s="4" t="str">
        <f t="shared" si="351"/>
        <v>Living Annuity</v>
      </c>
      <c r="J710" t="str">
        <f t="shared" si="352"/>
        <v>Compulsory, LA</v>
      </c>
      <c r="K710" t="s">
        <v>15</v>
      </c>
      <c r="M710" t="str">
        <f t="shared" si="344"/>
        <v>c</v>
      </c>
      <c r="N710" t="str">
        <f t="shared" si="345"/>
        <v/>
      </c>
      <c r="O710" t="str">
        <f t="shared" si="346"/>
        <v/>
      </c>
    </row>
    <row r="711" spans="1:15" x14ac:dyDescent="0.3">
      <c r="A711">
        <v>33672</v>
      </c>
      <c r="B711" t="s">
        <v>1043</v>
      </c>
      <c r="C711">
        <v>87</v>
      </c>
      <c r="D711" t="s">
        <v>18</v>
      </c>
      <c r="E711" t="s">
        <v>796</v>
      </c>
      <c r="F711" s="25">
        <v>62514.71</v>
      </c>
      <c r="G711" s="3">
        <v>45761</v>
      </c>
      <c r="H711" t="s">
        <v>14</v>
      </c>
      <c r="I711" s="4" t="str">
        <f t="shared" si="351"/>
        <v>Living Annuity</v>
      </c>
      <c r="J711" t="str">
        <f t="shared" si="352"/>
        <v>Compulsory, LA</v>
      </c>
      <c r="K711" t="s">
        <v>15</v>
      </c>
      <c r="M711" t="str">
        <f t="shared" si="344"/>
        <v>c</v>
      </c>
      <c r="N711" t="str">
        <f t="shared" si="345"/>
        <v/>
      </c>
      <c r="O711" t="str">
        <f t="shared" si="346"/>
        <v/>
      </c>
    </row>
    <row r="712" spans="1:15" x14ac:dyDescent="0.3">
      <c r="A712">
        <v>34171</v>
      </c>
      <c r="B712" t="s">
        <v>1044</v>
      </c>
      <c r="C712">
        <v>268</v>
      </c>
      <c r="D712" t="s">
        <v>928</v>
      </c>
      <c r="E712" t="s">
        <v>796</v>
      </c>
      <c r="F712" s="25">
        <v>3943.77</v>
      </c>
      <c r="G712" s="3">
        <v>45761</v>
      </c>
      <c r="H712" t="s">
        <v>14</v>
      </c>
      <c r="I712" s="4" t="str">
        <f t="shared" si="351"/>
        <v>Living Annuity</v>
      </c>
      <c r="J712" t="str">
        <f t="shared" si="352"/>
        <v>Compulsory, LA</v>
      </c>
      <c r="K712" t="s">
        <v>15</v>
      </c>
      <c r="M712" t="str">
        <f t="shared" si="344"/>
        <v>c</v>
      </c>
      <c r="N712" t="str">
        <f t="shared" si="345"/>
        <v/>
      </c>
      <c r="O712" t="str">
        <f t="shared" si="346"/>
        <v/>
      </c>
    </row>
    <row r="713" spans="1:15" x14ac:dyDescent="0.3">
      <c r="A713">
        <v>34173</v>
      </c>
      <c r="B713" t="s">
        <v>1045</v>
      </c>
      <c r="C713">
        <v>96</v>
      </c>
      <c r="D713" t="s">
        <v>22</v>
      </c>
      <c r="E713" t="s">
        <v>796</v>
      </c>
      <c r="F713" s="25">
        <v>22813.13</v>
      </c>
      <c r="G713" s="3">
        <v>45761</v>
      </c>
      <c r="H713" t="s">
        <v>14</v>
      </c>
      <c r="I713" s="4" t="str">
        <f t="shared" si="351"/>
        <v>Living Annuity</v>
      </c>
      <c r="J713" t="str">
        <f t="shared" si="352"/>
        <v>Compulsory, LA</v>
      </c>
      <c r="K713" t="s">
        <v>15</v>
      </c>
      <c r="M713" t="str">
        <f t="shared" si="344"/>
        <v>c</v>
      </c>
      <c r="N713" t="str">
        <f t="shared" si="345"/>
        <v/>
      </c>
      <c r="O713" t="str">
        <f t="shared" si="346"/>
        <v/>
      </c>
    </row>
    <row r="714" spans="1:15" x14ac:dyDescent="0.3">
      <c r="A714">
        <v>34199</v>
      </c>
      <c r="B714" t="s">
        <v>1046</v>
      </c>
      <c r="C714">
        <v>240</v>
      </c>
      <c r="D714" t="s">
        <v>24</v>
      </c>
      <c r="E714" t="s">
        <v>796</v>
      </c>
      <c r="F714" s="25">
        <v>3585.04</v>
      </c>
      <c r="G714" s="3">
        <v>45761</v>
      </c>
      <c r="H714" t="s">
        <v>14</v>
      </c>
      <c r="I714" s="4" t="str">
        <f t="shared" si="351"/>
        <v>Living Annuity</v>
      </c>
      <c r="J714" t="str">
        <f t="shared" si="352"/>
        <v>Compulsory, LA</v>
      </c>
      <c r="K714" t="s">
        <v>15</v>
      </c>
      <c r="M714" t="str">
        <f t="shared" si="344"/>
        <v>c</v>
      </c>
      <c r="N714" t="str">
        <f t="shared" si="345"/>
        <v/>
      </c>
      <c r="O714" t="str">
        <f t="shared" si="346"/>
        <v/>
      </c>
    </row>
    <row r="715" spans="1:15" x14ac:dyDescent="0.3">
      <c r="A715">
        <v>34202</v>
      </c>
      <c r="B715" t="s">
        <v>814</v>
      </c>
      <c r="C715">
        <v>104</v>
      </c>
      <c r="D715" t="s">
        <v>797</v>
      </c>
      <c r="E715" t="s">
        <v>796</v>
      </c>
      <c r="F715" s="26">
        <v>137732.01</v>
      </c>
      <c r="G715" s="3">
        <v>45761</v>
      </c>
      <c r="H715" t="s">
        <v>14</v>
      </c>
      <c r="I715" s="4" t="str">
        <f>MID(H715,6,30)</f>
        <v>Living Annuity</v>
      </c>
      <c r="J715" t="str">
        <f>IF(LEFT(I715)="L","Compulsory, LA",IF(LEFT(I715)="R","Compulsory, RA",IF(LEFT(I715,2)="Pe","Compulsory, Pens","Voluntary")))</f>
        <v>Compulsory, LA</v>
      </c>
      <c r="K715" t="s">
        <v>15</v>
      </c>
      <c r="M715" t="str">
        <f t="shared" si="344"/>
        <v>c</v>
      </c>
      <c r="N715" t="str">
        <f t="shared" si="345"/>
        <v/>
      </c>
      <c r="O715" t="str">
        <f t="shared" si="346"/>
        <v/>
      </c>
    </row>
    <row r="716" spans="1:15" x14ac:dyDescent="0.3">
      <c r="A716">
        <v>34202</v>
      </c>
      <c r="B716" t="s">
        <v>813</v>
      </c>
      <c r="C716">
        <v>104</v>
      </c>
      <c r="D716" t="s">
        <v>797</v>
      </c>
      <c r="E716" t="s">
        <v>796</v>
      </c>
      <c r="F716" s="26">
        <v>26378.25</v>
      </c>
      <c r="G716" s="3">
        <v>45761</v>
      </c>
      <c r="H716" t="s">
        <v>14</v>
      </c>
      <c r="I716" s="4" t="str">
        <f t="shared" si="351"/>
        <v>Living Annuity</v>
      </c>
      <c r="J716" t="str">
        <f t="shared" si="352"/>
        <v>Compulsory, LA</v>
      </c>
      <c r="K716" t="s">
        <v>15</v>
      </c>
      <c r="M716" t="str">
        <f t="shared" si="344"/>
        <v>c</v>
      </c>
      <c r="N716" t="str">
        <f t="shared" si="345"/>
        <v/>
      </c>
      <c r="O716" t="str">
        <f t="shared" si="346"/>
        <v/>
      </c>
    </row>
    <row r="717" spans="1:15" x14ac:dyDescent="0.3">
      <c r="A717">
        <v>34209</v>
      </c>
      <c r="B717" t="s">
        <v>737</v>
      </c>
      <c r="C717">
        <v>25</v>
      </c>
      <c r="D717" t="s">
        <v>28</v>
      </c>
      <c r="E717" t="s">
        <v>796</v>
      </c>
      <c r="F717" s="25">
        <v>46768.480000000003</v>
      </c>
      <c r="G717" s="3">
        <v>45761</v>
      </c>
      <c r="H717" t="s">
        <v>14</v>
      </c>
      <c r="I717" s="4" t="str">
        <f t="shared" si="351"/>
        <v>Living Annuity</v>
      </c>
      <c r="J717" t="str">
        <f t="shared" si="352"/>
        <v>Compulsory, LA</v>
      </c>
      <c r="K717" t="s">
        <v>15</v>
      </c>
      <c r="M717" t="str">
        <f t="shared" si="344"/>
        <v>c</v>
      </c>
      <c r="N717" t="str">
        <f t="shared" si="345"/>
        <v/>
      </c>
      <c r="O717" t="str">
        <f t="shared" si="346"/>
        <v/>
      </c>
    </row>
    <row r="718" spans="1:15" x14ac:dyDescent="0.3">
      <c r="A718">
        <v>34209</v>
      </c>
      <c r="B718" t="s">
        <v>738</v>
      </c>
      <c r="C718">
        <v>25</v>
      </c>
      <c r="D718" t="s">
        <v>28</v>
      </c>
      <c r="E718" t="s">
        <v>796</v>
      </c>
      <c r="F718" s="25">
        <v>60020.27</v>
      </c>
      <c r="G718" s="3">
        <v>45761</v>
      </c>
      <c r="H718" t="s">
        <v>14</v>
      </c>
      <c r="I718" s="4" t="str">
        <f t="shared" si="351"/>
        <v>Living Annuity</v>
      </c>
      <c r="J718" t="str">
        <f t="shared" si="352"/>
        <v>Compulsory, LA</v>
      </c>
      <c r="K718" t="s">
        <v>15</v>
      </c>
      <c r="M718" t="str">
        <f t="shared" si="344"/>
        <v>c</v>
      </c>
      <c r="N718" t="str">
        <f t="shared" si="345"/>
        <v/>
      </c>
      <c r="O718" t="str">
        <f t="shared" si="346"/>
        <v/>
      </c>
    </row>
    <row r="719" spans="1:15" x14ac:dyDescent="0.3">
      <c r="A719">
        <v>34216</v>
      </c>
      <c r="B719" t="s">
        <v>739</v>
      </c>
      <c r="C719">
        <v>95</v>
      </c>
      <c r="D719" t="s">
        <v>30</v>
      </c>
      <c r="E719" t="s">
        <v>796</v>
      </c>
      <c r="F719" s="25">
        <v>31254.04</v>
      </c>
      <c r="G719" s="3">
        <v>45761</v>
      </c>
      <c r="H719" t="s">
        <v>14</v>
      </c>
      <c r="I719" s="4" t="str">
        <f t="shared" si="351"/>
        <v>Living Annuity</v>
      </c>
      <c r="J719" t="str">
        <f t="shared" si="352"/>
        <v>Compulsory, LA</v>
      </c>
      <c r="K719" t="s">
        <v>15</v>
      </c>
      <c r="M719" t="str">
        <f t="shared" si="344"/>
        <v>c</v>
      </c>
      <c r="N719" t="str">
        <f t="shared" si="345"/>
        <v/>
      </c>
      <c r="O719" t="str">
        <f t="shared" si="346"/>
        <v/>
      </c>
    </row>
    <row r="720" spans="1:15" x14ac:dyDescent="0.3">
      <c r="A720">
        <v>34395</v>
      </c>
      <c r="B720" t="s">
        <v>1091</v>
      </c>
      <c r="C720">
        <v>168</v>
      </c>
      <c r="D720" t="s">
        <v>111</v>
      </c>
      <c r="E720" t="s">
        <v>796</v>
      </c>
      <c r="F720" s="26">
        <v>10253.33</v>
      </c>
      <c r="G720" s="3">
        <v>45761</v>
      </c>
      <c r="H720" t="s">
        <v>14</v>
      </c>
      <c r="I720" s="4" t="str">
        <f t="shared" si="351"/>
        <v>Living Annuity</v>
      </c>
      <c r="J720" t="str">
        <f t="shared" si="352"/>
        <v>Compulsory, LA</v>
      </c>
      <c r="K720" t="s">
        <v>15</v>
      </c>
      <c r="M720" t="str">
        <f t="shared" si="344"/>
        <v>c</v>
      </c>
      <c r="N720" t="str">
        <f t="shared" si="345"/>
        <v/>
      </c>
      <c r="O720" t="str">
        <f t="shared" si="346"/>
        <v/>
      </c>
    </row>
    <row r="721" spans="1:15" x14ac:dyDescent="0.3">
      <c r="A721">
        <v>34395</v>
      </c>
      <c r="B721" t="s">
        <v>916</v>
      </c>
      <c r="C721">
        <v>168</v>
      </c>
      <c r="D721" t="s">
        <v>111</v>
      </c>
      <c r="E721" t="s">
        <v>796</v>
      </c>
      <c r="F721" s="26">
        <v>6182.1</v>
      </c>
      <c r="G721" s="3">
        <v>45761</v>
      </c>
      <c r="H721" t="s">
        <v>14</v>
      </c>
      <c r="I721" s="4" t="str">
        <f t="shared" si="351"/>
        <v>Living Annuity</v>
      </c>
      <c r="J721" t="str">
        <f t="shared" si="352"/>
        <v>Compulsory, LA</v>
      </c>
      <c r="K721" t="s">
        <v>15</v>
      </c>
      <c r="M721" t="str">
        <f t="shared" si="344"/>
        <v>c</v>
      </c>
      <c r="N721" t="str">
        <f t="shared" si="345"/>
        <v/>
      </c>
      <c r="O721" t="str">
        <f t="shared" si="346"/>
        <v/>
      </c>
    </row>
    <row r="722" spans="1:15" x14ac:dyDescent="0.3">
      <c r="A722">
        <v>34395</v>
      </c>
      <c r="B722" t="s">
        <v>740</v>
      </c>
      <c r="C722">
        <v>168</v>
      </c>
      <c r="D722" t="s">
        <v>111</v>
      </c>
      <c r="E722" t="s">
        <v>796</v>
      </c>
      <c r="F722" s="26">
        <v>95981.67</v>
      </c>
      <c r="G722" s="3">
        <v>45761</v>
      </c>
      <c r="H722" t="s">
        <v>14</v>
      </c>
      <c r="I722" s="4" t="str">
        <f>MID(H722,6,30)</f>
        <v>Living Annuity</v>
      </c>
      <c r="J722" t="str">
        <f>IF(LEFT(I722)="L","Compulsory, LA",IF(LEFT(I722)="R","Compulsory, RA",IF(LEFT(I722,2)="Pe","Compulsory, Pens","Voluntary")))</f>
        <v>Compulsory, LA</v>
      </c>
      <c r="K722" t="s">
        <v>15</v>
      </c>
      <c r="M722" t="str">
        <f t="shared" si="344"/>
        <v>c</v>
      </c>
      <c r="N722" t="str">
        <f t="shared" si="345"/>
        <v/>
      </c>
      <c r="O722" t="str">
        <f t="shared" si="346"/>
        <v/>
      </c>
    </row>
    <row r="723" spans="1:15" x14ac:dyDescent="0.3">
      <c r="A723">
        <v>36048</v>
      </c>
      <c r="B723" t="s">
        <v>1047</v>
      </c>
      <c r="C723">
        <v>34</v>
      </c>
      <c r="D723" t="s">
        <v>937</v>
      </c>
      <c r="E723" t="s">
        <v>796</v>
      </c>
      <c r="F723" s="26">
        <v>6072.47</v>
      </c>
      <c r="G723" s="3">
        <v>45761</v>
      </c>
      <c r="H723" t="s">
        <v>14</v>
      </c>
      <c r="I723" s="4" t="str">
        <f t="shared" si="351"/>
        <v>Living Annuity</v>
      </c>
      <c r="J723" t="str">
        <f t="shared" si="352"/>
        <v>Compulsory, LA</v>
      </c>
      <c r="K723" t="s">
        <v>15</v>
      </c>
      <c r="M723" t="str">
        <f t="shared" si="344"/>
        <v>c</v>
      </c>
      <c r="N723" t="str">
        <f t="shared" si="345"/>
        <v/>
      </c>
      <c r="O723" t="str">
        <f t="shared" si="346"/>
        <v/>
      </c>
    </row>
    <row r="724" spans="1:15" x14ac:dyDescent="0.3">
      <c r="A724">
        <v>36048</v>
      </c>
      <c r="B724" t="s">
        <v>1048</v>
      </c>
      <c r="C724">
        <v>34</v>
      </c>
      <c r="D724" t="s">
        <v>937</v>
      </c>
      <c r="E724" t="s">
        <v>796</v>
      </c>
      <c r="F724" s="26">
        <v>18135.14</v>
      </c>
      <c r="G724" s="3">
        <v>45761</v>
      </c>
      <c r="H724" t="s">
        <v>14</v>
      </c>
      <c r="I724" s="4" t="str">
        <f t="shared" si="351"/>
        <v>Living Annuity</v>
      </c>
      <c r="J724" t="str">
        <f t="shared" si="352"/>
        <v>Compulsory, LA</v>
      </c>
      <c r="K724" t="s">
        <v>15</v>
      </c>
      <c r="M724" t="str">
        <f t="shared" si="344"/>
        <v>c</v>
      </c>
      <c r="N724" t="str">
        <f t="shared" si="345"/>
        <v/>
      </c>
      <c r="O724" t="str">
        <f t="shared" si="346"/>
        <v/>
      </c>
    </row>
    <row r="725" spans="1:15" x14ac:dyDescent="0.3">
      <c r="A725">
        <v>36059</v>
      </c>
      <c r="B725" t="s">
        <v>1049</v>
      </c>
      <c r="C725">
        <v>4</v>
      </c>
      <c r="D725" t="s">
        <v>35</v>
      </c>
      <c r="E725" t="s">
        <v>796</v>
      </c>
      <c r="F725" s="26">
        <v>37289.620000000003</v>
      </c>
      <c r="G725" s="3">
        <v>45761</v>
      </c>
      <c r="H725" t="s">
        <v>14</v>
      </c>
      <c r="I725" s="4" t="str">
        <f t="shared" si="351"/>
        <v>Living Annuity</v>
      </c>
      <c r="J725" t="str">
        <f t="shared" si="352"/>
        <v>Compulsory, LA</v>
      </c>
      <c r="K725" t="s">
        <v>15</v>
      </c>
      <c r="M725" t="str">
        <f t="shared" si="344"/>
        <v>c</v>
      </c>
      <c r="N725" t="str">
        <f t="shared" si="345"/>
        <v/>
      </c>
      <c r="O725" t="str">
        <f t="shared" si="346"/>
        <v/>
      </c>
    </row>
    <row r="726" spans="1:15" x14ac:dyDescent="0.3">
      <c r="A726">
        <v>36059</v>
      </c>
      <c r="B726" t="s">
        <v>1050</v>
      </c>
      <c r="C726">
        <v>4</v>
      </c>
      <c r="D726" t="s">
        <v>35</v>
      </c>
      <c r="E726" t="s">
        <v>796</v>
      </c>
      <c r="F726" s="26">
        <v>24093.79</v>
      </c>
      <c r="G726" s="3">
        <v>45761</v>
      </c>
      <c r="H726" t="s">
        <v>14</v>
      </c>
      <c r="I726" s="4" t="str">
        <f t="shared" si="351"/>
        <v>Living Annuity</v>
      </c>
      <c r="J726" t="str">
        <f t="shared" si="352"/>
        <v>Compulsory, LA</v>
      </c>
      <c r="K726" t="s">
        <v>15</v>
      </c>
      <c r="M726" t="str">
        <f t="shared" si="344"/>
        <v>c</v>
      </c>
      <c r="N726" t="str">
        <f t="shared" si="345"/>
        <v/>
      </c>
      <c r="O726" t="str">
        <f t="shared" si="346"/>
        <v/>
      </c>
    </row>
    <row r="727" spans="1:15" x14ac:dyDescent="0.3">
      <c r="A727">
        <v>36060</v>
      </c>
      <c r="B727" t="s">
        <v>1051</v>
      </c>
      <c r="C727">
        <v>2</v>
      </c>
      <c r="D727" t="s">
        <v>38</v>
      </c>
      <c r="E727" t="s">
        <v>796</v>
      </c>
      <c r="F727" s="26">
        <v>51662.13</v>
      </c>
      <c r="G727" s="3">
        <v>45761</v>
      </c>
      <c r="H727" t="s">
        <v>14</v>
      </c>
      <c r="I727" s="4" t="str">
        <f t="shared" si="351"/>
        <v>Living Annuity</v>
      </c>
      <c r="J727" t="str">
        <f t="shared" si="352"/>
        <v>Compulsory, LA</v>
      </c>
      <c r="K727" t="s">
        <v>15</v>
      </c>
      <c r="M727" t="str">
        <f t="shared" si="344"/>
        <v>c</v>
      </c>
      <c r="N727" t="str">
        <f t="shared" si="345"/>
        <v/>
      </c>
      <c r="O727" t="str">
        <f t="shared" si="346"/>
        <v/>
      </c>
    </row>
    <row r="728" spans="1:15" x14ac:dyDescent="0.3">
      <c r="A728">
        <v>36060</v>
      </c>
      <c r="B728" t="s">
        <v>1052</v>
      </c>
      <c r="C728">
        <v>2</v>
      </c>
      <c r="D728" t="s">
        <v>38</v>
      </c>
      <c r="E728" t="s">
        <v>796</v>
      </c>
      <c r="F728" s="26">
        <v>8980.2199999999993</v>
      </c>
      <c r="G728" s="3">
        <v>45761</v>
      </c>
      <c r="H728" t="s">
        <v>14</v>
      </c>
      <c r="I728" s="4" t="str">
        <f t="shared" si="351"/>
        <v>Living Annuity</v>
      </c>
      <c r="J728" t="str">
        <f t="shared" si="352"/>
        <v>Compulsory, LA</v>
      </c>
      <c r="K728" t="s">
        <v>15</v>
      </c>
      <c r="M728" t="str">
        <f t="shared" si="344"/>
        <v>c</v>
      </c>
      <c r="N728" t="str">
        <f t="shared" si="345"/>
        <v/>
      </c>
      <c r="O728" t="str">
        <f t="shared" si="346"/>
        <v/>
      </c>
    </row>
    <row r="729" spans="1:15" x14ac:dyDescent="0.3">
      <c r="A729">
        <v>36355</v>
      </c>
      <c r="B729" t="s">
        <v>1053</v>
      </c>
      <c r="C729">
        <v>53</v>
      </c>
      <c r="D729" t="s">
        <v>42</v>
      </c>
      <c r="E729" t="s">
        <v>796</v>
      </c>
      <c r="F729" s="26">
        <v>557.19000000000005</v>
      </c>
      <c r="G729" s="3">
        <v>45761</v>
      </c>
      <c r="H729" t="s">
        <v>14</v>
      </c>
      <c r="I729" s="4" t="str">
        <f t="shared" si="351"/>
        <v>Living Annuity</v>
      </c>
      <c r="J729" t="str">
        <f t="shared" si="352"/>
        <v>Compulsory, LA</v>
      </c>
      <c r="K729" t="s">
        <v>15</v>
      </c>
      <c r="M729" t="str">
        <f t="shared" si="344"/>
        <v>c</v>
      </c>
      <c r="N729" t="str">
        <f t="shared" si="345"/>
        <v/>
      </c>
      <c r="O729" t="str">
        <f t="shared" si="346"/>
        <v/>
      </c>
    </row>
    <row r="730" spans="1:15" x14ac:dyDescent="0.3">
      <c r="A730">
        <v>37040</v>
      </c>
      <c r="B730" t="s">
        <v>1054</v>
      </c>
      <c r="C730">
        <v>263</v>
      </c>
      <c r="D730" t="s">
        <v>44</v>
      </c>
      <c r="E730" t="s">
        <v>796</v>
      </c>
      <c r="F730" s="26">
        <v>27140.43</v>
      </c>
      <c r="G730" s="3">
        <v>45761</v>
      </c>
      <c r="H730" t="s">
        <v>14</v>
      </c>
      <c r="I730" s="4" t="str">
        <f t="shared" si="351"/>
        <v>Living Annuity</v>
      </c>
      <c r="J730" t="str">
        <f t="shared" si="352"/>
        <v>Compulsory, LA</v>
      </c>
      <c r="K730" t="s">
        <v>15</v>
      </c>
      <c r="M730" t="str">
        <f t="shared" si="344"/>
        <v>c</v>
      </c>
      <c r="N730" t="str">
        <f t="shared" si="345"/>
        <v/>
      </c>
      <c r="O730" t="str">
        <f t="shared" si="346"/>
        <v/>
      </c>
    </row>
    <row r="731" spans="1:15" x14ac:dyDescent="0.3">
      <c r="A731">
        <v>37041</v>
      </c>
      <c r="B731" t="s">
        <v>1055</v>
      </c>
      <c r="C731">
        <v>84</v>
      </c>
      <c r="D731" t="s">
        <v>46</v>
      </c>
      <c r="E731" t="s">
        <v>796</v>
      </c>
      <c r="F731" s="26">
        <v>4964.5</v>
      </c>
      <c r="G731" s="3">
        <v>45761</v>
      </c>
      <c r="H731" t="s">
        <v>14</v>
      </c>
      <c r="I731" s="4" t="str">
        <f t="shared" si="351"/>
        <v>Living Annuity</v>
      </c>
      <c r="J731" t="str">
        <f t="shared" si="352"/>
        <v>Compulsory, LA</v>
      </c>
      <c r="K731" t="s">
        <v>15</v>
      </c>
      <c r="M731" t="str">
        <f t="shared" si="344"/>
        <v>c</v>
      </c>
      <c r="N731" t="str">
        <f t="shared" si="345"/>
        <v/>
      </c>
      <c r="O731" t="str">
        <f t="shared" si="346"/>
        <v/>
      </c>
    </row>
    <row r="732" spans="1:15" x14ac:dyDescent="0.3">
      <c r="A732">
        <v>38586</v>
      </c>
      <c r="B732" t="s">
        <v>1056</v>
      </c>
      <c r="C732">
        <v>181</v>
      </c>
      <c r="D732" t="s">
        <v>48</v>
      </c>
      <c r="E732" t="s">
        <v>796</v>
      </c>
      <c r="F732" s="26">
        <v>3508.13</v>
      </c>
      <c r="G732" s="3">
        <v>45761</v>
      </c>
      <c r="H732" t="s">
        <v>14</v>
      </c>
      <c r="I732" s="4" t="str">
        <f t="shared" si="351"/>
        <v>Living Annuity</v>
      </c>
      <c r="J732" t="str">
        <f t="shared" si="352"/>
        <v>Compulsory, LA</v>
      </c>
      <c r="K732" t="s">
        <v>15</v>
      </c>
      <c r="M732" t="str">
        <f t="shared" si="344"/>
        <v>c</v>
      </c>
      <c r="N732" t="str">
        <f t="shared" si="345"/>
        <v/>
      </c>
      <c r="O732" t="str">
        <f t="shared" si="346"/>
        <v/>
      </c>
    </row>
    <row r="733" spans="1:15" x14ac:dyDescent="0.3">
      <c r="A733">
        <v>38842</v>
      </c>
      <c r="B733" t="s">
        <v>1100</v>
      </c>
      <c r="C733">
        <v>79</v>
      </c>
      <c r="D733" t="s">
        <v>50</v>
      </c>
      <c r="E733" t="s">
        <v>796</v>
      </c>
      <c r="F733" s="25">
        <v>2586.7800000000002</v>
      </c>
      <c r="G733" s="3">
        <v>45761</v>
      </c>
      <c r="H733" t="s">
        <v>14</v>
      </c>
      <c r="I733" s="4" t="str">
        <f>MID(H733,6,30)</f>
        <v>Living Annuity</v>
      </c>
      <c r="J733" t="str">
        <f>IF(LEFT(I733)="L","Compulsory, LA",IF(LEFT(I733)="R","Compulsory, RA",IF(LEFT(I733,2)="Pe","Compulsory, Pens","Voluntary")))</f>
        <v>Compulsory, LA</v>
      </c>
      <c r="K733" t="s">
        <v>15</v>
      </c>
      <c r="M733" t="str">
        <f t="shared" si="344"/>
        <v>c</v>
      </c>
      <c r="N733" t="str">
        <f t="shared" si="345"/>
        <v/>
      </c>
      <c r="O733" t="str">
        <f t="shared" si="346"/>
        <v/>
      </c>
    </row>
    <row r="734" spans="1:15" x14ac:dyDescent="0.3">
      <c r="A734">
        <v>38851</v>
      </c>
      <c r="B734" t="s">
        <v>1057</v>
      </c>
      <c r="C734">
        <v>172</v>
      </c>
      <c r="D734" t="s">
        <v>52</v>
      </c>
      <c r="E734" t="s">
        <v>796</v>
      </c>
      <c r="F734" s="26">
        <v>209.36</v>
      </c>
      <c r="G734" s="3">
        <v>45761</v>
      </c>
      <c r="H734" t="s">
        <v>14</v>
      </c>
      <c r="I734" s="4" t="str">
        <f t="shared" si="351"/>
        <v>Living Annuity</v>
      </c>
      <c r="J734" t="str">
        <f t="shared" si="352"/>
        <v>Compulsory, LA</v>
      </c>
      <c r="K734" t="s">
        <v>15</v>
      </c>
      <c r="M734" t="str">
        <f t="shared" si="344"/>
        <v>c</v>
      </c>
      <c r="N734" t="str">
        <f t="shared" si="345"/>
        <v/>
      </c>
      <c r="O734" t="str">
        <f t="shared" si="346"/>
        <v/>
      </c>
    </row>
    <row r="735" spans="1:15" x14ac:dyDescent="0.3">
      <c r="A735">
        <v>38887</v>
      </c>
      <c r="B735" t="s">
        <v>1058</v>
      </c>
      <c r="C735">
        <v>29</v>
      </c>
      <c r="D735" t="s">
        <v>54</v>
      </c>
      <c r="E735" t="s">
        <v>796</v>
      </c>
      <c r="F735" s="26">
        <v>1297.83</v>
      </c>
      <c r="G735" s="3">
        <v>45761</v>
      </c>
      <c r="H735" t="s">
        <v>14</v>
      </c>
      <c r="I735" s="4" t="str">
        <f t="shared" si="351"/>
        <v>Living Annuity</v>
      </c>
      <c r="J735" t="str">
        <f t="shared" si="352"/>
        <v>Compulsory, LA</v>
      </c>
      <c r="K735" t="s">
        <v>15</v>
      </c>
      <c r="M735" t="str">
        <f t="shared" si="344"/>
        <v>c</v>
      </c>
      <c r="N735" t="str">
        <f t="shared" si="345"/>
        <v/>
      </c>
      <c r="O735" t="str">
        <f t="shared" si="346"/>
        <v/>
      </c>
    </row>
    <row r="736" spans="1:15" x14ac:dyDescent="0.3">
      <c r="A736">
        <v>46589</v>
      </c>
      <c r="B736" t="s">
        <v>1059</v>
      </c>
      <c r="C736">
        <v>80</v>
      </c>
      <c r="D736" t="s">
        <v>58</v>
      </c>
      <c r="E736" t="s">
        <v>796</v>
      </c>
      <c r="F736" s="25">
        <v>63837.13</v>
      </c>
      <c r="G736" s="3">
        <v>45761</v>
      </c>
      <c r="H736" t="s">
        <v>14</v>
      </c>
      <c r="I736" s="4" t="str">
        <f t="shared" si="351"/>
        <v>Living Annuity</v>
      </c>
      <c r="J736" t="str">
        <f t="shared" si="352"/>
        <v>Compulsory, LA</v>
      </c>
      <c r="K736" t="s">
        <v>15</v>
      </c>
      <c r="M736" t="str">
        <f t="shared" si="344"/>
        <v>c</v>
      </c>
      <c r="N736" t="str">
        <f t="shared" si="345"/>
        <v/>
      </c>
      <c r="O736" t="str">
        <f t="shared" si="346"/>
        <v/>
      </c>
    </row>
    <row r="737" spans="1:15" x14ac:dyDescent="0.3">
      <c r="A737">
        <v>46589</v>
      </c>
      <c r="B737" t="s">
        <v>1060</v>
      </c>
      <c r="C737">
        <v>80</v>
      </c>
      <c r="D737" t="s">
        <v>58</v>
      </c>
      <c r="E737" t="s">
        <v>796</v>
      </c>
      <c r="F737" s="25">
        <v>3026.06</v>
      </c>
      <c r="G737" s="3">
        <v>45761</v>
      </c>
      <c r="H737" t="s">
        <v>14</v>
      </c>
      <c r="I737" s="4" t="str">
        <f t="shared" si="351"/>
        <v>Living Annuity</v>
      </c>
      <c r="J737" t="str">
        <f t="shared" si="352"/>
        <v>Compulsory, LA</v>
      </c>
      <c r="K737" t="s">
        <v>15</v>
      </c>
      <c r="M737" t="str">
        <f t="shared" si="344"/>
        <v>c</v>
      </c>
      <c r="N737" t="str">
        <f t="shared" si="345"/>
        <v/>
      </c>
      <c r="O737" t="str">
        <f t="shared" si="346"/>
        <v/>
      </c>
    </row>
    <row r="738" spans="1:15" x14ac:dyDescent="0.3">
      <c r="A738">
        <v>54985</v>
      </c>
      <c r="B738" t="s">
        <v>1061</v>
      </c>
      <c r="C738">
        <v>33</v>
      </c>
      <c r="D738" t="s">
        <v>60</v>
      </c>
      <c r="E738" t="s">
        <v>796</v>
      </c>
      <c r="F738" s="25">
        <v>1309.0899999999999</v>
      </c>
      <c r="G738" s="3">
        <v>45761</v>
      </c>
      <c r="H738" t="s">
        <v>14</v>
      </c>
      <c r="I738" s="4" t="str">
        <f t="shared" si="351"/>
        <v>Living Annuity</v>
      </c>
      <c r="J738" t="str">
        <f t="shared" si="352"/>
        <v>Compulsory, LA</v>
      </c>
      <c r="K738" t="s">
        <v>15</v>
      </c>
      <c r="M738" t="str">
        <f t="shared" si="344"/>
        <v>c</v>
      </c>
      <c r="N738" t="str">
        <f t="shared" si="345"/>
        <v/>
      </c>
      <c r="O738" t="str">
        <f t="shared" si="346"/>
        <v/>
      </c>
    </row>
    <row r="739" spans="1:15" x14ac:dyDescent="0.3">
      <c r="A739">
        <v>69046</v>
      </c>
      <c r="B739" t="s">
        <v>1063</v>
      </c>
      <c r="C739">
        <v>167</v>
      </c>
      <c r="D739" t="s">
        <v>703</v>
      </c>
      <c r="E739" t="s">
        <v>796</v>
      </c>
      <c r="F739" s="25">
        <v>48431.49</v>
      </c>
      <c r="G739" s="3">
        <v>45761</v>
      </c>
      <c r="H739" t="s">
        <v>14</v>
      </c>
      <c r="I739" s="4" t="str">
        <f t="shared" si="351"/>
        <v>Living Annuity</v>
      </c>
      <c r="J739" t="str">
        <f t="shared" ref="J739" si="353">IF(LEFT(I739)="L","Compulsory, LA",IF(LEFT(I739)="R","Compulsory, RA",IF(LEFT(I739,2)="Pe","Compulsory, Pens",IF(LEFT(I739,2)="Pr","Compulsory, Prov","Voluntary"))))</f>
        <v>Compulsory, LA</v>
      </c>
      <c r="K739" t="s">
        <v>15</v>
      </c>
      <c r="M739" t="str">
        <f t="shared" si="344"/>
        <v>c</v>
      </c>
      <c r="N739" t="str">
        <f t="shared" si="345"/>
        <v/>
      </c>
      <c r="O739" t="str">
        <f t="shared" si="346"/>
        <v/>
      </c>
    </row>
    <row r="740" spans="1:15" x14ac:dyDescent="0.3">
      <c r="A740">
        <v>72002</v>
      </c>
      <c r="B740" t="s">
        <v>1064</v>
      </c>
      <c r="C740">
        <v>67</v>
      </c>
      <c r="D740" t="s">
        <v>66</v>
      </c>
      <c r="E740" t="s">
        <v>796</v>
      </c>
      <c r="F740" s="26">
        <v>51991.74</v>
      </c>
      <c r="G740" s="3">
        <v>45761</v>
      </c>
      <c r="H740" t="s">
        <v>14</v>
      </c>
      <c r="I740" s="4" t="str">
        <f t="shared" si="351"/>
        <v>Living Annuity</v>
      </c>
      <c r="J740" t="str">
        <f t="shared" ref="J740" si="354">IF(LEFT(I740)="L","Compulsory, LA",IF(LEFT(I740)="R","Compulsory, RA",IF(LEFT(I740,2)="Pe","Compulsory, Pens","Voluntary")))</f>
        <v>Compulsory, LA</v>
      </c>
      <c r="K740" t="s">
        <v>15</v>
      </c>
      <c r="M740" t="str">
        <f t="shared" si="344"/>
        <v>c</v>
      </c>
      <c r="N740" t="str">
        <f t="shared" si="345"/>
        <v/>
      </c>
      <c r="O740" t="str">
        <f t="shared" si="346"/>
        <v/>
      </c>
    </row>
    <row r="741" spans="1:15" x14ac:dyDescent="0.3">
      <c r="A741">
        <v>72002</v>
      </c>
      <c r="B741" t="s">
        <v>917</v>
      </c>
      <c r="C741">
        <v>67</v>
      </c>
      <c r="D741" t="s">
        <v>66</v>
      </c>
      <c r="E741" t="s">
        <v>796</v>
      </c>
      <c r="F741" s="26">
        <v>7620.13</v>
      </c>
      <c r="G741" s="3">
        <v>45761</v>
      </c>
      <c r="H741" t="s">
        <v>14</v>
      </c>
      <c r="I741" s="4" t="str">
        <f t="shared" ref="I741:I751" si="355">MID(H741,6,30)</f>
        <v>Living Annuity</v>
      </c>
      <c r="J741" t="str">
        <f t="shared" ref="J741:J751" si="356">IF(LEFT(I741)="L","Compulsory, LA",IF(LEFT(I741)="R","Compulsory, RA",IF(LEFT(I741,2)="Pe","Compulsory, Pens","Voluntary")))</f>
        <v>Compulsory, LA</v>
      </c>
      <c r="K741" t="s">
        <v>15</v>
      </c>
      <c r="M741" t="str">
        <f t="shared" si="344"/>
        <v>c</v>
      </c>
      <c r="N741" t="str">
        <f t="shared" si="345"/>
        <v/>
      </c>
      <c r="O741" t="str">
        <f t="shared" si="346"/>
        <v/>
      </c>
    </row>
    <row r="742" spans="1:15" x14ac:dyDescent="0.3">
      <c r="A742">
        <v>80212</v>
      </c>
      <c r="B742" t="s">
        <v>1065</v>
      </c>
      <c r="C742">
        <v>372</v>
      </c>
      <c r="D742" t="s">
        <v>68</v>
      </c>
      <c r="E742" t="s">
        <v>796</v>
      </c>
      <c r="F742" s="26">
        <v>379.45</v>
      </c>
      <c r="G742" s="3">
        <v>45761</v>
      </c>
      <c r="H742" t="s">
        <v>31</v>
      </c>
      <c r="I742" s="4" t="str">
        <f t="shared" si="355"/>
        <v>Investment Account</v>
      </c>
      <c r="J742" t="str">
        <f t="shared" si="356"/>
        <v>Voluntary</v>
      </c>
      <c r="K742" t="s">
        <v>15</v>
      </c>
      <c r="M742" t="str">
        <f t="shared" si="344"/>
        <v>c</v>
      </c>
      <c r="N742" t="str">
        <f t="shared" si="345"/>
        <v/>
      </c>
      <c r="O742" t="str">
        <f t="shared" si="346"/>
        <v/>
      </c>
    </row>
    <row r="743" spans="1:15" x14ac:dyDescent="0.3">
      <c r="A743">
        <v>81381</v>
      </c>
      <c r="B743" t="s">
        <v>1066</v>
      </c>
      <c r="C743">
        <v>183</v>
      </c>
      <c r="D743" t="s">
        <v>71</v>
      </c>
      <c r="E743" t="s">
        <v>796</v>
      </c>
      <c r="F743" s="26">
        <v>3568.48</v>
      </c>
      <c r="G743" s="3">
        <v>45761</v>
      </c>
      <c r="H743" t="s">
        <v>14</v>
      </c>
      <c r="I743" s="4" t="str">
        <f t="shared" si="355"/>
        <v>Living Annuity</v>
      </c>
      <c r="J743" t="str">
        <f t="shared" si="356"/>
        <v>Compulsory, LA</v>
      </c>
      <c r="K743" t="s">
        <v>15</v>
      </c>
      <c r="M743" t="str">
        <f t="shared" si="344"/>
        <v>c</v>
      </c>
      <c r="N743" t="str">
        <f t="shared" si="345"/>
        <v/>
      </c>
      <c r="O743" t="str">
        <f t="shared" si="346"/>
        <v/>
      </c>
    </row>
    <row r="744" spans="1:15" x14ac:dyDescent="0.3">
      <c r="A744">
        <v>81381</v>
      </c>
      <c r="B744" t="s">
        <v>1067</v>
      </c>
      <c r="C744">
        <v>183</v>
      </c>
      <c r="D744" t="s">
        <v>71</v>
      </c>
      <c r="E744" t="s">
        <v>796</v>
      </c>
      <c r="F744" s="26">
        <v>120226.47</v>
      </c>
      <c r="G744" s="3">
        <v>45761</v>
      </c>
      <c r="H744" t="s">
        <v>14</v>
      </c>
      <c r="I744" s="4" t="str">
        <f t="shared" si="355"/>
        <v>Living Annuity</v>
      </c>
      <c r="J744" t="str">
        <f t="shared" si="356"/>
        <v>Compulsory, LA</v>
      </c>
      <c r="K744" t="s">
        <v>15</v>
      </c>
      <c r="M744" t="str">
        <f t="shared" si="344"/>
        <v>c</v>
      </c>
      <c r="N744" t="str">
        <f t="shared" si="345"/>
        <v/>
      </c>
      <c r="O744" t="str">
        <f t="shared" si="346"/>
        <v/>
      </c>
    </row>
    <row r="745" spans="1:15" x14ac:dyDescent="0.3">
      <c r="A745">
        <v>113590</v>
      </c>
      <c r="B745" t="s">
        <v>1068</v>
      </c>
      <c r="C745">
        <v>44</v>
      </c>
      <c r="D745" t="s">
        <v>958</v>
      </c>
      <c r="E745" t="s">
        <v>796</v>
      </c>
      <c r="F745" s="26">
        <v>14127.43</v>
      </c>
      <c r="G745" s="3">
        <v>45761</v>
      </c>
      <c r="H745" t="s">
        <v>14</v>
      </c>
      <c r="I745" s="4" t="str">
        <f t="shared" si="355"/>
        <v>Living Annuity</v>
      </c>
      <c r="J745" t="str">
        <f t="shared" si="356"/>
        <v>Compulsory, LA</v>
      </c>
      <c r="K745" t="s">
        <v>15</v>
      </c>
      <c r="M745" t="str">
        <f t="shared" si="344"/>
        <v>c</v>
      </c>
      <c r="N745" t="str">
        <f t="shared" si="345"/>
        <v/>
      </c>
      <c r="O745" t="str">
        <f t="shared" si="346"/>
        <v/>
      </c>
    </row>
    <row r="746" spans="1:15" x14ac:dyDescent="0.3">
      <c r="A746">
        <v>113590</v>
      </c>
      <c r="B746" t="s">
        <v>1114</v>
      </c>
      <c r="C746">
        <v>44</v>
      </c>
      <c r="D746" t="s">
        <v>958</v>
      </c>
      <c r="E746" t="s">
        <v>796</v>
      </c>
      <c r="F746" s="26">
        <v>3690.36</v>
      </c>
      <c r="G746" s="3">
        <v>45761</v>
      </c>
      <c r="H746" t="s">
        <v>14</v>
      </c>
      <c r="I746" s="4" t="str">
        <f t="shared" ref="I746:I750" si="357">MID(H746,6,30)</f>
        <v>Living Annuity</v>
      </c>
      <c r="J746" t="str">
        <f t="shared" ref="J746:J750" si="358">IF(LEFT(I746)="L","Compulsory, LA",IF(LEFT(I746)="R","Compulsory, RA",IF(LEFT(I746,2)="Pe","Compulsory, Pens","Voluntary")))</f>
        <v>Compulsory, LA</v>
      </c>
      <c r="K746" t="s">
        <v>15</v>
      </c>
      <c r="M746" t="str">
        <f t="shared" si="344"/>
        <v>c</v>
      </c>
      <c r="N746" t="str">
        <f t="shared" si="345"/>
        <v/>
      </c>
      <c r="O746" t="str">
        <f t="shared" si="346"/>
        <v/>
      </c>
    </row>
    <row r="747" spans="1:15" x14ac:dyDescent="0.3">
      <c r="A747">
        <v>130912</v>
      </c>
      <c r="B747" t="s">
        <v>1172</v>
      </c>
      <c r="C747">
        <v>35</v>
      </c>
      <c r="D747" t="s">
        <v>1169</v>
      </c>
      <c r="E747" t="s">
        <v>796</v>
      </c>
      <c r="F747" s="26">
        <v>13094.75</v>
      </c>
      <c r="G747" s="3">
        <v>45761</v>
      </c>
      <c r="H747" t="s">
        <v>1147</v>
      </c>
      <c r="I747" s="4" t="str">
        <f t="shared" si="357"/>
        <v>Investment Account</v>
      </c>
      <c r="J747" t="str">
        <f t="shared" si="358"/>
        <v>Voluntary</v>
      </c>
      <c r="K747" t="s">
        <v>15</v>
      </c>
      <c r="M747" t="str">
        <f t="shared" si="344"/>
        <v>c</v>
      </c>
      <c r="N747" t="str">
        <f t="shared" si="345"/>
        <v/>
      </c>
      <c r="O747" t="str">
        <f t="shared" si="346"/>
        <v/>
      </c>
    </row>
    <row r="748" spans="1:15" x14ac:dyDescent="0.3">
      <c r="A748">
        <v>100202693</v>
      </c>
      <c r="B748" t="s">
        <v>1159</v>
      </c>
      <c r="C748">
        <v>92</v>
      </c>
      <c r="D748" t="s">
        <v>79</v>
      </c>
      <c r="E748" t="s">
        <v>796</v>
      </c>
      <c r="F748" s="26">
        <v>41849.1</v>
      </c>
      <c r="G748" s="3">
        <v>45761</v>
      </c>
      <c r="H748" t="s">
        <v>1147</v>
      </c>
      <c r="I748" s="4" t="str">
        <f>MID(H748,6,30)</f>
        <v>Investment Account</v>
      </c>
      <c r="J748" t="str">
        <f>IF(LEFT(I748)="L","Compulsory, LA",IF(LEFT(I748)="R","Compulsory, RA",IF(LEFT(I748,2)="Pe","Compulsory, Pens","Voluntary")))</f>
        <v>Voluntary</v>
      </c>
      <c r="K748" t="s">
        <v>15</v>
      </c>
      <c r="M748" t="str">
        <f t="shared" si="344"/>
        <v>c</v>
      </c>
      <c r="N748" t="str">
        <f t="shared" si="345"/>
        <v/>
      </c>
      <c r="O748" t="str">
        <f t="shared" si="346"/>
        <v/>
      </c>
    </row>
    <row r="749" spans="1:15" x14ac:dyDescent="0.3">
      <c r="A749">
        <v>100202693</v>
      </c>
      <c r="B749" t="s">
        <v>1156</v>
      </c>
      <c r="C749">
        <v>92</v>
      </c>
      <c r="D749" t="s">
        <v>79</v>
      </c>
      <c r="E749" t="s">
        <v>796</v>
      </c>
      <c r="F749" s="26">
        <v>33246.239999999998</v>
      </c>
      <c r="G749" s="3">
        <v>45761</v>
      </c>
      <c r="H749" t="s">
        <v>14</v>
      </c>
      <c r="I749" s="4" t="str">
        <f>MID(H749,6,30)</f>
        <v>Living Annuity</v>
      </c>
      <c r="J749" t="str">
        <f>IF(LEFT(I749)="L","Compulsory, LA",IF(LEFT(I749)="R","Compulsory, RA",IF(LEFT(I749,2)="Pe","Compulsory, Pens","Voluntary")))</f>
        <v>Compulsory, LA</v>
      </c>
      <c r="K749" t="s">
        <v>15</v>
      </c>
      <c r="M749" t="str">
        <f t="shared" si="344"/>
        <v>c</v>
      </c>
      <c r="N749" t="str">
        <f t="shared" si="345"/>
        <v/>
      </c>
      <c r="O749" t="str">
        <f t="shared" si="346"/>
        <v/>
      </c>
    </row>
    <row r="750" spans="1:15" x14ac:dyDescent="0.3">
      <c r="A750">
        <v>100202693</v>
      </c>
      <c r="B750" t="s">
        <v>1155</v>
      </c>
      <c r="C750">
        <v>92</v>
      </c>
      <c r="D750" t="s">
        <v>79</v>
      </c>
      <c r="E750" t="s">
        <v>796</v>
      </c>
      <c r="F750" s="26">
        <v>129678.84</v>
      </c>
      <c r="G750" s="3">
        <v>45761</v>
      </c>
      <c r="H750" t="s">
        <v>14</v>
      </c>
      <c r="I750" s="4" t="str">
        <f t="shared" si="357"/>
        <v>Living Annuity</v>
      </c>
      <c r="J750" t="str">
        <f t="shared" si="358"/>
        <v>Compulsory, LA</v>
      </c>
      <c r="K750" t="s">
        <v>15</v>
      </c>
      <c r="M750" t="str">
        <f t="shared" si="344"/>
        <v>c</v>
      </c>
      <c r="N750" t="str">
        <f t="shared" si="345"/>
        <v/>
      </c>
      <c r="O750" t="str">
        <f t="shared" si="346"/>
        <v/>
      </c>
    </row>
    <row r="751" spans="1:15" x14ac:dyDescent="0.3">
      <c r="A751">
        <v>100220898</v>
      </c>
      <c r="B751" t="s">
        <v>1069</v>
      </c>
      <c r="C751">
        <v>115</v>
      </c>
      <c r="D751" t="s">
        <v>83</v>
      </c>
      <c r="E751" t="s">
        <v>796</v>
      </c>
      <c r="F751" s="25">
        <v>39059.949999999997</v>
      </c>
      <c r="G751" s="3">
        <v>45761</v>
      </c>
      <c r="H751" t="s">
        <v>14</v>
      </c>
      <c r="I751" s="4" t="str">
        <f t="shared" si="355"/>
        <v>Living Annuity</v>
      </c>
      <c r="J751" t="str">
        <f t="shared" si="356"/>
        <v>Compulsory, LA</v>
      </c>
      <c r="K751" t="s">
        <v>15</v>
      </c>
      <c r="M751" t="str">
        <f t="shared" si="344"/>
        <v>c</v>
      </c>
      <c r="N751" t="str">
        <f t="shared" si="345"/>
        <v/>
      </c>
      <c r="O751" t="str">
        <f t="shared" si="346"/>
        <v/>
      </c>
    </row>
    <row r="752" spans="1:15" x14ac:dyDescent="0.3">
      <c r="A752">
        <v>100220898</v>
      </c>
      <c r="B752" t="s">
        <v>741</v>
      </c>
      <c r="C752">
        <v>115</v>
      </c>
      <c r="D752" t="s">
        <v>83</v>
      </c>
      <c r="E752" t="s">
        <v>796</v>
      </c>
      <c r="F752" s="25">
        <v>28722.66</v>
      </c>
      <c r="G752" s="3">
        <v>45761</v>
      </c>
      <c r="H752" t="s">
        <v>14</v>
      </c>
      <c r="I752" s="4" t="str">
        <f t="shared" si="351"/>
        <v>Living Annuity</v>
      </c>
      <c r="J752" t="str">
        <f t="shared" si="352"/>
        <v>Compulsory, LA</v>
      </c>
      <c r="K752" t="s">
        <v>15</v>
      </c>
      <c r="M752" t="str">
        <f t="shared" si="344"/>
        <v>c</v>
      </c>
      <c r="N752" t="str">
        <f t="shared" si="345"/>
        <v/>
      </c>
      <c r="O752" t="str">
        <f t="shared" si="346"/>
        <v/>
      </c>
    </row>
    <row r="753" spans="1:15" x14ac:dyDescent="0.3">
      <c r="A753">
        <v>100247003</v>
      </c>
      <c r="B753" t="s">
        <v>1070</v>
      </c>
      <c r="C753">
        <v>79</v>
      </c>
      <c r="D753" t="s">
        <v>50</v>
      </c>
      <c r="E753" t="s">
        <v>796</v>
      </c>
      <c r="F753" s="25">
        <v>14398.88</v>
      </c>
      <c r="G753" s="3">
        <v>45761</v>
      </c>
      <c r="H753" t="s">
        <v>14</v>
      </c>
      <c r="I753" s="4" t="str">
        <f t="shared" si="351"/>
        <v>Living Annuity</v>
      </c>
      <c r="J753" t="str">
        <f t="shared" si="352"/>
        <v>Compulsory, LA</v>
      </c>
      <c r="K753" t="s">
        <v>15</v>
      </c>
      <c r="M753" t="str">
        <f t="shared" si="344"/>
        <v>c</v>
      </c>
      <c r="N753" t="str">
        <f t="shared" si="345"/>
        <v/>
      </c>
      <c r="O753" t="str">
        <f t="shared" si="346"/>
        <v/>
      </c>
    </row>
    <row r="754" spans="1:15" x14ac:dyDescent="0.3">
      <c r="A754">
        <v>100249944</v>
      </c>
      <c r="B754" t="s">
        <v>1071</v>
      </c>
      <c r="C754">
        <v>56</v>
      </c>
      <c r="D754" t="s">
        <v>86</v>
      </c>
      <c r="E754" t="s">
        <v>796</v>
      </c>
      <c r="F754" s="25">
        <v>31598.37</v>
      </c>
      <c r="G754" s="3">
        <v>45761</v>
      </c>
      <c r="H754" t="s">
        <v>14</v>
      </c>
      <c r="I754" s="4" t="str">
        <f t="shared" si="351"/>
        <v>Living Annuity</v>
      </c>
      <c r="J754" t="str">
        <f t="shared" si="352"/>
        <v>Compulsory, LA</v>
      </c>
      <c r="K754" t="s">
        <v>15</v>
      </c>
      <c r="M754" t="str">
        <f t="shared" si="344"/>
        <v>c</v>
      </c>
      <c r="N754" t="str">
        <f t="shared" si="345"/>
        <v/>
      </c>
      <c r="O754" t="str">
        <f t="shared" si="346"/>
        <v/>
      </c>
    </row>
    <row r="755" spans="1:15" x14ac:dyDescent="0.3">
      <c r="A755">
        <v>100250182</v>
      </c>
      <c r="B755" t="s">
        <v>1072</v>
      </c>
      <c r="C755">
        <v>193</v>
      </c>
      <c r="D755" t="s">
        <v>968</v>
      </c>
      <c r="E755" t="s">
        <v>796</v>
      </c>
      <c r="F755" s="25">
        <v>61367.89</v>
      </c>
      <c r="G755" s="3">
        <v>45761</v>
      </c>
      <c r="H755" t="s">
        <v>14</v>
      </c>
      <c r="I755" s="4" t="str">
        <f t="shared" si="351"/>
        <v>Living Annuity</v>
      </c>
      <c r="J755" t="str">
        <f t="shared" si="352"/>
        <v>Compulsory, LA</v>
      </c>
      <c r="K755" t="s">
        <v>15</v>
      </c>
      <c r="M755" t="str">
        <f t="shared" si="344"/>
        <v>c</v>
      </c>
      <c r="N755" t="str">
        <f t="shared" si="345"/>
        <v/>
      </c>
      <c r="O755" t="str">
        <f t="shared" si="346"/>
        <v/>
      </c>
    </row>
    <row r="756" spans="1:15" x14ac:dyDescent="0.3">
      <c r="A756">
        <v>100273792</v>
      </c>
      <c r="B756" t="s">
        <v>742</v>
      </c>
      <c r="C756">
        <v>299</v>
      </c>
      <c r="D756" t="s">
        <v>114</v>
      </c>
      <c r="E756" t="s">
        <v>796</v>
      </c>
      <c r="F756" s="26">
        <v>33135.089999999997</v>
      </c>
      <c r="G756" s="3">
        <v>45761</v>
      </c>
      <c r="H756" t="s">
        <v>14</v>
      </c>
      <c r="I756" s="4" t="str">
        <f>MID(H756,6,30)</f>
        <v>Living Annuity</v>
      </c>
      <c r="J756" t="str">
        <f>IF(LEFT(I756)="L","Compulsory, LA",IF(LEFT(I756)="R","Compulsory, RA",IF(LEFT(I756,2)="Pe","Compulsory, Pens","Voluntary")))</f>
        <v>Compulsory, LA</v>
      </c>
      <c r="K756" t="s">
        <v>15</v>
      </c>
      <c r="M756" t="str">
        <f t="shared" si="344"/>
        <v>c</v>
      </c>
      <c r="N756" t="str">
        <f t="shared" si="345"/>
        <v/>
      </c>
      <c r="O756" t="str">
        <f t="shared" si="346"/>
        <v/>
      </c>
    </row>
    <row r="757" spans="1:15" x14ac:dyDescent="0.3">
      <c r="A757">
        <v>100273792</v>
      </c>
      <c r="B757" t="s">
        <v>743</v>
      </c>
      <c r="C757">
        <v>299</v>
      </c>
      <c r="D757" t="s">
        <v>114</v>
      </c>
      <c r="E757" t="s">
        <v>796</v>
      </c>
      <c r="F757" s="26">
        <v>45766.76</v>
      </c>
      <c r="G757" s="3">
        <v>45761</v>
      </c>
      <c r="H757" t="s">
        <v>14</v>
      </c>
      <c r="I757" s="4" t="str">
        <f t="shared" ref="I757:I771" si="359">MID(H757,6,30)</f>
        <v>Living Annuity</v>
      </c>
      <c r="J757" t="str">
        <f t="shared" ref="J757:J771" si="360">IF(LEFT(I757)="L","Compulsory, LA",IF(LEFT(I757)="R","Compulsory, RA",IF(LEFT(I757,2)="Pe","Compulsory, Pens","Voluntary")))</f>
        <v>Compulsory, LA</v>
      </c>
      <c r="K757" t="s">
        <v>15</v>
      </c>
      <c r="M757" t="str">
        <f t="shared" si="344"/>
        <v>c</v>
      </c>
      <c r="N757" t="str">
        <f t="shared" si="345"/>
        <v/>
      </c>
      <c r="O757" t="str">
        <f t="shared" si="346"/>
        <v/>
      </c>
    </row>
    <row r="758" spans="1:15" x14ac:dyDescent="0.3">
      <c r="A758">
        <v>100278188</v>
      </c>
      <c r="B758" t="s">
        <v>1074</v>
      </c>
      <c r="C758">
        <v>300</v>
      </c>
      <c r="D758" t="s">
        <v>92</v>
      </c>
      <c r="E758" t="s">
        <v>796</v>
      </c>
      <c r="F758" s="25">
        <v>12791.44</v>
      </c>
      <c r="G758" s="3">
        <v>45761</v>
      </c>
      <c r="H758" t="s">
        <v>14</v>
      </c>
      <c r="I758" s="4" t="str">
        <f>MID(H758,6,30)</f>
        <v>Living Annuity</v>
      </c>
      <c r="J758" t="str">
        <f>IF(LEFT(I758)="L","Compulsory, LA",IF(LEFT(I758)="R","Compulsory, RA",IF(LEFT(I758,2)="Pe","Compulsory, Pens","Voluntary")))</f>
        <v>Compulsory, LA</v>
      </c>
      <c r="K758" t="s">
        <v>15</v>
      </c>
      <c r="M758" t="str">
        <f t="shared" si="344"/>
        <v>c</v>
      </c>
      <c r="N758" t="str">
        <f t="shared" si="345"/>
        <v/>
      </c>
      <c r="O758" t="str">
        <f t="shared" si="346"/>
        <v/>
      </c>
    </row>
    <row r="759" spans="1:15" x14ac:dyDescent="0.3">
      <c r="A759">
        <v>100278188</v>
      </c>
      <c r="B759" t="s">
        <v>918</v>
      </c>
      <c r="C759">
        <v>300</v>
      </c>
      <c r="D759" t="s">
        <v>92</v>
      </c>
      <c r="E759" t="s">
        <v>796</v>
      </c>
      <c r="F759" s="25">
        <v>23381.13</v>
      </c>
      <c r="G759" s="3">
        <v>45761</v>
      </c>
      <c r="H759" t="s">
        <v>14</v>
      </c>
      <c r="I759" s="4" t="str">
        <f>MID(H759,6,30)</f>
        <v>Living Annuity</v>
      </c>
      <c r="J759" t="str">
        <f>IF(LEFT(I759)="L","Compulsory, LA",IF(LEFT(I759)="R","Compulsory, RA",IF(LEFT(I759,2)="Pe","Compulsory, Pens","Voluntary")))</f>
        <v>Compulsory, LA</v>
      </c>
      <c r="K759" t="s">
        <v>15</v>
      </c>
      <c r="M759" t="str">
        <f t="shared" si="344"/>
        <v>c</v>
      </c>
      <c r="N759" t="str">
        <f t="shared" si="345"/>
        <v/>
      </c>
      <c r="O759" t="str">
        <f t="shared" si="346"/>
        <v/>
      </c>
    </row>
    <row r="760" spans="1:15" x14ac:dyDescent="0.3">
      <c r="A760">
        <v>100278188</v>
      </c>
      <c r="B760" t="s">
        <v>1073</v>
      </c>
      <c r="C760">
        <v>300</v>
      </c>
      <c r="D760" t="s">
        <v>92</v>
      </c>
      <c r="E760" t="s">
        <v>796</v>
      </c>
      <c r="F760" s="25">
        <v>7152.32</v>
      </c>
      <c r="G760" s="3">
        <v>45761</v>
      </c>
      <c r="H760" t="s">
        <v>14</v>
      </c>
      <c r="I760" s="4" t="str">
        <f t="shared" si="359"/>
        <v>Living Annuity</v>
      </c>
      <c r="J760" t="str">
        <f t="shared" si="360"/>
        <v>Compulsory, LA</v>
      </c>
      <c r="K760" t="s">
        <v>15</v>
      </c>
      <c r="M760" t="str">
        <f t="shared" si="344"/>
        <v>c</v>
      </c>
      <c r="N760" t="str">
        <f t="shared" si="345"/>
        <v/>
      </c>
      <c r="O760" t="str">
        <f t="shared" si="346"/>
        <v/>
      </c>
    </row>
    <row r="761" spans="1:15" x14ac:dyDescent="0.3">
      <c r="A761">
        <v>100325823</v>
      </c>
      <c r="B761" t="s">
        <v>1075</v>
      </c>
      <c r="C761">
        <v>114</v>
      </c>
      <c r="D761" t="s">
        <v>97</v>
      </c>
      <c r="E761" t="s">
        <v>796</v>
      </c>
      <c r="F761" s="26">
        <v>84136.24</v>
      </c>
      <c r="G761" s="3">
        <v>45761</v>
      </c>
      <c r="H761" t="s">
        <v>14</v>
      </c>
      <c r="I761" s="4" t="str">
        <f t="shared" ref="I761:I763" si="361">MID(H761,6,30)</f>
        <v>Living Annuity</v>
      </c>
      <c r="J761" t="str">
        <f t="shared" ref="J761:J763" si="362">IF(LEFT(I761)="L","Compulsory, LA",IF(LEFT(I761)="R","Compulsory, RA",IF(LEFT(I761,2)="Pe","Compulsory, Pens","Voluntary")))</f>
        <v>Compulsory, LA</v>
      </c>
      <c r="K761" t="s">
        <v>15</v>
      </c>
      <c r="M761" t="str">
        <f t="shared" si="344"/>
        <v>c</v>
      </c>
      <c r="N761" t="str">
        <f t="shared" si="345"/>
        <v/>
      </c>
      <c r="O761" t="str">
        <f t="shared" si="346"/>
        <v/>
      </c>
    </row>
    <row r="762" spans="1:15" x14ac:dyDescent="0.3">
      <c r="A762">
        <v>100376880</v>
      </c>
      <c r="B762" t="s">
        <v>1076</v>
      </c>
      <c r="C762">
        <v>97</v>
      </c>
      <c r="D762" t="s">
        <v>618</v>
      </c>
      <c r="E762" t="s">
        <v>796</v>
      </c>
      <c r="F762" s="26">
        <v>2292.13</v>
      </c>
      <c r="G762" s="3">
        <v>45761</v>
      </c>
      <c r="H762" t="s">
        <v>14</v>
      </c>
      <c r="I762" s="4" t="str">
        <f t="shared" si="361"/>
        <v>Living Annuity</v>
      </c>
      <c r="J762" t="str">
        <f t="shared" si="362"/>
        <v>Compulsory, LA</v>
      </c>
      <c r="K762" t="s">
        <v>15</v>
      </c>
      <c r="M762" t="str">
        <f t="shared" ref="M762:M827" si="363">RIGHT(B762,1)</f>
        <v>c</v>
      </c>
      <c r="N762" t="str">
        <f t="shared" ref="N762:N827" si="364">IF(M762="f","FFFF","")</f>
        <v/>
      </c>
      <c r="O762" t="str">
        <f t="shared" ref="O762:O827" si="365">IF(M762="I","IIII","")</f>
        <v/>
      </c>
    </row>
    <row r="763" spans="1:15" x14ac:dyDescent="0.3">
      <c r="A763">
        <v>100388471</v>
      </c>
      <c r="B763" t="s">
        <v>1077</v>
      </c>
      <c r="C763">
        <v>3</v>
      </c>
      <c r="D763" t="s">
        <v>101</v>
      </c>
      <c r="E763" t="s">
        <v>796</v>
      </c>
      <c r="F763" s="25">
        <v>39899.01</v>
      </c>
      <c r="G763" s="3">
        <v>45761</v>
      </c>
      <c r="H763" t="s">
        <v>14</v>
      </c>
      <c r="I763" s="4" t="str">
        <f t="shared" si="361"/>
        <v>Living Annuity</v>
      </c>
      <c r="J763" t="str">
        <f t="shared" si="362"/>
        <v>Compulsory, LA</v>
      </c>
      <c r="K763" t="s">
        <v>15</v>
      </c>
      <c r="M763" t="str">
        <f t="shared" si="363"/>
        <v>c</v>
      </c>
      <c r="N763" t="str">
        <f t="shared" si="364"/>
        <v/>
      </c>
      <c r="O763" t="str">
        <f t="shared" si="365"/>
        <v/>
      </c>
    </row>
    <row r="764" spans="1:15" x14ac:dyDescent="0.3">
      <c r="A764">
        <v>100388471</v>
      </c>
      <c r="B764" t="s">
        <v>744</v>
      </c>
      <c r="C764">
        <v>3</v>
      </c>
      <c r="D764" t="s">
        <v>101</v>
      </c>
      <c r="E764" t="s">
        <v>796</v>
      </c>
      <c r="F764" s="25">
        <v>4263.75</v>
      </c>
      <c r="G764" s="3">
        <v>45761</v>
      </c>
      <c r="H764" t="s">
        <v>14</v>
      </c>
      <c r="I764" s="4" t="str">
        <f t="shared" si="359"/>
        <v>Living Annuity</v>
      </c>
      <c r="J764" t="str">
        <f t="shared" si="360"/>
        <v>Compulsory, LA</v>
      </c>
      <c r="K764" t="s">
        <v>15</v>
      </c>
      <c r="M764" t="str">
        <f t="shared" si="363"/>
        <v>c</v>
      </c>
      <c r="N764" t="str">
        <f t="shared" si="364"/>
        <v/>
      </c>
      <c r="O764" t="str">
        <f t="shared" si="365"/>
        <v/>
      </c>
    </row>
    <row r="765" spans="1:15" x14ac:dyDescent="0.3">
      <c r="A765">
        <v>100408912</v>
      </c>
      <c r="B765" t="s">
        <v>1078</v>
      </c>
      <c r="C765">
        <v>297</v>
      </c>
      <c r="D765" t="s">
        <v>103</v>
      </c>
      <c r="E765" t="s">
        <v>796</v>
      </c>
      <c r="F765" s="25">
        <v>112464.58</v>
      </c>
      <c r="G765" s="3">
        <v>45761</v>
      </c>
      <c r="H765" t="s">
        <v>14</v>
      </c>
      <c r="I765" s="4" t="str">
        <f t="shared" si="359"/>
        <v>Living Annuity</v>
      </c>
      <c r="J765" t="str">
        <f t="shared" si="360"/>
        <v>Compulsory, LA</v>
      </c>
      <c r="K765" t="s">
        <v>15</v>
      </c>
      <c r="M765" t="str">
        <f t="shared" si="363"/>
        <v>c</v>
      </c>
      <c r="N765" t="str">
        <f t="shared" si="364"/>
        <v/>
      </c>
      <c r="O765" t="str">
        <f t="shared" si="365"/>
        <v/>
      </c>
    </row>
    <row r="766" spans="1:15" x14ac:dyDescent="0.3">
      <c r="A766">
        <v>100421069</v>
      </c>
      <c r="B766" t="s">
        <v>1079</v>
      </c>
      <c r="C766">
        <v>37</v>
      </c>
      <c r="D766" t="s">
        <v>105</v>
      </c>
      <c r="E766" t="s">
        <v>796</v>
      </c>
      <c r="F766" s="26">
        <v>19673.38</v>
      </c>
      <c r="G766" s="3">
        <v>45761</v>
      </c>
      <c r="H766" t="s">
        <v>14</v>
      </c>
      <c r="I766" s="4" t="str">
        <f t="shared" si="359"/>
        <v>Living Annuity</v>
      </c>
      <c r="J766" t="str">
        <f t="shared" si="360"/>
        <v>Compulsory, LA</v>
      </c>
      <c r="K766" t="s">
        <v>15</v>
      </c>
      <c r="M766" t="str">
        <f t="shared" si="363"/>
        <v>c</v>
      </c>
      <c r="N766" t="str">
        <f t="shared" si="364"/>
        <v/>
      </c>
      <c r="O766" t="str">
        <f t="shared" si="365"/>
        <v/>
      </c>
    </row>
    <row r="767" spans="1:15" x14ac:dyDescent="0.3">
      <c r="A767">
        <v>100421069</v>
      </c>
      <c r="B767" t="s">
        <v>745</v>
      </c>
      <c r="C767">
        <v>37</v>
      </c>
      <c r="D767" t="s">
        <v>105</v>
      </c>
      <c r="E767" t="s">
        <v>796</v>
      </c>
      <c r="F767" s="26">
        <v>8520.3799999999992</v>
      </c>
      <c r="G767" s="3">
        <v>45761</v>
      </c>
      <c r="H767" t="s">
        <v>14</v>
      </c>
      <c r="I767" s="4" t="str">
        <f t="shared" si="359"/>
        <v>Living Annuity</v>
      </c>
      <c r="J767" t="str">
        <f t="shared" si="360"/>
        <v>Compulsory, LA</v>
      </c>
      <c r="K767" t="s">
        <v>15</v>
      </c>
      <c r="M767" t="str">
        <f t="shared" si="363"/>
        <v>c</v>
      </c>
      <c r="N767" t="str">
        <f t="shared" si="364"/>
        <v/>
      </c>
      <c r="O767" t="str">
        <f t="shared" si="365"/>
        <v/>
      </c>
    </row>
    <row r="768" spans="1:15" x14ac:dyDescent="0.3">
      <c r="A768">
        <v>100421069</v>
      </c>
      <c r="B768" t="s">
        <v>815</v>
      </c>
      <c r="C768">
        <v>37</v>
      </c>
      <c r="D768" t="s">
        <v>105</v>
      </c>
      <c r="E768" t="s">
        <v>796</v>
      </c>
      <c r="F768" s="26">
        <v>10733.6</v>
      </c>
      <c r="G768" s="3">
        <v>45761</v>
      </c>
      <c r="H768" t="s">
        <v>14</v>
      </c>
      <c r="I768" s="4" t="str">
        <f t="shared" si="359"/>
        <v>Living Annuity</v>
      </c>
      <c r="J768" t="str">
        <f t="shared" si="360"/>
        <v>Compulsory, LA</v>
      </c>
      <c r="K768" t="s">
        <v>15</v>
      </c>
      <c r="M768" t="str">
        <f t="shared" si="363"/>
        <v>c</v>
      </c>
      <c r="N768" t="str">
        <f t="shared" si="364"/>
        <v/>
      </c>
      <c r="O768" t="str">
        <f t="shared" si="365"/>
        <v/>
      </c>
    </row>
    <row r="769" spans="1:15" x14ac:dyDescent="0.3">
      <c r="A769" s="7">
        <v>100489695</v>
      </c>
      <c r="B769" t="s">
        <v>1101</v>
      </c>
      <c r="C769">
        <v>294</v>
      </c>
      <c r="D769" t="s">
        <v>136</v>
      </c>
      <c r="E769" t="s">
        <v>796</v>
      </c>
      <c r="F769" s="26">
        <v>365213.65</v>
      </c>
      <c r="G769" s="3">
        <v>45761</v>
      </c>
      <c r="H769" t="s">
        <v>31</v>
      </c>
      <c r="I769" s="4" t="str">
        <f t="shared" si="359"/>
        <v>Investment Account</v>
      </c>
      <c r="J769" t="str">
        <f t="shared" si="360"/>
        <v>Voluntary</v>
      </c>
      <c r="K769" t="s">
        <v>15</v>
      </c>
      <c r="M769" t="str">
        <f t="shared" si="363"/>
        <v>c</v>
      </c>
      <c r="N769" t="str">
        <f t="shared" si="364"/>
        <v/>
      </c>
      <c r="O769" t="str">
        <f t="shared" si="365"/>
        <v/>
      </c>
    </row>
    <row r="770" spans="1:15" x14ac:dyDescent="0.3">
      <c r="A770">
        <v>100492707</v>
      </c>
      <c r="B770" t="s">
        <v>1080</v>
      </c>
      <c r="C770">
        <v>233</v>
      </c>
      <c r="D770" t="s">
        <v>107</v>
      </c>
      <c r="E770" t="s">
        <v>796</v>
      </c>
      <c r="F770" s="26">
        <v>9861.18</v>
      </c>
      <c r="G770" s="3">
        <v>45761</v>
      </c>
      <c r="H770" t="s">
        <v>14</v>
      </c>
      <c r="I770" s="4" t="str">
        <f t="shared" si="359"/>
        <v>Living Annuity</v>
      </c>
      <c r="J770" t="str">
        <f t="shared" si="360"/>
        <v>Compulsory, LA</v>
      </c>
      <c r="K770" t="s">
        <v>15</v>
      </c>
      <c r="M770" t="str">
        <f t="shared" si="363"/>
        <v>c</v>
      </c>
      <c r="N770" t="str">
        <f t="shared" si="364"/>
        <v/>
      </c>
      <c r="O770" t="str">
        <f t="shared" si="365"/>
        <v/>
      </c>
    </row>
    <row r="771" spans="1:15" x14ac:dyDescent="0.3">
      <c r="A771">
        <v>100492707</v>
      </c>
      <c r="B771" t="s">
        <v>1199</v>
      </c>
      <c r="C771">
        <v>233</v>
      </c>
      <c r="D771" t="s">
        <v>107</v>
      </c>
      <c r="E771" t="s">
        <v>796</v>
      </c>
      <c r="F771" s="26">
        <v>141437.13</v>
      </c>
      <c r="G771" s="3">
        <v>45761</v>
      </c>
      <c r="H771" t="s">
        <v>14</v>
      </c>
      <c r="I771" s="4" t="str">
        <f t="shared" si="359"/>
        <v>Living Annuity</v>
      </c>
      <c r="J771" t="str">
        <f t="shared" si="360"/>
        <v>Compulsory, LA</v>
      </c>
      <c r="K771" t="s">
        <v>15</v>
      </c>
      <c r="M771" t="str">
        <f t="shared" si="363"/>
        <v>c</v>
      </c>
      <c r="N771" t="str">
        <f t="shared" si="364"/>
        <v/>
      </c>
      <c r="O771" t="str">
        <f t="shared" si="365"/>
        <v/>
      </c>
    </row>
    <row r="772" spans="1:15" x14ac:dyDescent="0.3">
      <c r="A772">
        <v>100564770</v>
      </c>
      <c r="B772" t="s">
        <v>746</v>
      </c>
      <c r="C772">
        <v>384</v>
      </c>
      <c r="D772" t="s">
        <v>123</v>
      </c>
      <c r="E772" t="s">
        <v>796</v>
      </c>
      <c r="F772" s="26">
        <v>25678.09</v>
      </c>
      <c r="G772" s="3">
        <v>45761</v>
      </c>
      <c r="H772" t="s">
        <v>14</v>
      </c>
      <c r="I772" s="4" t="str">
        <f>MID(H772,6,30)</f>
        <v>Living Annuity</v>
      </c>
      <c r="J772" t="str">
        <f>IF(LEFT(I772)="L","Compulsory, LA",IF(LEFT(I772)="R","Compulsory, RA",IF(LEFT(I772,2)="Pe","Compulsory, Pens","Voluntary")))</f>
        <v>Compulsory, LA</v>
      </c>
      <c r="K772" t="s">
        <v>15</v>
      </c>
      <c r="M772" t="str">
        <f t="shared" si="363"/>
        <v>c</v>
      </c>
      <c r="N772" t="str">
        <f t="shared" si="364"/>
        <v/>
      </c>
      <c r="O772" t="str">
        <f t="shared" si="365"/>
        <v/>
      </c>
    </row>
    <row r="773" spans="1:15" x14ac:dyDescent="0.3">
      <c r="A773">
        <v>100596689</v>
      </c>
      <c r="B773" t="s">
        <v>1081</v>
      </c>
      <c r="C773">
        <v>180</v>
      </c>
      <c r="D773" t="s">
        <v>149</v>
      </c>
      <c r="E773" t="s">
        <v>796</v>
      </c>
      <c r="F773" s="26">
        <v>712.06</v>
      </c>
      <c r="G773" s="3">
        <v>45761</v>
      </c>
      <c r="H773" t="s">
        <v>31</v>
      </c>
      <c r="I773" s="4" t="str">
        <f t="shared" ref="I773:I778" si="366">MID(H773,6,30)</f>
        <v>Investment Account</v>
      </c>
      <c r="J773" t="str">
        <f t="shared" ref="J773:J778" si="367">IF(LEFT(I773)="L","Compulsory, LA",IF(LEFT(I773)="R","Compulsory, RA",IF(LEFT(I773,2)="Pe","Compulsory, Pens","Voluntary")))</f>
        <v>Voluntary</v>
      </c>
      <c r="K773" t="s">
        <v>15</v>
      </c>
      <c r="M773" t="str">
        <f t="shared" si="363"/>
        <v>c</v>
      </c>
      <c r="N773" t="str">
        <f t="shared" si="364"/>
        <v/>
      </c>
      <c r="O773" t="str">
        <f t="shared" si="365"/>
        <v/>
      </c>
    </row>
    <row r="774" spans="1:15" x14ac:dyDescent="0.3">
      <c r="A774">
        <v>100628990</v>
      </c>
      <c r="B774" t="s">
        <v>1084</v>
      </c>
      <c r="C774">
        <v>36</v>
      </c>
      <c r="D774" t="s">
        <v>710</v>
      </c>
      <c r="E774" t="s">
        <v>796</v>
      </c>
      <c r="F774" s="26">
        <v>7242.41</v>
      </c>
      <c r="G774" s="3">
        <v>45761</v>
      </c>
      <c r="H774" t="s">
        <v>14</v>
      </c>
      <c r="I774" s="4" t="str">
        <f t="shared" si="366"/>
        <v>Living Annuity</v>
      </c>
      <c r="J774" t="str">
        <f t="shared" si="367"/>
        <v>Compulsory, LA</v>
      </c>
      <c r="K774" t="s">
        <v>15</v>
      </c>
      <c r="M774" t="str">
        <f t="shared" si="363"/>
        <v>c</v>
      </c>
      <c r="N774" t="str">
        <f t="shared" si="364"/>
        <v/>
      </c>
      <c r="O774" t="str">
        <f t="shared" si="365"/>
        <v/>
      </c>
    </row>
    <row r="775" spans="1:15" x14ac:dyDescent="0.3">
      <c r="A775">
        <v>100630706</v>
      </c>
      <c r="B775" t="s">
        <v>1085</v>
      </c>
      <c r="C775">
        <v>361</v>
      </c>
      <c r="D775" t="s">
        <v>847</v>
      </c>
      <c r="E775" t="s">
        <v>796</v>
      </c>
      <c r="F775" s="26">
        <v>1865.83</v>
      </c>
      <c r="G775" s="3">
        <v>45761</v>
      </c>
      <c r="H775" t="s">
        <v>31</v>
      </c>
      <c r="I775" s="4" t="str">
        <f t="shared" si="366"/>
        <v>Investment Account</v>
      </c>
      <c r="J775" t="str">
        <f t="shared" si="367"/>
        <v>Voluntary</v>
      </c>
      <c r="K775" t="s">
        <v>15</v>
      </c>
      <c r="M775" t="str">
        <f t="shared" si="363"/>
        <v>c</v>
      </c>
      <c r="N775" t="str">
        <f t="shared" si="364"/>
        <v/>
      </c>
      <c r="O775" t="str">
        <f t="shared" si="365"/>
        <v/>
      </c>
    </row>
    <row r="776" spans="1:15" x14ac:dyDescent="0.3">
      <c r="A776">
        <v>100641153</v>
      </c>
      <c r="B776" t="s">
        <v>1146</v>
      </c>
      <c r="C776">
        <v>455</v>
      </c>
      <c r="D776" t="s">
        <v>725</v>
      </c>
      <c r="E776" t="s">
        <v>796</v>
      </c>
      <c r="F776" s="26">
        <v>108197.24</v>
      </c>
      <c r="G776" s="3">
        <v>45761</v>
      </c>
      <c r="H776" t="s">
        <v>14</v>
      </c>
      <c r="I776" s="4" t="str">
        <f t="shared" si="366"/>
        <v>Living Annuity</v>
      </c>
      <c r="J776" t="str">
        <f t="shared" si="367"/>
        <v>Compulsory, LA</v>
      </c>
      <c r="K776" t="s">
        <v>15</v>
      </c>
      <c r="M776" t="str">
        <f t="shared" si="363"/>
        <v>c</v>
      </c>
      <c r="N776" t="str">
        <f t="shared" si="364"/>
        <v/>
      </c>
      <c r="O776" t="str">
        <f t="shared" si="365"/>
        <v/>
      </c>
    </row>
    <row r="777" spans="1:15" x14ac:dyDescent="0.3">
      <c r="A777">
        <v>100651921</v>
      </c>
      <c r="B777" t="s">
        <v>1086</v>
      </c>
      <c r="C777">
        <v>13</v>
      </c>
      <c r="D777" t="s">
        <v>732</v>
      </c>
      <c r="E777" t="s">
        <v>796</v>
      </c>
      <c r="F777" s="26">
        <v>9974.15</v>
      </c>
      <c r="G777" s="3">
        <v>45761</v>
      </c>
      <c r="H777" t="s">
        <v>31</v>
      </c>
      <c r="I777" s="4" t="str">
        <f t="shared" si="366"/>
        <v>Investment Account</v>
      </c>
      <c r="J777" t="str">
        <f t="shared" si="367"/>
        <v>Voluntary</v>
      </c>
      <c r="K777" t="s">
        <v>15</v>
      </c>
      <c r="M777" t="str">
        <f t="shared" si="363"/>
        <v>c</v>
      </c>
      <c r="N777" t="str">
        <f t="shared" si="364"/>
        <v/>
      </c>
      <c r="O777" t="str">
        <f t="shared" si="365"/>
        <v/>
      </c>
    </row>
    <row r="778" spans="1:15" x14ac:dyDescent="0.3">
      <c r="A778">
        <v>100651921</v>
      </c>
      <c r="B778" t="s">
        <v>1087</v>
      </c>
      <c r="C778">
        <v>13</v>
      </c>
      <c r="D778" t="s">
        <v>732</v>
      </c>
      <c r="E778" t="s">
        <v>796</v>
      </c>
      <c r="F778" s="26">
        <v>11323.04</v>
      </c>
      <c r="G778" s="3">
        <v>45761</v>
      </c>
      <c r="H778" t="s">
        <v>31</v>
      </c>
      <c r="I778" s="4" t="str">
        <f t="shared" si="366"/>
        <v>Investment Account</v>
      </c>
      <c r="J778" t="str">
        <f t="shared" si="367"/>
        <v>Voluntary</v>
      </c>
      <c r="K778" t="s">
        <v>15</v>
      </c>
      <c r="M778" t="str">
        <f t="shared" si="363"/>
        <v>c</v>
      </c>
      <c r="N778" t="str">
        <f t="shared" si="364"/>
        <v/>
      </c>
      <c r="O778" t="str">
        <f t="shared" si="365"/>
        <v/>
      </c>
    </row>
    <row r="779" spans="1:15" x14ac:dyDescent="0.3">
      <c r="A779">
        <v>100655835</v>
      </c>
      <c r="B779" t="s">
        <v>747</v>
      </c>
      <c r="C779">
        <v>456</v>
      </c>
      <c r="D779" t="s">
        <v>731</v>
      </c>
      <c r="E779" t="s">
        <v>796</v>
      </c>
      <c r="F779" s="26">
        <v>583278.52</v>
      </c>
      <c r="G779" s="3">
        <v>45761</v>
      </c>
      <c r="H779" t="s">
        <v>14</v>
      </c>
      <c r="I779" s="4" t="str">
        <f t="shared" ref="I779:I799" si="368">MID(H779,6,30)</f>
        <v>Living Annuity</v>
      </c>
      <c r="J779" t="str">
        <f t="shared" ref="J779:J799" si="369">IF(LEFT(I779)="L","Compulsory, LA",IF(LEFT(I779)="R","Compulsory, RA",IF(LEFT(I779,2)="Pe","Compulsory, Pens","Voluntary")))</f>
        <v>Compulsory, LA</v>
      </c>
      <c r="K779" t="s">
        <v>15</v>
      </c>
      <c r="M779" t="str">
        <f t="shared" si="363"/>
        <v>c</v>
      </c>
      <c r="N779" t="str">
        <f t="shared" si="364"/>
        <v/>
      </c>
      <c r="O779" t="str">
        <f t="shared" si="365"/>
        <v/>
      </c>
    </row>
    <row r="780" spans="1:15" x14ac:dyDescent="0.3">
      <c r="A780">
        <v>100663638</v>
      </c>
      <c r="B780" t="s">
        <v>811</v>
      </c>
      <c r="C780">
        <v>58</v>
      </c>
      <c r="D780" t="s">
        <v>802</v>
      </c>
      <c r="E780" t="s">
        <v>796</v>
      </c>
      <c r="F780" s="26">
        <v>127699.5</v>
      </c>
      <c r="G780" s="3">
        <v>45761</v>
      </c>
      <c r="H780" t="s">
        <v>14</v>
      </c>
      <c r="I780" s="4" t="str">
        <f t="shared" si="368"/>
        <v>Living Annuity</v>
      </c>
      <c r="J780" t="str">
        <f t="shared" si="369"/>
        <v>Compulsory, LA</v>
      </c>
      <c r="K780" t="s">
        <v>15</v>
      </c>
      <c r="M780" t="str">
        <f t="shared" si="363"/>
        <v>c</v>
      </c>
      <c r="N780" t="str">
        <f t="shared" si="364"/>
        <v/>
      </c>
      <c r="O780" t="str">
        <f t="shared" si="365"/>
        <v/>
      </c>
    </row>
    <row r="781" spans="1:15" x14ac:dyDescent="0.3">
      <c r="A781">
        <v>100663638</v>
      </c>
      <c r="B781" t="s">
        <v>919</v>
      </c>
      <c r="C781">
        <v>58</v>
      </c>
      <c r="D781" t="s">
        <v>802</v>
      </c>
      <c r="E781" t="s">
        <v>796</v>
      </c>
      <c r="F781" s="26">
        <v>4449.16</v>
      </c>
      <c r="G781" s="3">
        <v>45761</v>
      </c>
      <c r="H781" t="s">
        <v>14</v>
      </c>
      <c r="I781" s="4" t="str">
        <f t="shared" si="368"/>
        <v>Living Annuity</v>
      </c>
      <c r="J781" t="str">
        <f t="shared" si="369"/>
        <v>Compulsory, LA</v>
      </c>
      <c r="K781" t="s">
        <v>15</v>
      </c>
      <c r="M781" t="str">
        <f t="shared" si="363"/>
        <v>c</v>
      </c>
      <c r="N781" t="str">
        <f t="shared" si="364"/>
        <v/>
      </c>
      <c r="O781" t="str">
        <f t="shared" si="365"/>
        <v/>
      </c>
    </row>
    <row r="782" spans="1:15" x14ac:dyDescent="0.3">
      <c r="A782">
        <v>100664029</v>
      </c>
      <c r="B782" t="s">
        <v>920</v>
      </c>
      <c r="C782">
        <v>5</v>
      </c>
      <c r="D782" t="s">
        <v>864</v>
      </c>
      <c r="E782" t="s">
        <v>796</v>
      </c>
      <c r="F782" s="26">
        <v>14443.23</v>
      </c>
      <c r="G782" s="3">
        <v>45761</v>
      </c>
      <c r="H782" t="s">
        <v>14</v>
      </c>
      <c r="I782" s="4" t="str">
        <f t="shared" si="368"/>
        <v>Living Annuity</v>
      </c>
      <c r="J782" t="str">
        <f t="shared" si="369"/>
        <v>Compulsory, LA</v>
      </c>
      <c r="K782" t="s">
        <v>15</v>
      </c>
      <c r="M782" t="str">
        <f t="shared" si="363"/>
        <v>c</v>
      </c>
      <c r="N782" t="str">
        <f t="shared" si="364"/>
        <v/>
      </c>
      <c r="O782" t="str">
        <f t="shared" si="365"/>
        <v/>
      </c>
    </row>
    <row r="783" spans="1:15" x14ac:dyDescent="0.3">
      <c r="A783">
        <v>100664029</v>
      </c>
      <c r="B783" t="s">
        <v>921</v>
      </c>
      <c r="C783">
        <v>5</v>
      </c>
      <c r="D783" t="s">
        <v>864</v>
      </c>
      <c r="E783" t="s">
        <v>796</v>
      </c>
      <c r="F783" s="26">
        <v>9288.84</v>
      </c>
      <c r="G783" s="3">
        <v>45761</v>
      </c>
      <c r="H783" t="s">
        <v>14</v>
      </c>
      <c r="I783" s="4" t="str">
        <f t="shared" si="368"/>
        <v>Living Annuity</v>
      </c>
      <c r="J783" t="str">
        <f t="shared" si="369"/>
        <v>Compulsory, LA</v>
      </c>
      <c r="K783" t="s">
        <v>15</v>
      </c>
      <c r="M783" t="str">
        <f t="shared" si="363"/>
        <v>c</v>
      </c>
      <c r="N783" t="str">
        <f t="shared" si="364"/>
        <v/>
      </c>
      <c r="O783" t="str">
        <f t="shared" si="365"/>
        <v/>
      </c>
    </row>
    <row r="784" spans="1:15" x14ac:dyDescent="0.3">
      <c r="A784">
        <v>100664292</v>
      </c>
      <c r="B784" t="s">
        <v>1088</v>
      </c>
      <c r="C784">
        <v>21</v>
      </c>
      <c r="D784" t="s">
        <v>849</v>
      </c>
      <c r="E784" t="s">
        <v>796</v>
      </c>
      <c r="F784" s="25">
        <v>248.84</v>
      </c>
      <c r="G784" s="3">
        <v>45761</v>
      </c>
      <c r="H784" t="s">
        <v>31</v>
      </c>
      <c r="I784" s="4" t="str">
        <f t="shared" si="368"/>
        <v>Investment Account</v>
      </c>
      <c r="J784" t="str">
        <f t="shared" si="369"/>
        <v>Voluntary</v>
      </c>
      <c r="K784" t="s">
        <v>15</v>
      </c>
      <c r="M784" t="str">
        <f t="shared" si="363"/>
        <v>c</v>
      </c>
      <c r="N784" t="str">
        <f t="shared" si="364"/>
        <v/>
      </c>
      <c r="O784" t="str">
        <f t="shared" si="365"/>
        <v/>
      </c>
    </row>
    <row r="785" spans="1:15" x14ac:dyDescent="0.3">
      <c r="A785">
        <v>100664292</v>
      </c>
      <c r="B785" t="s">
        <v>922</v>
      </c>
      <c r="C785">
        <v>21</v>
      </c>
      <c r="D785" t="s">
        <v>849</v>
      </c>
      <c r="E785" t="s">
        <v>796</v>
      </c>
      <c r="F785" s="25">
        <v>44973.82</v>
      </c>
      <c r="G785" s="3">
        <v>45761</v>
      </c>
      <c r="H785" t="s">
        <v>14</v>
      </c>
      <c r="I785" s="4" t="str">
        <f t="shared" si="368"/>
        <v>Living Annuity</v>
      </c>
      <c r="J785" t="str">
        <f t="shared" si="369"/>
        <v>Compulsory, LA</v>
      </c>
      <c r="K785" t="s">
        <v>15</v>
      </c>
      <c r="M785" t="str">
        <f t="shared" si="363"/>
        <v>c</v>
      </c>
      <c r="N785" t="str">
        <f t="shared" si="364"/>
        <v/>
      </c>
      <c r="O785" t="str">
        <f t="shared" si="365"/>
        <v/>
      </c>
    </row>
    <row r="786" spans="1:15" x14ac:dyDescent="0.3">
      <c r="A786">
        <v>100664348</v>
      </c>
      <c r="B786" t="s">
        <v>923</v>
      </c>
      <c r="C786">
        <v>257</v>
      </c>
      <c r="D786" t="s">
        <v>871</v>
      </c>
      <c r="E786" t="s">
        <v>796</v>
      </c>
      <c r="F786" s="25">
        <v>24378.18</v>
      </c>
      <c r="G786" s="3">
        <v>45761</v>
      </c>
      <c r="H786" t="s">
        <v>14</v>
      </c>
      <c r="I786" s="4" t="str">
        <f t="shared" si="368"/>
        <v>Living Annuity</v>
      </c>
      <c r="J786" t="str">
        <f t="shared" si="369"/>
        <v>Compulsory, LA</v>
      </c>
      <c r="K786" t="s">
        <v>15</v>
      </c>
      <c r="M786" t="str">
        <f t="shared" si="363"/>
        <v>c</v>
      </c>
      <c r="N786" t="str">
        <f t="shared" si="364"/>
        <v/>
      </c>
      <c r="O786" t="str">
        <f t="shared" si="365"/>
        <v/>
      </c>
    </row>
    <row r="787" spans="1:15" x14ac:dyDescent="0.3">
      <c r="A787">
        <v>100664351</v>
      </c>
      <c r="B787" t="s">
        <v>924</v>
      </c>
      <c r="C787">
        <v>196</v>
      </c>
      <c r="D787" t="s">
        <v>873</v>
      </c>
      <c r="E787" t="s">
        <v>796</v>
      </c>
      <c r="F787" s="25">
        <v>10358.469999999999</v>
      </c>
      <c r="G787" s="3">
        <v>45761</v>
      </c>
      <c r="H787" t="s">
        <v>14</v>
      </c>
      <c r="I787" s="4" t="str">
        <f t="shared" si="368"/>
        <v>Living Annuity</v>
      </c>
      <c r="J787" t="str">
        <f t="shared" si="369"/>
        <v>Compulsory, LA</v>
      </c>
      <c r="K787" t="s">
        <v>15</v>
      </c>
      <c r="M787" t="str">
        <f t="shared" si="363"/>
        <v>c</v>
      </c>
      <c r="N787" t="str">
        <f t="shared" si="364"/>
        <v/>
      </c>
      <c r="O787" t="str">
        <f t="shared" si="365"/>
        <v/>
      </c>
    </row>
    <row r="788" spans="1:15" x14ac:dyDescent="0.3">
      <c r="A788">
        <v>100664737</v>
      </c>
      <c r="B788" t="s">
        <v>1118</v>
      </c>
      <c r="C788">
        <v>57</v>
      </c>
      <c r="D788" t="s">
        <v>882</v>
      </c>
      <c r="E788" t="s">
        <v>796</v>
      </c>
      <c r="F788" s="25">
        <v>16838.669999999998</v>
      </c>
      <c r="G788" s="3">
        <v>45761</v>
      </c>
      <c r="H788" t="s">
        <v>14</v>
      </c>
      <c r="I788" s="4" t="str">
        <f t="shared" si="368"/>
        <v>Living Annuity</v>
      </c>
      <c r="J788" t="str">
        <f t="shared" si="369"/>
        <v>Compulsory, LA</v>
      </c>
      <c r="K788" t="s">
        <v>15</v>
      </c>
      <c r="M788" t="str">
        <f t="shared" si="363"/>
        <v>c</v>
      </c>
      <c r="N788" t="str">
        <f t="shared" si="364"/>
        <v/>
      </c>
      <c r="O788" t="str">
        <f t="shared" si="365"/>
        <v/>
      </c>
    </row>
    <row r="789" spans="1:15" x14ac:dyDescent="0.3">
      <c r="A789">
        <v>100664737</v>
      </c>
      <c r="B789" t="s">
        <v>1124</v>
      </c>
      <c r="C789">
        <v>57</v>
      </c>
      <c r="D789" t="s">
        <v>882</v>
      </c>
      <c r="E789" t="s">
        <v>796</v>
      </c>
      <c r="F789" s="25">
        <v>7857.89</v>
      </c>
      <c r="G789" s="3">
        <v>45761</v>
      </c>
      <c r="H789" t="s">
        <v>14</v>
      </c>
      <c r="I789" s="4" t="str">
        <f t="shared" si="368"/>
        <v>Living Annuity</v>
      </c>
      <c r="J789" t="str">
        <f t="shared" si="369"/>
        <v>Compulsory, LA</v>
      </c>
      <c r="K789" t="s">
        <v>15</v>
      </c>
      <c r="M789" t="str">
        <f t="shared" si="363"/>
        <v>c</v>
      </c>
      <c r="N789" t="str">
        <f t="shared" si="364"/>
        <v/>
      </c>
      <c r="O789" t="str">
        <f t="shared" si="365"/>
        <v/>
      </c>
    </row>
    <row r="790" spans="1:15" x14ac:dyDescent="0.3">
      <c r="A790">
        <v>100665510</v>
      </c>
      <c r="B790" t="s">
        <v>925</v>
      </c>
      <c r="C790">
        <v>6</v>
      </c>
      <c r="D790" t="s">
        <v>850</v>
      </c>
      <c r="E790" t="s">
        <v>796</v>
      </c>
      <c r="F790" s="25">
        <v>26961.07</v>
      </c>
      <c r="G790" s="3">
        <v>45761</v>
      </c>
      <c r="H790" t="s">
        <v>14</v>
      </c>
      <c r="I790" s="4" t="str">
        <f t="shared" si="368"/>
        <v>Living Annuity</v>
      </c>
      <c r="J790" t="str">
        <f t="shared" si="369"/>
        <v>Compulsory, LA</v>
      </c>
      <c r="K790" t="s">
        <v>15</v>
      </c>
      <c r="M790" t="str">
        <f t="shared" si="363"/>
        <v>c</v>
      </c>
      <c r="N790" t="str">
        <f t="shared" si="364"/>
        <v/>
      </c>
      <c r="O790" t="str">
        <f t="shared" si="365"/>
        <v/>
      </c>
    </row>
    <row r="791" spans="1:15" x14ac:dyDescent="0.3">
      <c r="A791">
        <v>100665581</v>
      </c>
      <c r="B791" t="s">
        <v>1233</v>
      </c>
      <c r="C791">
        <v>113</v>
      </c>
      <c r="D791" t="s">
        <v>884</v>
      </c>
      <c r="E791" t="s">
        <v>796</v>
      </c>
      <c r="F791" s="25">
        <v>81975.429999999993</v>
      </c>
      <c r="G791" s="3">
        <v>45761</v>
      </c>
      <c r="H791" t="s">
        <v>1147</v>
      </c>
      <c r="I791" s="4" t="str">
        <f t="shared" si="368"/>
        <v>Investment Account</v>
      </c>
      <c r="J791" t="str">
        <f t="shared" si="369"/>
        <v>Voluntary</v>
      </c>
      <c r="K791" t="s">
        <v>15</v>
      </c>
      <c r="M791" t="str">
        <f t="shared" si="363"/>
        <v>c</v>
      </c>
      <c r="N791" t="str">
        <f t="shared" si="364"/>
        <v/>
      </c>
      <c r="O791" t="str">
        <f t="shared" si="365"/>
        <v/>
      </c>
    </row>
    <row r="792" spans="1:15" x14ac:dyDescent="0.3">
      <c r="A792">
        <v>100665581</v>
      </c>
      <c r="B792" t="s">
        <v>1237</v>
      </c>
      <c r="C792">
        <v>113</v>
      </c>
      <c r="D792" t="s">
        <v>884</v>
      </c>
      <c r="E792" t="s">
        <v>796</v>
      </c>
      <c r="F792" s="25">
        <v>219116.93</v>
      </c>
      <c r="G792" s="3">
        <v>45761</v>
      </c>
      <c r="H792" t="s">
        <v>14</v>
      </c>
      <c r="I792" s="4" t="str">
        <f t="shared" si="368"/>
        <v>Living Annuity</v>
      </c>
      <c r="J792" t="str">
        <f t="shared" si="369"/>
        <v>Compulsory, LA</v>
      </c>
      <c r="K792" t="s">
        <v>15</v>
      </c>
      <c r="M792" t="str">
        <f t="shared" si="363"/>
        <v>c</v>
      </c>
      <c r="N792" t="str">
        <f t="shared" si="364"/>
        <v/>
      </c>
      <c r="O792" t="str">
        <f t="shared" si="365"/>
        <v/>
      </c>
    </row>
    <row r="793" spans="1:15" x14ac:dyDescent="0.3">
      <c r="A793">
        <v>100666150</v>
      </c>
      <c r="B793" t="s">
        <v>812</v>
      </c>
      <c r="C793">
        <v>163</v>
      </c>
      <c r="D793" t="s">
        <v>803</v>
      </c>
      <c r="E793" t="s">
        <v>796</v>
      </c>
      <c r="F793" s="26">
        <v>70529.23</v>
      </c>
      <c r="G793" s="3">
        <v>45761</v>
      </c>
      <c r="H793" t="s">
        <v>14</v>
      </c>
      <c r="I793" s="4" t="str">
        <f t="shared" si="368"/>
        <v>Living Annuity</v>
      </c>
      <c r="J793" t="str">
        <f t="shared" si="369"/>
        <v>Compulsory, LA</v>
      </c>
      <c r="K793" t="s">
        <v>15</v>
      </c>
      <c r="M793" t="str">
        <f t="shared" si="363"/>
        <v>c</v>
      </c>
      <c r="N793" t="str">
        <f t="shared" si="364"/>
        <v/>
      </c>
      <c r="O793" t="str">
        <f t="shared" si="365"/>
        <v/>
      </c>
    </row>
    <row r="794" spans="1:15" x14ac:dyDescent="0.3">
      <c r="A794">
        <v>100668409</v>
      </c>
      <c r="B794" t="s">
        <v>1089</v>
      </c>
      <c r="C794">
        <v>178</v>
      </c>
      <c r="D794" t="s">
        <v>852</v>
      </c>
      <c r="E794" t="s">
        <v>796</v>
      </c>
      <c r="F794" s="26">
        <v>5832.09</v>
      </c>
      <c r="G794" s="3">
        <v>45761</v>
      </c>
      <c r="H794" t="s">
        <v>31</v>
      </c>
      <c r="I794" s="4" t="str">
        <f t="shared" si="368"/>
        <v>Investment Account</v>
      </c>
      <c r="J794" t="str">
        <f t="shared" si="369"/>
        <v>Voluntary</v>
      </c>
      <c r="K794" t="s">
        <v>15</v>
      </c>
      <c r="M794" t="str">
        <f t="shared" si="363"/>
        <v>c</v>
      </c>
      <c r="N794" t="str">
        <f t="shared" si="364"/>
        <v/>
      </c>
      <c r="O794" t="str">
        <f t="shared" si="365"/>
        <v/>
      </c>
    </row>
    <row r="795" spans="1:15" x14ac:dyDescent="0.3">
      <c r="A795">
        <v>100668534</v>
      </c>
      <c r="B795" t="s">
        <v>1090</v>
      </c>
      <c r="C795">
        <v>23</v>
      </c>
      <c r="D795" t="s">
        <v>194</v>
      </c>
      <c r="E795" t="s">
        <v>796</v>
      </c>
      <c r="F795" s="26">
        <v>11046.58</v>
      </c>
      <c r="G795" s="3">
        <v>45761</v>
      </c>
      <c r="H795" t="s">
        <v>31</v>
      </c>
      <c r="I795" s="4" t="str">
        <f t="shared" si="368"/>
        <v>Investment Account</v>
      </c>
      <c r="J795" t="str">
        <f t="shared" si="369"/>
        <v>Voluntary</v>
      </c>
      <c r="K795" t="s">
        <v>15</v>
      </c>
      <c r="M795" t="str">
        <f t="shared" si="363"/>
        <v>c</v>
      </c>
      <c r="N795" t="str">
        <f t="shared" si="364"/>
        <v/>
      </c>
      <c r="O795" t="str">
        <f t="shared" si="365"/>
        <v/>
      </c>
    </row>
    <row r="796" spans="1:15" x14ac:dyDescent="0.3">
      <c r="A796">
        <v>100669580</v>
      </c>
      <c r="B796" t="s">
        <v>926</v>
      </c>
      <c r="C796">
        <v>321</v>
      </c>
      <c r="D796" t="s">
        <v>887</v>
      </c>
      <c r="E796" t="s">
        <v>796</v>
      </c>
      <c r="F796" s="26">
        <v>36716.82</v>
      </c>
      <c r="G796" s="3">
        <v>45761</v>
      </c>
      <c r="H796" t="s">
        <v>14</v>
      </c>
      <c r="I796" s="4" t="str">
        <f t="shared" si="368"/>
        <v>Living Annuity</v>
      </c>
      <c r="J796" t="str">
        <f t="shared" si="369"/>
        <v>Compulsory, LA</v>
      </c>
      <c r="K796" t="s">
        <v>15</v>
      </c>
      <c r="M796" t="str">
        <f t="shared" si="363"/>
        <v>c</v>
      </c>
      <c r="N796" t="str">
        <f t="shared" si="364"/>
        <v/>
      </c>
      <c r="O796" t="str">
        <f t="shared" si="365"/>
        <v/>
      </c>
    </row>
    <row r="797" spans="1:15" x14ac:dyDescent="0.3">
      <c r="A797">
        <v>100670671</v>
      </c>
      <c r="B797" t="s">
        <v>927</v>
      </c>
      <c r="C797">
        <v>150</v>
      </c>
      <c r="D797" t="s">
        <v>890</v>
      </c>
      <c r="E797" t="s">
        <v>796</v>
      </c>
      <c r="F797" s="26">
        <v>120768.01</v>
      </c>
      <c r="G797" s="3">
        <v>45761</v>
      </c>
      <c r="H797" t="s">
        <v>31</v>
      </c>
      <c r="I797" s="4" t="str">
        <f t="shared" si="368"/>
        <v>Investment Account</v>
      </c>
      <c r="J797" t="str">
        <f t="shared" si="369"/>
        <v>Voluntary</v>
      </c>
      <c r="K797" t="s">
        <v>15</v>
      </c>
      <c r="M797" t="str">
        <f t="shared" si="363"/>
        <v>c</v>
      </c>
      <c r="N797" t="str">
        <f t="shared" si="364"/>
        <v/>
      </c>
      <c r="O797" t="str">
        <f t="shared" si="365"/>
        <v/>
      </c>
    </row>
    <row r="798" spans="1:15" x14ac:dyDescent="0.3">
      <c r="A798">
        <v>100675336</v>
      </c>
      <c r="B798" t="s">
        <v>1102</v>
      </c>
      <c r="C798">
        <v>245</v>
      </c>
      <c r="D798" t="s">
        <v>1094</v>
      </c>
      <c r="E798" t="s">
        <v>796</v>
      </c>
      <c r="F798" s="25">
        <v>50942.27</v>
      </c>
      <c r="G798" s="3">
        <v>45761</v>
      </c>
      <c r="H798" t="s">
        <v>14</v>
      </c>
      <c r="I798" s="4" t="str">
        <f t="shared" si="368"/>
        <v>Living Annuity</v>
      </c>
      <c r="J798" t="str">
        <f t="shared" si="369"/>
        <v>Compulsory, LA</v>
      </c>
      <c r="K798" t="s">
        <v>15</v>
      </c>
      <c r="M798" t="str">
        <f t="shared" si="363"/>
        <v>c</v>
      </c>
      <c r="N798" t="str">
        <f t="shared" si="364"/>
        <v/>
      </c>
      <c r="O798" t="str">
        <f t="shared" si="365"/>
        <v/>
      </c>
    </row>
    <row r="799" spans="1:15" x14ac:dyDescent="0.3">
      <c r="A799">
        <v>100677278</v>
      </c>
      <c r="B799" t="s">
        <v>1092</v>
      </c>
      <c r="C799">
        <v>460</v>
      </c>
      <c r="D799" t="s">
        <v>993</v>
      </c>
      <c r="E799" t="s">
        <v>796</v>
      </c>
      <c r="F799" s="25">
        <v>51968.05</v>
      </c>
      <c r="G799" s="3">
        <v>45761</v>
      </c>
      <c r="H799" t="s">
        <v>14</v>
      </c>
      <c r="I799" s="4" t="str">
        <f t="shared" si="368"/>
        <v>Living Annuity</v>
      </c>
      <c r="J799" t="str">
        <f t="shared" si="369"/>
        <v>Compulsory, LA</v>
      </c>
      <c r="K799" t="s">
        <v>15</v>
      </c>
      <c r="M799" t="str">
        <f t="shared" si="363"/>
        <v>c</v>
      </c>
      <c r="N799" t="str">
        <f t="shared" si="364"/>
        <v/>
      </c>
      <c r="O799" t="str">
        <f t="shared" si="365"/>
        <v/>
      </c>
    </row>
    <row r="800" spans="1:15" x14ac:dyDescent="0.3">
      <c r="A800">
        <v>100677585</v>
      </c>
      <c r="B800" t="s">
        <v>1106</v>
      </c>
      <c r="C800">
        <v>175</v>
      </c>
      <c r="D800" t="s">
        <v>1104</v>
      </c>
      <c r="E800" t="s">
        <v>796</v>
      </c>
      <c r="F800" s="26">
        <v>6901.74</v>
      </c>
      <c r="G800" s="3">
        <v>45761</v>
      </c>
      <c r="H800" t="s">
        <v>14</v>
      </c>
      <c r="I800" s="4" t="str">
        <f>MID(H800,6,30)</f>
        <v>Living Annuity</v>
      </c>
      <c r="J800" t="str">
        <f>IF(LEFT(I800)="L","Compulsory, LA",IF(LEFT(I800)="R","Compulsory, RA",IF(LEFT(I800,2)="Pe","Compulsory, Pens","Voluntary")))</f>
        <v>Compulsory, LA</v>
      </c>
      <c r="K800" t="s">
        <v>15</v>
      </c>
      <c r="M800" t="str">
        <f t="shared" si="363"/>
        <v>c</v>
      </c>
      <c r="N800" t="str">
        <f t="shared" si="364"/>
        <v/>
      </c>
      <c r="O800" t="str">
        <f t="shared" si="365"/>
        <v/>
      </c>
    </row>
    <row r="801" spans="1:15" x14ac:dyDescent="0.3">
      <c r="A801">
        <v>100706842</v>
      </c>
      <c r="B801" t="s">
        <v>1132</v>
      </c>
      <c r="C801">
        <v>83</v>
      </c>
      <c r="D801" t="s">
        <v>1129</v>
      </c>
      <c r="E801" t="s">
        <v>796</v>
      </c>
      <c r="F801" s="26">
        <v>20862.560000000001</v>
      </c>
      <c r="G801" s="3">
        <v>45761</v>
      </c>
      <c r="H801" t="s">
        <v>14</v>
      </c>
      <c r="I801" s="4" t="str">
        <f t="shared" ref="I801:I815" si="370">MID(H801,6,30)</f>
        <v>Living Annuity</v>
      </c>
      <c r="J801" t="str">
        <f t="shared" ref="J801:J815" si="371">IF(LEFT(I801)="L","Compulsory, LA",IF(LEFT(I801)="R","Compulsory, RA",IF(LEFT(I801,2)="Pe","Compulsory, Pens","Voluntary")))</f>
        <v>Compulsory, LA</v>
      </c>
      <c r="K801" t="s">
        <v>15</v>
      </c>
      <c r="M801" t="str">
        <f t="shared" si="363"/>
        <v>c</v>
      </c>
      <c r="N801" t="str">
        <f t="shared" si="364"/>
        <v/>
      </c>
      <c r="O801" t="str">
        <f t="shared" si="365"/>
        <v/>
      </c>
    </row>
    <row r="802" spans="1:15" x14ac:dyDescent="0.3">
      <c r="A802">
        <v>100711105</v>
      </c>
      <c r="B802" t="s">
        <v>1133</v>
      </c>
      <c r="C802">
        <v>470</v>
      </c>
      <c r="D802" t="s">
        <v>1130</v>
      </c>
      <c r="E802" t="s">
        <v>796</v>
      </c>
      <c r="F802" s="26">
        <v>3035.97</v>
      </c>
      <c r="G802" s="3">
        <v>45761</v>
      </c>
      <c r="H802" t="s">
        <v>31</v>
      </c>
      <c r="I802" s="4" t="str">
        <f t="shared" si="370"/>
        <v>Investment Account</v>
      </c>
      <c r="J802" t="str">
        <f t="shared" si="371"/>
        <v>Voluntary</v>
      </c>
      <c r="K802" t="s">
        <v>15</v>
      </c>
      <c r="M802" t="str">
        <f t="shared" si="363"/>
        <v>c</v>
      </c>
      <c r="N802" t="str">
        <f t="shared" si="364"/>
        <v/>
      </c>
      <c r="O802" t="str">
        <f t="shared" si="365"/>
        <v/>
      </c>
    </row>
    <row r="803" spans="1:15" x14ac:dyDescent="0.3">
      <c r="A803">
        <v>100786852</v>
      </c>
      <c r="B803" t="s">
        <v>1223</v>
      </c>
      <c r="C803">
        <v>209</v>
      </c>
      <c r="D803" t="s">
        <v>1201</v>
      </c>
      <c r="E803" t="s">
        <v>796</v>
      </c>
      <c r="F803" s="26">
        <v>70219.67</v>
      </c>
      <c r="G803" s="3">
        <v>45761</v>
      </c>
      <c r="H803" t="s">
        <v>14</v>
      </c>
      <c r="I803" s="4" t="str">
        <f>MID(H803,6,30)</f>
        <v>Living Annuity</v>
      </c>
      <c r="J803" t="str">
        <f>IF(LEFT(I803)="L","Compulsory, LA",IF(LEFT(I803)="R","Compulsory, RA",IF(LEFT(I803,2)="Pe","Compulsory, Pens","Voluntary")))</f>
        <v>Compulsory, LA</v>
      </c>
      <c r="K803" t="s">
        <v>15</v>
      </c>
      <c r="M803" t="str">
        <f t="shared" si="363"/>
        <v>c</v>
      </c>
      <c r="N803" t="str">
        <f t="shared" si="364"/>
        <v/>
      </c>
      <c r="O803" t="str">
        <f t="shared" si="365"/>
        <v/>
      </c>
    </row>
    <row r="804" spans="1:15" s="6" customFormat="1" x14ac:dyDescent="0.3">
      <c r="A804" s="6">
        <v>100799345</v>
      </c>
      <c r="B804" s="6" t="s">
        <v>1232</v>
      </c>
      <c r="C804" s="6">
        <v>478</v>
      </c>
      <c r="D804" s="6" t="s">
        <v>1228</v>
      </c>
      <c r="E804" s="6" t="s">
        <v>796</v>
      </c>
      <c r="F804" s="32">
        <v>301269.09000000003</v>
      </c>
      <c r="G804" s="22">
        <v>45761</v>
      </c>
      <c r="H804" s="6" t="s">
        <v>1147</v>
      </c>
      <c r="I804" s="23" t="str">
        <f>MID(H804,6,30)</f>
        <v>Investment Account</v>
      </c>
      <c r="J804" s="6" t="str">
        <f>IF(LEFT(I804)="L","Compulsory, LA",IF(LEFT(I804)="R","Compulsory, RA",IF(LEFT(I804,2)="Pe","Compulsory, Pens","Voluntary")))</f>
        <v>Voluntary</v>
      </c>
      <c r="K804" s="6" t="s">
        <v>15</v>
      </c>
      <c r="M804" t="str">
        <f t="shared" si="363"/>
        <v>c</v>
      </c>
      <c r="N804" t="str">
        <f t="shared" si="364"/>
        <v/>
      </c>
      <c r="O804" t="str">
        <f t="shared" si="365"/>
        <v/>
      </c>
    </row>
    <row r="805" spans="1:15" s="6" customFormat="1" x14ac:dyDescent="0.3">
      <c r="A805" s="6">
        <v>32490</v>
      </c>
      <c r="B805" s="6" t="s">
        <v>735</v>
      </c>
      <c r="C805" s="6">
        <v>126</v>
      </c>
      <c r="D805" s="6" t="s">
        <v>12</v>
      </c>
      <c r="E805" s="6" t="s">
        <v>1164</v>
      </c>
      <c r="F805" s="31">
        <v>5357.89</v>
      </c>
      <c r="G805" s="22">
        <v>45761</v>
      </c>
      <c r="H805" s="6" t="s">
        <v>14</v>
      </c>
      <c r="I805" s="23" t="str">
        <f t="shared" si="370"/>
        <v>Living Annuity</v>
      </c>
      <c r="J805" s="6" t="str">
        <f t="shared" si="371"/>
        <v>Compulsory, LA</v>
      </c>
      <c r="K805" s="6" t="s">
        <v>15</v>
      </c>
      <c r="M805" t="str">
        <f t="shared" si="363"/>
        <v>c</v>
      </c>
      <c r="N805" t="str">
        <f t="shared" si="364"/>
        <v/>
      </c>
      <c r="O805" t="str">
        <f t="shared" si="365"/>
        <v/>
      </c>
    </row>
    <row r="806" spans="1:15" x14ac:dyDescent="0.3">
      <c r="A806">
        <v>32490</v>
      </c>
      <c r="B806" t="s">
        <v>736</v>
      </c>
      <c r="C806">
        <v>126</v>
      </c>
      <c r="D806" t="s">
        <v>12</v>
      </c>
      <c r="E806" t="s">
        <v>1164</v>
      </c>
      <c r="F806" s="25">
        <v>18929.3</v>
      </c>
      <c r="G806" s="3">
        <v>45761</v>
      </c>
      <c r="H806" t="s">
        <v>14</v>
      </c>
      <c r="I806" s="4" t="str">
        <f t="shared" si="370"/>
        <v>Living Annuity</v>
      </c>
      <c r="J806" t="str">
        <f t="shared" si="371"/>
        <v>Compulsory, LA</v>
      </c>
      <c r="K806" t="s">
        <v>15</v>
      </c>
      <c r="M806" t="str">
        <f t="shared" si="363"/>
        <v>c</v>
      </c>
      <c r="N806" t="str">
        <f t="shared" si="364"/>
        <v/>
      </c>
      <c r="O806" t="str">
        <f t="shared" si="365"/>
        <v/>
      </c>
    </row>
    <row r="807" spans="1:15" x14ac:dyDescent="0.3">
      <c r="A807">
        <v>33672</v>
      </c>
      <c r="B807" t="s">
        <v>1043</v>
      </c>
      <c r="C807">
        <v>87</v>
      </c>
      <c r="D807" t="s">
        <v>18</v>
      </c>
      <c r="E807" t="s">
        <v>1164</v>
      </c>
      <c r="F807" s="25">
        <v>47438.879999999997</v>
      </c>
      <c r="G807" s="3">
        <v>45761</v>
      </c>
      <c r="H807" t="s">
        <v>14</v>
      </c>
      <c r="I807" s="4" t="str">
        <f t="shared" si="370"/>
        <v>Living Annuity</v>
      </c>
      <c r="J807" t="str">
        <f t="shared" si="371"/>
        <v>Compulsory, LA</v>
      </c>
      <c r="K807" t="s">
        <v>15</v>
      </c>
      <c r="M807" t="str">
        <f t="shared" si="363"/>
        <v>c</v>
      </c>
      <c r="N807" t="str">
        <f t="shared" si="364"/>
        <v/>
      </c>
      <c r="O807" t="str">
        <f t="shared" si="365"/>
        <v/>
      </c>
    </row>
    <row r="808" spans="1:15" x14ac:dyDescent="0.3">
      <c r="A808">
        <v>34171</v>
      </c>
      <c r="B808" t="s">
        <v>1044</v>
      </c>
      <c r="C808">
        <v>268</v>
      </c>
      <c r="D808" t="s">
        <v>928</v>
      </c>
      <c r="E808" t="s">
        <v>1164</v>
      </c>
      <c r="F808" s="25">
        <v>2986.06</v>
      </c>
      <c r="G808" s="3">
        <v>45761</v>
      </c>
      <c r="H808" t="s">
        <v>14</v>
      </c>
      <c r="I808" s="4" t="str">
        <f t="shared" si="370"/>
        <v>Living Annuity</v>
      </c>
      <c r="J808" t="str">
        <f t="shared" si="371"/>
        <v>Compulsory, LA</v>
      </c>
      <c r="K808" t="s">
        <v>15</v>
      </c>
      <c r="M808" t="str">
        <f t="shared" si="363"/>
        <v>c</v>
      </c>
      <c r="N808" t="str">
        <f t="shared" si="364"/>
        <v/>
      </c>
      <c r="O808" t="str">
        <f t="shared" si="365"/>
        <v/>
      </c>
    </row>
    <row r="809" spans="1:15" x14ac:dyDescent="0.3">
      <c r="A809">
        <v>34173</v>
      </c>
      <c r="B809" t="s">
        <v>1045</v>
      </c>
      <c r="C809">
        <v>96</v>
      </c>
      <c r="D809" t="s">
        <v>22</v>
      </c>
      <c r="E809" t="s">
        <v>1164</v>
      </c>
      <c r="F809" s="25">
        <v>17405.61</v>
      </c>
      <c r="G809" s="3">
        <v>45761</v>
      </c>
      <c r="H809" t="s">
        <v>14</v>
      </c>
      <c r="I809" s="4" t="str">
        <f t="shared" si="370"/>
        <v>Living Annuity</v>
      </c>
      <c r="J809" t="str">
        <f t="shared" si="371"/>
        <v>Compulsory, LA</v>
      </c>
      <c r="K809" t="s">
        <v>15</v>
      </c>
      <c r="M809" t="str">
        <f t="shared" si="363"/>
        <v>c</v>
      </c>
      <c r="N809" t="str">
        <f t="shared" si="364"/>
        <v/>
      </c>
      <c r="O809" t="str">
        <f t="shared" si="365"/>
        <v/>
      </c>
    </row>
    <row r="810" spans="1:15" x14ac:dyDescent="0.3">
      <c r="A810">
        <v>34199</v>
      </c>
      <c r="B810" t="s">
        <v>1046</v>
      </c>
      <c r="C810">
        <v>240</v>
      </c>
      <c r="D810" t="s">
        <v>24</v>
      </c>
      <c r="E810" t="s">
        <v>1164</v>
      </c>
      <c r="F810" s="25">
        <v>2714.62</v>
      </c>
      <c r="G810" s="3">
        <v>45761</v>
      </c>
      <c r="H810" t="s">
        <v>14</v>
      </c>
      <c r="I810" s="4" t="str">
        <f t="shared" si="370"/>
        <v>Living Annuity</v>
      </c>
      <c r="J810" t="str">
        <f t="shared" si="371"/>
        <v>Compulsory, LA</v>
      </c>
      <c r="K810" t="s">
        <v>15</v>
      </c>
      <c r="M810" t="str">
        <f t="shared" si="363"/>
        <v>c</v>
      </c>
      <c r="N810" t="str">
        <f t="shared" si="364"/>
        <v/>
      </c>
      <c r="O810" t="str">
        <f t="shared" si="365"/>
        <v/>
      </c>
    </row>
    <row r="811" spans="1:15" x14ac:dyDescent="0.3">
      <c r="A811">
        <v>34202</v>
      </c>
      <c r="B811" t="s">
        <v>814</v>
      </c>
      <c r="C811">
        <v>104</v>
      </c>
      <c r="D811" t="s">
        <v>797</v>
      </c>
      <c r="E811" t="s">
        <v>1164</v>
      </c>
      <c r="F811" s="26">
        <v>104528.64</v>
      </c>
      <c r="G811" s="3">
        <v>45761</v>
      </c>
      <c r="H811" t="s">
        <v>14</v>
      </c>
      <c r="I811" s="4" t="str">
        <f>MID(H811,6,30)</f>
        <v>Living Annuity</v>
      </c>
      <c r="J811" t="str">
        <f>IF(LEFT(I811)="L","Compulsory, LA",IF(LEFT(I811)="R","Compulsory, RA",IF(LEFT(I811,2)="Pe","Compulsory, Pens","Voluntary")))</f>
        <v>Compulsory, LA</v>
      </c>
      <c r="K811" t="s">
        <v>15</v>
      </c>
      <c r="M811" t="str">
        <f t="shared" si="363"/>
        <v>c</v>
      </c>
      <c r="N811" t="str">
        <f t="shared" si="364"/>
        <v/>
      </c>
      <c r="O811" t="str">
        <f t="shared" si="365"/>
        <v/>
      </c>
    </row>
    <row r="812" spans="1:15" x14ac:dyDescent="0.3">
      <c r="A812">
        <v>34202</v>
      </c>
      <c r="B812" t="s">
        <v>813</v>
      </c>
      <c r="C812">
        <v>104</v>
      </c>
      <c r="D812" t="s">
        <v>797</v>
      </c>
      <c r="E812" t="s">
        <v>1164</v>
      </c>
      <c r="F812" s="26">
        <v>20012.88</v>
      </c>
      <c r="G812" s="3">
        <v>45761</v>
      </c>
      <c r="H812" t="s">
        <v>14</v>
      </c>
      <c r="I812" s="4" t="str">
        <f t="shared" si="370"/>
        <v>Living Annuity</v>
      </c>
      <c r="J812" t="str">
        <f t="shared" si="371"/>
        <v>Compulsory, LA</v>
      </c>
      <c r="K812" t="s">
        <v>15</v>
      </c>
      <c r="M812" t="str">
        <f t="shared" si="363"/>
        <v>c</v>
      </c>
      <c r="N812" t="str">
        <f t="shared" si="364"/>
        <v/>
      </c>
      <c r="O812" t="str">
        <f t="shared" si="365"/>
        <v/>
      </c>
    </row>
    <row r="813" spans="1:15" x14ac:dyDescent="0.3">
      <c r="A813">
        <v>34209</v>
      </c>
      <c r="B813" t="s">
        <v>737</v>
      </c>
      <c r="C813">
        <v>25</v>
      </c>
      <c r="D813" t="s">
        <v>28</v>
      </c>
      <c r="E813" t="s">
        <v>1164</v>
      </c>
      <c r="F813" s="25">
        <v>35706.39</v>
      </c>
      <c r="G813" s="3">
        <v>45761</v>
      </c>
      <c r="H813" t="s">
        <v>14</v>
      </c>
      <c r="I813" s="4" t="str">
        <f t="shared" si="370"/>
        <v>Living Annuity</v>
      </c>
      <c r="J813" t="str">
        <f t="shared" si="371"/>
        <v>Compulsory, LA</v>
      </c>
      <c r="K813" t="s">
        <v>15</v>
      </c>
      <c r="M813" t="str">
        <f t="shared" si="363"/>
        <v>c</v>
      </c>
      <c r="N813" t="str">
        <f t="shared" si="364"/>
        <v/>
      </c>
      <c r="O813" t="str">
        <f t="shared" si="365"/>
        <v/>
      </c>
    </row>
    <row r="814" spans="1:15" x14ac:dyDescent="0.3">
      <c r="A814">
        <v>34209</v>
      </c>
      <c r="B814" t="s">
        <v>738</v>
      </c>
      <c r="C814">
        <v>25</v>
      </c>
      <c r="D814" t="s">
        <v>28</v>
      </c>
      <c r="E814" t="s">
        <v>1164</v>
      </c>
      <c r="F814" s="25">
        <v>46016.82</v>
      </c>
      <c r="G814" s="3">
        <v>45761</v>
      </c>
      <c r="H814" t="s">
        <v>14</v>
      </c>
      <c r="I814" s="4" t="str">
        <f t="shared" si="370"/>
        <v>Living Annuity</v>
      </c>
      <c r="J814" t="str">
        <f t="shared" si="371"/>
        <v>Compulsory, LA</v>
      </c>
      <c r="K814" t="s">
        <v>15</v>
      </c>
      <c r="M814" t="str">
        <f t="shared" si="363"/>
        <v>c</v>
      </c>
      <c r="N814" t="str">
        <f t="shared" si="364"/>
        <v/>
      </c>
      <c r="O814" t="str">
        <f t="shared" si="365"/>
        <v/>
      </c>
    </row>
    <row r="815" spans="1:15" x14ac:dyDescent="0.3">
      <c r="A815">
        <v>34216</v>
      </c>
      <c r="B815" t="s">
        <v>739</v>
      </c>
      <c r="C815">
        <v>95</v>
      </c>
      <c r="D815" t="s">
        <v>30</v>
      </c>
      <c r="E815" t="s">
        <v>1164</v>
      </c>
      <c r="F815" s="25">
        <v>23768.48</v>
      </c>
      <c r="G815" s="3">
        <v>45761</v>
      </c>
      <c r="H815" t="s">
        <v>14</v>
      </c>
      <c r="I815" s="4" t="str">
        <f t="shared" si="370"/>
        <v>Living Annuity</v>
      </c>
      <c r="J815" t="str">
        <f t="shared" si="371"/>
        <v>Compulsory, LA</v>
      </c>
      <c r="K815" t="s">
        <v>15</v>
      </c>
      <c r="M815" t="str">
        <f t="shared" si="363"/>
        <v>c</v>
      </c>
      <c r="N815" t="str">
        <f t="shared" si="364"/>
        <v/>
      </c>
      <c r="O815" t="str">
        <f t="shared" si="365"/>
        <v/>
      </c>
    </row>
    <row r="816" spans="1:15" x14ac:dyDescent="0.3">
      <c r="A816">
        <v>34395</v>
      </c>
      <c r="B816" t="s">
        <v>1091</v>
      </c>
      <c r="C816">
        <v>168</v>
      </c>
      <c r="D816" t="s">
        <v>111</v>
      </c>
      <c r="E816" t="s">
        <v>1164</v>
      </c>
      <c r="F816" s="26">
        <v>7775.77</v>
      </c>
      <c r="G816" s="3">
        <v>45761</v>
      </c>
      <c r="H816" t="s">
        <v>14</v>
      </c>
      <c r="I816" s="4" t="str">
        <f>MID(H816,6,30)</f>
        <v>Living Annuity</v>
      </c>
      <c r="J816" t="str">
        <f>IF(LEFT(I816)="L","Compulsory, LA",IF(LEFT(I816)="R","Compulsory, RA",IF(LEFT(I816,2)="Pe","Compulsory, Pens","Voluntary")))</f>
        <v>Compulsory, LA</v>
      </c>
      <c r="K816" t="s">
        <v>15</v>
      </c>
      <c r="M816" t="str">
        <f t="shared" si="363"/>
        <v>c</v>
      </c>
      <c r="N816" t="str">
        <f t="shared" si="364"/>
        <v/>
      </c>
      <c r="O816" t="str">
        <f t="shared" si="365"/>
        <v/>
      </c>
    </row>
    <row r="817" spans="1:15" x14ac:dyDescent="0.3">
      <c r="A817">
        <v>34395</v>
      </c>
      <c r="B817" t="s">
        <v>916</v>
      </c>
      <c r="C817">
        <v>168</v>
      </c>
      <c r="D817" t="s">
        <v>111</v>
      </c>
      <c r="E817" t="s">
        <v>1164</v>
      </c>
      <c r="F817" s="26">
        <v>4683.3900000000003</v>
      </c>
      <c r="G817" s="3">
        <v>45761</v>
      </c>
      <c r="H817" t="s">
        <v>14</v>
      </c>
      <c r="I817" s="4" t="str">
        <f>MID(H817,6,30)</f>
        <v>Living Annuity</v>
      </c>
      <c r="J817" t="str">
        <f>IF(LEFT(I817)="L","Compulsory, LA",IF(LEFT(I817)="R","Compulsory, RA",IF(LEFT(I817,2)="Pe","Compulsory, Pens","Voluntary")))</f>
        <v>Compulsory, LA</v>
      </c>
      <c r="K817" t="s">
        <v>15</v>
      </c>
      <c r="M817" t="str">
        <f t="shared" si="363"/>
        <v>c</v>
      </c>
      <c r="N817" t="str">
        <f t="shared" si="364"/>
        <v/>
      </c>
      <c r="O817" t="str">
        <f t="shared" si="365"/>
        <v/>
      </c>
    </row>
    <row r="818" spans="1:15" x14ac:dyDescent="0.3">
      <c r="A818">
        <v>34395</v>
      </c>
      <c r="B818" t="s">
        <v>740</v>
      </c>
      <c r="C818">
        <v>168</v>
      </c>
      <c r="D818" t="s">
        <v>111</v>
      </c>
      <c r="E818" t="s">
        <v>1164</v>
      </c>
      <c r="F818" s="26">
        <v>73252.850000000006</v>
      </c>
      <c r="G818" s="3">
        <v>45761</v>
      </c>
      <c r="H818" t="s">
        <v>14</v>
      </c>
      <c r="I818" s="4" t="str">
        <f t="shared" ref="I818:I828" si="372">MID(H818,6,30)</f>
        <v>Living Annuity</v>
      </c>
      <c r="J818" t="str">
        <f t="shared" ref="J818:J828" si="373">IF(LEFT(I818)="L","Compulsory, LA",IF(LEFT(I818)="R","Compulsory, RA",IF(LEFT(I818,2)="Pe","Compulsory, Pens","Voluntary")))</f>
        <v>Compulsory, LA</v>
      </c>
      <c r="K818" t="s">
        <v>15</v>
      </c>
      <c r="M818" t="str">
        <f t="shared" si="363"/>
        <v>c</v>
      </c>
      <c r="N818" t="str">
        <f t="shared" si="364"/>
        <v/>
      </c>
      <c r="O818" t="str">
        <f t="shared" si="365"/>
        <v/>
      </c>
    </row>
    <row r="819" spans="1:15" x14ac:dyDescent="0.3">
      <c r="A819">
        <v>36048</v>
      </c>
      <c r="B819" t="s">
        <v>1047</v>
      </c>
      <c r="C819">
        <v>34</v>
      </c>
      <c r="D819" t="s">
        <v>937</v>
      </c>
      <c r="E819" t="s">
        <v>1164</v>
      </c>
      <c r="F819" s="26">
        <v>4962.37</v>
      </c>
      <c r="G819" s="3">
        <v>45761</v>
      </c>
      <c r="H819" t="s">
        <v>14</v>
      </c>
      <c r="I819" s="4" t="str">
        <f t="shared" si="372"/>
        <v>Living Annuity</v>
      </c>
      <c r="J819" t="str">
        <f t="shared" si="373"/>
        <v>Compulsory, LA</v>
      </c>
      <c r="K819" t="s">
        <v>15</v>
      </c>
      <c r="M819" t="str">
        <f t="shared" si="363"/>
        <v>c</v>
      </c>
      <c r="N819" t="str">
        <f t="shared" si="364"/>
        <v/>
      </c>
      <c r="O819" t="str">
        <f t="shared" si="365"/>
        <v/>
      </c>
    </row>
    <row r="820" spans="1:15" x14ac:dyDescent="0.3">
      <c r="A820">
        <v>36048</v>
      </c>
      <c r="B820" t="s">
        <v>1048</v>
      </c>
      <c r="C820">
        <v>34</v>
      </c>
      <c r="D820" t="s">
        <v>937</v>
      </c>
      <c r="E820" t="s">
        <v>1164</v>
      </c>
      <c r="F820" s="26">
        <v>13810.56</v>
      </c>
      <c r="G820" s="3">
        <v>45761</v>
      </c>
      <c r="H820" t="s">
        <v>14</v>
      </c>
      <c r="I820" s="4" t="str">
        <f t="shared" si="372"/>
        <v>Living Annuity</v>
      </c>
      <c r="J820" t="str">
        <f t="shared" si="373"/>
        <v>Compulsory, LA</v>
      </c>
      <c r="K820" t="s">
        <v>15</v>
      </c>
      <c r="M820" t="str">
        <f t="shared" si="363"/>
        <v>c</v>
      </c>
      <c r="N820" t="str">
        <f t="shared" si="364"/>
        <v/>
      </c>
      <c r="O820" t="str">
        <f t="shared" si="365"/>
        <v/>
      </c>
    </row>
    <row r="821" spans="1:15" x14ac:dyDescent="0.3">
      <c r="A821">
        <v>36059</v>
      </c>
      <c r="B821" t="s">
        <v>1049</v>
      </c>
      <c r="C821">
        <v>4</v>
      </c>
      <c r="D821" t="s">
        <v>35</v>
      </c>
      <c r="E821" t="s">
        <v>1164</v>
      </c>
      <c r="F821" s="26">
        <v>28395.97</v>
      </c>
      <c r="G821" s="3">
        <v>45761</v>
      </c>
      <c r="H821" t="s">
        <v>14</v>
      </c>
      <c r="I821" s="4" t="str">
        <f t="shared" si="372"/>
        <v>Living Annuity</v>
      </c>
      <c r="J821" t="str">
        <f t="shared" si="373"/>
        <v>Compulsory, LA</v>
      </c>
      <c r="K821" t="s">
        <v>15</v>
      </c>
      <c r="M821" t="str">
        <f t="shared" si="363"/>
        <v>c</v>
      </c>
      <c r="N821" t="str">
        <f t="shared" si="364"/>
        <v/>
      </c>
      <c r="O821" t="str">
        <f t="shared" si="365"/>
        <v/>
      </c>
    </row>
    <row r="822" spans="1:15" x14ac:dyDescent="0.3">
      <c r="A822">
        <v>36059</v>
      </c>
      <c r="B822" t="s">
        <v>1050</v>
      </c>
      <c r="C822">
        <v>4</v>
      </c>
      <c r="D822" t="s">
        <v>35</v>
      </c>
      <c r="E822" t="s">
        <v>1164</v>
      </c>
      <c r="F822" s="26">
        <v>18282.099999999999</v>
      </c>
      <c r="G822" s="3">
        <v>45761</v>
      </c>
      <c r="H822" t="s">
        <v>14</v>
      </c>
      <c r="I822" s="4" t="str">
        <f t="shared" si="372"/>
        <v>Living Annuity</v>
      </c>
      <c r="J822" t="str">
        <f t="shared" si="373"/>
        <v>Compulsory, LA</v>
      </c>
      <c r="K822" t="s">
        <v>15</v>
      </c>
      <c r="M822" t="str">
        <f t="shared" si="363"/>
        <v>c</v>
      </c>
      <c r="N822" t="str">
        <f t="shared" si="364"/>
        <v/>
      </c>
      <c r="O822" t="str">
        <f t="shared" si="365"/>
        <v/>
      </c>
    </row>
    <row r="823" spans="1:15" x14ac:dyDescent="0.3">
      <c r="A823">
        <v>36060</v>
      </c>
      <c r="B823" t="s">
        <v>1051</v>
      </c>
      <c r="C823">
        <v>2</v>
      </c>
      <c r="D823" t="s">
        <v>38</v>
      </c>
      <c r="E823" t="s">
        <v>1164</v>
      </c>
      <c r="F823" s="26">
        <v>39167.980000000003</v>
      </c>
      <c r="G823" s="3">
        <v>45761</v>
      </c>
      <c r="H823" t="s">
        <v>14</v>
      </c>
      <c r="I823" s="4" t="str">
        <f t="shared" si="372"/>
        <v>Living Annuity</v>
      </c>
      <c r="J823" t="str">
        <f t="shared" si="373"/>
        <v>Compulsory, LA</v>
      </c>
      <c r="K823" t="s">
        <v>15</v>
      </c>
      <c r="M823" t="str">
        <f t="shared" si="363"/>
        <v>c</v>
      </c>
      <c r="N823" t="str">
        <f t="shared" si="364"/>
        <v/>
      </c>
      <c r="O823" t="str">
        <f t="shared" si="365"/>
        <v/>
      </c>
    </row>
    <row r="824" spans="1:15" x14ac:dyDescent="0.3">
      <c r="A824">
        <v>36060</v>
      </c>
      <c r="B824" t="s">
        <v>1052</v>
      </c>
      <c r="C824">
        <v>2</v>
      </c>
      <c r="D824" t="s">
        <v>38</v>
      </c>
      <c r="E824" t="s">
        <v>1164</v>
      </c>
      <c r="F824" s="26">
        <v>6777.54</v>
      </c>
      <c r="G824" s="3">
        <v>45761</v>
      </c>
      <c r="H824" t="s">
        <v>14</v>
      </c>
      <c r="I824" s="4" t="str">
        <f t="shared" si="372"/>
        <v>Living Annuity</v>
      </c>
      <c r="J824" t="str">
        <f t="shared" si="373"/>
        <v>Compulsory, LA</v>
      </c>
      <c r="K824" t="s">
        <v>15</v>
      </c>
      <c r="M824" t="str">
        <f t="shared" si="363"/>
        <v>c</v>
      </c>
      <c r="N824" t="str">
        <f t="shared" si="364"/>
        <v/>
      </c>
      <c r="O824" t="str">
        <f t="shared" si="365"/>
        <v/>
      </c>
    </row>
    <row r="825" spans="1:15" x14ac:dyDescent="0.3">
      <c r="A825">
        <v>36355</v>
      </c>
      <c r="B825" t="s">
        <v>1053</v>
      </c>
      <c r="C825">
        <v>53</v>
      </c>
      <c r="D825" t="s">
        <v>42</v>
      </c>
      <c r="E825" t="s">
        <v>1164</v>
      </c>
      <c r="F825" s="26">
        <v>420.56</v>
      </c>
      <c r="G825" s="3">
        <v>45761</v>
      </c>
      <c r="H825" t="s">
        <v>14</v>
      </c>
      <c r="I825" s="4" t="str">
        <f t="shared" si="372"/>
        <v>Living Annuity</v>
      </c>
      <c r="J825" t="str">
        <f t="shared" si="373"/>
        <v>Compulsory, LA</v>
      </c>
      <c r="K825" t="s">
        <v>15</v>
      </c>
      <c r="M825" t="str">
        <f t="shared" si="363"/>
        <v>c</v>
      </c>
      <c r="N825" t="str">
        <f t="shared" si="364"/>
        <v/>
      </c>
      <c r="O825" t="str">
        <f t="shared" si="365"/>
        <v/>
      </c>
    </row>
    <row r="826" spans="1:15" x14ac:dyDescent="0.3">
      <c r="A826">
        <v>37040</v>
      </c>
      <c r="B826" t="s">
        <v>1054</v>
      </c>
      <c r="C826">
        <v>263</v>
      </c>
      <c r="D826" t="s">
        <v>44</v>
      </c>
      <c r="E826" t="s">
        <v>1164</v>
      </c>
      <c r="F826" s="26">
        <v>20566.759999999998</v>
      </c>
      <c r="G826" s="3">
        <v>45761</v>
      </c>
      <c r="H826" t="s">
        <v>14</v>
      </c>
      <c r="I826" s="4" t="str">
        <f t="shared" si="372"/>
        <v>Living Annuity</v>
      </c>
      <c r="J826" t="str">
        <f t="shared" si="373"/>
        <v>Compulsory, LA</v>
      </c>
      <c r="K826" t="s">
        <v>15</v>
      </c>
      <c r="M826" t="str">
        <f t="shared" si="363"/>
        <v>c</v>
      </c>
      <c r="N826" t="str">
        <f t="shared" si="364"/>
        <v/>
      </c>
      <c r="O826" t="str">
        <f t="shared" si="365"/>
        <v/>
      </c>
    </row>
    <row r="827" spans="1:15" x14ac:dyDescent="0.3">
      <c r="A827">
        <v>37041</v>
      </c>
      <c r="B827" t="s">
        <v>1055</v>
      </c>
      <c r="C827">
        <v>84</v>
      </c>
      <c r="D827" t="s">
        <v>46</v>
      </c>
      <c r="E827" t="s">
        <v>1164</v>
      </c>
      <c r="F827" s="26">
        <v>3847.77</v>
      </c>
      <c r="G827" s="3">
        <v>45761</v>
      </c>
      <c r="H827" t="s">
        <v>14</v>
      </c>
      <c r="I827" s="4" t="str">
        <f t="shared" si="372"/>
        <v>Living Annuity</v>
      </c>
      <c r="J827" t="str">
        <f t="shared" si="373"/>
        <v>Compulsory, LA</v>
      </c>
      <c r="K827" t="s">
        <v>15</v>
      </c>
      <c r="M827" t="str">
        <f t="shared" si="363"/>
        <v>c</v>
      </c>
      <c r="N827" t="str">
        <f t="shared" si="364"/>
        <v/>
      </c>
      <c r="O827" t="str">
        <f t="shared" si="365"/>
        <v/>
      </c>
    </row>
    <row r="828" spans="1:15" x14ac:dyDescent="0.3">
      <c r="A828">
        <v>38586</v>
      </c>
      <c r="B828" t="s">
        <v>1056</v>
      </c>
      <c r="C828">
        <v>181</v>
      </c>
      <c r="D828" t="s">
        <v>48</v>
      </c>
      <c r="E828" t="s">
        <v>1164</v>
      </c>
      <c r="F828" s="26">
        <v>2644.73</v>
      </c>
      <c r="G828" s="3">
        <v>45761</v>
      </c>
      <c r="H828" t="s">
        <v>14</v>
      </c>
      <c r="I828" s="4" t="str">
        <f t="shared" si="372"/>
        <v>Living Annuity</v>
      </c>
      <c r="J828" t="str">
        <f t="shared" si="373"/>
        <v>Compulsory, LA</v>
      </c>
      <c r="K828" t="s">
        <v>15</v>
      </c>
      <c r="M828" t="str">
        <f t="shared" ref="M828:M893" si="374">RIGHT(B828,1)</f>
        <v>c</v>
      </c>
      <c r="N828" t="str">
        <f t="shared" ref="N828:N893" si="375">IF(M828="f","FFFF","")</f>
        <v/>
      </c>
      <c r="O828" t="str">
        <f t="shared" ref="O828:O893" si="376">IF(M828="I","IIII","")</f>
        <v/>
      </c>
    </row>
    <row r="829" spans="1:15" x14ac:dyDescent="0.3">
      <c r="A829">
        <v>38842</v>
      </c>
      <c r="B829" t="s">
        <v>1100</v>
      </c>
      <c r="C829">
        <v>79</v>
      </c>
      <c r="D829" t="s">
        <v>50</v>
      </c>
      <c r="E829" t="s">
        <v>1164</v>
      </c>
      <c r="F829" s="25">
        <v>1946</v>
      </c>
      <c r="G829" s="3">
        <v>45761</v>
      </c>
      <c r="H829" t="s">
        <v>14</v>
      </c>
      <c r="I829" s="4" t="str">
        <f>MID(H829,6,30)</f>
        <v>Living Annuity</v>
      </c>
      <c r="J829" t="str">
        <f>IF(LEFT(I829)="L","Compulsory, LA",IF(LEFT(I829)="R","Compulsory, RA",IF(LEFT(I829,2)="Pe","Compulsory, Pens","Voluntary")))</f>
        <v>Compulsory, LA</v>
      </c>
      <c r="K829" t="s">
        <v>15</v>
      </c>
      <c r="M829" t="str">
        <f t="shared" si="374"/>
        <v>c</v>
      </c>
      <c r="N829" t="str">
        <f t="shared" si="375"/>
        <v/>
      </c>
      <c r="O829" t="str">
        <f t="shared" si="376"/>
        <v/>
      </c>
    </row>
    <row r="830" spans="1:15" x14ac:dyDescent="0.3">
      <c r="A830">
        <v>38851</v>
      </c>
      <c r="B830" t="s">
        <v>1057</v>
      </c>
      <c r="C830">
        <v>172</v>
      </c>
      <c r="D830" t="s">
        <v>52</v>
      </c>
      <c r="E830" t="s">
        <v>1164</v>
      </c>
      <c r="F830" s="26">
        <v>158.63999999999999</v>
      </c>
      <c r="G830" s="3">
        <v>45761</v>
      </c>
      <c r="H830" t="s">
        <v>14</v>
      </c>
      <c r="I830" s="4" t="str">
        <f t="shared" ref="I830:I851" si="377">MID(H830,6,30)</f>
        <v>Living Annuity</v>
      </c>
      <c r="J830" t="str">
        <f t="shared" ref="J830:J834" si="378">IF(LEFT(I830)="L","Compulsory, LA",IF(LEFT(I830)="R","Compulsory, RA",IF(LEFT(I830,2)="Pe","Compulsory, Pens","Voluntary")))</f>
        <v>Compulsory, LA</v>
      </c>
      <c r="K830" t="s">
        <v>15</v>
      </c>
      <c r="M830" t="str">
        <f t="shared" si="374"/>
        <v>c</v>
      </c>
      <c r="N830" t="str">
        <f t="shared" si="375"/>
        <v/>
      </c>
      <c r="O830" t="str">
        <f t="shared" si="376"/>
        <v/>
      </c>
    </row>
    <row r="831" spans="1:15" x14ac:dyDescent="0.3">
      <c r="A831">
        <v>38887</v>
      </c>
      <c r="B831" t="s">
        <v>1058</v>
      </c>
      <c r="C831">
        <v>29</v>
      </c>
      <c r="D831" t="s">
        <v>54</v>
      </c>
      <c r="E831" t="s">
        <v>1164</v>
      </c>
      <c r="F831" s="26">
        <v>964.33</v>
      </c>
      <c r="G831" s="3">
        <v>45761</v>
      </c>
      <c r="H831" t="s">
        <v>14</v>
      </c>
      <c r="I831" s="4" t="str">
        <f t="shared" si="377"/>
        <v>Living Annuity</v>
      </c>
      <c r="J831" t="str">
        <f t="shared" si="378"/>
        <v>Compulsory, LA</v>
      </c>
      <c r="K831" t="s">
        <v>15</v>
      </c>
      <c r="M831" t="str">
        <f t="shared" si="374"/>
        <v>c</v>
      </c>
      <c r="N831" t="str">
        <f t="shared" si="375"/>
        <v/>
      </c>
      <c r="O831" t="str">
        <f t="shared" si="376"/>
        <v/>
      </c>
    </row>
    <row r="832" spans="1:15" x14ac:dyDescent="0.3">
      <c r="A832">
        <v>46589</v>
      </c>
      <c r="B832" t="s">
        <v>1059</v>
      </c>
      <c r="C832">
        <v>80</v>
      </c>
      <c r="D832" t="s">
        <v>58</v>
      </c>
      <c r="E832" t="s">
        <v>1164</v>
      </c>
      <c r="F832" s="25">
        <v>48691.17</v>
      </c>
      <c r="G832" s="3">
        <v>45761</v>
      </c>
      <c r="H832" t="s">
        <v>14</v>
      </c>
      <c r="I832" s="4" t="str">
        <f t="shared" si="377"/>
        <v>Living Annuity</v>
      </c>
      <c r="J832" t="str">
        <f t="shared" si="378"/>
        <v>Compulsory, LA</v>
      </c>
      <c r="K832" t="s">
        <v>15</v>
      </c>
      <c r="M832" t="str">
        <f t="shared" si="374"/>
        <v>c</v>
      </c>
      <c r="N832" t="str">
        <f t="shared" si="375"/>
        <v/>
      </c>
      <c r="O832" t="str">
        <f t="shared" si="376"/>
        <v/>
      </c>
    </row>
    <row r="833" spans="1:15" x14ac:dyDescent="0.3">
      <c r="A833">
        <v>46589</v>
      </c>
      <c r="B833" t="s">
        <v>1060</v>
      </c>
      <c r="C833">
        <v>80</v>
      </c>
      <c r="D833" t="s">
        <v>58</v>
      </c>
      <c r="E833" t="s">
        <v>1164</v>
      </c>
      <c r="F833" s="25">
        <v>2280.64</v>
      </c>
      <c r="G833" s="3">
        <v>45761</v>
      </c>
      <c r="H833" t="s">
        <v>14</v>
      </c>
      <c r="I833" s="4" t="str">
        <f t="shared" si="377"/>
        <v>Living Annuity</v>
      </c>
      <c r="J833" t="str">
        <f t="shared" si="378"/>
        <v>Compulsory, LA</v>
      </c>
      <c r="K833" t="s">
        <v>15</v>
      </c>
      <c r="M833" t="str">
        <f t="shared" si="374"/>
        <v>c</v>
      </c>
      <c r="N833" t="str">
        <f t="shared" si="375"/>
        <v/>
      </c>
      <c r="O833" t="str">
        <f t="shared" si="376"/>
        <v/>
      </c>
    </row>
    <row r="834" spans="1:15" x14ac:dyDescent="0.3">
      <c r="A834">
        <v>54985</v>
      </c>
      <c r="B834" t="s">
        <v>1061</v>
      </c>
      <c r="C834">
        <v>33</v>
      </c>
      <c r="D834" t="s">
        <v>60</v>
      </c>
      <c r="E834" t="s">
        <v>1164</v>
      </c>
      <c r="F834" s="25">
        <v>977.58</v>
      </c>
      <c r="G834" s="3">
        <v>45761</v>
      </c>
      <c r="H834" t="s">
        <v>14</v>
      </c>
      <c r="I834" s="4" t="str">
        <f t="shared" si="377"/>
        <v>Living Annuity</v>
      </c>
      <c r="J834" t="str">
        <f t="shared" si="378"/>
        <v>Compulsory, LA</v>
      </c>
      <c r="K834" t="s">
        <v>15</v>
      </c>
      <c r="M834" t="str">
        <f t="shared" si="374"/>
        <v>c</v>
      </c>
      <c r="N834" t="str">
        <f t="shared" si="375"/>
        <v/>
      </c>
      <c r="O834" t="str">
        <f t="shared" si="376"/>
        <v/>
      </c>
    </row>
    <row r="835" spans="1:15" x14ac:dyDescent="0.3">
      <c r="A835">
        <v>69046</v>
      </c>
      <c r="B835" t="s">
        <v>1063</v>
      </c>
      <c r="C835">
        <v>167</v>
      </c>
      <c r="D835" t="s">
        <v>703</v>
      </c>
      <c r="E835" t="s">
        <v>1164</v>
      </c>
      <c r="F835" s="25">
        <v>36682.120000000003</v>
      </c>
      <c r="G835" s="3">
        <v>45761</v>
      </c>
      <c r="H835" t="s">
        <v>14</v>
      </c>
      <c r="I835" s="4" t="str">
        <f t="shared" si="377"/>
        <v>Living Annuity</v>
      </c>
      <c r="J835" t="str">
        <f t="shared" ref="J835" si="379">IF(LEFT(I835)="L","Compulsory, LA",IF(LEFT(I835)="R","Compulsory, RA",IF(LEFT(I835,2)="Pe","Compulsory, Pens",IF(LEFT(I835,2)="Pr","Compulsory, Prov","Voluntary"))))</f>
        <v>Compulsory, LA</v>
      </c>
      <c r="K835" t="s">
        <v>15</v>
      </c>
      <c r="M835" t="str">
        <f t="shared" si="374"/>
        <v>c</v>
      </c>
      <c r="N835" t="str">
        <f t="shared" si="375"/>
        <v/>
      </c>
      <c r="O835" t="str">
        <f t="shared" si="376"/>
        <v/>
      </c>
    </row>
    <row r="836" spans="1:15" x14ac:dyDescent="0.3">
      <c r="A836">
        <v>72002</v>
      </c>
      <c r="B836" t="s">
        <v>1064</v>
      </c>
      <c r="C836">
        <v>67</v>
      </c>
      <c r="D836" t="s">
        <v>66</v>
      </c>
      <c r="E836" t="s">
        <v>1164</v>
      </c>
      <c r="F836" s="26">
        <v>39444.92</v>
      </c>
      <c r="G836" s="3">
        <v>45761</v>
      </c>
      <c r="H836" t="s">
        <v>14</v>
      </c>
      <c r="I836" s="4" t="str">
        <f t="shared" si="377"/>
        <v>Living Annuity</v>
      </c>
      <c r="J836" t="str">
        <f t="shared" ref="J836:J851" si="380">IF(LEFT(I836)="L","Compulsory, LA",IF(LEFT(I836)="R","Compulsory, RA",IF(LEFT(I836,2)="Pe","Compulsory, Pens","Voluntary")))</f>
        <v>Compulsory, LA</v>
      </c>
      <c r="K836" t="s">
        <v>15</v>
      </c>
      <c r="M836" t="str">
        <f t="shared" si="374"/>
        <v>c</v>
      </c>
      <c r="N836" t="str">
        <f t="shared" si="375"/>
        <v/>
      </c>
      <c r="O836" t="str">
        <f t="shared" si="376"/>
        <v/>
      </c>
    </row>
    <row r="837" spans="1:15" x14ac:dyDescent="0.3">
      <c r="A837">
        <v>72002</v>
      </c>
      <c r="B837" t="s">
        <v>917</v>
      </c>
      <c r="C837">
        <v>67</v>
      </c>
      <c r="D837" t="s">
        <v>66</v>
      </c>
      <c r="E837" t="s">
        <v>1164</v>
      </c>
      <c r="F837" s="26">
        <v>5934.12</v>
      </c>
      <c r="G837" s="3">
        <v>45761</v>
      </c>
      <c r="H837" t="s">
        <v>14</v>
      </c>
      <c r="I837" s="4" t="str">
        <f t="shared" si="377"/>
        <v>Living Annuity</v>
      </c>
      <c r="J837" t="str">
        <f t="shared" si="380"/>
        <v>Compulsory, LA</v>
      </c>
      <c r="K837" t="s">
        <v>15</v>
      </c>
      <c r="M837" t="str">
        <f t="shared" si="374"/>
        <v>c</v>
      </c>
      <c r="N837" t="str">
        <f t="shared" si="375"/>
        <v/>
      </c>
      <c r="O837" t="str">
        <f t="shared" si="376"/>
        <v/>
      </c>
    </row>
    <row r="838" spans="1:15" x14ac:dyDescent="0.3">
      <c r="A838">
        <v>80212</v>
      </c>
      <c r="B838" t="s">
        <v>1065</v>
      </c>
      <c r="C838">
        <v>372</v>
      </c>
      <c r="D838" t="s">
        <v>68</v>
      </c>
      <c r="E838" t="s">
        <v>1164</v>
      </c>
      <c r="F838" s="26">
        <v>285.94</v>
      </c>
      <c r="G838" s="3">
        <v>45761</v>
      </c>
      <c r="H838" t="s">
        <v>31</v>
      </c>
      <c r="I838" s="4" t="str">
        <f t="shared" si="377"/>
        <v>Investment Account</v>
      </c>
      <c r="J838" t="str">
        <f t="shared" si="380"/>
        <v>Voluntary</v>
      </c>
      <c r="K838" t="s">
        <v>15</v>
      </c>
      <c r="M838" t="str">
        <f t="shared" si="374"/>
        <v>c</v>
      </c>
      <c r="N838" t="str">
        <f t="shared" si="375"/>
        <v/>
      </c>
      <c r="O838" t="str">
        <f t="shared" si="376"/>
        <v/>
      </c>
    </row>
    <row r="839" spans="1:15" x14ac:dyDescent="0.3">
      <c r="A839">
        <v>81381</v>
      </c>
      <c r="B839" t="s">
        <v>1066</v>
      </c>
      <c r="C839">
        <v>183</v>
      </c>
      <c r="D839" t="s">
        <v>71</v>
      </c>
      <c r="E839" t="s">
        <v>1164</v>
      </c>
      <c r="F839" s="26">
        <v>2771.68</v>
      </c>
      <c r="G839" s="3">
        <v>45761</v>
      </c>
      <c r="H839" t="s">
        <v>14</v>
      </c>
      <c r="I839" s="4" t="str">
        <f t="shared" si="377"/>
        <v>Living Annuity</v>
      </c>
      <c r="J839" t="str">
        <f t="shared" si="380"/>
        <v>Compulsory, LA</v>
      </c>
      <c r="K839" t="s">
        <v>15</v>
      </c>
      <c r="M839" t="str">
        <f t="shared" si="374"/>
        <v>c</v>
      </c>
      <c r="N839" t="str">
        <f t="shared" si="375"/>
        <v/>
      </c>
      <c r="O839" t="str">
        <f t="shared" si="376"/>
        <v/>
      </c>
    </row>
    <row r="840" spans="1:15" x14ac:dyDescent="0.3">
      <c r="A840">
        <v>81381</v>
      </c>
      <c r="B840" t="s">
        <v>1067</v>
      </c>
      <c r="C840">
        <v>183</v>
      </c>
      <c r="D840" t="s">
        <v>71</v>
      </c>
      <c r="E840" t="s">
        <v>1164</v>
      </c>
      <c r="F840" s="26">
        <v>91228.22</v>
      </c>
      <c r="G840" s="3">
        <v>45761</v>
      </c>
      <c r="H840" t="s">
        <v>14</v>
      </c>
      <c r="I840" s="4" t="str">
        <f t="shared" si="377"/>
        <v>Living Annuity</v>
      </c>
      <c r="J840" t="str">
        <f t="shared" si="380"/>
        <v>Compulsory, LA</v>
      </c>
      <c r="K840" t="s">
        <v>15</v>
      </c>
      <c r="M840" t="str">
        <f t="shared" si="374"/>
        <v>c</v>
      </c>
      <c r="N840" t="str">
        <f t="shared" si="375"/>
        <v/>
      </c>
      <c r="O840" t="str">
        <f t="shared" si="376"/>
        <v/>
      </c>
    </row>
    <row r="841" spans="1:15" x14ac:dyDescent="0.3">
      <c r="A841">
        <v>113590</v>
      </c>
      <c r="B841" t="s">
        <v>1068</v>
      </c>
      <c r="C841">
        <v>44</v>
      </c>
      <c r="D841" t="s">
        <v>958</v>
      </c>
      <c r="E841" t="s">
        <v>1164</v>
      </c>
      <c r="F841" s="26">
        <v>10719.06</v>
      </c>
      <c r="G841" s="3">
        <v>45761</v>
      </c>
      <c r="H841" t="s">
        <v>14</v>
      </c>
      <c r="I841" s="4" t="str">
        <f t="shared" si="377"/>
        <v>Living Annuity</v>
      </c>
      <c r="J841" t="str">
        <f t="shared" si="380"/>
        <v>Compulsory, LA</v>
      </c>
      <c r="K841" t="s">
        <v>15</v>
      </c>
      <c r="M841" t="str">
        <f t="shared" si="374"/>
        <v>c</v>
      </c>
      <c r="N841" t="str">
        <f t="shared" si="375"/>
        <v/>
      </c>
      <c r="O841" t="str">
        <f t="shared" si="376"/>
        <v/>
      </c>
    </row>
    <row r="842" spans="1:15" x14ac:dyDescent="0.3">
      <c r="A842">
        <v>113590</v>
      </c>
      <c r="B842" t="s">
        <v>1114</v>
      </c>
      <c r="C842">
        <v>44</v>
      </c>
      <c r="D842" t="s">
        <v>958</v>
      </c>
      <c r="E842" t="s">
        <v>1164</v>
      </c>
      <c r="F842" s="26">
        <v>2872.98</v>
      </c>
      <c r="G842" s="3">
        <v>45761</v>
      </c>
      <c r="H842" t="s">
        <v>14</v>
      </c>
      <c r="I842" s="4" t="str">
        <f t="shared" si="377"/>
        <v>Living Annuity</v>
      </c>
      <c r="J842" t="str">
        <f t="shared" si="380"/>
        <v>Compulsory, LA</v>
      </c>
      <c r="K842" t="s">
        <v>15</v>
      </c>
      <c r="M842" t="str">
        <f t="shared" si="374"/>
        <v>c</v>
      </c>
      <c r="N842" t="str">
        <f t="shared" si="375"/>
        <v/>
      </c>
      <c r="O842" t="str">
        <f t="shared" si="376"/>
        <v/>
      </c>
    </row>
    <row r="843" spans="1:15" x14ac:dyDescent="0.3">
      <c r="A843">
        <v>130912</v>
      </c>
      <c r="B843" t="s">
        <v>1172</v>
      </c>
      <c r="C843">
        <v>35</v>
      </c>
      <c r="D843" t="s">
        <v>1169</v>
      </c>
      <c r="E843" t="s">
        <v>1164</v>
      </c>
      <c r="F843" s="26">
        <v>9903.77</v>
      </c>
      <c r="G843" s="3">
        <v>45761</v>
      </c>
      <c r="H843" t="s">
        <v>1147</v>
      </c>
      <c r="I843" s="4" t="str">
        <f t="shared" si="377"/>
        <v>Investment Account</v>
      </c>
      <c r="J843" t="str">
        <f t="shared" si="380"/>
        <v>Voluntary</v>
      </c>
      <c r="K843" t="s">
        <v>15</v>
      </c>
      <c r="M843" t="str">
        <f t="shared" si="374"/>
        <v>c</v>
      </c>
      <c r="N843" t="str">
        <f t="shared" si="375"/>
        <v/>
      </c>
      <c r="O843" t="str">
        <f t="shared" si="376"/>
        <v/>
      </c>
    </row>
    <row r="844" spans="1:15" x14ac:dyDescent="0.3">
      <c r="A844">
        <v>100202693</v>
      </c>
      <c r="B844" t="s">
        <v>1159</v>
      </c>
      <c r="C844">
        <v>92</v>
      </c>
      <c r="D844" t="s">
        <v>79</v>
      </c>
      <c r="E844" t="s">
        <v>1164</v>
      </c>
      <c r="F844" s="26">
        <v>32077.26</v>
      </c>
      <c r="G844" s="3">
        <v>45761</v>
      </c>
      <c r="H844" t="s">
        <v>1147</v>
      </c>
      <c r="I844" s="4" t="str">
        <f>MID(H844,6,30)</f>
        <v>Investment Account</v>
      </c>
      <c r="J844" t="str">
        <f>IF(LEFT(I844)="L","Compulsory, LA",IF(LEFT(I844)="R","Compulsory, RA",IF(LEFT(I844,2)="Pe","Compulsory, Pens","Voluntary")))</f>
        <v>Voluntary</v>
      </c>
      <c r="K844" t="s">
        <v>15</v>
      </c>
      <c r="M844" t="str">
        <f t="shared" si="374"/>
        <v>c</v>
      </c>
      <c r="N844" t="str">
        <f t="shared" si="375"/>
        <v/>
      </c>
      <c r="O844" t="str">
        <f t="shared" si="376"/>
        <v/>
      </c>
    </row>
    <row r="845" spans="1:15" x14ac:dyDescent="0.3">
      <c r="A845">
        <v>100202693</v>
      </c>
      <c r="B845" t="s">
        <v>1156</v>
      </c>
      <c r="C845">
        <v>92</v>
      </c>
      <c r="D845" t="s">
        <v>79</v>
      </c>
      <c r="E845" t="s">
        <v>1164</v>
      </c>
      <c r="F845" s="26">
        <v>25189.4</v>
      </c>
      <c r="G845" s="3">
        <v>45761</v>
      </c>
      <c r="H845" t="s">
        <v>14</v>
      </c>
      <c r="I845" s="4" t="str">
        <f>MID(H845,6,30)</f>
        <v>Living Annuity</v>
      </c>
      <c r="J845" t="str">
        <f>IF(LEFT(I845)="L","Compulsory, LA",IF(LEFT(I845)="R","Compulsory, RA",IF(LEFT(I845,2)="Pe","Compulsory, Pens","Voluntary")))</f>
        <v>Compulsory, LA</v>
      </c>
      <c r="K845" t="s">
        <v>15</v>
      </c>
      <c r="M845" t="str">
        <f t="shared" si="374"/>
        <v>c</v>
      </c>
      <c r="N845" t="str">
        <f t="shared" si="375"/>
        <v/>
      </c>
      <c r="O845" t="str">
        <f t="shared" si="376"/>
        <v/>
      </c>
    </row>
    <row r="846" spans="1:15" x14ac:dyDescent="0.3">
      <c r="A846">
        <v>100202693</v>
      </c>
      <c r="B846" t="s">
        <v>1155</v>
      </c>
      <c r="C846">
        <v>92</v>
      </c>
      <c r="D846" t="s">
        <v>79</v>
      </c>
      <c r="E846" t="s">
        <v>1164</v>
      </c>
      <c r="F846" s="26">
        <v>98225.21</v>
      </c>
      <c r="G846" s="3">
        <v>45761</v>
      </c>
      <c r="H846" t="s">
        <v>14</v>
      </c>
      <c r="I846" s="4" t="str">
        <f t="shared" si="377"/>
        <v>Living Annuity</v>
      </c>
      <c r="J846" t="str">
        <f t="shared" si="380"/>
        <v>Compulsory, LA</v>
      </c>
      <c r="K846" t="s">
        <v>15</v>
      </c>
      <c r="M846" t="str">
        <f t="shared" si="374"/>
        <v>c</v>
      </c>
      <c r="N846" t="str">
        <f t="shared" si="375"/>
        <v/>
      </c>
      <c r="O846" t="str">
        <f t="shared" si="376"/>
        <v/>
      </c>
    </row>
    <row r="847" spans="1:15" x14ac:dyDescent="0.3">
      <c r="A847">
        <v>100220898</v>
      </c>
      <c r="B847" t="s">
        <v>1069</v>
      </c>
      <c r="C847">
        <v>115</v>
      </c>
      <c r="D847" t="s">
        <v>83</v>
      </c>
      <c r="E847" t="s">
        <v>1164</v>
      </c>
      <c r="F847" s="25">
        <v>29634.720000000001</v>
      </c>
      <c r="G847" s="3">
        <v>45761</v>
      </c>
      <c r="H847" t="s">
        <v>14</v>
      </c>
      <c r="I847" s="4" t="str">
        <f t="shared" si="377"/>
        <v>Living Annuity</v>
      </c>
      <c r="J847" t="str">
        <f t="shared" si="380"/>
        <v>Compulsory, LA</v>
      </c>
      <c r="K847" t="s">
        <v>15</v>
      </c>
      <c r="M847" t="str">
        <f t="shared" si="374"/>
        <v>c</v>
      </c>
      <c r="N847" t="str">
        <f t="shared" si="375"/>
        <v/>
      </c>
      <c r="O847" t="str">
        <f t="shared" si="376"/>
        <v/>
      </c>
    </row>
    <row r="848" spans="1:15" x14ac:dyDescent="0.3">
      <c r="A848">
        <v>100220898</v>
      </c>
      <c r="B848" t="s">
        <v>741</v>
      </c>
      <c r="C848">
        <v>115</v>
      </c>
      <c r="D848" t="s">
        <v>83</v>
      </c>
      <c r="E848" t="s">
        <v>1164</v>
      </c>
      <c r="F848" s="25">
        <v>21894.560000000001</v>
      </c>
      <c r="G848" s="3">
        <v>45761</v>
      </c>
      <c r="H848" t="s">
        <v>14</v>
      </c>
      <c r="I848" s="4" t="str">
        <f t="shared" si="377"/>
        <v>Living Annuity</v>
      </c>
      <c r="J848" t="str">
        <f t="shared" si="380"/>
        <v>Compulsory, LA</v>
      </c>
      <c r="K848" t="s">
        <v>15</v>
      </c>
      <c r="M848" t="str">
        <f t="shared" si="374"/>
        <v>c</v>
      </c>
      <c r="N848" t="str">
        <f t="shared" si="375"/>
        <v/>
      </c>
      <c r="O848" t="str">
        <f t="shared" si="376"/>
        <v/>
      </c>
    </row>
    <row r="849" spans="1:15" x14ac:dyDescent="0.3">
      <c r="A849">
        <v>100247003</v>
      </c>
      <c r="B849" t="s">
        <v>1070</v>
      </c>
      <c r="C849">
        <v>79</v>
      </c>
      <c r="D849" t="s">
        <v>50</v>
      </c>
      <c r="E849" t="s">
        <v>1164</v>
      </c>
      <c r="F849" s="25">
        <v>11598.52</v>
      </c>
      <c r="G849" s="3">
        <v>45761</v>
      </c>
      <c r="H849" t="s">
        <v>14</v>
      </c>
      <c r="I849" s="4" t="str">
        <f t="shared" si="377"/>
        <v>Living Annuity</v>
      </c>
      <c r="J849" t="str">
        <f t="shared" si="380"/>
        <v>Compulsory, LA</v>
      </c>
      <c r="K849" t="s">
        <v>15</v>
      </c>
      <c r="M849" t="str">
        <f t="shared" si="374"/>
        <v>c</v>
      </c>
      <c r="N849" t="str">
        <f t="shared" si="375"/>
        <v/>
      </c>
      <c r="O849" t="str">
        <f t="shared" si="376"/>
        <v/>
      </c>
    </row>
    <row r="850" spans="1:15" x14ac:dyDescent="0.3">
      <c r="A850">
        <v>100249944</v>
      </c>
      <c r="B850" t="s">
        <v>1071</v>
      </c>
      <c r="C850">
        <v>56</v>
      </c>
      <c r="D850" t="s">
        <v>86</v>
      </c>
      <c r="E850" t="s">
        <v>1164</v>
      </c>
      <c r="F850" s="25">
        <v>23958.99</v>
      </c>
      <c r="G850" s="3">
        <v>45761</v>
      </c>
      <c r="H850" t="s">
        <v>14</v>
      </c>
      <c r="I850" s="4" t="str">
        <f t="shared" si="377"/>
        <v>Living Annuity</v>
      </c>
      <c r="J850" t="str">
        <f t="shared" si="380"/>
        <v>Compulsory, LA</v>
      </c>
      <c r="K850" t="s">
        <v>15</v>
      </c>
      <c r="M850" t="str">
        <f t="shared" si="374"/>
        <v>c</v>
      </c>
      <c r="N850" t="str">
        <f t="shared" si="375"/>
        <v/>
      </c>
      <c r="O850" t="str">
        <f t="shared" si="376"/>
        <v/>
      </c>
    </row>
    <row r="851" spans="1:15" x14ac:dyDescent="0.3">
      <c r="A851">
        <v>100250182</v>
      </c>
      <c r="B851" t="s">
        <v>1072</v>
      </c>
      <c r="C851">
        <v>193</v>
      </c>
      <c r="D851" t="s">
        <v>968</v>
      </c>
      <c r="E851" t="s">
        <v>1164</v>
      </c>
      <c r="F851" s="25">
        <v>46569.36</v>
      </c>
      <c r="G851" s="3">
        <v>45761</v>
      </c>
      <c r="H851" t="s">
        <v>14</v>
      </c>
      <c r="I851" s="4" t="str">
        <f t="shared" si="377"/>
        <v>Living Annuity</v>
      </c>
      <c r="J851" t="str">
        <f t="shared" si="380"/>
        <v>Compulsory, LA</v>
      </c>
      <c r="K851" t="s">
        <v>15</v>
      </c>
      <c r="M851" t="str">
        <f t="shared" si="374"/>
        <v>c</v>
      </c>
      <c r="N851" t="str">
        <f t="shared" si="375"/>
        <v/>
      </c>
      <c r="O851" t="str">
        <f t="shared" si="376"/>
        <v/>
      </c>
    </row>
    <row r="852" spans="1:15" x14ac:dyDescent="0.3">
      <c r="A852">
        <v>100273792</v>
      </c>
      <c r="B852" t="s">
        <v>742</v>
      </c>
      <c r="C852">
        <v>299</v>
      </c>
      <c r="D852" t="s">
        <v>114</v>
      </c>
      <c r="E852" t="s">
        <v>1164</v>
      </c>
      <c r="F852" s="26">
        <v>25344.82</v>
      </c>
      <c r="G852" s="3">
        <v>45761</v>
      </c>
      <c r="H852" t="s">
        <v>14</v>
      </c>
      <c r="I852" s="4" t="str">
        <f>MID(H852,6,30)</f>
        <v>Living Annuity</v>
      </c>
      <c r="J852" t="str">
        <f>IF(LEFT(I852)="L","Compulsory, LA",IF(LEFT(I852)="R","Compulsory, RA",IF(LEFT(I852,2)="Pe","Compulsory, Pens","Voluntary")))</f>
        <v>Compulsory, LA</v>
      </c>
      <c r="K852" t="s">
        <v>15</v>
      </c>
      <c r="M852" t="str">
        <f t="shared" si="374"/>
        <v>c</v>
      </c>
      <c r="N852" t="str">
        <f t="shared" si="375"/>
        <v/>
      </c>
      <c r="O852" t="str">
        <f t="shared" si="376"/>
        <v/>
      </c>
    </row>
    <row r="853" spans="1:15" x14ac:dyDescent="0.3">
      <c r="A853">
        <v>100273792</v>
      </c>
      <c r="B853" t="s">
        <v>743</v>
      </c>
      <c r="C853">
        <v>299</v>
      </c>
      <c r="D853" t="s">
        <v>114</v>
      </c>
      <c r="E853" t="s">
        <v>1164</v>
      </c>
      <c r="F853" s="26">
        <v>34806.71</v>
      </c>
      <c r="G853" s="3">
        <v>45761</v>
      </c>
      <c r="H853" t="s">
        <v>14</v>
      </c>
      <c r="I853" s="4" t="str">
        <f t="shared" ref="I853" si="381">MID(H853,6,30)</f>
        <v>Living Annuity</v>
      </c>
      <c r="J853" t="str">
        <f t="shared" ref="J853" si="382">IF(LEFT(I853)="L","Compulsory, LA",IF(LEFT(I853)="R","Compulsory, RA",IF(LEFT(I853,2)="Pe","Compulsory, Pens","Voluntary")))</f>
        <v>Compulsory, LA</v>
      </c>
      <c r="K853" t="s">
        <v>15</v>
      </c>
      <c r="M853" t="str">
        <f t="shared" si="374"/>
        <v>c</v>
      </c>
      <c r="N853" t="str">
        <f t="shared" si="375"/>
        <v/>
      </c>
      <c r="O853" t="str">
        <f t="shared" si="376"/>
        <v/>
      </c>
    </row>
    <row r="854" spans="1:15" x14ac:dyDescent="0.3">
      <c r="A854">
        <v>100278188</v>
      </c>
      <c r="B854" t="s">
        <v>1074</v>
      </c>
      <c r="C854">
        <v>300</v>
      </c>
      <c r="D854" t="s">
        <v>92</v>
      </c>
      <c r="E854" t="s">
        <v>1164</v>
      </c>
      <c r="F854" s="25">
        <v>9690.7099999999991</v>
      </c>
      <c r="G854" s="3">
        <v>45761</v>
      </c>
      <c r="H854" t="s">
        <v>14</v>
      </c>
      <c r="I854" s="4" t="str">
        <f>MID(H854,6,30)</f>
        <v>Living Annuity</v>
      </c>
      <c r="J854" t="str">
        <f>IF(LEFT(I854)="L","Compulsory, LA",IF(LEFT(I854)="R","Compulsory, RA",IF(LEFT(I854,2)="Pe","Compulsory, Pens","Voluntary")))</f>
        <v>Compulsory, LA</v>
      </c>
      <c r="K854" t="s">
        <v>15</v>
      </c>
      <c r="M854" t="str">
        <f t="shared" si="374"/>
        <v>c</v>
      </c>
      <c r="N854" t="str">
        <f t="shared" si="375"/>
        <v/>
      </c>
      <c r="O854" t="str">
        <f t="shared" si="376"/>
        <v/>
      </c>
    </row>
    <row r="855" spans="1:15" x14ac:dyDescent="0.3">
      <c r="A855">
        <v>100278188</v>
      </c>
      <c r="B855" t="s">
        <v>918</v>
      </c>
      <c r="C855">
        <v>300</v>
      </c>
      <c r="D855" t="s">
        <v>92</v>
      </c>
      <c r="E855" t="s">
        <v>1164</v>
      </c>
      <c r="F855" s="25">
        <v>17725.23</v>
      </c>
      <c r="G855" s="3">
        <v>45761</v>
      </c>
      <c r="H855" t="s">
        <v>14</v>
      </c>
      <c r="I855" s="4" t="str">
        <f>MID(H855,6,30)</f>
        <v>Living Annuity</v>
      </c>
      <c r="J855" t="str">
        <f>IF(LEFT(I855)="L","Compulsory, LA",IF(LEFT(I855)="R","Compulsory, RA",IF(LEFT(I855,2)="Pe","Compulsory, Pens","Voluntary")))</f>
        <v>Compulsory, LA</v>
      </c>
      <c r="K855" t="s">
        <v>15</v>
      </c>
      <c r="M855" t="str">
        <f t="shared" si="374"/>
        <v>c</v>
      </c>
      <c r="N855" t="str">
        <f t="shared" si="375"/>
        <v/>
      </c>
      <c r="O855" t="str">
        <f t="shared" si="376"/>
        <v/>
      </c>
    </row>
    <row r="856" spans="1:15" x14ac:dyDescent="0.3">
      <c r="A856">
        <v>100278188</v>
      </c>
      <c r="B856" t="s">
        <v>1073</v>
      </c>
      <c r="C856">
        <v>300</v>
      </c>
      <c r="D856" t="s">
        <v>92</v>
      </c>
      <c r="E856" t="s">
        <v>1164</v>
      </c>
      <c r="F856" s="25">
        <v>5415.56</v>
      </c>
      <c r="G856" s="3">
        <v>45761</v>
      </c>
      <c r="H856" t="s">
        <v>14</v>
      </c>
      <c r="I856" s="4" t="str">
        <f t="shared" ref="I856:I867" si="383">MID(H856,6,30)</f>
        <v>Living Annuity</v>
      </c>
      <c r="J856" t="str">
        <f t="shared" ref="J856:J867" si="384">IF(LEFT(I856)="L","Compulsory, LA",IF(LEFT(I856)="R","Compulsory, RA",IF(LEFT(I856,2)="Pe","Compulsory, Pens","Voluntary")))</f>
        <v>Compulsory, LA</v>
      </c>
      <c r="K856" t="s">
        <v>15</v>
      </c>
      <c r="M856" t="str">
        <f t="shared" si="374"/>
        <v>c</v>
      </c>
      <c r="N856" t="str">
        <f t="shared" si="375"/>
        <v/>
      </c>
      <c r="O856" t="str">
        <f t="shared" si="376"/>
        <v/>
      </c>
    </row>
    <row r="857" spans="1:15" x14ac:dyDescent="0.3">
      <c r="A857">
        <v>100325823</v>
      </c>
      <c r="B857" t="s">
        <v>1075</v>
      </c>
      <c r="C857">
        <v>114</v>
      </c>
      <c r="D857" t="s">
        <v>97</v>
      </c>
      <c r="E857" t="s">
        <v>1164</v>
      </c>
      <c r="F857" s="26">
        <v>62997.36</v>
      </c>
      <c r="G857" s="3">
        <v>45761</v>
      </c>
      <c r="H857" t="s">
        <v>14</v>
      </c>
      <c r="I857" s="4" t="str">
        <f t="shared" si="383"/>
        <v>Living Annuity</v>
      </c>
      <c r="J857" t="str">
        <f t="shared" si="384"/>
        <v>Compulsory, LA</v>
      </c>
      <c r="K857" t="s">
        <v>15</v>
      </c>
      <c r="M857" t="str">
        <f t="shared" si="374"/>
        <v>c</v>
      </c>
      <c r="N857" t="str">
        <f t="shared" si="375"/>
        <v/>
      </c>
      <c r="O857" t="str">
        <f t="shared" si="376"/>
        <v/>
      </c>
    </row>
    <row r="858" spans="1:15" x14ac:dyDescent="0.3">
      <c r="A858">
        <v>100376880</v>
      </c>
      <c r="B858" t="s">
        <v>1076</v>
      </c>
      <c r="C858">
        <v>97</v>
      </c>
      <c r="D858" t="s">
        <v>618</v>
      </c>
      <c r="E858" t="s">
        <v>1164</v>
      </c>
      <c r="F858" s="26">
        <v>1700.18</v>
      </c>
      <c r="G858" s="3">
        <v>45761</v>
      </c>
      <c r="H858" t="s">
        <v>14</v>
      </c>
      <c r="I858" s="4" t="str">
        <f t="shared" si="383"/>
        <v>Living Annuity</v>
      </c>
      <c r="J858" t="str">
        <f t="shared" si="384"/>
        <v>Compulsory, LA</v>
      </c>
      <c r="K858" t="s">
        <v>15</v>
      </c>
      <c r="M858" t="str">
        <f t="shared" si="374"/>
        <v>c</v>
      </c>
      <c r="N858" t="str">
        <f t="shared" si="375"/>
        <v/>
      </c>
      <c r="O858" t="str">
        <f t="shared" si="376"/>
        <v/>
      </c>
    </row>
    <row r="859" spans="1:15" x14ac:dyDescent="0.3">
      <c r="A859">
        <v>100388471</v>
      </c>
      <c r="B859" t="s">
        <v>1077</v>
      </c>
      <c r="C859">
        <v>3</v>
      </c>
      <c r="D859" t="s">
        <v>101</v>
      </c>
      <c r="E859" t="s">
        <v>1164</v>
      </c>
      <c r="F859" s="25">
        <v>30495.68</v>
      </c>
      <c r="G859" s="3">
        <v>45761</v>
      </c>
      <c r="H859" t="s">
        <v>14</v>
      </c>
      <c r="I859" s="4" t="str">
        <f t="shared" si="383"/>
        <v>Living Annuity</v>
      </c>
      <c r="J859" t="str">
        <f t="shared" si="384"/>
        <v>Compulsory, LA</v>
      </c>
      <c r="K859" t="s">
        <v>15</v>
      </c>
      <c r="M859" t="str">
        <f t="shared" si="374"/>
        <v>c</v>
      </c>
      <c r="N859" t="str">
        <f t="shared" si="375"/>
        <v/>
      </c>
      <c r="O859" t="str">
        <f t="shared" si="376"/>
        <v/>
      </c>
    </row>
    <row r="860" spans="1:15" x14ac:dyDescent="0.3">
      <c r="A860">
        <v>100388471</v>
      </c>
      <c r="B860" t="s">
        <v>744</v>
      </c>
      <c r="C860">
        <v>3</v>
      </c>
      <c r="D860" t="s">
        <v>101</v>
      </c>
      <c r="E860" t="s">
        <v>1164</v>
      </c>
      <c r="F860" s="25">
        <v>3384.22</v>
      </c>
      <c r="G860" s="3">
        <v>45761</v>
      </c>
      <c r="H860" t="s">
        <v>14</v>
      </c>
      <c r="I860" s="4" t="str">
        <f t="shared" si="383"/>
        <v>Living Annuity</v>
      </c>
      <c r="J860" t="str">
        <f t="shared" si="384"/>
        <v>Compulsory, LA</v>
      </c>
      <c r="K860" t="s">
        <v>15</v>
      </c>
      <c r="M860" t="str">
        <f t="shared" si="374"/>
        <v>c</v>
      </c>
      <c r="N860" t="str">
        <f t="shared" si="375"/>
        <v/>
      </c>
      <c r="O860" t="str">
        <f t="shared" si="376"/>
        <v/>
      </c>
    </row>
    <row r="861" spans="1:15" x14ac:dyDescent="0.3">
      <c r="A861">
        <v>100408912</v>
      </c>
      <c r="B861" t="s">
        <v>1078</v>
      </c>
      <c r="C861">
        <v>297</v>
      </c>
      <c r="D861" t="s">
        <v>103</v>
      </c>
      <c r="E861" t="s">
        <v>1164</v>
      </c>
      <c r="F861" s="25">
        <v>85321.46</v>
      </c>
      <c r="G861" s="3">
        <v>45761</v>
      </c>
      <c r="H861" t="s">
        <v>14</v>
      </c>
      <c r="I861" s="4" t="str">
        <f t="shared" si="383"/>
        <v>Living Annuity</v>
      </c>
      <c r="J861" t="str">
        <f t="shared" si="384"/>
        <v>Compulsory, LA</v>
      </c>
      <c r="K861" t="s">
        <v>15</v>
      </c>
      <c r="M861" t="str">
        <f t="shared" si="374"/>
        <v>c</v>
      </c>
      <c r="N861" t="str">
        <f t="shared" si="375"/>
        <v/>
      </c>
      <c r="O861" t="str">
        <f t="shared" si="376"/>
        <v/>
      </c>
    </row>
    <row r="862" spans="1:15" x14ac:dyDescent="0.3">
      <c r="A862">
        <v>100421069</v>
      </c>
      <c r="B862" t="s">
        <v>1079</v>
      </c>
      <c r="C862">
        <v>37</v>
      </c>
      <c r="D862" t="s">
        <v>105</v>
      </c>
      <c r="E862" t="s">
        <v>1164</v>
      </c>
      <c r="F862" s="26">
        <v>14924.45</v>
      </c>
      <c r="G862" s="3">
        <v>45761</v>
      </c>
      <c r="H862" t="s">
        <v>14</v>
      </c>
      <c r="I862" s="4" t="str">
        <f t="shared" si="383"/>
        <v>Living Annuity</v>
      </c>
      <c r="J862" t="str">
        <f t="shared" si="384"/>
        <v>Compulsory, LA</v>
      </c>
      <c r="K862" t="s">
        <v>15</v>
      </c>
      <c r="M862" t="str">
        <f t="shared" si="374"/>
        <v>c</v>
      </c>
      <c r="N862" t="str">
        <f t="shared" si="375"/>
        <v/>
      </c>
      <c r="O862" t="str">
        <f t="shared" si="376"/>
        <v/>
      </c>
    </row>
    <row r="863" spans="1:15" x14ac:dyDescent="0.3">
      <c r="A863">
        <v>100421069</v>
      </c>
      <c r="B863" t="s">
        <v>745</v>
      </c>
      <c r="C863">
        <v>37</v>
      </c>
      <c r="D863" t="s">
        <v>105</v>
      </c>
      <c r="E863" t="s">
        <v>1164</v>
      </c>
      <c r="F863" s="26">
        <v>6493.94</v>
      </c>
      <c r="G863" s="3">
        <v>45761</v>
      </c>
      <c r="H863" t="s">
        <v>14</v>
      </c>
      <c r="I863" s="4" t="str">
        <f t="shared" si="383"/>
        <v>Living Annuity</v>
      </c>
      <c r="J863" t="str">
        <f t="shared" si="384"/>
        <v>Compulsory, LA</v>
      </c>
      <c r="K863" t="s">
        <v>15</v>
      </c>
      <c r="M863" t="str">
        <f t="shared" si="374"/>
        <v>c</v>
      </c>
      <c r="N863" t="str">
        <f t="shared" si="375"/>
        <v/>
      </c>
      <c r="O863" t="str">
        <f t="shared" si="376"/>
        <v/>
      </c>
    </row>
    <row r="864" spans="1:15" x14ac:dyDescent="0.3">
      <c r="A864">
        <v>100421069</v>
      </c>
      <c r="B864" t="s">
        <v>815</v>
      </c>
      <c r="C864">
        <v>37</v>
      </c>
      <c r="D864" t="s">
        <v>105</v>
      </c>
      <c r="E864" t="s">
        <v>1164</v>
      </c>
      <c r="F864" s="26">
        <v>8138.95</v>
      </c>
      <c r="G864" s="3">
        <v>45761</v>
      </c>
      <c r="H864" t="s">
        <v>14</v>
      </c>
      <c r="I864" s="4" t="str">
        <f t="shared" si="383"/>
        <v>Living Annuity</v>
      </c>
      <c r="J864" t="str">
        <f t="shared" si="384"/>
        <v>Compulsory, LA</v>
      </c>
      <c r="K864" t="s">
        <v>15</v>
      </c>
      <c r="M864" t="str">
        <f t="shared" si="374"/>
        <v>c</v>
      </c>
      <c r="N864" t="str">
        <f t="shared" si="375"/>
        <v/>
      </c>
      <c r="O864" t="str">
        <f t="shared" si="376"/>
        <v/>
      </c>
    </row>
    <row r="865" spans="1:15" x14ac:dyDescent="0.3">
      <c r="A865" s="7">
        <v>100489695</v>
      </c>
      <c r="B865" t="s">
        <v>1101</v>
      </c>
      <c r="C865">
        <v>294</v>
      </c>
      <c r="D865" t="s">
        <v>136</v>
      </c>
      <c r="E865" t="s">
        <v>1164</v>
      </c>
      <c r="F865" s="26">
        <v>279409.74</v>
      </c>
      <c r="G865" s="3">
        <v>45761</v>
      </c>
      <c r="H865" t="s">
        <v>31</v>
      </c>
      <c r="I865" s="4" t="str">
        <f t="shared" si="383"/>
        <v>Investment Account</v>
      </c>
      <c r="J865" t="str">
        <f t="shared" si="384"/>
        <v>Voluntary</v>
      </c>
      <c r="K865" t="s">
        <v>15</v>
      </c>
      <c r="M865" t="str">
        <f t="shared" si="374"/>
        <v>c</v>
      </c>
      <c r="N865" t="str">
        <f t="shared" si="375"/>
        <v/>
      </c>
      <c r="O865" t="str">
        <f t="shared" si="376"/>
        <v/>
      </c>
    </row>
    <row r="866" spans="1:15" x14ac:dyDescent="0.3">
      <c r="A866">
        <v>100492707</v>
      </c>
      <c r="B866" t="s">
        <v>1080</v>
      </c>
      <c r="C866">
        <v>233</v>
      </c>
      <c r="D866" t="s">
        <v>107</v>
      </c>
      <c r="E866" t="s">
        <v>1164</v>
      </c>
      <c r="F866" s="26">
        <v>7478.39</v>
      </c>
      <c r="G866" s="3">
        <v>45761</v>
      </c>
      <c r="H866" t="s">
        <v>14</v>
      </c>
      <c r="I866" s="4" t="str">
        <f t="shared" si="383"/>
        <v>Living Annuity</v>
      </c>
      <c r="J866" t="str">
        <f t="shared" si="384"/>
        <v>Compulsory, LA</v>
      </c>
      <c r="K866" t="s">
        <v>15</v>
      </c>
      <c r="M866" t="str">
        <f t="shared" si="374"/>
        <v>c</v>
      </c>
      <c r="N866" t="str">
        <f t="shared" si="375"/>
        <v/>
      </c>
      <c r="O866" t="str">
        <f t="shared" si="376"/>
        <v/>
      </c>
    </row>
    <row r="867" spans="1:15" x14ac:dyDescent="0.3">
      <c r="A867">
        <v>100492707</v>
      </c>
      <c r="B867" t="s">
        <v>1199</v>
      </c>
      <c r="C867">
        <v>233</v>
      </c>
      <c r="D867" t="s">
        <v>107</v>
      </c>
      <c r="E867" t="s">
        <v>1164</v>
      </c>
      <c r="F867" s="26">
        <v>104153.68</v>
      </c>
      <c r="G867" s="3">
        <v>45761</v>
      </c>
      <c r="H867" t="s">
        <v>14</v>
      </c>
      <c r="I867" s="4" t="str">
        <f t="shared" si="383"/>
        <v>Living Annuity</v>
      </c>
      <c r="J867" t="str">
        <f t="shared" si="384"/>
        <v>Compulsory, LA</v>
      </c>
      <c r="K867" t="s">
        <v>15</v>
      </c>
      <c r="M867" t="str">
        <f t="shared" si="374"/>
        <v>c</v>
      </c>
      <c r="N867" t="str">
        <f t="shared" si="375"/>
        <v/>
      </c>
      <c r="O867" t="str">
        <f t="shared" si="376"/>
        <v/>
      </c>
    </row>
    <row r="868" spans="1:15" x14ac:dyDescent="0.3">
      <c r="A868">
        <v>100564770</v>
      </c>
      <c r="B868" t="s">
        <v>746</v>
      </c>
      <c r="C868">
        <v>384</v>
      </c>
      <c r="D868" t="s">
        <v>123</v>
      </c>
      <c r="E868" t="s">
        <v>1164</v>
      </c>
      <c r="F868" s="26">
        <v>20385.3</v>
      </c>
      <c r="G868" s="3">
        <v>45761</v>
      </c>
      <c r="H868" t="s">
        <v>14</v>
      </c>
      <c r="I868" s="4" t="str">
        <f>MID(H868,6,30)</f>
        <v>Living Annuity</v>
      </c>
      <c r="J868" t="str">
        <f>IF(LEFT(I868)="L","Compulsory, LA",IF(LEFT(I868)="R","Compulsory, RA",IF(LEFT(I868,2)="Pe","Compulsory, Pens","Voluntary")))</f>
        <v>Compulsory, LA</v>
      </c>
      <c r="K868" t="s">
        <v>15</v>
      </c>
      <c r="M868" t="str">
        <f t="shared" si="374"/>
        <v>c</v>
      </c>
      <c r="N868" t="str">
        <f t="shared" si="375"/>
        <v/>
      </c>
      <c r="O868" t="str">
        <f t="shared" si="376"/>
        <v/>
      </c>
    </row>
    <row r="869" spans="1:15" x14ac:dyDescent="0.3">
      <c r="A869">
        <v>100596689</v>
      </c>
      <c r="B869" t="s">
        <v>1081</v>
      </c>
      <c r="C869">
        <v>180</v>
      </c>
      <c r="D869" t="s">
        <v>149</v>
      </c>
      <c r="E869" t="s">
        <v>1164</v>
      </c>
      <c r="F869" s="26">
        <v>537.04999999999995</v>
      </c>
      <c r="G869" s="3">
        <v>45761</v>
      </c>
      <c r="H869" t="s">
        <v>31</v>
      </c>
      <c r="I869" s="4" t="str">
        <f t="shared" ref="I869:I895" si="385">MID(H869,6,30)</f>
        <v>Investment Account</v>
      </c>
      <c r="J869" t="str">
        <f t="shared" ref="J869:J895" si="386">IF(LEFT(I869)="L","Compulsory, LA",IF(LEFT(I869)="R","Compulsory, RA",IF(LEFT(I869,2)="Pe","Compulsory, Pens","Voluntary")))</f>
        <v>Voluntary</v>
      </c>
      <c r="K869" t="s">
        <v>15</v>
      </c>
      <c r="M869" t="str">
        <f t="shared" si="374"/>
        <v>c</v>
      </c>
      <c r="N869" t="str">
        <f t="shared" si="375"/>
        <v/>
      </c>
      <c r="O869" t="str">
        <f t="shared" si="376"/>
        <v/>
      </c>
    </row>
    <row r="870" spans="1:15" x14ac:dyDescent="0.3">
      <c r="A870">
        <v>100628990</v>
      </c>
      <c r="B870" t="s">
        <v>1084</v>
      </c>
      <c r="C870">
        <v>36</v>
      </c>
      <c r="D870" t="s">
        <v>710</v>
      </c>
      <c r="E870" t="s">
        <v>1164</v>
      </c>
      <c r="F870" s="26">
        <v>5464.47</v>
      </c>
      <c r="G870" s="3">
        <v>45761</v>
      </c>
      <c r="H870" t="s">
        <v>14</v>
      </c>
      <c r="I870" s="4" t="str">
        <f t="shared" si="385"/>
        <v>Living Annuity</v>
      </c>
      <c r="J870" t="str">
        <f t="shared" si="386"/>
        <v>Compulsory, LA</v>
      </c>
      <c r="K870" t="s">
        <v>15</v>
      </c>
      <c r="M870" t="str">
        <f t="shared" si="374"/>
        <v>c</v>
      </c>
      <c r="N870" t="str">
        <f t="shared" si="375"/>
        <v/>
      </c>
      <c r="O870" t="str">
        <f t="shared" si="376"/>
        <v/>
      </c>
    </row>
    <row r="871" spans="1:15" x14ac:dyDescent="0.3">
      <c r="A871">
        <v>100630706</v>
      </c>
      <c r="B871" t="s">
        <v>1085</v>
      </c>
      <c r="C871">
        <v>361</v>
      </c>
      <c r="D871" t="s">
        <v>847</v>
      </c>
      <c r="E871" t="s">
        <v>1164</v>
      </c>
      <c r="F871" s="26">
        <v>1393.62</v>
      </c>
      <c r="G871" s="3">
        <v>45761</v>
      </c>
      <c r="H871" t="s">
        <v>31</v>
      </c>
      <c r="I871" s="4" t="str">
        <f t="shared" si="385"/>
        <v>Investment Account</v>
      </c>
      <c r="J871" t="str">
        <f t="shared" si="386"/>
        <v>Voluntary</v>
      </c>
      <c r="K871" t="s">
        <v>15</v>
      </c>
      <c r="M871" t="str">
        <f t="shared" si="374"/>
        <v>c</v>
      </c>
      <c r="N871" t="str">
        <f t="shared" si="375"/>
        <v/>
      </c>
      <c r="O871" t="str">
        <f t="shared" si="376"/>
        <v/>
      </c>
    </row>
    <row r="872" spans="1:15" x14ac:dyDescent="0.3">
      <c r="A872">
        <v>100641153</v>
      </c>
      <c r="B872" t="s">
        <v>1146</v>
      </c>
      <c r="C872">
        <v>455</v>
      </c>
      <c r="D872" t="s">
        <v>725</v>
      </c>
      <c r="E872" t="s">
        <v>1164</v>
      </c>
      <c r="F872" s="26">
        <v>82166.16</v>
      </c>
      <c r="G872" s="3">
        <v>45761</v>
      </c>
      <c r="H872" t="s">
        <v>14</v>
      </c>
      <c r="I872" s="4" t="str">
        <f t="shared" si="385"/>
        <v>Living Annuity</v>
      </c>
      <c r="J872" t="str">
        <f t="shared" si="386"/>
        <v>Compulsory, LA</v>
      </c>
      <c r="K872" t="s">
        <v>15</v>
      </c>
      <c r="M872" t="str">
        <f t="shared" si="374"/>
        <v>c</v>
      </c>
      <c r="N872" t="str">
        <f t="shared" si="375"/>
        <v/>
      </c>
      <c r="O872" t="str">
        <f t="shared" si="376"/>
        <v/>
      </c>
    </row>
    <row r="873" spans="1:15" x14ac:dyDescent="0.3">
      <c r="A873">
        <v>100651921</v>
      </c>
      <c r="B873" t="s">
        <v>1086</v>
      </c>
      <c r="C873">
        <v>13</v>
      </c>
      <c r="D873" t="s">
        <v>732</v>
      </c>
      <c r="E873" t="s">
        <v>1164</v>
      </c>
      <c r="F873" s="26">
        <v>7562.16</v>
      </c>
      <c r="G873" s="3">
        <v>45761</v>
      </c>
      <c r="H873" t="s">
        <v>31</v>
      </c>
      <c r="I873" s="4" t="str">
        <f t="shared" si="385"/>
        <v>Investment Account</v>
      </c>
      <c r="J873" t="str">
        <f t="shared" si="386"/>
        <v>Voluntary</v>
      </c>
      <c r="K873" t="s">
        <v>15</v>
      </c>
      <c r="M873" t="str">
        <f t="shared" si="374"/>
        <v>c</v>
      </c>
      <c r="N873" t="str">
        <f t="shared" si="375"/>
        <v/>
      </c>
      <c r="O873" t="str">
        <f t="shared" si="376"/>
        <v/>
      </c>
    </row>
    <row r="874" spans="1:15" x14ac:dyDescent="0.3">
      <c r="A874">
        <v>100651921</v>
      </c>
      <c r="B874" t="s">
        <v>1087</v>
      </c>
      <c r="C874">
        <v>13</v>
      </c>
      <c r="D874" t="s">
        <v>732</v>
      </c>
      <c r="E874" t="s">
        <v>1164</v>
      </c>
      <c r="F874" s="26">
        <v>8566.92</v>
      </c>
      <c r="G874" s="3">
        <v>45761</v>
      </c>
      <c r="H874" t="s">
        <v>31</v>
      </c>
      <c r="I874" s="4" t="str">
        <f t="shared" si="385"/>
        <v>Investment Account</v>
      </c>
      <c r="J874" t="str">
        <f t="shared" si="386"/>
        <v>Voluntary</v>
      </c>
      <c r="K874" t="s">
        <v>15</v>
      </c>
      <c r="M874" t="str">
        <f t="shared" si="374"/>
        <v>c</v>
      </c>
      <c r="N874" t="str">
        <f t="shared" si="375"/>
        <v/>
      </c>
      <c r="O874" t="str">
        <f t="shared" si="376"/>
        <v/>
      </c>
    </row>
    <row r="875" spans="1:15" x14ac:dyDescent="0.3">
      <c r="A875">
        <v>100655835</v>
      </c>
      <c r="B875" t="s">
        <v>747</v>
      </c>
      <c r="C875">
        <v>456</v>
      </c>
      <c r="D875" t="s">
        <v>731</v>
      </c>
      <c r="E875" t="s">
        <v>1164</v>
      </c>
      <c r="F875" s="26">
        <v>442584.06</v>
      </c>
      <c r="G875" s="3">
        <v>45761</v>
      </c>
      <c r="H875" t="s">
        <v>14</v>
      </c>
      <c r="I875" s="4" t="str">
        <f t="shared" si="385"/>
        <v>Living Annuity</v>
      </c>
      <c r="J875" t="str">
        <f t="shared" si="386"/>
        <v>Compulsory, LA</v>
      </c>
      <c r="K875" t="s">
        <v>15</v>
      </c>
      <c r="M875" t="str">
        <f t="shared" si="374"/>
        <v>c</v>
      </c>
      <c r="N875" t="str">
        <f t="shared" si="375"/>
        <v/>
      </c>
      <c r="O875" t="str">
        <f t="shared" si="376"/>
        <v/>
      </c>
    </row>
    <row r="876" spans="1:15" x14ac:dyDescent="0.3">
      <c r="A876">
        <v>100663638</v>
      </c>
      <c r="B876" t="s">
        <v>811</v>
      </c>
      <c r="C876">
        <v>58</v>
      </c>
      <c r="D876" t="s">
        <v>802</v>
      </c>
      <c r="E876" t="s">
        <v>1164</v>
      </c>
      <c r="F876" s="26">
        <v>96875.47</v>
      </c>
      <c r="G876" s="3">
        <v>45761</v>
      </c>
      <c r="H876" t="s">
        <v>14</v>
      </c>
      <c r="I876" s="4" t="str">
        <f t="shared" si="385"/>
        <v>Living Annuity</v>
      </c>
      <c r="J876" t="str">
        <f t="shared" si="386"/>
        <v>Compulsory, LA</v>
      </c>
      <c r="K876" t="s">
        <v>15</v>
      </c>
      <c r="M876" t="str">
        <f t="shared" si="374"/>
        <v>c</v>
      </c>
      <c r="N876" t="str">
        <f t="shared" si="375"/>
        <v/>
      </c>
      <c r="O876" t="str">
        <f t="shared" si="376"/>
        <v/>
      </c>
    </row>
    <row r="877" spans="1:15" x14ac:dyDescent="0.3">
      <c r="A877">
        <v>100663638</v>
      </c>
      <c r="B877" t="s">
        <v>919</v>
      </c>
      <c r="C877">
        <v>58</v>
      </c>
      <c r="D877" t="s">
        <v>802</v>
      </c>
      <c r="E877" t="s">
        <v>1164</v>
      </c>
      <c r="F877" s="26">
        <v>3510.09</v>
      </c>
      <c r="G877" s="3">
        <v>45761</v>
      </c>
      <c r="H877" t="s">
        <v>14</v>
      </c>
      <c r="I877" s="4" t="str">
        <f t="shared" si="385"/>
        <v>Living Annuity</v>
      </c>
      <c r="J877" t="str">
        <f t="shared" si="386"/>
        <v>Compulsory, LA</v>
      </c>
      <c r="K877" t="s">
        <v>15</v>
      </c>
      <c r="M877" t="str">
        <f t="shared" si="374"/>
        <v>c</v>
      </c>
      <c r="N877" t="str">
        <f t="shared" si="375"/>
        <v/>
      </c>
      <c r="O877" t="str">
        <f t="shared" si="376"/>
        <v/>
      </c>
    </row>
    <row r="878" spans="1:15" x14ac:dyDescent="0.3">
      <c r="A878">
        <v>100664029</v>
      </c>
      <c r="B878" t="s">
        <v>920</v>
      </c>
      <c r="C878">
        <v>5</v>
      </c>
      <c r="D878" t="s">
        <v>864</v>
      </c>
      <c r="E878" t="s">
        <v>1164</v>
      </c>
      <c r="F878" s="26">
        <v>10954.93</v>
      </c>
      <c r="G878" s="3">
        <v>45761</v>
      </c>
      <c r="H878" t="s">
        <v>14</v>
      </c>
      <c r="I878" s="4" t="str">
        <f t="shared" si="385"/>
        <v>Living Annuity</v>
      </c>
      <c r="J878" t="str">
        <f t="shared" si="386"/>
        <v>Compulsory, LA</v>
      </c>
      <c r="K878" t="s">
        <v>15</v>
      </c>
      <c r="M878" t="str">
        <f t="shared" si="374"/>
        <v>c</v>
      </c>
      <c r="N878" t="str">
        <f t="shared" si="375"/>
        <v/>
      </c>
      <c r="O878" t="str">
        <f t="shared" si="376"/>
        <v/>
      </c>
    </row>
    <row r="879" spans="1:15" x14ac:dyDescent="0.3">
      <c r="A879">
        <v>100664029</v>
      </c>
      <c r="B879" t="s">
        <v>921</v>
      </c>
      <c r="C879">
        <v>5</v>
      </c>
      <c r="D879" t="s">
        <v>864</v>
      </c>
      <c r="E879" t="s">
        <v>1164</v>
      </c>
      <c r="F879" s="26">
        <v>7042.74</v>
      </c>
      <c r="G879" s="3">
        <v>45761</v>
      </c>
      <c r="H879" t="s">
        <v>14</v>
      </c>
      <c r="I879" s="4" t="str">
        <f t="shared" si="385"/>
        <v>Living Annuity</v>
      </c>
      <c r="J879" t="str">
        <f t="shared" si="386"/>
        <v>Compulsory, LA</v>
      </c>
      <c r="K879" t="s">
        <v>15</v>
      </c>
      <c r="M879" t="str">
        <f t="shared" si="374"/>
        <v>c</v>
      </c>
      <c r="N879" t="str">
        <f t="shared" si="375"/>
        <v/>
      </c>
      <c r="O879" t="str">
        <f t="shared" si="376"/>
        <v/>
      </c>
    </row>
    <row r="880" spans="1:15" x14ac:dyDescent="0.3">
      <c r="A880">
        <v>100664292</v>
      </c>
      <c r="B880" t="s">
        <v>1088</v>
      </c>
      <c r="C880">
        <v>21</v>
      </c>
      <c r="D880" t="s">
        <v>849</v>
      </c>
      <c r="E880" t="s">
        <v>1164</v>
      </c>
      <c r="F880" s="25">
        <v>188.59</v>
      </c>
      <c r="G880" s="3">
        <v>45761</v>
      </c>
      <c r="H880" t="s">
        <v>31</v>
      </c>
      <c r="I880" s="4" t="str">
        <f t="shared" si="385"/>
        <v>Investment Account</v>
      </c>
      <c r="J880" t="str">
        <f t="shared" si="386"/>
        <v>Voluntary</v>
      </c>
      <c r="K880" t="s">
        <v>15</v>
      </c>
      <c r="M880" t="str">
        <f t="shared" si="374"/>
        <v>c</v>
      </c>
      <c r="N880" t="str">
        <f t="shared" si="375"/>
        <v/>
      </c>
      <c r="O880" t="str">
        <f t="shared" si="376"/>
        <v/>
      </c>
    </row>
    <row r="881" spans="1:15" x14ac:dyDescent="0.3">
      <c r="A881">
        <v>100664292</v>
      </c>
      <c r="B881" t="s">
        <v>922</v>
      </c>
      <c r="C881">
        <v>21</v>
      </c>
      <c r="D881" t="s">
        <v>849</v>
      </c>
      <c r="E881" t="s">
        <v>1164</v>
      </c>
      <c r="F881" s="25">
        <v>34099.26</v>
      </c>
      <c r="G881" s="3">
        <v>45761</v>
      </c>
      <c r="H881" t="s">
        <v>14</v>
      </c>
      <c r="I881" s="4" t="str">
        <f t="shared" si="385"/>
        <v>Living Annuity</v>
      </c>
      <c r="J881" t="str">
        <f t="shared" si="386"/>
        <v>Compulsory, LA</v>
      </c>
      <c r="K881" t="s">
        <v>15</v>
      </c>
      <c r="M881" t="str">
        <f t="shared" si="374"/>
        <v>c</v>
      </c>
      <c r="N881" t="str">
        <f t="shared" si="375"/>
        <v/>
      </c>
      <c r="O881" t="str">
        <f t="shared" si="376"/>
        <v/>
      </c>
    </row>
    <row r="882" spans="1:15" x14ac:dyDescent="0.3">
      <c r="A882">
        <v>100664348</v>
      </c>
      <c r="B882" t="s">
        <v>923</v>
      </c>
      <c r="C882">
        <v>257</v>
      </c>
      <c r="D882" t="s">
        <v>871</v>
      </c>
      <c r="E882" t="s">
        <v>1164</v>
      </c>
      <c r="F882" s="25">
        <v>18493.14</v>
      </c>
      <c r="G882" s="3">
        <v>45761</v>
      </c>
      <c r="H882" t="s">
        <v>14</v>
      </c>
      <c r="I882" s="4" t="str">
        <f t="shared" si="385"/>
        <v>Living Annuity</v>
      </c>
      <c r="J882" t="str">
        <f t="shared" si="386"/>
        <v>Compulsory, LA</v>
      </c>
      <c r="K882" t="s">
        <v>15</v>
      </c>
      <c r="M882" t="str">
        <f t="shared" si="374"/>
        <v>c</v>
      </c>
      <c r="N882" t="str">
        <f t="shared" si="375"/>
        <v/>
      </c>
      <c r="O882" t="str">
        <f t="shared" si="376"/>
        <v/>
      </c>
    </row>
    <row r="883" spans="1:15" x14ac:dyDescent="0.3">
      <c r="A883">
        <v>100664351</v>
      </c>
      <c r="B883" t="s">
        <v>924</v>
      </c>
      <c r="C883">
        <v>196</v>
      </c>
      <c r="D883" t="s">
        <v>873</v>
      </c>
      <c r="E883" t="s">
        <v>1164</v>
      </c>
      <c r="F883" s="25">
        <v>7839.17</v>
      </c>
      <c r="G883" s="3">
        <v>45761</v>
      </c>
      <c r="H883" t="s">
        <v>14</v>
      </c>
      <c r="I883" s="4" t="str">
        <f t="shared" si="385"/>
        <v>Living Annuity</v>
      </c>
      <c r="J883" t="str">
        <f t="shared" si="386"/>
        <v>Compulsory, LA</v>
      </c>
      <c r="K883" t="s">
        <v>15</v>
      </c>
      <c r="M883" t="str">
        <f t="shared" si="374"/>
        <v>c</v>
      </c>
      <c r="N883" t="str">
        <f t="shared" si="375"/>
        <v/>
      </c>
      <c r="O883" t="str">
        <f t="shared" si="376"/>
        <v/>
      </c>
    </row>
    <row r="884" spans="1:15" x14ac:dyDescent="0.3">
      <c r="A884">
        <v>100664737</v>
      </c>
      <c r="B884" t="s">
        <v>1118</v>
      </c>
      <c r="C884">
        <v>57</v>
      </c>
      <c r="D884" t="s">
        <v>882</v>
      </c>
      <c r="E884" t="s">
        <v>1164</v>
      </c>
      <c r="F884" s="25">
        <v>12772.2</v>
      </c>
      <c r="G884" s="3">
        <v>45761</v>
      </c>
      <c r="H884" t="s">
        <v>14</v>
      </c>
      <c r="I884" s="4" t="str">
        <f t="shared" si="385"/>
        <v>Living Annuity</v>
      </c>
      <c r="J884" t="str">
        <f t="shared" si="386"/>
        <v>Compulsory, LA</v>
      </c>
      <c r="K884" t="s">
        <v>15</v>
      </c>
      <c r="M884" t="str">
        <f t="shared" si="374"/>
        <v>c</v>
      </c>
      <c r="N884" t="str">
        <f t="shared" si="375"/>
        <v/>
      </c>
      <c r="O884" t="str">
        <f t="shared" si="376"/>
        <v/>
      </c>
    </row>
    <row r="885" spans="1:15" x14ac:dyDescent="0.3">
      <c r="A885">
        <v>100664737</v>
      </c>
      <c r="B885" t="s">
        <v>1124</v>
      </c>
      <c r="C885">
        <v>57</v>
      </c>
      <c r="D885" t="s">
        <v>882</v>
      </c>
      <c r="E885" t="s">
        <v>1164</v>
      </c>
      <c r="F885" s="25">
        <v>5957.88</v>
      </c>
      <c r="G885" s="3">
        <v>45761</v>
      </c>
      <c r="H885" t="s">
        <v>14</v>
      </c>
      <c r="I885" s="4" t="str">
        <f t="shared" si="385"/>
        <v>Living Annuity</v>
      </c>
      <c r="J885" t="str">
        <f t="shared" si="386"/>
        <v>Compulsory, LA</v>
      </c>
      <c r="K885" t="s">
        <v>15</v>
      </c>
      <c r="M885" t="str">
        <f t="shared" si="374"/>
        <v>c</v>
      </c>
      <c r="N885" t="str">
        <f t="shared" si="375"/>
        <v/>
      </c>
      <c r="O885" t="str">
        <f t="shared" si="376"/>
        <v/>
      </c>
    </row>
    <row r="886" spans="1:15" x14ac:dyDescent="0.3">
      <c r="A886">
        <v>100665510</v>
      </c>
      <c r="B886" t="s">
        <v>925</v>
      </c>
      <c r="C886">
        <v>6</v>
      </c>
      <c r="D886" t="s">
        <v>850</v>
      </c>
      <c r="E886" t="s">
        <v>1164</v>
      </c>
      <c r="F886" s="25">
        <v>20458.580000000002</v>
      </c>
      <c r="G886" s="3">
        <v>45761</v>
      </c>
      <c r="H886" t="s">
        <v>14</v>
      </c>
      <c r="I886" s="4" t="str">
        <f t="shared" si="385"/>
        <v>Living Annuity</v>
      </c>
      <c r="J886" t="str">
        <f t="shared" si="386"/>
        <v>Compulsory, LA</v>
      </c>
      <c r="K886" t="s">
        <v>15</v>
      </c>
      <c r="M886" t="str">
        <f t="shared" si="374"/>
        <v>c</v>
      </c>
      <c r="N886" t="str">
        <f t="shared" si="375"/>
        <v/>
      </c>
      <c r="O886" t="str">
        <f t="shared" si="376"/>
        <v/>
      </c>
    </row>
    <row r="887" spans="1:15" x14ac:dyDescent="0.3">
      <c r="A887">
        <v>100665581</v>
      </c>
      <c r="B887" t="s">
        <v>1233</v>
      </c>
      <c r="C887">
        <v>113</v>
      </c>
      <c r="D887" t="s">
        <v>884</v>
      </c>
      <c r="E887" t="s">
        <v>1164</v>
      </c>
      <c r="F887" s="25">
        <v>60727.83</v>
      </c>
      <c r="G887" s="3">
        <v>45761</v>
      </c>
      <c r="H887" t="s">
        <v>1147</v>
      </c>
      <c r="I887" s="4" t="str">
        <f t="shared" si="385"/>
        <v>Investment Account</v>
      </c>
      <c r="J887" t="str">
        <f t="shared" si="386"/>
        <v>Voluntary</v>
      </c>
      <c r="K887" t="s">
        <v>15</v>
      </c>
      <c r="M887" t="str">
        <f t="shared" si="374"/>
        <v>c</v>
      </c>
      <c r="N887" t="str">
        <f t="shared" si="375"/>
        <v/>
      </c>
      <c r="O887" t="str">
        <f t="shared" si="376"/>
        <v/>
      </c>
    </row>
    <row r="888" spans="1:15" x14ac:dyDescent="0.3">
      <c r="A888">
        <v>100665581</v>
      </c>
      <c r="B888" t="s">
        <v>1237</v>
      </c>
      <c r="C888">
        <v>113</v>
      </c>
      <c r="D888" t="s">
        <v>884</v>
      </c>
      <c r="E888" t="s">
        <v>1164</v>
      </c>
      <c r="F888" s="25">
        <v>164551.97</v>
      </c>
      <c r="G888" s="3">
        <v>45761</v>
      </c>
      <c r="H888" t="s">
        <v>14</v>
      </c>
      <c r="I888" s="4" t="str">
        <f t="shared" si="385"/>
        <v>Living Annuity</v>
      </c>
      <c r="J888" t="str">
        <f t="shared" si="386"/>
        <v>Compulsory, LA</v>
      </c>
      <c r="K888" t="s">
        <v>15</v>
      </c>
      <c r="M888" t="str">
        <f t="shared" si="374"/>
        <v>c</v>
      </c>
      <c r="N888" t="str">
        <f t="shared" si="375"/>
        <v/>
      </c>
      <c r="O888" t="str">
        <f t="shared" si="376"/>
        <v/>
      </c>
    </row>
    <row r="889" spans="1:15" x14ac:dyDescent="0.3">
      <c r="A889">
        <v>100666150</v>
      </c>
      <c r="B889" t="s">
        <v>812</v>
      </c>
      <c r="C889">
        <v>163</v>
      </c>
      <c r="D889" t="s">
        <v>803</v>
      </c>
      <c r="E889" t="s">
        <v>1164</v>
      </c>
      <c r="F889" s="26">
        <v>53516.65</v>
      </c>
      <c r="G889" s="3">
        <v>45761</v>
      </c>
      <c r="H889" t="s">
        <v>14</v>
      </c>
      <c r="I889" s="4" t="str">
        <f t="shared" si="385"/>
        <v>Living Annuity</v>
      </c>
      <c r="J889" t="str">
        <f t="shared" si="386"/>
        <v>Compulsory, LA</v>
      </c>
      <c r="K889" t="s">
        <v>15</v>
      </c>
      <c r="M889" t="str">
        <f t="shared" si="374"/>
        <v>c</v>
      </c>
      <c r="N889" t="str">
        <f t="shared" si="375"/>
        <v/>
      </c>
      <c r="O889" t="str">
        <f t="shared" si="376"/>
        <v/>
      </c>
    </row>
    <row r="890" spans="1:15" x14ac:dyDescent="0.3">
      <c r="A890">
        <v>100668409</v>
      </c>
      <c r="B890" t="s">
        <v>1089</v>
      </c>
      <c r="C890">
        <v>178</v>
      </c>
      <c r="D890" t="s">
        <v>852</v>
      </c>
      <c r="E890" t="s">
        <v>1164</v>
      </c>
      <c r="F890" s="26">
        <v>4499.33</v>
      </c>
      <c r="G890" s="3">
        <v>45761</v>
      </c>
      <c r="H890" t="s">
        <v>31</v>
      </c>
      <c r="I890" s="4" t="str">
        <f t="shared" si="385"/>
        <v>Investment Account</v>
      </c>
      <c r="J890" t="str">
        <f t="shared" si="386"/>
        <v>Voluntary</v>
      </c>
      <c r="K890" t="s">
        <v>15</v>
      </c>
      <c r="M890" t="str">
        <f t="shared" si="374"/>
        <v>c</v>
      </c>
      <c r="N890" t="str">
        <f t="shared" si="375"/>
        <v/>
      </c>
      <c r="O890" t="str">
        <f t="shared" si="376"/>
        <v/>
      </c>
    </row>
    <row r="891" spans="1:15" x14ac:dyDescent="0.3">
      <c r="A891">
        <v>100668534</v>
      </c>
      <c r="B891" t="s">
        <v>1090</v>
      </c>
      <c r="C891">
        <v>23</v>
      </c>
      <c r="D891" t="s">
        <v>194</v>
      </c>
      <c r="E891" t="s">
        <v>1164</v>
      </c>
      <c r="F891" s="26">
        <v>8376.07</v>
      </c>
      <c r="G891" s="3">
        <v>45761</v>
      </c>
      <c r="H891" t="s">
        <v>31</v>
      </c>
      <c r="I891" s="4" t="str">
        <f t="shared" si="385"/>
        <v>Investment Account</v>
      </c>
      <c r="J891" t="str">
        <f t="shared" si="386"/>
        <v>Voluntary</v>
      </c>
      <c r="K891" t="s">
        <v>15</v>
      </c>
      <c r="M891" t="str">
        <f t="shared" si="374"/>
        <v>c</v>
      </c>
      <c r="N891" t="str">
        <f t="shared" si="375"/>
        <v/>
      </c>
      <c r="O891" t="str">
        <f t="shared" si="376"/>
        <v/>
      </c>
    </row>
    <row r="892" spans="1:15" x14ac:dyDescent="0.3">
      <c r="A892">
        <v>100669580</v>
      </c>
      <c r="B892" t="s">
        <v>926</v>
      </c>
      <c r="C892">
        <v>321</v>
      </c>
      <c r="D892" t="s">
        <v>887</v>
      </c>
      <c r="E892" t="s">
        <v>1164</v>
      </c>
      <c r="F892" s="26">
        <v>27858.1</v>
      </c>
      <c r="G892" s="3">
        <v>45761</v>
      </c>
      <c r="H892" t="s">
        <v>14</v>
      </c>
      <c r="I892" s="4" t="str">
        <f t="shared" si="385"/>
        <v>Living Annuity</v>
      </c>
      <c r="J892" t="str">
        <f t="shared" si="386"/>
        <v>Compulsory, LA</v>
      </c>
      <c r="K892" t="s">
        <v>15</v>
      </c>
      <c r="M892" t="str">
        <f t="shared" si="374"/>
        <v>c</v>
      </c>
      <c r="N892" t="str">
        <f t="shared" si="375"/>
        <v/>
      </c>
      <c r="O892" t="str">
        <f t="shared" si="376"/>
        <v/>
      </c>
    </row>
    <row r="893" spans="1:15" x14ac:dyDescent="0.3">
      <c r="A893">
        <v>100670671</v>
      </c>
      <c r="B893" t="s">
        <v>927</v>
      </c>
      <c r="C893">
        <v>150</v>
      </c>
      <c r="D893" t="s">
        <v>890</v>
      </c>
      <c r="E893" t="s">
        <v>1164</v>
      </c>
      <c r="F893" s="26">
        <v>89957</v>
      </c>
      <c r="G893" s="3">
        <v>45761</v>
      </c>
      <c r="H893" t="s">
        <v>31</v>
      </c>
      <c r="I893" s="4" t="str">
        <f t="shared" si="385"/>
        <v>Investment Account</v>
      </c>
      <c r="J893" t="str">
        <f t="shared" si="386"/>
        <v>Voluntary</v>
      </c>
      <c r="K893" t="s">
        <v>15</v>
      </c>
      <c r="M893" t="str">
        <f t="shared" si="374"/>
        <v>c</v>
      </c>
      <c r="N893" t="str">
        <f t="shared" si="375"/>
        <v/>
      </c>
      <c r="O893" t="str">
        <f t="shared" si="376"/>
        <v/>
      </c>
    </row>
    <row r="894" spans="1:15" x14ac:dyDescent="0.3">
      <c r="A894">
        <v>100675336</v>
      </c>
      <c r="B894" t="s">
        <v>1102</v>
      </c>
      <c r="C894">
        <v>245</v>
      </c>
      <c r="D894" t="s">
        <v>1094</v>
      </c>
      <c r="E894" t="s">
        <v>1164</v>
      </c>
      <c r="F894" s="25">
        <v>38644.69</v>
      </c>
      <c r="G894" s="3">
        <v>45761</v>
      </c>
      <c r="H894" t="s">
        <v>14</v>
      </c>
      <c r="I894" s="4" t="str">
        <f t="shared" si="385"/>
        <v>Living Annuity</v>
      </c>
      <c r="J894" t="str">
        <f t="shared" si="386"/>
        <v>Compulsory, LA</v>
      </c>
      <c r="K894" t="s">
        <v>15</v>
      </c>
      <c r="M894" t="str">
        <f t="shared" ref="M894:M954" si="387">RIGHT(B894,1)</f>
        <v>c</v>
      </c>
      <c r="N894" t="str">
        <f t="shared" ref="N894:N954" si="388">IF(M894="f","FFFF","")</f>
        <v/>
      </c>
      <c r="O894" t="str">
        <f t="shared" ref="O894:O954" si="389">IF(M894="I","IIII","")</f>
        <v/>
      </c>
    </row>
    <row r="895" spans="1:15" x14ac:dyDescent="0.3">
      <c r="A895">
        <v>100677278</v>
      </c>
      <c r="B895" t="s">
        <v>1092</v>
      </c>
      <c r="C895">
        <v>460</v>
      </c>
      <c r="D895" t="s">
        <v>993</v>
      </c>
      <c r="E895" t="s">
        <v>1164</v>
      </c>
      <c r="F895" s="25">
        <v>39426.92</v>
      </c>
      <c r="G895" s="3">
        <v>45761</v>
      </c>
      <c r="H895" t="s">
        <v>14</v>
      </c>
      <c r="I895" s="4" t="str">
        <f t="shared" si="385"/>
        <v>Living Annuity</v>
      </c>
      <c r="J895" t="str">
        <f t="shared" si="386"/>
        <v>Compulsory, LA</v>
      </c>
      <c r="K895" t="s">
        <v>15</v>
      </c>
      <c r="M895" t="str">
        <f t="shared" si="387"/>
        <v>c</v>
      </c>
      <c r="N895" t="str">
        <f t="shared" si="388"/>
        <v/>
      </c>
      <c r="O895" t="str">
        <f t="shared" si="389"/>
        <v/>
      </c>
    </row>
    <row r="896" spans="1:15" x14ac:dyDescent="0.3">
      <c r="A896">
        <v>100677585</v>
      </c>
      <c r="B896" t="s">
        <v>1106</v>
      </c>
      <c r="C896">
        <v>175</v>
      </c>
      <c r="D896" t="s">
        <v>1104</v>
      </c>
      <c r="E896" t="s">
        <v>1164</v>
      </c>
      <c r="F896" s="26">
        <v>5236.6899999999996</v>
      </c>
      <c r="G896" s="3">
        <v>45761</v>
      </c>
      <c r="H896" t="s">
        <v>14</v>
      </c>
      <c r="I896" s="4" t="str">
        <f>MID(H896,6,30)</f>
        <v>Living Annuity</v>
      </c>
      <c r="J896" t="str">
        <f>IF(LEFT(I896)="L","Compulsory, LA",IF(LEFT(I896)="R","Compulsory, RA",IF(LEFT(I896,2)="Pe","Compulsory, Pens","Voluntary")))</f>
        <v>Compulsory, LA</v>
      </c>
      <c r="K896" t="s">
        <v>15</v>
      </c>
      <c r="M896" t="str">
        <f t="shared" si="387"/>
        <v>c</v>
      </c>
      <c r="N896" t="str">
        <f t="shared" si="388"/>
        <v/>
      </c>
      <c r="O896" t="str">
        <f t="shared" si="389"/>
        <v/>
      </c>
    </row>
    <row r="897" spans="1:15" x14ac:dyDescent="0.3">
      <c r="A897">
        <v>100706842</v>
      </c>
      <c r="B897" t="s">
        <v>1132</v>
      </c>
      <c r="C897">
        <v>83</v>
      </c>
      <c r="D897" t="s">
        <v>1129</v>
      </c>
      <c r="E897" t="s">
        <v>1164</v>
      </c>
      <c r="F897" s="26">
        <v>15831.66</v>
      </c>
      <c r="G897" s="3">
        <v>45761</v>
      </c>
      <c r="H897" t="s">
        <v>14</v>
      </c>
      <c r="I897" s="4" t="str">
        <f t="shared" ref="I897:I898" si="390">MID(H897,6,30)</f>
        <v>Living Annuity</v>
      </c>
      <c r="J897" t="str">
        <f t="shared" ref="J897:J898" si="391">IF(LEFT(I897)="L","Compulsory, LA",IF(LEFT(I897)="R","Compulsory, RA",IF(LEFT(I897,2)="Pe","Compulsory, Pens","Voluntary")))</f>
        <v>Compulsory, LA</v>
      </c>
      <c r="K897" t="s">
        <v>15</v>
      </c>
      <c r="M897" t="str">
        <f t="shared" si="387"/>
        <v>c</v>
      </c>
      <c r="N897" t="str">
        <f t="shared" si="388"/>
        <v/>
      </c>
      <c r="O897" t="str">
        <f t="shared" si="389"/>
        <v/>
      </c>
    </row>
    <row r="898" spans="1:15" x14ac:dyDescent="0.3">
      <c r="A898">
        <v>100711105</v>
      </c>
      <c r="B898" t="s">
        <v>1133</v>
      </c>
      <c r="C898">
        <v>470</v>
      </c>
      <c r="D898" t="s">
        <v>1130</v>
      </c>
      <c r="E898" t="s">
        <v>1164</v>
      </c>
      <c r="F898" s="26">
        <v>2323.7600000000002</v>
      </c>
      <c r="G898" s="3">
        <v>45761</v>
      </c>
      <c r="H898" t="s">
        <v>31</v>
      </c>
      <c r="I898" s="4" t="str">
        <f t="shared" si="390"/>
        <v>Investment Account</v>
      </c>
      <c r="J898" t="str">
        <f t="shared" si="391"/>
        <v>Voluntary</v>
      </c>
      <c r="K898" t="s">
        <v>15</v>
      </c>
      <c r="M898" t="str">
        <f t="shared" si="387"/>
        <v>c</v>
      </c>
      <c r="N898" t="str">
        <f t="shared" si="388"/>
        <v/>
      </c>
      <c r="O898" t="str">
        <f t="shared" si="389"/>
        <v/>
      </c>
    </row>
    <row r="899" spans="1:15" x14ac:dyDescent="0.3">
      <c r="A899">
        <v>100786852</v>
      </c>
      <c r="B899" t="s">
        <v>1223</v>
      </c>
      <c r="C899">
        <v>209</v>
      </c>
      <c r="D899" t="s">
        <v>1201</v>
      </c>
      <c r="E899" t="s">
        <v>1164</v>
      </c>
      <c r="F899" s="26">
        <v>51799.05</v>
      </c>
      <c r="G899" s="3">
        <v>45761</v>
      </c>
      <c r="H899" t="s">
        <v>14</v>
      </c>
      <c r="I899" s="4" t="str">
        <f>MID(H899,6,30)</f>
        <v>Living Annuity</v>
      </c>
      <c r="J899" t="str">
        <f>IF(LEFT(I899)="L","Compulsory, LA",IF(LEFT(I899)="R","Compulsory, RA",IF(LEFT(I899,2)="Pe","Compulsory, Pens","Voluntary")))</f>
        <v>Compulsory, LA</v>
      </c>
      <c r="K899" t="s">
        <v>15</v>
      </c>
      <c r="M899" t="str">
        <f t="shared" si="387"/>
        <v>c</v>
      </c>
      <c r="N899" t="str">
        <f t="shared" si="388"/>
        <v/>
      </c>
      <c r="O899" t="str">
        <f t="shared" si="389"/>
        <v/>
      </c>
    </row>
    <row r="900" spans="1:15" s="6" customFormat="1" x14ac:dyDescent="0.3">
      <c r="A900" s="6">
        <v>100799345</v>
      </c>
      <c r="B900" s="6" t="s">
        <v>1232</v>
      </c>
      <c r="C900" s="6">
        <v>478</v>
      </c>
      <c r="D900" s="6" t="s">
        <v>1228</v>
      </c>
      <c r="E900" s="6" t="s">
        <v>1164</v>
      </c>
      <c r="F900" s="32">
        <v>223591.6</v>
      </c>
      <c r="G900" s="22">
        <v>45761</v>
      </c>
      <c r="H900" s="6" t="s">
        <v>1147</v>
      </c>
      <c r="I900" s="23" t="str">
        <f>MID(H900,6,30)</f>
        <v>Investment Account</v>
      </c>
      <c r="J900" s="6" t="str">
        <f>IF(LEFT(I900)="L","Compulsory, LA",IF(LEFT(I900)="R","Compulsory, RA",IF(LEFT(I900,2)="Pe","Compulsory, Pens","Voluntary")))</f>
        <v>Voluntary</v>
      </c>
      <c r="K900" s="6" t="s">
        <v>15</v>
      </c>
      <c r="M900" t="str">
        <f t="shared" si="387"/>
        <v>c</v>
      </c>
      <c r="N900" t="str">
        <f t="shared" si="388"/>
        <v/>
      </c>
      <c r="O900" t="str">
        <f t="shared" si="389"/>
        <v/>
      </c>
    </row>
    <row r="901" spans="1:15" s="6" customFormat="1" x14ac:dyDescent="0.3">
      <c r="A901" s="6">
        <v>32490</v>
      </c>
      <c r="B901" s="6" t="s">
        <v>713</v>
      </c>
      <c r="C901" s="6">
        <v>126</v>
      </c>
      <c r="D901" s="6" t="s">
        <v>12</v>
      </c>
      <c r="E901" s="6" t="s">
        <v>1165</v>
      </c>
      <c r="F901" s="31">
        <v>7914.24</v>
      </c>
      <c r="G901" s="22">
        <v>45761</v>
      </c>
      <c r="H901" s="24" t="s">
        <v>31</v>
      </c>
      <c r="I901" s="23" t="str">
        <f>MID(H901,6,30)</f>
        <v>Investment Account</v>
      </c>
      <c r="J901" s="6" t="str">
        <f>IF(LEFT(I901)="L","Compulsory, LA",IF(LEFT(I901)="R","Compulsory, RA",IF(LEFT(I901,2)="Pe","Compulsory, Pens","Voluntary")))</f>
        <v>Voluntary</v>
      </c>
      <c r="K901" s="6" t="s">
        <v>15</v>
      </c>
      <c r="M901" t="str">
        <f t="shared" si="387"/>
        <v>b</v>
      </c>
      <c r="N901" t="str">
        <f t="shared" si="388"/>
        <v/>
      </c>
      <c r="O901" t="str">
        <f t="shared" si="389"/>
        <v/>
      </c>
    </row>
    <row r="902" spans="1:15" x14ac:dyDescent="0.3">
      <c r="A902">
        <v>32490</v>
      </c>
      <c r="B902" t="s">
        <v>771</v>
      </c>
      <c r="C902">
        <v>126</v>
      </c>
      <c r="D902" t="s">
        <v>12</v>
      </c>
      <c r="E902" t="s">
        <v>1165</v>
      </c>
      <c r="F902" s="25">
        <v>4878.6400000000003</v>
      </c>
      <c r="G902" s="3">
        <v>45761</v>
      </c>
      <c r="H902" t="s">
        <v>14</v>
      </c>
      <c r="I902" s="4" t="str">
        <f>MID(H902,6,30)</f>
        <v>Living Annuity</v>
      </c>
      <c r="J902" t="str">
        <f>IF(LEFT(I902)="L","Compulsory, LA",IF(LEFT(I902)="R","Compulsory, RA",IF(LEFT(I902,2)="Pe","Compulsory, Pens","Voluntary")))</f>
        <v>Compulsory, LA</v>
      </c>
      <c r="K902" t="s">
        <v>15</v>
      </c>
      <c r="M902" t="str">
        <f t="shared" si="387"/>
        <v>b</v>
      </c>
      <c r="N902" t="str">
        <f t="shared" si="388"/>
        <v/>
      </c>
      <c r="O902" t="str">
        <f t="shared" si="389"/>
        <v/>
      </c>
    </row>
    <row r="903" spans="1:15" x14ac:dyDescent="0.3">
      <c r="A903">
        <v>32490</v>
      </c>
      <c r="B903" t="s">
        <v>772</v>
      </c>
      <c r="C903">
        <v>126</v>
      </c>
      <c r="D903" t="s">
        <v>12</v>
      </c>
      <c r="E903" t="s">
        <v>1165</v>
      </c>
      <c r="F903" s="25">
        <v>22875.4</v>
      </c>
      <c r="G903" s="3">
        <v>45761</v>
      </c>
      <c r="H903" t="s">
        <v>14</v>
      </c>
      <c r="I903" s="4" t="str">
        <f>MID(H903,6,30)</f>
        <v>Living Annuity</v>
      </c>
      <c r="J903" t="str">
        <f>IF(LEFT(I903)="L","Compulsory, LA",IF(LEFT(I903)="R","Compulsory, RA",IF(LEFT(I903,2)="Pe","Compulsory, Pens","Voluntary")))</f>
        <v>Compulsory, LA</v>
      </c>
      <c r="K903" t="s">
        <v>15</v>
      </c>
      <c r="M903" t="str">
        <f t="shared" si="387"/>
        <v>b</v>
      </c>
      <c r="N903" t="str">
        <f t="shared" si="388"/>
        <v/>
      </c>
      <c r="O903" t="str">
        <f t="shared" si="389"/>
        <v/>
      </c>
    </row>
    <row r="904" spans="1:15" x14ac:dyDescent="0.3">
      <c r="A904">
        <v>33672</v>
      </c>
      <c r="B904" t="s">
        <v>996</v>
      </c>
      <c r="C904">
        <v>87</v>
      </c>
      <c r="D904" t="s">
        <v>18</v>
      </c>
      <c r="E904" t="s">
        <v>1165</v>
      </c>
      <c r="F904" s="25">
        <v>125218.4</v>
      </c>
      <c r="G904" s="3">
        <v>45761</v>
      </c>
      <c r="H904" t="s">
        <v>14</v>
      </c>
      <c r="I904" s="4" t="str">
        <f t="shared" ref="I904:I907" si="392">MID(H904,6,30)</f>
        <v>Living Annuity</v>
      </c>
      <c r="J904" t="str">
        <f t="shared" ref="J904:J907" si="393">IF(LEFT(I904)="L","Compulsory, LA",IF(LEFT(I904)="R","Compulsory, RA",IF(LEFT(I904,2)="Pe","Compulsory, Pens","Voluntary")))</f>
        <v>Compulsory, LA</v>
      </c>
      <c r="K904" t="s">
        <v>15</v>
      </c>
      <c r="M904" t="str">
        <f t="shared" si="387"/>
        <v>b</v>
      </c>
      <c r="N904" t="str">
        <f t="shared" si="388"/>
        <v/>
      </c>
      <c r="O904" t="str">
        <f t="shared" si="389"/>
        <v/>
      </c>
    </row>
    <row r="905" spans="1:15" x14ac:dyDescent="0.3">
      <c r="A905">
        <v>34171</v>
      </c>
      <c r="B905" t="s">
        <v>997</v>
      </c>
      <c r="C905">
        <v>268</v>
      </c>
      <c r="D905" t="s">
        <v>928</v>
      </c>
      <c r="E905" t="s">
        <v>1165</v>
      </c>
      <c r="F905" s="25">
        <v>17888.34</v>
      </c>
      <c r="G905" s="3">
        <v>45761</v>
      </c>
      <c r="H905" t="s">
        <v>14</v>
      </c>
      <c r="I905" s="4" t="str">
        <f t="shared" si="392"/>
        <v>Living Annuity</v>
      </c>
      <c r="J905" t="str">
        <f t="shared" si="393"/>
        <v>Compulsory, LA</v>
      </c>
      <c r="K905" t="s">
        <v>15</v>
      </c>
      <c r="M905" t="str">
        <f t="shared" si="387"/>
        <v>b</v>
      </c>
      <c r="N905" t="str">
        <f t="shared" si="388"/>
        <v/>
      </c>
      <c r="O905" t="str">
        <f t="shared" si="389"/>
        <v/>
      </c>
    </row>
    <row r="906" spans="1:15" x14ac:dyDescent="0.3">
      <c r="A906">
        <v>34173</v>
      </c>
      <c r="B906" t="s">
        <v>998</v>
      </c>
      <c r="C906">
        <v>96</v>
      </c>
      <c r="D906" t="s">
        <v>22</v>
      </c>
      <c r="E906" t="s">
        <v>1165</v>
      </c>
      <c r="F906" s="25">
        <v>74372.14</v>
      </c>
      <c r="G906" s="3">
        <v>45761</v>
      </c>
      <c r="H906" t="s">
        <v>14</v>
      </c>
      <c r="I906" s="4" t="str">
        <f t="shared" si="392"/>
        <v>Living Annuity</v>
      </c>
      <c r="J906" t="str">
        <f t="shared" si="393"/>
        <v>Compulsory, LA</v>
      </c>
      <c r="K906" t="s">
        <v>15</v>
      </c>
      <c r="M906" t="str">
        <f t="shared" si="387"/>
        <v>b</v>
      </c>
      <c r="N906" t="str">
        <f t="shared" si="388"/>
        <v/>
      </c>
      <c r="O906" t="str">
        <f t="shared" si="389"/>
        <v/>
      </c>
    </row>
    <row r="907" spans="1:15" x14ac:dyDescent="0.3">
      <c r="A907">
        <v>34199</v>
      </c>
      <c r="B907" t="s">
        <v>999</v>
      </c>
      <c r="C907">
        <v>240</v>
      </c>
      <c r="D907" t="s">
        <v>24</v>
      </c>
      <c r="E907" t="s">
        <v>1165</v>
      </c>
      <c r="F907" s="25">
        <v>15503.23</v>
      </c>
      <c r="G907" s="3">
        <v>45761</v>
      </c>
      <c r="H907" t="s">
        <v>14</v>
      </c>
      <c r="I907" s="4" t="str">
        <f t="shared" si="392"/>
        <v>Living Annuity</v>
      </c>
      <c r="J907" t="str">
        <f t="shared" si="393"/>
        <v>Compulsory, LA</v>
      </c>
      <c r="K907" t="s">
        <v>15</v>
      </c>
      <c r="M907" t="str">
        <f t="shared" si="387"/>
        <v>b</v>
      </c>
      <c r="N907" t="str">
        <f t="shared" si="388"/>
        <v/>
      </c>
      <c r="O907" t="str">
        <f t="shared" si="389"/>
        <v/>
      </c>
    </row>
    <row r="908" spans="1:15" x14ac:dyDescent="0.3">
      <c r="A908">
        <v>34200</v>
      </c>
      <c r="B908" t="s">
        <v>1148</v>
      </c>
      <c r="C908">
        <v>99</v>
      </c>
      <c r="D908" t="s">
        <v>25</v>
      </c>
      <c r="E908" t="s">
        <v>1165</v>
      </c>
      <c r="F908" s="26">
        <v>18105.169999999998</v>
      </c>
      <c r="G908" s="3">
        <v>45761</v>
      </c>
      <c r="H908" t="s">
        <v>1147</v>
      </c>
      <c r="I908" s="4" t="str">
        <f>MID(H908,6,30)</f>
        <v>Investment Account</v>
      </c>
      <c r="J908" t="str">
        <f>IF(LEFT(I908)="L","Compulsory, LA",IF(LEFT(I908)="R","Compulsory, RA",IF(LEFT(I908,2)="Pe","Compulsory, Pens","Voluntary")))</f>
        <v>Voluntary</v>
      </c>
      <c r="K908" t="s">
        <v>15</v>
      </c>
      <c r="M908" t="str">
        <f t="shared" si="387"/>
        <v>b</v>
      </c>
      <c r="N908" t="str">
        <f t="shared" si="388"/>
        <v/>
      </c>
      <c r="O908" t="str">
        <f t="shared" si="389"/>
        <v/>
      </c>
    </row>
    <row r="909" spans="1:15" x14ac:dyDescent="0.3">
      <c r="A909">
        <v>34200</v>
      </c>
      <c r="B909" t="s">
        <v>933</v>
      </c>
      <c r="C909">
        <v>99</v>
      </c>
      <c r="D909" t="s">
        <v>25</v>
      </c>
      <c r="E909" t="s">
        <v>1165</v>
      </c>
      <c r="F909" s="26">
        <v>30030.73</v>
      </c>
      <c r="G909" s="3">
        <v>45761</v>
      </c>
      <c r="H909" t="s">
        <v>26</v>
      </c>
      <c r="I909" s="4" t="str">
        <f>MID(H909,6,30)</f>
        <v>Retirement Annuity</v>
      </c>
      <c r="J909" t="str">
        <f>IF(LEFT(I909)="L","Compulsory, LA",IF(LEFT(I909)="R","Compulsory, RA",IF(LEFT(I909,2)="Pe","Compulsory, Pens","Voluntary")))</f>
        <v>Compulsory, RA</v>
      </c>
      <c r="K909" t="s">
        <v>15</v>
      </c>
      <c r="M909" t="str">
        <f t="shared" si="387"/>
        <v>d</v>
      </c>
      <c r="N909" t="str">
        <f t="shared" si="388"/>
        <v/>
      </c>
      <c r="O909" t="str">
        <f t="shared" si="389"/>
        <v/>
      </c>
    </row>
    <row r="910" spans="1:15" x14ac:dyDescent="0.3">
      <c r="A910">
        <v>34200</v>
      </c>
      <c r="B910" t="s">
        <v>934</v>
      </c>
      <c r="C910">
        <v>99</v>
      </c>
      <c r="D910" t="s">
        <v>25</v>
      </c>
      <c r="E910" t="s">
        <v>1165</v>
      </c>
      <c r="F910" s="26">
        <v>15936.89</v>
      </c>
      <c r="G910" s="3">
        <v>45761</v>
      </c>
      <c r="H910" t="s">
        <v>26</v>
      </c>
      <c r="I910" s="4" t="str">
        <f>MID(H910,6,30)</f>
        <v>Retirement Annuity</v>
      </c>
      <c r="J910" t="str">
        <f>IF(LEFT(I910)="L","Compulsory, LA",IF(LEFT(I910)="R","Compulsory, RA",IF(LEFT(I910,2)="Pe","Compulsory, Pens","Voluntary")))</f>
        <v>Compulsory, RA</v>
      </c>
      <c r="K910" t="s">
        <v>15</v>
      </c>
      <c r="M910" t="str">
        <f t="shared" si="387"/>
        <v>d</v>
      </c>
      <c r="N910" t="str">
        <f t="shared" si="388"/>
        <v/>
      </c>
      <c r="O910" t="str">
        <f t="shared" si="389"/>
        <v/>
      </c>
    </row>
    <row r="911" spans="1:15" x14ac:dyDescent="0.3">
      <c r="A911">
        <v>34200</v>
      </c>
      <c r="B911" t="s">
        <v>1178</v>
      </c>
      <c r="C911">
        <v>99</v>
      </c>
      <c r="D911" t="s">
        <v>25</v>
      </c>
      <c r="E911" t="s">
        <v>1165</v>
      </c>
      <c r="F911" s="26">
        <v>433.66</v>
      </c>
      <c r="G911" s="3">
        <v>45761</v>
      </c>
      <c r="H911" t="s">
        <v>1175</v>
      </c>
      <c r="I911" s="4" t="str">
        <f>MID(H911,6,30)</f>
        <v>Retirement Annuity - Retiremen</v>
      </c>
      <c r="J911" t="str">
        <f>IF(LEFT(I911)="L","Compulsory, LA",IF(LEFT(I911)="R","Compulsory, RA",IF(LEFT(I911,2)="Pe","Compulsory, Pens","Voluntary")))</f>
        <v>Compulsory, RA</v>
      </c>
      <c r="K911" t="s">
        <v>15</v>
      </c>
      <c r="M911" t="str">
        <f t="shared" si="387"/>
        <v>d</v>
      </c>
      <c r="N911" t="str">
        <f t="shared" si="388"/>
        <v/>
      </c>
      <c r="O911" t="str">
        <f t="shared" si="389"/>
        <v/>
      </c>
    </row>
    <row r="912" spans="1:15" x14ac:dyDescent="0.3">
      <c r="A912">
        <v>34200</v>
      </c>
      <c r="B912" t="s">
        <v>1176</v>
      </c>
      <c r="C912">
        <v>99</v>
      </c>
      <c r="D912" t="s">
        <v>25</v>
      </c>
      <c r="E912" t="s">
        <v>1165</v>
      </c>
      <c r="F912" s="26">
        <v>975.73</v>
      </c>
      <c r="G912" s="3">
        <v>45761</v>
      </c>
      <c r="H912" t="s">
        <v>1174</v>
      </c>
      <c r="I912" s="4" t="str">
        <f t="shared" ref="I912:I913" si="394">MID(H912,6,30)</f>
        <v>Retirement Annuity - Savings C</v>
      </c>
      <c r="J912" t="str">
        <f t="shared" ref="J912:J913" si="395">IF(LEFT(I912)="L","Compulsory, LA",IF(LEFT(I912)="R","Compulsory, RA",IF(LEFT(I912,2)="Pe","Compulsory, Pens","Voluntary")))</f>
        <v>Compulsory, RA</v>
      </c>
      <c r="K912" t="s">
        <v>15</v>
      </c>
      <c r="M912" t="str">
        <f t="shared" si="387"/>
        <v>d</v>
      </c>
      <c r="N912" t="str">
        <f t="shared" si="388"/>
        <v/>
      </c>
      <c r="O912" t="str">
        <f t="shared" si="389"/>
        <v/>
      </c>
    </row>
    <row r="913" spans="1:15" x14ac:dyDescent="0.3">
      <c r="A913">
        <v>34200</v>
      </c>
      <c r="B913" t="s">
        <v>1177</v>
      </c>
      <c r="C913">
        <v>99</v>
      </c>
      <c r="D913" t="s">
        <v>25</v>
      </c>
      <c r="E913" t="s">
        <v>1165</v>
      </c>
      <c r="F913" s="26">
        <v>650.49</v>
      </c>
      <c r="G913" s="3">
        <v>45761</v>
      </c>
      <c r="H913" t="s">
        <v>1174</v>
      </c>
      <c r="I913" s="4" t="str">
        <f t="shared" si="394"/>
        <v>Retirement Annuity - Savings C</v>
      </c>
      <c r="J913" t="str">
        <f t="shared" si="395"/>
        <v>Compulsory, RA</v>
      </c>
      <c r="K913" t="s">
        <v>15</v>
      </c>
      <c r="M913" t="str">
        <f t="shared" si="387"/>
        <v>d</v>
      </c>
      <c r="N913" t="str">
        <f t="shared" si="388"/>
        <v/>
      </c>
      <c r="O913" t="str">
        <f t="shared" si="389"/>
        <v/>
      </c>
    </row>
    <row r="914" spans="1:15" x14ac:dyDescent="0.3">
      <c r="A914">
        <v>34202</v>
      </c>
      <c r="B914" t="s">
        <v>807</v>
      </c>
      <c r="C914">
        <v>104</v>
      </c>
      <c r="D914" t="s">
        <v>797</v>
      </c>
      <c r="E914" t="s">
        <v>1165</v>
      </c>
      <c r="F914" s="26">
        <v>377281.42</v>
      </c>
      <c r="G914" s="3">
        <v>45761</v>
      </c>
      <c r="H914" t="s">
        <v>14</v>
      </c>
      <c r="I914" s="4" t="str">
        <f>MID(H914,6,30)</f>
        <v>Living Annuity</v>
      </c>
      <c r="J914" t="str">
        <f>IF(LEFT(I914)="L","Compulsory, LA",IF(LEFT(I914)="R","Compulsory, RA",IF(LEFT(I914,2)="Pe","Compulsory, Pens","Voluntary")))</f>
        <v>Compulsory, LA</v>
      </c>
      <c r="K914" t="s">
        <v>15</v>
      </c>
      <c r="M914" t="str">
        <f t="shared" si="387"/>
        <v>b</v>
      </c>
      <c r="N914" t="str">
        <f t="shared" si="388"/>
        <v/>
      </c>
      <c r="O914" t="str">
        <f t="shared" si="389"/>
        <v/>
      </c>
    </row>
    <row r="915" spans="1:15" x14ac:dyDescent="0.3">
      <c r="A915">
        <v>34202</v>
      </c>
      <c r="B915" t="s">
        <v>806</v>
      </c>
      <c r="C915">
        <v>104</v>
      </c>
      <c r="D915" t="s">
        <v>797</v>
      </c>
      <c r="E915" t="s">
        <v>1165</v>
      </c>
      <c r="F915" s="26">
        <v>71336.539999999994</v>
      </c>
      <c r="G915" s="3">
        <v>45761</v>
      </c>
      <c r="H915" t="s">
        <v>14</v>
      </c>
      <c r="I915" s="4" t="str">
        <f t="shared" ref="I915" si="396">MID(H915,6,30)</f>
        <v>Living Annuity</v>
      </c>
      <c r="J915" t="str">
        <f t="shared" ref="J915" si="397">IF(LEFT(I915)="L","Compulsory, LA",IF(LEFT(I915)="R","Compulsory, RA",IF(LEFT(I915,2)="Pe","Compulsory, Pens","Voluntary")))</f>
        <v>Compulsory, LA</v>
      </c>
      <c r="K915" t="s">
        <v>15</v>
      </c>
      <c r="M915" t="str">
        <f t="shared" si="387"/>
        <v>b</v>
      </c>
      <c r="N915" t="str">
        <f t="shared" si="388"/>
        <v/>
      </c>
      <c r="O915" t="str">
        <f t="shared" si="389"/>
        <v/>
      </c>
    </row>
    <row r="916" spans="1:15" x14ac:dyDescent="0.3">
      <c r="A916">
        <v>34202</v>
      </c>
      <c r="B916" t="s">
        <v>806</v>
      </c>
      <c r="C916">
        <v>104</v>
      </c>
      <c r="D916" t="s">
        <v>797</v>
      </c>
      <c r="E916" t="s">
        <v>1165</v>
      </c>
      <c r="F916" s="26">
        <v>975.73</v>
      </c>
      <c r="G916" s="3">
        <v>45761</v>
      </c>
      <c r="H916" t="s">
        <v>14</v>
      </c>
      <c r="I916" s="4" t="str">
        <f t="shared" ref="I916" si="398">MID(H916,6,30)</f>
        <v>Living Annuity</v>
      </c>
      <c r="J916" t="str">
        <f t="shared" ref="J916" si="399">IF(LEFT(I916)="L","Compulsory, LA",IF(LEFT(I916)="R","Compulsory, RA",IF(LEFT(I916,2)="Pe","Compulsory, Pens","Voluntary")))</f>
        <v>Compulsory, LA</v>
      </c>
      <c r="K916" t="s">
        <v>15</v>
      </c>
      <c r="M916" t="str">
        <f t="shared" si="387"/>
        <v>b</v>
      </c>
      <c r="N916" t="str">
        <f t="shared" si="388"/>
        <v/>
      </c>
      <c r="O916" t="str">
        <f t="shared" si="389"/>
        <v/>
      </c>
    </row>
    <row r="917" spans="1:15" s="13" customFormat="1" x14ac:dyDescent="0.3">
      <c r="A917" s="13">
        <v>34209</v>
      </c>
      <c r="B917" s="13" t="s">
        <v>775</v>
      </c>
      <c r="C917" s="13">
        <v>25</v>
      </c>
      <c r="D917" s="13" t="s">
        <v>28</v>
      </c>
      <c r="E917" s="13" t="s">
        <v>1165</v>
      </c>
      <c r="F917" s="27">
        <v>40438.5</v>
      </c>
      <c r="G917" s="14">
        <v>45761</v>
      </c>
      <c r="H917" s="13" t="s">
        <v>31</v>
      </c>
      <c r="I917" s="15" t="str">
        <f>MID(H917,6,30)</f>
        <v>Investment Account</v>
      </c>
      <c r="J917" s="13" t="str">
        <f>IF(LEFT(I917)="L","Compulsory, LA",IF(LEFT(I917)="R","Compulsory, RA",IF(LEFT(I917,2)="Pe","Compulsory, Pens","Voluntary")))</f>
        <v>Voluntary</v>
      </c>
      <c r="K917" s="13" t="s">
        <v>15</v>
      </c>
      <c r="M917" t="str">
        <f t="shared" si="387"/>
        <v>b</v>
      </c>
      <c r="N917" t="str">
        <f t="shared" si="388"/>
        <v/>
      </c>
      <c r="O917" t="str">
        <f t="shared" si="389"/>
        <v/>
      </c>
    </row>
    <row r="918" spans="1:15" x14ac:dyDescent="0.3">
      <c r="A918">
        <v>34209</v>
      </c>
      <c r="B918" t="s">
        <v>774</v>
      </c>
      <c r="C918">
        <v>25</v>
      </c>
      <c r="D918" t="s">
        <v>28</v>
      </c>
      <c r="E918" t="s">
        <v>1165</v>
      </c>
      <c r="F918" s="25">
        <v>108956.27</v>
      </c>
      <c r="G918" s="3">
        <v>45761</v>
      </c>
      <c r="H918" t="s">
        <v>14</v>
      </c>
      <c r="I918" s="4" t="str">
        <f t="shared" ref="I918" si="400">MID(H918,6,30)</f>
        <v>Living Annuity</v>
      </c>
      <c r="J918" t="str">
        <f t="shared" ref="J918" si="401">IF(LEFT(I918)="L","Compulsory, LA",IF(LEFT(I918)="R","Compulsory, RA",IF(LEFT(I918,2)="Pe","Compulsory, Pens","Voluntary")))</f>
        <v>Compulsory, LA</v>
      </c>
      <c r="K918" t="s">
        <v>15</v>
      </c>
      <c r="M918" t="str">
        <f t="shared" si="387"/>
        <v>b</v>
      </c>
      <c r="N918" t="str">
        <f t="shared" si="388"/>
        <v/>
      </c>
      <c r="O918" t="str">
        <f t="shared" si="389"/>
        <v/>
      </c>
    </row>
    <row r="919" spans="1:15" x14ac:dyDescent="0.3">
      <c r="A919">
        <v>34209</v>
      </c>
      <c r="B919" t="s">
        <v>773</v>
      </c>
      <c r="C919">
        <v>25</v>
      </c>
      <c r="D919" t="s">
        <v>28</v>
      </c>
      <c r="E919" t="s">
        <v>1165</v>
      </c>
      <c r="F919" s="25">
        <v>84346.25</v>
      </c>
      <c r="G919" s="3">
        <v>45761</v>
      </c>
      <c r="H919" t="s">
        <v>14</v>
      </c>
      <c r="I919" s="4" t="str">
        <f>MID(H919,6,30)</f>
        <v>Living Annuity</v>
      </c>
      <c r="J919" t="str">
        <f>IF(LEFT(I919)="L","Compulsory, LA",IF(LEFT(I919)="R","Compulsory, RA",IF(LEFT(I919,2)="Pe","Compulsory, Pens","Voluntary")))</f>
        <v>Compulsory, LA</v>
      </c>
      <c r="K919" t="s">
        <v>15</v>
      </c>
      <c r="M919" t="str">
        <f t="shared" si="387"/>
        <v>b</v>
      </c>
      <c r="N919" t="str">
        <f t="shared" si="388"/>
        <v/>
      </c>
      <c r="O919" t="str">
        <f t="shared" si="389"/>
        <v/>
      </c>
    </row>
    <row r="920" spans="1:15" x14ac:dyDescent="0.3">
      <c r="A920">
        <v>34209</v>
      </c>
      <c r="B920" t="s">
        <v>935</v>
      </c>
      <c r="C920">
        <v>25</v>
      </c>
      <c r="D920" t="s">
        <v>28</v>
      </c>
      <c r="E920" t="s">
        <v>1165</v>
      </c>
      <c r="F920" s="25">
        <v>4444.9799999999996</v>
      </c>
      <c r="G920" s="3">
        <v>45761</v>
      </c>
      <c r="H920" t="s">
        <v>29</v>
      </c>
      <c r="I920" s="4" t="str">
        <f>MID(H920,6,30)</f>
        <v>Provident Preservation Fund</v>
      </c>
      <c r="J920" t="str">
        <f>IF(LEFT(I920)="L","Compulsory, LA",IF(LEFT(I920)="R","Compulsory, RA",IF(LEFT(I920,2)="Pe","Compulsory, Pens","Voluntary")))</f>
        <v>Voluntary</v>
      </c>
      <c r="K920" t="s">
        <v>15</v>
      </c>
      <c r="M920" t="str">
        <f t="shared" si="387"/>
        <v>d</v>
      </c>
      <c r="N920" t="str">
        <f t="shared" si="388"/>
        <v/>
      </c>
      <c r="O920" t="str">
        <f t="shared" si="389"/>
        <v/>
      </c>
    </row>
    <row r="921" spans="1:15" x14ac:dyDescent="0.3">
      <c r="A921">
        <v>34216</v>
      </c>
      <c r="B921" t="s">
        <v>776</v>
      </c>
      <c r="C921">
        <v>95</v>
      </c>
      <c r="D921" t="s">
        <v>30</v>
      </c>
      <c r="E921" t="s">
        <v>1165</v>
      </c>
      <c r="F921" s="25">
        <v>47268.59</v>
      </c>
      <c r="G921" s="3">
        <v>45761</v>
      </c>
      <c r="H921" t="s">
        <v>14</v>
      </c>
      <c r="I921" s="4" t="str">
        <f t="shared" ref="I921:I923" si="402">MID(H921,6,30)</f>
        <v>Living Annuity</v>
      </c>
      <c r="J921" t="str">
        <f t="shared" ref="J921:J923" si="403">IF(LEFT(I921)="L","Compulsory, LA",IF(LEFT(I921)="R","Compulsory, RA",IF(LEFT(I921,2)="Pe","Compulsory, Pens","Voluntary")))</f>
        <v>Compulsory, LA</v>
      </c>
      <c r="K921" t="s">
        <v>15</v>
      </c>
      <c r="M921" t="str">
        <f t="shared" si="387"/>
        <v>b</v>
      </c>
      <c r="N921" t="str">
        <f t="shared" si="388"/>
        <v/>
      </c>
      <c r="O921" t="str">
        <f t="shared" si="389"/>
        <v/>
      </c>
    </row>
    <row r="922" spans="1:15" x14ac:dyDescent="0.3">
      <c r="A922">
        <v>34337</v>
      </c>
      <c r="B922" t="s">
        <v>719</v>
      </c>
      <c r="C922">
        <v>243</v>
      </c>
      <c r="D922" t="s">
        <v>717</v>
      </c>
      <c r="E922" t="s">
        <v>1165</v>
      </c>
      <c r="F922" s="25">
        <v>650.49</v>
      </c>
      <c r="G922" s="3">
        <v>45761</v>
      </c>
      <c r="H922" t="s">
        <v>31</v>
      </c>
      <c r="I922" s="4" t="str">
        <f t="shared" si="402"/>
        <v>Investment Account</v>
      </c>
      <c r="J922" t="str">
        <f t="shared" si="403"/>
        <v>Voluntary</v>
      </c>
      <c r="K922" t="s">
        <v>15</v>
      </c>
      <c r="M922" t="str">
        <f t="shared" si="387"/>
        <v>b</v>
      </c>
      <c r="N922" t="str">
        <f t="shared" si="388"/>
        <v/>
      </c>
      <c r="O922" t="str">
        <f t="shared" si="389"/>
        <v/>
      </c>
    </row>
    <row r="923" spans="1:15" x14ac:dyDescent="0.3">
      <c r="A923">
        <v>34337</v>
      </c>
      <c r="B923" t="s">
        <v>724</v>
      </c>
      <c r="C923">
        <v>243</v>
      </c>
      <c r="D923" t="s">
        <v>717</v>
      </c>
      <c r="E923" t="s">
        <v>1165</v>
      </c>
      <c r="F923" s="25">
        <v>26453.06</v>
      </c>
      <c r="G923" s="3">
        <v>45761</v>
      </c>
      <c r="H923" t="s">
        <v>14</v>
      </c>
      <c r="I923" s="4" t="str">
        <f t="shared" si="402"/>
        <v>Living Annuity</v>
      </c>
      <c r="J923" t="str">
        <f t="shared" si="403"/>
        <v>Compulsory, LA</v>
      </c>
      <c r="K923" t="s">
        <v>15</v>
      </c>
      <c r="M923" t="str">
        <f t="shared" si="387"/>
        <v>b</v>
      </c>
      <c r="N923" t="str">
        <f t="shared" si="388"/>
        <v/>
      </c>
      <c r="O923" t="str">
        <f t="shared" si="389"/>
        <v/>
      </c>
    </row>
    <row r="924" spans="1:15" s="13" customFormat="1" x14ac:dyDescent="0.3">
      <c r="A924" s="13">
        <v>34395</v>
      </c>
      <c r="B924" s="13" t="s">
        <v>777</v>
      </c>
      <c r="C924" s="13">
        <v>168</v>
      </c>
      <c r="D924" s="13" t="s">
        <v>111</v>
      </c>
      <c r="E924" s="13" t="s">
        <v>1165</v>
      </c>
      <c r="F924" s="28">
        <v>10082.52</v>
      </c>
      <c r="G924" s="14">
        <v>45761</v>
      </c>
      <c r="H924" s="13" t="s">
        <v>31</v>
      </c>
      <c r="I924" s="15" t="str">
        <f>MID(H924,6,30)</f>
        <v>Investment Account</v>
      </c>
      <c r="J924" s="13" t="str">
        <f>IF(LEFT(I924)="L","Compulsory, LA",IF(LEFT(I924)="R","Compulsory, RA",IF(LEFT(I924,2)="Pe","Compulsory, Pens","Voluntary")))</f>
        <v>Voluntary</v>
      </c>
      <c r="K924" s="13" t="s">
        <v>15</v>
      </c>
      <c r="M924" t="str">
        <f t="shared" si="387"/>
        <v>b</v>
      </c>
      <c r="N924" t="str">
        <f t="shared" si="388"/>
        <v/>
      </c>
      <c r="O924" t="str">
        <f t="shared" si="389"/>
        <v/>
      </c>
    </row>
    <row r="925" spans="1:15" x14ac:dyDescent="0.3">
      <c r="A925">
        <v>34395</v>
      </c>
      <c r="B925" t="s">
        <v>1000</v>
      </c>
      <c r="C925">
        <v>168</v>
      </c>
      <c r="D925" t="s">
        <v>111</v>
      </c>
      <c r="E925" t="s">
        <v>1165</v>
      </c>
      <c r="F925" s="26">
        <v>9215.2099999999991</v>
      </c>
      <c r="G925" s="3">
        <v>45761</v>
      </c>
      <c r="H925" t="s">
        <v>14</v>
      </c>
      <c r="I925" s="4" t="str">
        <f t="shared" ref="I925" si="404">MID(H925,6,30)</f>
        <v>Living Annuity</v>
      </c>
      <c r="J925" t="str">
        <f t="shared" ref="J925" si="405">IF(LEFT(I925)="L","Compulsory, LA",IF(LEFT(I925)="R","Compulsory, RA",IF(LEFT(I925,2)="Pe","Compulsory, Pens","Voluntary")))</f>
        <v>Compulsory, LA</v>
      </c>
      <c r="K925" t="s">
        <v>15</v>
      </c>
      <c r="M925" t="str">
        <f t="shared" si="387"/>
        <v>b</v>
      </c>
      <c r="N925" t="str">
        <f t="shared" si="388"/>
        <v/>
      </c>
      <c r="O925" t="str">
        <f t="shared" si="389"/>
        <v/>
      </c>
    </row>
    <row r="926" spans="1:15" x14ac:dyDescent="0.3">
      <c r="A926">
        <v>34395</v>
      </c>
      <c r="B926" t="s">
        <v>901</v>
      </c>
      <c r="C926">
        <v>168</v>
      </c>
      <c r="D926" t="s">
        <v>111</v>
      </c>
      <c r="E926" t="s">
        <v>1165</v>
      </c>
      <c r="F926" s="26">
        <v>4987.05</v>
      </c>
      <c r="G926" s="3">
        <v>45761</v>
      </c>
      <c r="H926" t="s">
        <v>14</v>
      </c>
      <c r="I926" s="4" t="str">
        <f>MID(H926,6,30)</f>
        <v>Living Annuity</v>
      </c>
      <c r="J926" t="str">
        <f>IF(LEFT(I926)="L","Compulsory, LA",IF(LEFT(I926)="R","Compulsory, RA",IF(LEFT(I926,2)="Pe","Compulsory, Pens","Voluntary")))</f>
        <v>Compulsory, LA</v>
      </c>
      <c r="K926" t="s">
        <v>15</v>
      </c>
      <c r="M926" t="str">
        <f t="shared" si="387"/>
        <v>b</v>
      </c>
      <c r="N926" t="str">
        <f t="shared" si="388"/>
        <v/>
      </c>
      <c r="O926" t="str">
        <f t="shared" si="389"/>
        <v/>
      </c>
    </row>
    <row r="927" spans="1:15" x14ac:dyDescent="0.3">
      <c r="A927">
        <v>34395</v>
      </c>
      <c r="B927" t="s">
        <v>778</v>
      </c>
      <c r="C927">
        <v>168</v>
      </c>
      <c r="D927" t="s">
        <v>111</v>
      </c>
      <c r="E927" t="s">
        <v>1165</v>
      </c>
      <c r="F927" s="26">
        <v>104619.7</v>
      </c>
      <c r="G927" s="3">
        <v>45761</v>
      </c>
      <c r="H927" t="s">
        <v>14</v>
      </c>
      <c r="I927" s="4" t="str">
        <f>MID(H927,6,30)</f>
        <v>Living Annuity</v>
      </c>
      <c r="J927" t="str">
        <f>IF(LEFT(I927)="L","Compulsory, LA",IF(LEFT(I927)="R","Compulsory, RA",IF(LEFT(I927,2)="Pe","Compulsory, Pens","Voluntary")))</f>
        <v>Compulsory, LA</v>
      </c>
      <c r="K927" t="s">
        <v>15</v>
      </c>
      <c r="M927" t="str">
        <f t="shared" si="387"/>
        <v>b</v>
      </c>
      <c r="N927" t="str">
        <f t="shared" si="388"/>
        <v/>
      </c>
      <c r="O927" t="str">
        <f t="shared" si="389"/>
        <v/>
      </c>
    </row>
    <row r="928" spans="1:15" x14ac:dyDescent="0.3">
      <c r="A928">
        <v>36048</v>
      </c>
      <c r="B928" t="s">
        <v>1001</v>
      </c>
      <c r="C928">
        <v>34</v>
      </c>
      <c r="D928" t="s">
        <v>937</v>
      </c>
      <c r="E928" t="s">
        <v>1165</v>
      </c>
      <c r="F928" s="26">
        <v>4228.1499999999996</v>
      </c>
      <c r="G928" s="3">
        <v>45761</v>
      </c>
      <c r="H928" t="s">
        <v>14</v>
      </c>
      <c r="I928" s="4" t="str">
        <f t="shared" ref="I928:I939" si="406">MID(H928,6,30)</f>
        <v>Living Annuity</v>
      </c>
      <c r="J928" t="str">
        <f t="shared" ref="J928:J939" si="407">IF(LEFT(I928)="L","Compulsory, LA",IF(LEFT(I928)="R","Compulsory, RA",IF(LEFT(I928,2)="Pe","Compulsory, Pens","Voluntary")))</f>
        <v>Compulsory, LA</v>
      </c>
      <c r="K928" t="s">
        <v>15</v>
      </c>
      <c r="M928" t="str">
        <f t="shared" si="387"/>
        <v>b</v>
      </c>
      <c r="N928" t="str">
        <f t="shared" si="388"/>
        <v/>
      </c>
      <c r="O928" t="str">
        <f t="shared" si="389"/>
        <v/>
      </c>
    </row>
    <row r="929" spans="1:15" x14ac:dyDescent="0.3">
      <c r="A929">
        <v>36048</v>
      </c>
      <c r="B929" t="s">
        <v>1002</v>
      </c>
      <c r="C929">
        <v>34</v>
      </c>
      <c r="D929" t="s">
        <v>937</v>
      </c>
      <c r="E929" t="s">
        <v>1165</v>
      </c>
      <c r="F929" s="26">
        <v>16262.13</v>
      </c>
      <c r="G929" s="3">
        <v>45761</v>
      </c>
      <c r="H929" t="s">
        <v>14</v>
      </c>
      <c r="I929" s="4" t="str">
        <f t="shared" si="406"/>
        <v>Living Annuity</v>
      </c>
      <c r="J929" t="str">
        <f t="shared" si="407"/>
        <v>Compulsory, LA</v>
      </c>
      <c r="K929" t="s">
        <v>15</v>
      </c>
      <c r="M929" t="str">
        <f t="shared" si="387"/>
        <v>b</v>
      </c>
      <c r="N929" t="str">
        <f t="shared" si="388"/>
        <v/>
      </c>
      <c r="O929" t="str">
        <f t="shared" si="389"/>
        <v/>
      </c>
    </row>
    <row r="930" spans="1:15" x14ac:dyDescent="0.3">
      <c r="A930">
        <v>36059</v>
      </c>
      <c r="B930" t="s">
        <v>1003</v>
      </c>
      <c r="C930">
        <v>4</v>
      </c>
      <c r="D930" t="s">
        <v>35</v>
      </c>
      <c r="E930" t="s">
        <v>1165</v>
      </c>
      <c r="F930" s="26">
        <v>24610.02</v>
      </c>
      <c r="G930" s="3">
        <v>45761</v>
      </c>
      <c r="H930" t="s">
        <v>14</v>
      </c>
      <c r="I930" s="4" t="str">
        <f t="shared" si="406"/>
        <v>Living Annuity</v>
      </c>
      <c r="J930" t="str">
        <f t="shared" si="407"/>
        <v>Compulsory, LA</v>
      </c>
      <c r="K930" t="s">
        <v>15</v>
      </c>
      <c r="M930" t="str">
        <f t="shared" si="387"/>
        <v>b</v>
      </c>
      <c r="N930" t="str">
        <f t="shared" si="388"/>
        <v/>
      </c>
      <c r="O930" t="str">
        <f t="shared" si="389"/>
        <v/>
      </c>
    </row>
    <row r="931" spans="1:15" x14ac:dyDescent="0.3">
      <c r="A931">
        <v>36059</v>
      </c>
      <c r="B931" t="s">
        <v>1004</v>
      </c>
      <c r="C931">
        <v>4</v>
      </c>
      <c r="D931" t="s">
        <v>35</v>
      </c>
      <c r="E931" t="s">
        <v>1165</v>
      </c>
      <c r="F931" s="26">
        <v>15394.82</v>
      </c>
      <c r="G931" s="3">
        <v>45761</v>
      </c>
      <c r="H931" t="s">
        <v>14</v>
      </c>
      <c r="I931" s="4" t="str">
        <f t="shared" si="406"/>
        <v>Living Annuity</v>
      </c>
      <c r="J931" t="str">
        <f t="shared" si="407"/>
        <v>Compulsory, LA</v>
      </c>
      <c r="K931" t="s">
        <v>15</v>
      </c>
      <c r="M931" t="str">
        <f t="shared" si="387"/>
        <v>b</v>
      </c>
      <c r="N931" t="str">
        <f t="shared" si="388"/>
        <v/>
      </c>
      <c r="O931" t="str">
        <f t="shared" si="389"/>
        <v/>
      </c>
    </row>
    <row r="932" spans="1:15" x14ac:dyDescent="0.3">
      <c r="A932">
        <v>36060</v>
      </c>
      <c r="B932" t="s">
        <v>1005</v>
      </c>
      <c r="C932">
        <v>2</v>
      </c>
      <c r="D932" t="s">
        <v>38</v>
      </c>
      <c r="E932" t="s">
        <v>1165</v>
      </c>
      <c r="F932" s="26">
        <v>39354.35</v>
      </c>
      <c r="G932" s="3">
        <v>45761</v>
      </c>
      <c r="H932" t="s">
        <v>14</v>
      </c>
      <c r="I932" s="4" t="str">
        <f t="shared" si="406"/>
        <v>Living Annuity</v>
      </c>
      <c r="J932" t="str">
        <f t="shared" si="407"/>
        <v>Compulsory, LA</v>
      </c>
      <c r="K932" t="s">
        <v>15</v>
      </c>
      <c r="M932" t="str">
        <f t="shared" si="387"/>
        <v>b</v>
      </c>
      <c r="N932" t="str">
        <f t="shared" si="388"/>
        <v/>
      </c>
      <c r="O932" t="str">
        <f t="shared" si="389"/>
        <v/>
      </c>
    </row>
    <row r="933" spans="1:15" x14ac:dyDescent="0.3">
      <c r="A933">
        <v>36060</v>
      </c>
      <c r="B933" t="s">
        <v>1006</v>
      </c>
      <c r="C933">
        <v>2</v>
      </c>
      <c r="D933" t="s">
        <v>38</v>
      </c>
      <c r="E933" t="s">
        <v>1165</v>
      </c>
      <c r="F933" s="26">
        <v>5420.71</v>
      </c>
      <c r="G933" s="3">
        <v>45761</v>
      </c>
      <c r="H933" t="s">
        <v>14</v>
      </c>
      <c r="I933" s="4" t="str">
        <f t="shared" si="406"/>
        <v>Living Annuity</v>
      </c>
      <c r="J933" t="str">
        <f t="shared" si="407"/>
        <v>Compulsory, LA</v>
      </c>
      <c r="K933" t="s">
        <v>15</v>
      </c>
      <c r="M933" t="str">
        <f t="shared" si="387"/>
        <v>b</v>
      </c>
      <c r="N933" t="str">
        <f t="shared" si="388"/>
        <v/>
      </c>
      <c r="O933" t="str">
        <f t="shared" si="389"/>
        <v/>
      </c>
    </row>
    <row r="934" spans="1:15" x14ac:dyDescent="0.3">
      <c r="A934">
        <v>36062</v>
      </c>
      <c r="B934" t="s">
        <v>945</v>
      </c>
      <c r="C934">
        <v>224</v>
      </c>
      <c r="D934" t="s">
        <v>938</v>
      </c>
      <c r="E934" t="s">
        <v>1165</v>
      </c>
      <c r="F934" s="26">
        <v>7588.99</v>
      </c>
      <c r="G934" s="3">
        <v>45761</v>
      </c>
      <c r="H934" t="s">
        <v>26</v>
      </c>
      <c r="I934" s="4" t="str">
        <f t="shared" si="406"/>
        <v>Retirement Annuity</v>
      </c>
      <c r="J934" t="str">
        <f t="shared" si="407"/>
        <v>Compulsory, RA</v>
      </c>
      <c r="K934" t="s">
        <v>15</v>
      </c>
      <c r="M934" t="str">
        <f t="shared" si="387"/>
        <v>d</v>
      </c>
      <c r="N934" t="str">
        <f t="shared" si="388"/>
        <v/>
      </c>
      <c r="O934" t="str">
        <f t="shared" si="389"/>
        <v/>
      </c>
    </row>
    <row r="935" spans="1:15" x14ac:dyDescent="0.3">
      <c r="A935">
        <v>36062</v>
      </c>
      <c r="B935" t="s">
        <v>1179</v>
      </c>
      <c r="C935">
        <v>224</v>
      </c>
      <c r="D935" t="s">
        <v>938</v>
      </c>
      <c r="E935" t="s">
        <v>1165</v>
      </c>
      <c r="F935" s="26">
        <v>108.41</v>
      </c>
      <c r="G935" s="3">
        <v>45761</v>
      </c>
      <c r="H935" t="s">
        <v>1174</v>
      </c>
      <c r="I935" s="4" t="str">
        <f t="shared" si="406"/>
        <v>Retirement Annuity - Savings C</v>
      </c>
      <c r="J935" t="str">
        <f t="shared" si="407"/>
        <v>Compulsory, RA</v>
      </c>
      <c r="K935" t="s">
        <v>15</v>
      </c>
      <c r="M935" t="str">
        <f t="shared" si="387"/>
        <v>d</v>
      </c>
      <c r="N935" t="str">
        <f t="shared" si="388"/>
        <v/>
      </c>
      <c r="O935" t="str">
        <f t="shared" si="389"/>
        <v/>
      </c>
    </row>
    <row r="936" spans="1:15" x14ac:dyDescent="0.3">
      <c r="A936">
        <v>36062</v>
      </c>
      <c r="B936" t="s">
        <v>1139</v>
      </c>
      <c r="C936">
        <v>224</v>
      </c>
      <c r="D936" t="s">
        <v>938</v>
      </c>
      <c r="E936" t="s">
        <v>1165</v>
      </c>
      <c r="F936" s="26">
        <v>650.49</v>
      </c>
      <c r="G936" s="3">
        <v>45761</v>
      </c>
      <c r="H936" t="s">
        <v>31</v>
      </c>
      <c r="I936" s="4" t="str">
        <f t="shared" si="406"/>
        <v>Investment Account</v>
      </c>
      <c r="J936" t="str">
        <f t="shared" si="407"/>
        <v>Voluntary</v>
      </c>
      <c r="K936" t="s">
        <v>15</v>
      </c>
      <c r="M936" t="str">
        <f t="shared" si="387"/>
        <v>b</v>
      </c>
      <c r="N936" t="str">
        <f t="shared" si="388"/>
        <v/>
      </c>
      <c r="O936" t="str">
        <f t="shared" si="389"/>
        <v/>
      </c>
    </row>
    <row r="937" spans="1:15" x14ac:dyDescent="0.3">
      <c r="A937">
        <v>37040</v>
      </c>
      <c r="B937" t="s">
        <v>1008</v>
      </c>
      <c r="C937">
        <v>263</v>
      </c>
      <c r="D937" t="s">
        <v>44</v>
      </c>
      <c r="E937" t="s">
        <v>1165</v>
      </c>
      <c r="F937" s="26">
        <v>20056.63</v>
      </c>
      <c r="G937" s="3">
        <v>45761</v>
      </c>
      <c r="H937" t="s">
        <v>14</v>
      </c>
      <c r="I937" s="4" t="str">
        <f t="shared" si="406"/>
        <v>Living Annuity</v>
      </c>
      <c r="J937" t="str">
        <f t="shared" si="407"/>
        <v>Compulsory, LA</v>
      </c>
      <c r="K937" t="s">
        <v>15</v>
      </c>
      <c r="M937" t="str">
        <f t="shared" si="387"/>
        <v>b</v>
      </c>
      <c r="N937" t="str">
        <f t="shared" si="388"/>
        <v/>
      </c>
      <c r="O937" t="str">
        <f t="shared" si="389"/>
        <v/>
      </c>
    </row>
    <row r="938" spans="1:15" x14ac:dyDescent="0.3">
      <c r="A938">
        <v>37041</v>
      </c>
      <c r="B938" t="s">
        <v>1009</v>
      </c>
      <c r="C938">
        <v>84</v>
      </c>
      <c r="D938" t="s">
        <v>46</v>
      </c>
      <c r="E938" t="s">
        <v>1165</v>
      </c>
      <c r="F938" s="26">
        <v>3035.6</v>
      </c>
      <c r="G938" s="3">
        <v>45761</v>
      </c>
      <c r="H938" t="s">
        <v>14</v>
      </c>
      <c r="I938" s="4" t="str">
        <f t="shared" si="406"/>
        <v>Living Annuity</v>
      </c>
      <c r="J938" t="str">
        <f t="shared" si="407"/>
        <v>Compulsory, LA</v>
      </c>
      <c r="K938" t="s">
        <v>15</v>
      </c>
      <c r="M938" t="str">
        <f t="shared" si="387"/>
        <v>b</v>
      </c>
      <c r="N938" t="str">
        <f t="shared" si="388"/>
        <v/>
      </c>
      <c r="O938" t="str">
        <f t="shared" si="389"/>
        <v/>
      </c>
    </row>
    <row r="939" spans="1:15" x14ac:dyDescent="0.3">
      <c r="A939">
        <v>38586</v>
      </c>
      <c r="B939" t="s">
        <v>1010</v>
      </c>
      <c r="C939">
        <v>181</v>
      </c>
      <c r="D939" t="s">
        <v>48</v>
      </c>
      <c r="E939" t="s">
        <v>1165</v>
      </c>
      <c r="F939" s="26">
        <v>1626.21</v>
      </c>
      <c r="G939" s="3">
        <v>45761</v>
      </c>
      <c r="H939" t="s">
        <v>14</v>
      </c>
      <c r="I939" s="4" t="str">
        <f t="shared" si="406"/>
        <v>Living Annuity</v>
      </c>
      <c r="J939" t="str">
        <f t="shared" si="407"/>
        <v>Compulsory, LA</v>
      </c>
      <c r="K939" t="s">
        <v>15</v>
      </c>
      <c r="M939" t="str">
        <f t="shared" si="387"/>
        <v>b</v>
      </c>
      <c r="N939" t="str">
        <f t="shared" si="388"/>
        <v/>
      </c>
      <c r="O939" t="str">
        <f t="shared" si="389"/>
        <v/>
      </c>
    </row>
    <row r="940" spans="1:15" x14ac:dyDescent="0.3">
      <c r="A940">
        <v>38842</v>
      </c>
      <c r="B940" t="s">
        <v>1097</v>
      </c>
      <c r="C940">
        <v>79</v>
      </c>
      <c r="D940" t="s">
        <v>50</v>
      </c>
      <c r="E940" t="s">
        <v>1165</v>
      </c>
      <c r="F940" s="25">
        <v>4011.33</v>
      </c>
      <c r="G940" s="3">
        <v>45761</v>
      </c>
      <c r="H940" t="s">
        <v>14</v>
      </c>
      <c r="I940" s="4" t="str">
        <f>MID(H940,6,30)</f>
        <v>Living Annuity</v>
      </c>
      <c r="J940" t="str">
        <f>IF(LEFT(I940)="L","Compulsory, LA",IF(LEFT(I940)="R","Compulsory, RA",IF(LEFT(I940,2)="Pe","Compulsory, Pens","Voluntary")))</f>
        <v>Compulsory, LA</v>
      </c>
      <c r="K940" t="s">
        <v>15</v>
      </c>
      <c r="M940" t="str">
        <f t="shared" si="387"/>
        <v>b</v>
      </c>
      <c r="N940" t="str">
        <f t="shared" si="388"/>
        <v/>
      </c>
      <c r="O940" t="str">
        <f t="shared" si="389"/>
        <v/>
      </c>
    </row>
    <row r="941" spans="1:15" x14ac:dyDescent="0.3">
      <c r="A941">
        <v>41695</v>
      </c>
      <c r="B941" t="s">
        <v>818</v>
      </c>
      <c r="C941">
        <v>278</v>
      </c>
      <c r="D941" t="s">
        <v>56</v>
      </c>
      <c r="E941" t="s">
        <v>1165</v>
      </c>
      <c r="F941" s="25">
        <v>1084.1400000000001</v>
      </c>
      <c r="G941" s="3">
        <v>45761</v>
      </c>
      <c r="H941" t="s">
        <v>26</v>
      </c>
      <c r="I941" s="4" t="str">
        <f t="shared" ref="I941:I944" si="408">MID(H941,6,30)</f>
        <v>Retirement Annuity</v>
      </c>
      <c r="J941" t="str">
        <f t="shared" ref="J941:J944" si="409">IF(LEFT(I941)="L","Compulsory, LA",IF(LEFT(I941)="R","Compulsory, RA",IF(LEFT(I941,2)="Pe","Compulsory, Pens","Voluntary")))</f>
        <v>Compulsory, RA</v>
      </c>
      <c r="K941" t="s">
        <v>15</v>
      </c>
      <c r="M941" t="str">
        <f t="shared" si="387"/>
        <v>d</v>
      </c>
      <c r="N941" t="str">
        <f t="shared" si="388"/>
        <v/>
      </c>
      <c r="O941" t="str">
        <f t="shared" si="389"/>
        <v/>
      </c>
    </row>
    <row r="942" spans="1:15" x14ac:dyDescent="0.3">
      <c r="A942">
        <v>41695</v>
      </c>
      <c r="B942" t="s">
        <v>779</v>
      </c>
      <c r="C942">
        <v>278</v>
      </c>
      <c r="D942" t="s">
        <v>56</v>
      </c>
      <c r="E942" t="s">
        <v>1165</v>
      </c>
      <c r="F942" s="26">
        <v>57242.7</v>
      </c>
      <c r="G942" s="3">
        <v>45761</v>
      </c>
      <c r="H942" t="s">
        <v>31</v>
      </c>
      <c r="I942" s="4" t="str">
        <f t="shared" si="408"/>
        <v>Investment Account</v>
      </c>
      <c r="J942" t="str">
        <f t="shared" si="409"/>
        <v>Voluntary</v>
      </c>
      <c r="K942" t="s">
        <v>15</v>
      </c>
      <c r="M942" t="str">
        <f t="shared" si="387"/>
        <v>b</v>
      </c>
      <c r="N942" t="str">
        <f t="shared" si="388"/>
        <v/>
      </c>
      <c r="O942" t="str">
        <f t="shared" si="389"/>
        <v/>
      </c>
    </row>
    <row r="943" spans="1:15" x14ac:dyDescent="0.3">
      <c r="A943">
        <v>46589</v>
      </c>
      <c r="B943" t="s">
        <v>1013</v>
      </c>
      <c r="C943">
        <v>80</v>
      </c>
      <c r="D943" t="s">
        <v>58</v>
      </c>
      <c r="E943" t="s">
        <v>1165</v>
      </c>
      <c r="F943" s="25">
        <v>59085.74</v>
      </c>
      <c r="G943" s="3">
        <v>45761</v>
      </c>
      <c r="H943" t="s">
        <v>14</v>
      </c>
      <c r="I943" s="4" t="str">
        <f t="shared" si="408"/>
        <v>Living Annuity</v>
      </c>
      <c r="J943" t="str">
        <f t="shared" si="409"/>
        <v>Compulsory, LA</v>
      </c>
      <c r="K943" t="s">
        <v>15</v>
      </c>
      <c r="M943" t="str">
        <f t="shared" si="387"/>
        <v>b</v>
      </c>
      <c r="N943" t="str">
        <f t="shared" si="388"/>
        <v/>
      </c>
      <c r="O943" t="str">
        <f t="shared" si="389"/>
        <v/>
      </c>
    </row>
    <row r="944" spans="1:15" x14ac:dyDescent="0.3">
      <c r="A944">
        <v>46589</v>
      </c>
      <c r="B944" t="s">
        <v>1014</v>
      </c>
      <c r="C944">
        <v>80</v>
      </c>
      <c r="D944" t="s">
        <v>58</v>
      </c>
      <c r="E944" t="s">
        <v>1165</v>
      </c>
      <c r="F944" s="25">
        <v>1192.56</v>
      </c>
      <c r="G944" s="3">
        <v>45761</v>
      </c>
      <c r="H944" t="s">
        <v>14</v>
      </c>
      <c r="I944" s="4" t="str">
        <f t="shared" si="408"/>
        <v>Living Annuity</v>
      </c>
      <c r="J944" t="str">
        <f t="shared" si="409"/>
        <v>Compulsory, LA</v>
      </c>
      <c r="K944" t="s">
        <v>15</v>
      </c>
      <c r="M944" t="str">
        <f t="shared" si="387"/>
        <v>b</v>
      </c>
      <c r="N944" t="str">
        <f t="shared" si="388"/>
        <v/>
      </c>
      <c r="O944" t="str">
        <f t="shared" si="389"/>
        <v/>
      </c>
    </row>
    <row r="945" spans="1:15" x14ac:dyDescent="0.3">
      <c r="A945">
        <v>61172</v>
      </c>
      <c r="B945" t="s">
        <v>1062</v>
      </c>
      <c r="C945">
        <v>272</v>
      </c>
      <c r="D945" t="s">
        <v>62</v>
      </c>
      <c r="E945" t="s">
        <v>1165</v>
      </c>
      <c r="F945" s="25">
        <v>16804.2</v>
      </c>
      <c r="G945" s="3">
        <v>45761</v>
      </c>
      <c r="H945" t="s">
        <v>26</v>
      </c>
      <c r="I945" s="4" t="str">
        <f>MID(H945,6,30)</f>
        <v>Retirement Annuity</v>
      </c>
      <c r="J945" t="str">
        <f>IF(LEFT(I945)="L","Compulsory, LA",IF(LEFT(I945)="R","Compulsory, RA",IF(LEFT(I945,2)="Pe","Compulsory, Pens",IF(LEFT(I945,2)="Pr","Compulsory, Prov","Voluntary"))))</f>
        <v>Compulsory, RA</v>
      </c>
      <c r="K945" t="s">
        <v>15</v>
      </c>
      <c r="M945" t="str">
        <f t="shared" si="387"/>
        <v>d</v>
      </c>
      <c r="N945" t="str">
        <f t="shared" si="388"/>
        <v/>
      </c>
      <c r="O945" t="str">
        <f t="shared" si="389"/>
        <v/>
      </c>
    </row>
    <row r="946" spans="1:15" x14ac:dyDescent="0.3">
      <c r="A946">
        <v>61172</v>
      </c>
      <c r="B946" t="s">
        <v>1181</v>
      </c>
      <c r="C946">
        <v>272</v>
      </c>
      <c r="D946" t="s">
        <v>62</v>
      </c>
      <c r="E946" t="s">
        <v>1165</v>
      </c>
      <c r="F946" s="25">
        <v>650.49</v>
      </c>
      <c r="G946" s="3">
        <v>45761</v>
      </c>
      <c r="H946" t="s">
        <v>1174</v>
      </c>
      <c r="I946" s="4" t="str">
        <f t="shared" ref="I946" si="410">MID(H946,6,30)</f>
        <v>Retirement Annuity - Savings C</v>
      </c>
      <c r="J946" t="str">
        <f t="shared" ref="J946" si="411">IF(LEFT(I946)="L","Compulsory, LA",IF(LEFT(I946)="R","Compulsory, RA",IF(LEFT(I946,2)="Pe","Compulsory, Pens",IF(LEFT(I946,2)="Pr","Compulsory, Prov","Voluntary"))))</f>
        <v>Compulsory, RA</v>
      </c>
      <c r="K946" t="s">
        <v>15</v>
      </c>
      <c r="M946" t="str">
        <f t="shared" si="387"/>
        <v>d</v>
      </c>
      <c r="N946" t="str">
        <f t="shared" si="388"/>
        <v/>
      </c>
      <c r="O946" t="str">
        <f t="shared" si="389"/>
        <v/>
      </c>
    </row>
    <row r="947" spans="1:15" x14ac:dyDescent="0.3">
      <c r="A947">
        <v>62166</v>
      </c>
      <c r="B947" t="s">
        <v>955</v>
      </c>
      <c r="C947">
        <v>153</v>
      </c>
      <c r="D947" t="s">
        <v>64</v>
      </c>
      <c r="E947" t="s">
        <v>1165</v>
      </c>
      <c r="F947" s="25">
        <v>15394.82</v>
      </c>
      <c r="G947" s="3">
        <v>45761</v>
      </c>
      <c r="H947" t="s">
        <v>26</v>
      </c>
      <c r="I947" s="4" t="str">
        <f t="shared" ref="I947:I970" si="412">MID(H947,6,30)</f>
        <v>Retirement Annuity</v>
      </c>
      <c r="J947" t="str">
        <f t="shared" ref="J947:J949" si="413">IF(LEFT(I947)="L","Compulsory, LA",IF(LEFT(I947)="R","Compulsory, RA",IF(LEFT(I947,2)="Pe","Compulsory, Pens",IF(LEFT(I947,2)="Pr","Compulsory, Prov","Voluntary"))))</f>
        <v>Compulsory, RA</v>
      </c>
      <c r="K947" t="s">
        <v>15</v>
      </c>
      <c r="M947" t="str">
        <f t="shared" si="387"/>
        <v>d</v>
      </c>
      <c r="N947" t="str">
        <f t="shared" si="388"/>
        <v/>
      </c>
      <c r="O947" t="str">
        <f t="shared" si="389"/>
        <v/>
      </c>
    </row>
    <row r="948" spans="1:15" x14ac:dyDescent="0.3">
      <c r="A948">
        <v>62166</v>
      </c>
      <c r="B948" t="s">
        <v>1182</v>
      </c>
      <c r="C948">
        <v>153</v>
      </c>
      <c r="D948" t="s">
        <v>64</v>
      </c>
      <c r="E948" t="s">
        <v>1165</v>
      </c>
      <c r="F948" s="25">
        <v>650.49</v>
      </c>
      <c r="G948" s="3">
        <v>45761</v>
      </c>
      <c r="H948" t="s">
        <v>1174</v>
      </c>
      <c r="I948" s="4" t="str">
        <f t="shared" si="412"/>
        <v>Retirement Annuity - Savings C</v>
      </c>
      <c r="J948" t="str">
        <f t="shared" si="413"/>
        <v>Compulsory, RA</v>
      </c>
      <c r="K948" t="s">
        <v>15</v>
      </c>
      <c r="M948" t="str">
        <f t="shared" si="387"/>
        <v>d</v>
      </c>
      <c r="N948" t="str">
        <f t="shared" si="388"/>
        <v/>
      </c>
      <c r="O948" t="str">
        <f t="shared" si="389"/>
        <v/>
      </c>
    </row>
    <row r="949" spans="1:15" x14ac:dyDescent="0.3">
      <c r="A949">
        <v>69046</v>
      </c>
      <c r="B949" t="s">
        <v>1016</v>
      </c>
      <c r="C949">
        <v>167</v>
      </c>
      <c r="D949" t="s">
        <v>703</v>
      </c>
      <c r="E949" t="s">
        <v>1165</v>
      </c>
      <c r="F949" s="25">
        <v>79142.37</v>
      </c>
      <c r="G949" s="3">
        <v>45761</v>
      </c>
      <c r="H949" t="s">
        <v>14</v>
      </c>
      <c r="I949" s="4" t="str">
        <f t="shared" si="412"/>
        <v>Living Annuity</v>
      </c>
      <c r="J949" t="str">
        <f t="shared" si="413"/>
        <v>Compulsory, LA</v>
      </c>
      <c r="K949" t="s">
        <v>15</v>
      </c>
      <c r="M949" t="str">
        <f t="shared" si="387"/>
        <v>b</v>
      </c>
      <c r="N949" t="str">
        <f t="shared" si="388"/>
        <v/>
      </c>
      <c r="O949" t="str">
        <f t="shared" si="389"/>
        <v/>
      </c>
    </row>
    <row r="950" spans="1:15" s="13" customFormat="1" x14ac:dyDescent="0.3">
      <c r="A950" s="13">
        <v>72002</v>
      </c>
      <c r="B950" s="13" t="s">
        <v>715</v>
      </c>
      <c r="C950" s="13">
        <v>67</v>
      </c>
      <c r="D950" s="13" t="s">
        <v>66</v>
      </c>
      <c r="E950" s="13" t="s">
        <v>1165</v>
      </c>
      <c r="F950" s="27">
        <v>10624.59</v>
      </c>
      <c r="G950" s="14">
        <v>45761</v>
      </c>
      <c r="H950" s="13" t="s">
        <v>31</v>
      </c>
      <c r="I950" s="15" t="str">
        <f t="shared" si="412"/>
        <v>Investment Account</v>
      </c>
      <c r="J950" s="13" t="str">
        <f t="shared" ref="J950:J970" si="414">IF(LEFT(I950)="L","Compulsory, LA",IF(LEFT(I950)="R","Compulsory, RA",IF(LEFT(I950,2)="Pe","Compulsory, Pens","Voluntary")))</f>
        <v>Voluntary</v>
      </c>
      <c r="K950" s="13" t="s">
        <v>15</v>
      </c>
      <c r="M950" t="str">
        <f t="shared" si="387"/>
        <v>b</v>
      </c>
      <c r="N950" t="str">
        <f t="shared" si="388"/>
        <v/>
      </c>
      <c r="O950" t="str">
        <f t="shared" si="389"/>
        <v/>
      </c>
    </row>
    <row r="951" spans="1:15" x14ac:dyDescent="0.3">
      <c r="A951">
        <v>72002</v>
      </c>
      <c r="B951" t="s">
        <v>1017</v>
      </c>
      <c r="C951">
        <v>67</v>
      </c>
      <c r="D951" t="s">
        <v>66</v>
      </c>
      <c r="E951" t="s">
        <v>1165</v>
      </c>
      <c r="F951" s="26">
        <v>35559.86</v>
      </c>
      <c r="G951" s="3">
        <v>45761</v>
      </c>
      <c r="H951" t="s">
        <v>14</v>
      </c>
      <c r="I951" s="4" t="str">
        <f t="shared" si="412"/>
        <v>Living Annuity</v>
      </c>
      <c r="J951" t="str">
        <f t="shared" si="414"/>
        <v>Compulsory, LA</v>
      </c>
      <c r="K951" t="s">
        <v>15</v>
      </c>
      <c r="M951" t="str">
        <f t="shared" si="387"/>
        <v>b</v>
      </c>
      <c r="N951" t="str">
        <f t="shared" si="388"/>
        <v/>
      </c>
      <c r="O951" t="str">
        <f t="shared" si="389"/>
        <v/>
      </c>
    </row>
    <row r="952" spans="1:15" x14ac:dyDescent="0.3">
      <c r="A952">
        <v>72002</v>
      </c>
      <c r="B952" t="s">
        <v>902</v>
      </c>
      <c r="C952">
        <v>67</v>
      </c>
      <c r="D952" t="s">
        <v>66</v>
      </c>
      <c r="E952" t="s">
        <v>1165</v>
      </c>
      <c r="F952" s="26">
        <v>3902.91</v>
      </c>
      <c r="G952" s="3">
        <v>45761</v>
      </c>
      <c r="H952" t="s">
        <v>14</v>
      </c>
      <c r="I952" s="4" t="str">
        <f t="shared" si="412"/>
        <v>Living Annuity</v>
      </c>
      <c r="J952" t="str">
        <f t="shared" si="414"/>
        <v>Compulsory, LA</v>
      </c>
      <c r="K952" t="s">
        <v>15</v>
      </c>
      <c r="M952" t="str">
        <f t="shared" si="387"/>
        <v>b</v>
      </c>
      <c r="N952" t="str">
        <f t="shared" si="388"/>
        <v/>
      </c>
      <c r="O952" t="str">
        <f t="shared" si="389"/>
        <v/>
      </c>
    </row>
    <row r="953" spans="1:15" x14ac:dyDescent="0.3">
      <c r="A953">
        <v>80212</v>
      </c>
      <c r="B953" t="s">
        <v>1018</v>
      </c>
      <c r="C953">
        <v>372</v>
      </c>
      <c r="D953" t="s">
        <v>68</v>
      </c>
      <c r="E953" t="s">
        <v>1165</v>
      </c>
      <c r="F953" s="26">
        <v>4770.22</v>
      </c>
      <c r="G953" s="3">
        <v>45761</v>
      </c>
      <c r="H953" t="s">
        <v>31</v>
      </c>
      <c r="I953" s="4" t="str">
        <f t="shared" si="412"/>
        <v>Investment Account</v>
      </c>
      <c r="J953" t="str">
        <f t="shared" si="414"/>
        <v>Voluntary</v>
      </c>
      <c r="K953" t="s">
        <v>15</v>
      </c>
      <c r="M953" t="str">
        <f t="shared" si="387"/>
        <v>b</v>
      </c>
      <c r="N953" t="str">
        <f t="shared" si="388"/>
        <v/>
      </c>
      <c r="O953" t="str">
        <f t="shared" si="389"/>
        <v/>
      </c>
    </row>
    <row r="954" spans="1:15" x14ac:dyDescent="0.3">
      <c r="A954">
        <v>80212</v>
      </c>
      <c r="B954" t="s">
        <v>961</v>
      </c>
      <c r="C954">
        <v>372</v>
      </c>
      <c r="D954" t="s">
        <v>68</v>
      </c>
      <c r="E954" t="s">
        <v>1165</v>
      </c>
      <c r="F954" s="26">
        <v>5203.88</v>
      </c>
      <c r="G954" s="3">
        <v>45761</v>
      </c>
      <c r="H954" t="s">
        <v>26</v>
      </c>
      <c r="I954" s="4" t="str">
        <f t="shared" si="412"/>
        <v>Retirement Annuity</v>
      </c>
      <c r="J954" t="str">
        <f t="shared" si="414"/>
        <v>Compulsory, RA</v>
      </c>
      <c r="K954" t="s">
        <v>15</v>
      </c>
      <c r="M954" t="str">
        <f t="shared" si="387"/>
        <v>d</v>
      </c>
      <c r="N954" t="str">
        <f t="shared" si="388"/>
        <v/>
      </c>
      <c r="O954" t="str">
        <f t="shared" si="389"/>
        <v/>
      </c>
    </row>
    <row r="955" spans="1:15" x14ac:dyDescent="0.3">
      <c r="A955">
        <v>81381</v>
      </c>
      <c r="B955" t="s">
        <v>1019</v>
      </c>
      <c r="C955">
        <v>183</v>
      </c>
      <c r="D955" t="s">
        <v>71</v>
      </c>
      <c r="E955" t="s">
        <v>1165</v>
      </c>
      <c r="F955" s="26">
        <v>11817.15</v>
      </c>
      <c r="G955" s="3">
        <v>45761</v>
      </c>
      <c r="H955" t="s">
        <v>14</v>
      </c>
      <c r="I955" s="4" t="str">
        <f t="shared" si="412"/>
        <v>Living Annuity</v>
      </c>
      <c r="J955" t="str">
        <f t="shared" si="414"/>
        <v>Compulsory, LA</v>
      </c>
      <c r="K955" t="s">
        <v>15</v>
      </c>
      <c r="M955" t="str">
        <f t="shared" ref="M955:M1012" si="415">RIGHT(B955,1)</f>
        <v>b</v>
      </c>
      <c r="N955" t="str">
        <f t="shared" ref="N955:N1012" si="416">IF(M955="f","FFFF","")</f>
        <v/>
      </c>
      <c r="O955" t="str">
        <f t="shared" ref="O955:O1012" si="417">IF(M955="I","IIII","")</f>
        <v/>
      </c>
    </row>
    <row r="956" spans="1:15" x14ac:dyDescent="0.3">
      <c r="A956">
        <v>81381</v>
      </c>
      <c r="B956" t="s">
        <v>1020</v>
      </c>
      <c r="C956">
        <v>183</v>
      </c>
      <c r="D956" t="s">
        <v>71</v>
      </c>
      <c r="E956" t="s">
        <v>1165</v>
      </c>
      <c r="F956" s="26">
        <v>446883.33</v>
      </c>
      <c r="G956" s="3">
        <v>45761</v>
      </c>
      <c r="H956" t="s">
        <v>14</v>
      </c>
      <c r="I956" s="4" t="str">
        <f t="shared" si="412"/>
        <v>Living Annuity</v>
      </c>
      <c r="J956" t="str">
        <f t="shared" si="414"/>
        <v>Compulsory, LA</v>
      </c>
      <c r="K956" t="s">
        <v>15</v>
      </c>
      <c r="M956" t="str">
        <f t="shared" si="415"/>
        <v>b</v>
      </c>
      <c r="N956" t="str">
        <f t="shared" si="416"/>
        <v/>
      </c>
      <c r="O956" t="str">
        <f t="shared" si="417"/>
        <v/>
      </c>
    </row>
    <row r="957" spans="1:15" x14ac:dyDescent="0.3">
      <c r="A957">
        <v>113590</v>
      </c>
      <c r="B957" t="s">
        <v>1021</v>
      </c>
      <c r="C957">
        <v>44</v>
      </c>
      <c r="D957" t="s">
        <v>958</v>
      </c>
      <c r="E957" t="s">
        <v>1165</v>
      </c>
      <c r="F957" s="26">
        <v>77949.81</v>
      </c>
      <c r="G957" s="3">
        <v>45761</v>
      </c>
      <c r="H957" t="s">
        <v>14</v>
      </c>
      <c r="I957" s="4" t="str">
        <f t="shared" si="412"/>
        <v>Living Annuity</v>
      </c>
      <c r="J957" t="str">
        <f t="shared" si="414"/>
        <v>Compulsory, LA</v>
      </c>
      <c r="K957" t="s">
        <v>15</v>
      </c>
      <c r="M957" t="str">
        <f t="shared" si="415"/>
        <v>b</v>
      </c>
      <c r="N957" t="str">
        <f t="shared" si="416"/>
        <v/>
      </c>
      <c r="O957" t="str">
        <f t="shared" si="417"/>
        <v/>
      </c>
    </row>
    <row r="958" spans="1:15" x14ac:dyDescent="0.3">
      <c r="A958">
        <v>113590</v>
      </c>
      <c r="B958" t="s">
        <v>1113</v>
      </c>
      <c r="C958">
        <v>44</v>
      </c>
      <c r="D958" t="s">
        <v>958</v>
      </c>
      <c r="E958" t="s">
        <v>1165</v>
      </c>
      <c r="F958" s="26">
        <v>19297.73</v>
      </c>
      <c r="G958" s="3">
        <v>45761</v>
      </c>
      <c r="H958" t="s">
        <v>14</v>
      </c>
      <c r="I958" s="4" t="str">
        <f t="shared" si="412"/>
        <v>Living Annuity</v>
      </c>
      <c r="J958" t="str">
        <f t="shared" si="414"/>
        <v>Compulsory, LA</v>
      </c>
      <c r="K958" t="s">
        <v>15</v>
      </c>
      <c r="M958" t="str">
        <f t="shared" si="415"/>
        <v>b</v>
      </c>
      <c r="N958" t="str">
        <f t="shared" si="416"/>
        <v/>
      </c>
      <c r="O958" t="str">
        <f t="shared" si="417"/>
        <v/>
      </c>
    </row>
    <row r="959" spans="1:15" x14ac:dyDescent="0.3">
      <c r="A959">
        <v>130912</v>
      </c>
      <c r="B959" t="s">
        <v>1171</v>
      </c>
      <c r="C959">
        <v>35</v>
      </c>
      <c r="D959" t="s">
        <v>1169</v>
      </c>
      <c r="E959" t="s">
        <v>1165</v>
      </c>
      <c r="F959" s="26">
        <v>12684.46</v>
      </c>
      <c r="G959" s="3">
        <v>45761</v>
      </c>
      <c r="H959" t="s">
        <v>1147</v>
      </c>
      <c r="I959" s="4" t="str">
        <f t="shared" si="412"/>
        <v>Investment Account</v>
      </c>
      <c r="J959" t="str">
        <f t="shared" si="414"/>
        <v>Voluntary</v>
      </c>
      <c r="K959" t="s">
        <v>15</v>
      </c>
      <c r="M959" t="str">
        <f t="shared" si="415"/>
        <v>b</v>
      </c>
      <c r="N959" t="str">
        <f t="shared" si="416"/>
        <v/>
      </c>
      <c r="O959" t="str">
        <f t="shared" si="417"/>
        <v/>
      </c>
    </row>
    <row r="960" spans="1:15" x14ac:dyDescent="0.3">
      <c r="A960">
        <v>133380</v>
      </c>
      <c r="B960" t="s">
        <v>965</v>
      </c>
      <c r="C960">
        <v>298</v>
      </c>
      <c r="D960" t="s">
        <v>959</v>
      </c>
      <c r="E960" t="s">
        <v>1165</v>
      </c>
      <c r="F960" s="26">
        <v>2601.94</v>
      </c>
      <c r="G960" s="3">
        <v>45761</v>
      </c>
      <c r="H960" t="s">
        <v>26</v>
      </c>
      <c r="I960" s="4" t="str">
        <f t="shared" si="412"/>
        <v>Retirement Annuity</v>
      </c>
      <c r="J960" t="str">
        <f t="shared" si="414"/>
        <v>Compulsory, RA</v>
      </c>
      <c r="K960" t="s">
        <v>15</v>
      </c>
      <c r="M960" t="str">
        <f t="shared" si="415"/>
        <v>d</v>
      </c>
      <c r="N960" t="str">
        <f t="shared" si="416"/>
        <v/>
      </c>
      <c r="O960" t="str">
        <f t="shared" si="417"/>
        <v/>
      </c>
    </row>
    <row r="961" spans="1:15" x14ac:dyDescent="0.3">
      <c r="A961">
        <v>100202693</v>
      </c>
      <c r="B961" t="s">
        <v>1158</v>
      </c>
      <c r="C961">
        <v>92</v>
      </c>
      <c r="D961" t="s">
        <v>79</v>
      </c>
      <c r="E961" t="s">
        <v>1165</v>
      </c>
      <c r="F961" s="26">
        <v>144841.37</v>
      </c>
      <c r="G961" s="3">
        <v>45761</v>
      </c>
      <c r="H961" t="s">
        <v>1147</v>
      </c>
      <c r="I961" s="4" t="str">
        <f>MID(H961,6,30)</f>
        <v>Investment Account</v>
      </c>
      <c r="J961" t="str">
        <f>IF(LEFT(I961)="L","Compulsory, LA",IF(LEFT(I961)="R","Compulsory, RA",IF(LEFT(I961,2)="Pe","Compulsory, Pens","Voluntary")))</f>
        <v>Voluntary</v>
      </c>
      <c r="K961" t="s">
        <v>15</v>
      </c>
      <c r="M961" t="str">
        <f t="shared" si="415"/>
        <v>b</v>
      </c>
      <c r="N961" t="str">
        <f t="shared" si="416"/>
        <v/>
      </c>
      <c r="O961" t="str">
        <f t="shared" si="417"/>
        <v/>
      </c>
    </row>
    <row r="962" spans="1:15" x14ac:dyDescent="0.3">
      <c r="A962">
        <v>100202693</v>
      </c>
      <c r="B962" t="s">
        <v>1154</v>
      </c>
      <c r="C962">
        <v>92</v>
      </c>
      <c r="D962" t="s">
        <v>79</v>
      </c>
      <c r="E962" t="s">
        <v>1165</v>
      </c>
      <c r="F962" s="26">
        <v>50954.67</v>
      </c>
      <c r="G962" s="3">
        <v>45761</v>
      </c>
      <c r="H962" t="s">
        <v>14</v>
      </c>
      <c r="I962" s="4" t="str">
        <f>MID(H962,6,30)</f>
        <v>Living Annuity</v>
      </c>
      <c r="J962" t="str">
        <f>IF(LEFT(I962)="L","Compulsory, LA",IF(LEFT(I962)="R","Compulsory, RA",IF(LEFT(I962,2)="Pe","Compulsory, Pens","Voluntary")))</f>
        <v>Compulsory, LA</v>
      </c>
      <c r="K962" t="s">
        <v>15</v>
      </c>
      <c r="M962" t="str">
        <f t="shared" si="415"/>
        <v>b</v>
      </c>
      <c r="N962" t="str">
        <f t="shared" si="416"/>
        <v/>
      </c>
      <c r="O962" t="str">
        <f t="shared" si="417"/>
        <v/>
      </c>
    </row>
    <row r="963" spans="1:15" x14ac:dyDescent="0.3">
      <c r="A963">
        <v>100202693</v>
      </c>
      <c r="B963" t="s">
        <v>1153</v>
      </c>
      <c r="C963">
        <v>92</v>
      </c>
      <c r="D963" t="s">
        <v>79</v>
      </c>
      <c r="E963" t="s">
        <v>1165</v>
      </c>
      <c r="F963" s="26">
        <v>200132.61</v>
      </c>
      <c r="G963" s="3">
        <v>45761</v>
      </c>
      <c r="H963" t="s">
        <v>14</v>
      </c>
      <c r="I963" s="4" t="str">
        <f t="shared" si="412"/>
        <v>Living Annuity</v>
      </c>
      <c r="J963" t="str">
        <f t="shared" si="414"/>
        <v>Compulsory, LA</v>
      </c>
      <c r="K963" t="s">
        <v>15</v>
      </c>
      <c r="M963" t="str">
        <f t="shared" si="415"/>
        <v>b</v>
      </c>
      <c r="N963" t="str">
        <f t="shared" si="416"/>
        <v/>
      </c>
      <c r="O963" t="str">
        <f t="shared" si="417"/>
        <v/>
      </c>
    </row>
    <row r="964" spans="1:15" x14ac:dyDescent="0.3">
      <c r="A964">
        <v>100205932</v>
      </c>
      <c r="B964" t="s">
        <v>1224</v>
      </c>
      <c r="C964">
        <v>117</v>
      </c>
      <c r="D964" t="s">
        <v>81</v>
      </c>
      <c r="E964" t="s">
        <v>1165</v>
      </c>
      <c r="F964" s="26">
        <v>20381.87</v>
      </c>
      <c r="G964" s="3">
        <v>45761</v>
      </c>
      <c r="H964" t="s">
        <v>14</v>
      </c>
      <c r="I964" s="4" t="str">
        <f>MID(H964,6,30)</f>
        <v>Living Annuity</v>
      </c>
      <c r="J964" t="str">
        <f>IF(LEFT(I964)="L","Compulsory, LA",IF(LEFT(I964)="R","Compulsory, RA",IF(LEFT(I964,2)="Pe","Compulsory, Pens","Voluntary")))</f>
        <v>Compulsory, LA</v>
      </c>
      <c r="K964" t="s">
        <v>15</v>
      </c>
      <c r="M964" t="str">
        <f t="shared" si="415"/>
        <v>b</v>
      </c>
      <c r="N964" t="str">
        <f t="shared" si="416"/>
        <v/>
      </c>
      <c r="O964" t="str">
        <f t="shared" si="417"/>
        <v/>
      </c>
    </row>
    <row r="965" spans="1:15" x14ac:dyDescent="0.3">
      <c r="A965">
        <v>100220898</v>
      </c>
      <c r="B965" t="s">
        <v>1022</v>
      </c>
      <c r="C965">
        <v>115</v>
      </c>
      <c r="D965" t="s">
        <v>83</v>
      </c>
      <c r="E965" t="s">
        <v>1165</v>
      </c>
      <c r="F965" s="25">
        <v>51713.57</v>
      </c>
      <c r="G965" s="3">
        <v>45761</v>
      </c>
      <c r="H965" t="s">
        <v>14</v>
      </c>
      <c r="I965" s="4" t="str">
        <f t="shared" si="412"/>
        <v>Living Annuity</v>
      </c>
      <c r="J965" t="str">
        <f t="shared" si="414"/>
        <v>Compulsory, LA</v>
      </c>
      <c r="K965" t="s">
        <v>15</v>
      </c>
      <c r="M965" t="str">
        <f t="shared" si="415"/>
        <v>b</v>
      </c>
      <c r="N965" t="str">
        <f t="shared" si="416"/>
        <v/>
      </c>
      <c r="O965" t="str">
        <f t="shared" si="417"/>
        <v/>
      </c>
    </row>
    <row r="966" spans="1:15" x14ac:dyDescent="0.3">
      <c r="A966">
        <v>100220898</v>
      </c>
      <c r="B966" t="s">
        <v>780</v>
      </c>
      <c r="C966">
        <v>115</v>
      </c>
      <c r="D966" t="s">
        <v>83</v>
      </c>
      <c r="E966" t="s">
        <v>1165</v>
      </c>
      <c r="F966" s="25">
        <v>40330.080000000002</v>
      </c>
      <c r="G966" s="3">
        <v>45761</v>
      </c>
      <c r="H966" t="s">
        <v>14</v>
      </c>
      <c r="I966" s="4" t="str">
        <f t="shared" si="412"/>
        <v>Living Annuity</v>
      </c>
      <c r="J966" t="str">
        <f t="shared" si="414"/>
        <v>Compulsory, LA</v>
      </c>
      <c r="K966" t="s">
        <v>15</v>
      </c>
      <c r="M966" t="str">
        <f t="shared" si="415"/>
        <v>b</v>
      </c>
      <c r="N966" t="str">
        <f t="shared" si="416"/>
        <v/>
      </c>
      <c r="O966" t="str">
        <f t="shared" si="417"/>
        <v/>
      </c>
    </row>
    <row r="967" spans="1:15" x14ac:dyDescent="0.3">
      <c r="A967">
        <v>100247003</v>
      </c>
      <c r="B967" t="s">
        <v>1023</v>
      </c>
      <c r="C967">
        <v>79</v>
      </c>
      <c r="D967" t="s">
        <v>50</v>
      </c>
      <c r="E967" t="s">
        <v>1165</v>
      </c>
      <c r="F967" s="25">
        <v>32307.43</v>
      </c>
      <c r="G967" s="3">
        <v>45761</v>
      </c>
      <c r="H967" t="s">
        <v>14</v>
      </c>
      <c r="I967" s="4" t="str">
        <f t="shared" si="412"/>
        <v>Living Annuity</v>
      </c>
      <c r="J967" t="str">
        <f t="shared" si="414"/>
        <v>Compulsory, LA</v>
      </c>
      <c r="K967" t="s">
        <v>15</v>
      </c>
      <c r="M967" t="str">
        <f t="shared" si="415"/>
        <v>b</v>
      </c>
      <c r="N967" t="str">
        <f t="shared" si="416"/>
        <v/>
      </c>
      <c r="O967" t="str">
        <f t="shared" si="417"/>
        <v/>
      </c>
    </row>
    <row r="968" spans="1:15" x14ac:dyDescent="0.3">
      <c r="A968">
        <v>100249944</v>
      </c>
      <c r="B968" t="s">
        <v>1024</v>
      </c>
      <c r="C968">
        <v>56</v>
      </c>
      <c r="D968" t="s">
        <v>86</v>
      </c>
      <c r="E968" t="s">
        <v>1165</v>
      </c>
      <c r="F968" s="25">
        <v>69385.09</v>
      </c>
      <c r="G968" s="3">
        <v>45761</v>
      </c>
      <c r="H968" t="s">
        <v>14</v>
      </c>
      <c r="I968" s="4" t="str">
        <f t="shared" si="412"/>
        <v>Living Annuity</v>
      </c>
      <c r="J968" t="str">
        <f t="shared" si="414"/>
        <v>Compulsory, LA</v>
      </c>
      <c r="K968" t="s">
        <v>15</v>
      </c>
      <c r="M968" t="str">
        <f t="shared" si="415"/>
        <v>b</v>
      </c>
      <c r="N968" t="str">
        <f t="shared" si="416"/>
        <v/>
      </c>
      <c r="O968" t="str">
        <f t="shared" si="417"/>
        <v/>
      </c>
    </row>
    <row r="969" spans="1:15" x14ac:dyDescent="0.3">
      <c r="A969">
        <v>100250182</v>
      </c>
      <c r="B969" t="s">
        <v>1025</v>
      </c>
      <c r="C969">
        <v>193</v>
      </c>
      <c r="D969" t="s">
        <v>968</v>
      </c>
      <c r="E969" t="s">
        <v>1165</v>
      </c>
      <c r="F969" s="25">
        <v>151129.39000000001</v>
      </c>
      <c r="G969" s="3">
        <v>45761</v>
      </c>
      <c r="H969" t="s">
        <v>14</v>
      </c>
      <c r="I969" s="4" t="str">
        <f t="shared" si="412"/>
        <v>Living Annuity</v>
      </c>
      <c r="J969" t="str">
        <f t="shared" si="414"/>
        <v>Compulsory, LA</v>
      </c>
      <c r="K969" t="s">
        <v>15</v>
      </c>
      <c r="M969" t="str">
        <f t="shared" si="415"/>
        <v>b</v>
      </c>
      <c r="N969" t="str">
        <f t="shared" si="416"/>
        <v/>
      </c>
      <c r="O969" t="str">
        <f t="shared" si="417"/>
        <v/>
      </c>
    </row>
    <row r="970" spans="1:15" x14ac:dyDescent="0.3">
      <c r="A970">
        <v>100271808</v>
      </c>
      <c r="B970" t="s">
        <v>972</v>
      </c>
      <c r="C970">
        <v>144</v>
      </c>
      <c r="D970" t="s">
        <v>90</v>
      </c>
      <c r="E970" t="s">
        <v>1165</v>
      </c>
      <c r="F970" s="25">
        <v>1626.21</v>
      </c>
      <c r="G970" s="3">
        <v>45761</v>
      </c>
      <c r="H970" t="s">
        <v>26</v>
      </c>
      <c r="I970" s="4" t="str">
        <f t="shared" si="412"/>
        <v>Retirement Annuity</v>
      </c>
      <c r="J970" t="str">
        <f t="shared" si="414"/>
        <v>Compulsory, RA</v>
      </c>
      <c r="K970" t="s">
        <v>15</v>
      </c>
      <c r="M970" t="str">
        <f t="shared" si="415"/>
        <v>d</v>
      </c>
      <c r="N970" t="str">
        <f t="shared" si="416"/>
        <v/>
      </c>
      <c r="O970" t="str">
        <f t="shared" si="417"/>
        <v/>
      </c>
    </row>
    <row r="971" spans="1:15" x14ac:dyDescent="0.3">
      <c r="A971">
        <v>100273792</v>
      </c>
      <c r="B971" t="s">
        <v>781</v>
      </c>
      <c r="C971">
        <v>299</v>
      </c>
      <c r="D971" t="s">
        <v>114</v>
      </c>
      <c r="E971" t="s">
        <v>1165</v>
      </c>
      <c r="F971" s="26">
        <v>67758.880000000005</v>
      </c>
      <c r="G971" s="3">
        <v>45761</v>
      </c>
      <c r="H971" t="s">
        <v>14</v>
      </c>
      <c r="I971" s="4" t="str">
        <f>MID(H971,6,30)</f>
        <v>Living Annuity</v>
      </c>
      <c r="J971" t="str">
        <f>IF(LEFT(I971)="L","Compulsory, LA",IF(LEFT(I971)="R","Compulsory, RA",IF(LEFT(I971,2)="Pe","Compulsory, Pens","Voluntary")))</f>
        <v>Compulsory, LA</v>
      </c>
      <c r="K971" t="s">
        <v>15</v>
      </c>
      <c r="M971" t="str">
        <f t="shared" si="415"/>
        <v>b</v>
      </c>
      <c r="N971" t="str">
        <f t="shared" si="416"/>
        <v/>
      </c>
      <c r="O971" t="str">
        <f t="shared" si="417"/>
        <v/>
      </c>
    </row>
    <row r="972" spans="1:15" x14ac:dyDescent="0.3">
      <c r="A972">
        <v>100273792</v>
      </c>
      <c r="B972" t="s">
        <v>782</v>
      </c>
      <c r="C972">
        <v>299</v>
      </c>
      <c r="D972" t="s">
        <v>114</v>
      </c>
      <c r="E972" t="s">
        <v>1165</v>
      </c>
      <c r="F972" s="26">
        <v>97572.78</v>
      </c>
      <c r="G972" s="3">
        <v>45761</v>
      </c>
      <c r="H972" t="s">
        <v>14</v>
      </c>
      <c r="I972" s="4" t="str">
        <f t="shared" ref="I972:I973" si="418">MID(H972,6,30)</f>
        <v>Living Annuity</v>
      </c>
      <c r="J972" t="str">
        <f t="shared" ref="J972:J973" si="419">IF(LEFT(I972)="L","Compulsory, LA",IF(LEFT(I972)="R","Compulsory, RA",IF(LEFT(I972,2)="Pe","Compulsory, Pens","Voluntary")))</f>
        <v>Compulsory, LA</v>
      </c>
      <c r="K972" t="s">
        <v>15</v>
      </c>
      <c r="M972" t="str">
        <f t="shared" si="415"/>
        <v>b</v>
      </c>
      <c r="N972" t="str">
        <f t="shared" si="416"/>
        <v/>
      </c>
      <c r="O972" t="str">
        <f t="shared" si="417"/>
        <v/>
      </c>
    </row>
    <row r="973" spans="1:15" x14ac:dyDescent="0.3">
      <c r="A973">
        <v>100273792</v>
      </c>
      <c r="B973" t="s">
        <v>1144</v>
      </c>
      <c r="C973">
        <v>299</v>
      </c>
      <c r="D973" t="s">
        <v>114</v>
      </c>
      <c r="E973" t="s">
        <v>1165</v>
      </c>
      <c r="F973" s="26">
        <v>10407.76</v>
      </c>
      <c r="G973" s="3">
        <v>45761</v>
      </c>
      <c r="H973" t="s">
        <v>31</v>
      </c>
      <c r="I973" s="4" t="str">
        <f t="shared" si="418"/>
        <v>Investment Account</v>
      </c>
      <c r="J973" t="str">
        <f t="shared" si="419"/>
        <v>Voluntary</v>
      </c>
      <c r="K973" t="s">
        <v>15</v>
      </c>
      <c r="M973" t="str">
        <f t="shared" si="415"/>
        <v>b</v>
      </c>
      <c r="N973" t="str">
        <f t="shared" si="416"/>
        <v/>
      </c>
      <c r="O973" t="str">
        <f t="shared" si="417"/>
        <v/>
      </c>
    </row>
    <row r="974" spans="1:15" x14ac:dyDescent="0.3">
      <c r="A974">
        <v>100278188</v>
      </c>
      <c r="B974" t="s">
        <v>1027</v>
      </c>
      <c r="C974">
        <v>300</v>
      </c>
      <c r="D974" t="s">
        <v>92</v>
      </c>
      <c r="E974" t="s">
        <v>1165</v>
      </c>
      <c r="F974" s="25">
        <v>12467.63</v>
      </c>
      <c r="G974" s="3">
        <v>45761</v>
      </c>
      <c r="H974" t="s">
        <v>14</v>
      </c>
      <c r="I974" s="4" t="str">
        <f>MID(H974,6,30)</f>
        <v>Living Annuity</v>
      </c>
      <c r="J974" t="str">
        <f>IF(LEFT(I974)="L","Compulsory, LA",IF(LEFT(I974)="R","Compulsory, RA",IF(LEFT(I974,2)="Pe","Compulsory, Pens","Voluntary")))</f>
        <v>Compulsory, LA</v>
      </c>
      <c r="K974" t="s">
        <v>15</v>
      </c>
      <c r="M974" t="str">
        <f t="shared" si="415"/>
        <v>b</v>
      </c>
      <c r="N974" t="str">
        <f t="shared" si="416"/>
        <v/>
      </c>
      <c r="O974" t="str">
        <f t="shared" si="417"/>
        <v/>
      </c>
    </row>
    <row r="975" spans="1:15" x14ac:dyDescent="0.3">
      <c r="A975">
        <v>100278188</v>
      </c>
      <c r="B975" t="s">
        <v>903</v>
      </c>
      <c r="C975">
        <v>300</v>
      </c>
      <c r="D975" t="s">
        <v>92</v>
      </c>
      <c r="E975" t="s">
        <v>1165</v>
      </c>
      <c r="F975" s="25">
        <v>24610.02</v>
      </c>
      <c r="G975" s="3">
        <v>45761</v>
      </c>
      <c r="H975" t="s">
        <v>14</v>
      </c>
      <c r="I975" s="4" t="str">
        <f>MID(H975,6,30)</f>
        <v>Living Annuity</v>
      </c>
      <c r="J975" t="str">
        <f>IF(LEFT(I975)="L","Compulsory, LA",IF(LEFT(I975)="R","Compulsory, RA",IF(LEFT(I975,2)="Pe","Compulsory, Pens","Voluntary")))</f>
        <v>Compulsory, LA</v>
      </c>
      <c r="K975" t="s">
        <v>15</v>
      </c>
      <c r="M975" t="str">
        <f t="shared" si="415"/>
        <v>b</v>
      </c>
      <c r="N975" t="str">
        <f t="shared" si="416"/>
        <v/>
      </c>
      <c r="O975" t="str">
        <f t="shared" si="417"/>
        <v/>
      </c>
    </row>
    <row r="976" spans="1:15" x14ac:dyDescent="0.3">
      <c r="A976">
        <v>100278188</v>
      </c>
      <c r="B976" t="s">
        <v>1026</v>
      </c>
      <c r="C976">
        <v>300</v>
      </c>
      <c r="D976" t="s">
        <v>92</v>
      </c>
      <c r="E976" t="s">
        <v>1165</v>
      </c>
      <c r="F976" s="25">
        <v>6396.44</v>
      </c>
      <c r="G976" s="3">
        <v>45761</v>
      </c>
      <c r="H976" t="s">
        <v>14</v>
      </c>
      <c r="I976" s="4" t="str">
        <f t="shared" ref="I976:I991" si="420">MID(H976,6,30)</f>
        <v>Living Annuity</v>
      </c>
      <c r="J976" t="str">
        <f t="shared" ref="J976:J991" si="421">IF(LEFT(I976)="L","Compulsory, LA",IF(LEFT(I976)="R","Compulsory, RA",IF(LEFT(I976,2)="Pe","Compulsory, Pens","Voluntary")))</f>
        <v>Compulsory, LA</v>
      </c>
      <c r="K976" t="s">
        <v>15</v>
      </c>
      <c r="M976" t="str">
        <f t="shared" si="415"/>
        <v>b</v>
      </c>
      <c r="N976" t="str">
        <f t="shared" si="416"/>
        <v/>
      </c>
      <c r="O976" t="str">
        <f t="shared" si="417"/>
        <v/>
      </c>
    </row>
    <row r="977" spans="1:15" x14ac:dyDescent="0.3">
      <c r="A977">
        <v>100309343</v>
      </c>
      <c r="B977" t="s">
        <v>783</v>
      </c>
      <c r="C977">
        <v>30</v>
      </c>
      <c r="D977" t="s">
        <v>94</v>
      </c>
      <c r="E977" t="s">
        <v>1165</v>
      </c>
      <c r="F977" s="26">
        <v>4987.05</v>
      </c>
      <c r="G977" s="3">
        <v>45761</v>
      </c>
      <c r="H977" t="s">
        <v>31</v>
      </c>
      <c r="I977" s="4" t="str">
        <f t="shared" si="420"/>
        <v>Investment Account</v>
      </c>
      <c r="J977" t="str">
        <f t="shared" si="421"/>
        <v>Voluntary</v>
      </c>
      <c r="K977" t="s">
        <v>15</v>
      </c>
      <c r="M977" t="str">
        <f t="shared" si="415"/>
        <v>b</v>
      </c>
      <c r="N977" t="str">
        <f t="shared" si="416"/>
        <v/>
      </c>
      <c r="O977" t="str">
        <f t="shared" si="417"/>
        <v/>
      </c>
    </row>
    <row r="978" spans="1:15" x14ac:dyDescent="0.3">
      <c r="A978">
        <v>100325823</v>
      </c>
      <c r="B978" t="s">
        <v>1028</v>
      </c>
      <c r="C978">
        <v>114</v>
      </c>
      <c r="D978" t="s">
        <v>97</v>
      </c>
      <c r="E978" t="s">
        <v>1165</v>
      </c>
      <c r="F978" s="26">
        <v>168909.32</v>
      </c>
      <c r="G978" s="3">
        <v>45761</v>
      </c>
      <c r="H978" t="s">
        <v>14</v>
      </c>
      <c r="I978" s="4" t="str">
        <f>MID(H978,6,30)</f>
        <v>Living Annuity</v>
      </c>
      <c r="J978" t="str">
        <f>IF(LEFT(I978)="L","Compulsory, LA",IF(LEFT(I978)="R","Compulsory, RA",IF(LEFT(I978,2)="Pe","Compulsory, Pens","Voluntary")))</f>
        <v>Compulsory, LA</v>
      </c>
      <c r="K978" t="s">
        <v>15</v>
      </c>
      <c r="M978" t="str">
        <f t="shared" si="415"/>
        <v>b</v>
      </c>
      <c r="N978" t="str">
        <f t="shared" si="416"/>
        <v/>
      </c>
      <c r="O978" t="str">
        <f t="shared" si="417"/>
        <v/>
      </c>
    </row>
    <row r="979" spans="1:15" x14ac:dyDescent="0.3">
      <c r="A979">
        <v>100376880</v>
      </c>
      <c r="B979" t="s">
        <v>1029</v>
      </c>
      <c r="C979">
        <v>97</v>
      </c>
      <c r="D979" t="s">
        <v>618</v>
      </c>
      <c r="E979" t="s">
        <v>1165</v>
      </c>
      <c r="F979" s="26">
        <v>5312.3</v>
      </c>
      <c r="G979" s="3">
        <v>45761</v>
      </c>
      <c r="H979" t="s">
        <v>14</v>
      </c>
      <c r="I979" s="4" t="str">
        <f t="shared" si="420"/>
        <v>Living Annuity</v>
      </c>
      <c r="J979" t="str">
        <f t="shared" si="421"/>
        <v>Compulsory, LA</v>
      </c>
      <c r="K979" t="s">
        <v>15</v>
      </c>
      <c r="M979" t="str">
        <f t="shared" si="415"/>
        <v>b</v>
      </c>
      <c r="N979" t="str">
        <f t="shared" si="416"/>
        <v/>
      </c>
      <c r="O979" t="str">
        <f t="shared" si="417"/>
        <v/>
      </c>
    </row>
    <row r="980" spans="1:15" x14ac:dyDescent="0.3">
      <c r="A980">
        <v>100388471</v>
      </c>
      <c r="B980" t="s">
        <v>1031</v>
      </c>
      <c r="C980">
        <v>3</v>
      </c>
      <c r="D980" t="s">
        <v>101</v>
      </c>
      <c r="E980" t="s">
        <v>1165</v>
      </c>
      <c r="F980" s="25">
        <v>173354.31</v>
      </c>
      <c r="G980" s="3">
        <v>45761</v>
      </c>
      <c r="H980" t="s">
        <v>14</v>
      </c>
      <c r="I980" s="4" t="str">
        <f t="shared" si="420"/>
        <v>Living Annuity</v>
      </c>
      <c r="J980" t="str">
        <f t="shared" si="421"/>
        <v>Compulsory, LA</v>
      </c>
      <c r="K980" t="s">
        <v>15</v>
      </c>
      <c r="M980" t="str">
        <f t="shared" si="415"/>
        <v>b</v>
      </c>
      <c r="N980" t="str">
        <f t="shared" si="416"/>
        <v/>
      </c>
      <c r="O980" t="str">
        <f t="shared" si="417"/>
        <v/>
      </c>
    </row>
    <row r="981" spans="1:15" x14ac:dyDescent="0.3">
      <c r="A981">
        <v>100388471</v>
      </c>
      <c r="B981" t="s">
        <v>784</v>
      </c>
      <c r="C981">
        <v>3</v>
      </c>
      <c r="D981" t="s">
        <v>101</v>
      </c>
      <c r="E981" t="s">
        <v>1165</v>
      </c>
      <c r="F981" s="25">
        <v>5745.95</v>
      </c>
      <c r="G981" s="3">
        <v>45761</v>
      </c>
      <c r="H981" t="s">
        <v>14</v>
      </c>
      <c r="I981" s="4" t="str">
        <f t="shared" si="420"/>
        <v>Living Annuity</v>
      </c>
      <c r="J981" t="str">
        <f t="shared" si="421"/>
        <v>Compulsory, LA</v>
      </c>
      <c r="K981" t="s">
        <v>15</v>
      </c>
      <c r="M981" t="str">
        <f t="shared" si="415"/>
        <v>b</v>
      </c>
      <c r="N981" t="str">
        <f t="shared" si="416"/>
        <v/>
      </c>
      <c r="O981" t="str">
        <f t="shared" si="417"/>
        <v/>
      </c>
    </row>
    <row r="982" spans="1:15" x14ac:dyDescent="0.3">
      <c r="A982">
        <v>100408912</v>
      </c>
      <c r="B982" t="s">
        <v>1030</v>
      </c>
      <c r="C982">
        <v>297</v>
      </c>
      <c r="D982" t="s">
        <v>103</v>
      </c>
      <c r="E982" t="s">
        <v>1165</v>
      </c>
      <c r="F982" s="25">
        <v>101692.52</v>
      </c>
      <c r="G982" s="3">
        <v>45761</v>
      </c>
      <c r="H982" t="s">
        <v>14</v>
      </c>
      <c r="I982" s="4" t="str">
        <f t="shared" si="420"/>
        <v>Living Annuity</v>
      </c>
      <c r="J982" t="str">
        <f t="shared" si="421"/>
        <v>Compulsory, LA</v>
      </c>
      <c r="K982" t="s">
        <v>15</v>
      </c>
      <c r="M982" t="str">
        <f t="shared" si="415"/>
        <v>b</v>
      </c>
      <c r="N982" t="str">
        <f t="shared" si="416"/>
        <v/>
      </c>
      <c r="O982" t="str">
        <f t="shared" si="417"/>
        <v/>
      </c>
    </row>
    <row r="983" spans="1:15" x14ac:dyDescent="0.3">
      <c r="A983">
        <v>100421069</v>
      </c>
      <c r="B983" t="s">
        <v>1032</v>
      </c>
      <c r="C983">
        <v>37</v>
      </c>
      <c r="D983" t="s">
        <v>105</v>
      </c>
      <c r="E983" t="s">
        <v>1165</v>
      </c>
      <c r="F983" s="26">
        <v>54315.51</v>
      </c>
      <c r="G983" s="3">
        <v>45761</v>
      </c>
      <c r="H983" t="s">
        <v>14</v>
      </c>
      <c r="I983" s="4" t="str">
        <f t="shared" si="420"/>
        <v>Living Annuity</v>
      </c>
      <c r="J983" t="str">
        <f t="shared" si="421"/>
        <v>Compulsory, LA</v>
      </c>
      <c r="K983" t="s">
        <v>15</v>
      </c>
      <c r="M983" t="str">
        <f t="shared" si="415"/>
        <v>b</v>
      </c>
      <c r="N983" t="str">
        <f t="shared" si="416"/>
        <v/>
      </c>
      <c r="O983" t="str">
        <f t="shared" si="417"/>
        <v/>
      </c>
    </row>
    <row r="984" spans="1:15" x14ac:dyDescent="0.3">
      <c r="A984">
        <v>100421069</v>
      </c>
      <c r="B984" t="s">
        <v>785</v>
      </c>
      <c r="C984">
        <v>37</v>
      </c>
      <c r="D984" t="s">
        <v>105</v>
      </c>
      <c r="E984" t="s">
        <v>1165</v>
      </c>
      <c r="F984" s="26">
        <v>23959.54</v>
      </c>
      <c r="G984" s="3">
        <v>45761</v>
      </c>
      <c r="H984" t="s">
        <v>14</v>
      </c>
      <c r="I984" s="4" t="str">
        <f t="shared" si="420"/>
        <v>Living Annuity</v>
      </c>
      <c r="J984" t="str">
        <f t="shared" si="421"/>
        <v>Compulsory, LA</v>
      </c>
      <c r="K984" t="s">
        <v>15</v>
      </c>
      <c r="M984" t="str">
        <f t="shared" si="415"/>
        <v>b</v>
      </c>
      <c r="N984" t="str">
        <f t="shared" si="416"/>
        <v/>
      </c>
      <c r="O984" t="str">
        <f t="shared" si="417"/>
        <v/>
      </c>
    </row>
    <row r="985" spans="1:15" x14ac:dyDescent="0.3">
      <c r="A985">
        <v>100421069</v>
      </c>
      <c r="B985" t="s">
        <v>808</v>
      </c>
      <c r="C985">
        <v>37</v>
      </c>
      <c r="D985" t="s">
        <v>105</v>
      </c>
      <c r="E985" t="s">
        <v>1165</v>
      </c>
      <c r="F985" s="26">
        <v>28946.59</v>
      </c>
      <c r="G985" s="3">
        <v>45761</v>
      </c>
      <c r="H985" t="s">
        <v>14</v>
      </c>
      <c r="I985" s="4" t="str">
        <f t="shared" si="420"/>
        <v>Living Annuity</v>
      </c>
      <c r="J985" t="str">
        <f t="shared" si="421"/>
        <v>Compulsory, LA</v>
      </c>
      <c r="K985" t="s">
        <v>15</v>
      </c>
      <c r="M985" t="str">
        <f t="shared" si="415"/>
        <v>b</v>
      </c>
      <c r="N985" t="str">
        <f t="shared" si="416"/>
        <v/>
      </c>
      <c r="O985" t="str">
        <f t="shared" si="417"/>
        <v/>
      </c>
    </row>
    <row r="986" spans="1:15" x14ac:dyDescent="0.3">
      <c r="A986" s="7">
        <v>100489695</v>
      </c>
      <c r="B986" t="s">
        <v>1098</v>
      </c>
      <c r="C986">
        <v>294</v>
      </c>
      <c r="D986" t="s">
        <v>136</v>
      </c>
      <c r="E986" t="s">
        <v>1165</v>
      </c>
      <c r="F986" s="26">
        <v>197422.26</v>
      </c>
      <c r="G986" s="3">
        <v>45761</v>
      </c>
      <c r="H986" t="s">
        <v>31</v>
      </c>
      <c r="I986" s="4" t="str">
        <f t="shared" si="420"/>
        <v>Investment Account</v>
      </c>
      <c r="J986" t="str">
        <f t="shared" si="421"/>
        <v>Voluntary</v>
      </c>
      <c r="K986" t="s">
        <v>15</v>
      </c>
      <c r="M986" t="str">
        <f t="shared" si="415"/>
        <v>b</v>
      </c>
      <c r="N986" t="str">
        <f t="shared" si="416"/>
        <v/>
      </c>
      <c r="O986" t="str">
        <f t="shared" si="417"/>
        <v/>
      </c>
    </row>
    <row r="987" spans="1:15" x14ac:dyDescent="0.3">
      <c r="A987">
        <v>100492707</v>
      </c>
      <c r="B987" t="s">
        <v>1033</v>
      </c>
      <c r="C987">
        <v>233</v>
      </c>
      <c r="D987" t="s">
        <v>107</v>
      </c>
      <c r="E987" t="s">
        <v>1165</v>
      </c>
      <c r="F987" s="26">
        <v>46184.45</v>
      </c>
      <c r="G987" s="3">
        <v>45761</v>
      </c>
      <c r="H987" t="s">
        <v>14</v>
      </c>
      <c r="I987" s="4" t="str">
        <f t="shared" si="420"/>
        <v>Living Annuity</v>
      </c>
      <c r="J987" t="str">
        <f t="shared" si="421"/>
        <v>Compulsory, LA</v>
      </c>
      <c r="K987" t="s">
        <v>15</v>
      </c>
      <c r="M987" t="str">
        <f t="shared" si="415"/>
        <v>b</v>
      </c>
      <c r="N987" t="str">
        <f t="shared" si="416"/>
        <v/>
      </c>
      <c r="O987" t="str">
        <f t="shared" si="417"/>
        <v/>
      </c>
    </row>
    <row r="988" spans="1:15" x14ac:dyDescent="0.3">
      <c r="A988">
        <v>100492707</v>
      </c>
      <c r="B988" t="s">
        <v>1198</v>
      </c>
      <c r="C988">
        <v>233</v>
      </c>
      <c r="D988" t="s">
        <v>107</v>
      </c>
      <c r="E988" t="s">
        <v>1165</v>
      </c>
      <c r="F988" s="26">
        <v>378365.56</v>
      </c>
      <c r="G988" s="3">
        <v>45761</v>
      </c>
      <c r="H988" t="s">
        <v>14</v>
      </c>
      <c r="I988" s="4" t="str">
        <f t="shared" si="420"/>
        <v>Living Annuity</v>
      </c>
      <c r="J988" t="str">
        <f t="shared" si="421"/>
        <v>Compulsory, LA</v>
      </c>
      <c r="K988" t="s">
        <v>15</v>
      </c>
      <c r="M988" t="str">
        <f t="shared" si="415"/>
        <v>b</v>
      </c>
      <c r="N988" t="str">
        <f t="shared" si="416"/>
        <v/>
      </c>
      <c r="O988" t="str">
        <f t="shared" si="417"/>
        <v/>
      </c>
    </row>
    <row r="989" spans="1:15" x14ac:dyDescent="0.3">
      <c r="A989">
        <v>100497270</v>
      </c>
      <c r="B989" t="s">
        <v>983</v>
      </c>
      <c r="C989">
        <v>364</v>
      </c>
      <c r="D989" t="s">
        <v>109</v>
      </c>
      <c r="E989" t="s">
        <v>1165</v>
      </c>
      <c r="F989" s="26">
        <v>3686.08</v>
      </c>
      <c r="G989" s="3">
        <v>45761</v>
      </c>
      <c r="H989" t="s">
        <v>26</v>
      </c>
      <c r="I989" s="4" t="str">
        <f t="shared" si="420"/>
        <v>Retirement Annuity</v>
      </c>
      <c r="J989" t="str">
        <f t="shared" si="421"/>
        <v>Compulsory, RA</v>
      </c>
      <c r="K989" t="s">
        <v>15</v>
      </c>
      <c r="M989" t="str">
        <f t="shared" si="415"/>
        <v>d</v>
      </c>
      <c r="N989" t="str">
        <f t="shared" si="416"/>
        <v/>
      </c>
      <c r="O989" t="str">
        <f t="shared" si="417"/>
        <v/>
      </c>
    </row>
    <row r="990" spans="1:15" x14ac:dyDescent="0.3">
      <c r="A990">
        <v>100528113</v>
      </c>
      <c r="B990" t="s">
        <v>786</v>
      </c>
      <c r="C990">
        <v>134</v>
      </c>
      <c r="D990" t="s">
        <v>118</v>
      </c>
      <c r="E990" t="s">
        <v>1165</v>
      </c>
      <c r="F990" s="26">
        <v>39137.53</v>
      </c>
      <c r="G990" s="3">
        <v>45761</v>
      </c>
      <c r="H990" t="s">
        <v>31</v>
      </c>
      <c r="I990" s="4" t="str">
        <f t="shared" si="420"/>
        <v>Investment Account</v>
      </c>
      <c r="J990" t="str">
        <f t="shared" si="421"/>
        <v>Voluntary</v>
      </c>
      <c r="K990" t="s">
        <v>15</v>
      </c>
      <c r="M990" t="str">
        <f t="shared" si="415"/>
        <v>b</v>
      </c>
      <c r="N990" t="str">
        <f t="shared" si="416"/>
        <v/>
      </c>
      <c r="O990" t="str">
        <f t="shared" si="417"/>
        <v/>
      </c>
    </row>
    <row r="991" spans="1:15" x14ac:dyDescent="0.3">
      <c r="A991">
        <v>100562496</v>
      </c>
      <c r="B991" t="s">
        <v>984</v>
      </c>
      <c r="C991">
        <v>381</v>
      </c>
      <c r="D991" t="s">
        <v>981</v>
      </c>
      <c r="E991" t="s">
        <v>1165</v>
      </c>
      <c r="F991" s="26">
        <v>4770.22</v>
      </c>
      <c r="G991" s="3">
        <v>45761</v>
      </c>
      <c r="H991" t="s">
        <v>26</v>
      </c>
      <c r="I991" s="4" t="str">
        <f t="shared" si="420"/>
        <v>Retirement Annuity</v>
      </c>
      <c r="J991" t="str">
        <f t="shared" si="421"/>
        <v>Compulsory, RA</v>
      </c>
      <c r="K991" t="s">
        <v>15</v>
      </c>
      <c r="M991" t="str">
        <f t="shared" si="415"/>
        <v>d</v>
      </c>
      <c r="N991" t="str">
        <f t="shared" si="416"/>
        <v/>
      </c>
      <c r="O991" t="str">
        <f t="shared" si="417"/>
        <v/>
      </c>
    </row>
    <row r="992" spans="1:15" x14ac:dyDescent="0.3">
      <c r="A992">
        <v>100564770</v>
      </c>
      <c r="B992" t="s">
        <v>787</v>
      </c>
      <c r="C992">
        <v>384</v>
      </c>
      <c r="D992" t="s">
        <v>123</v>
      </c>
      <c r="E992" t="s">
        <v>1165</v>
      </c>
      <c r="F992" s="26">
        <v>26778.31</v>
      </c>
      <c r="G992" s="3">
        <v>45761</v>
      </c>
      <c r="H992" t="s">
        <v>14</v>
      </c>
      <c r="I992" s="4" t="str">
        <f>MID(H992,6,30)</f>
        <v>Living Annuity</v>
      </c>
      <c r="J992" t="str">
        <f>IF(LEFT(I992)="L","Compulsory, LA",IF(LEFT(I992)="R","Compulsory, RA",IF(LEFT(I992,2)="Pe","Compulsory, Pens","Voluntary")))</f>
        <v>Compulsory, LA</v>
      </c>
      <c r="K992" t="s">
        <v>15</v>
      </c>
      <c r="M992" t="str">
        <f t="shared" si="415"/>
        <v>b</v>
      </c>
      <c r="N992" t="str">
        <f t="shared" si="416"/>
        <v/>
      </c>
      <c r="O992" t="str">
        <f t="shared" si="417"/>
        <v/>
      </c>
    </row>
    <row r="993" spans="1:15" x14ac:dyDescent="0.3">
      <c r="A993">
        <v>100596195</v>
      </c>
      <c r="B993" t="s">
        <v>1238</v>
      </c>
      <c r="C993">
        <v>142</v>
      </c>
      <c r="D993" t="s">
        <v>620</v>
      </c>
      <c r="E993" t="s">
        <v>1165</v>
      </c>
      <c r="F993" s="26">
        <v>5529.12</v>
      </c>
      <c r="G993" s="3">
        <v>45761</v>
      </c>
      <c r="H993" t="s">
        <v>31</v>
      </c>
      <c r="I993" s="4" t="str">
        <f t="shared" ref="I993" si="422">MID(H993,6,30)</f>
        <v>Investment Account</v>
      </c>
      <c r="J993" t="str">
        <f t="shared" ref="J993" si="423">IF(LEFT(I993)="L","Compulsory, LA",IF(LEFT(I993)="R","Compulsory, RA",IF(LEFT(I993,2)="Pe","Compulsory, Pens","Voluntary")))</f>
        <v>Voluntary</v>
      </c>
      <c r="K993" t="s">
        <v>15</v>
      </c>
      <c r="M993" t="str">
        <f t="shared" si="415"/>
        <v>b</v>
      </c>
      <c r="N993" t="str">
        <f t="shared" si="416"/>
        <v/>
      </c>
      <c r="O993" t="str">
        <f t="shared" si="417"/>
        <v/>
      </c>
    </row>
    <row r="994" spans="1:15" x14ac:dyDescent="0.3">
      <c r="A994">
        <v>100596689</v>
      </c>
      <c r="B994" t="s">
        <v>788</v>
      </c>
      <c r="C994">
        <v>180</v>
      </c>
      <c r="D994" t="s">
        <v>149</v>
      </c>
      <c r="E994" t="s">
        <v>1165</v>
      </c>
      <c r="F994" s="25">
        <v>22224.91</v>
      </c>
      <c r="G994" s="3">
        <v>45761</v>
      </c>
      <c r="H994" t="s">
        <v>31</v>
      </c>
      <c r="I994" s="4" t="str">
        <f t="shared" ref="I994:I1039" si="424">MID(H994,6,30)</f>
        <v>Investment Account</v>
      </c>
      <c r="J994" t="str">
        <f t="shared" ref="J994:J1039" si="425">IF(LEFT(I994)="L","Compulsory, LA",IF(LEFT(I994)="R","Compulsory, RA",IF(LEFT(I994,2)="Pe","Compulsory, Pens","Voluntary")))</f>
        <v>Voluntary</v>
      </c>
      <c r="K994" t="s">
        <v>15</v>
      </c>
      <c r="M994" t="str">
        <f t="shared" si="415"/>
        <v>b</v>
      </c>
      <c r="N994" t="str">
        <f t="shared" si="416"/>
        <v/>
      </c>
      <c r="O994" t="str">
        <f t="shared" si="417"/>
        <v/>
      </c>
    </row>
    <row r="995" spans="1:15" x14ac:dyDescent="0.3">
      <c r="A995">
        <v>100596689</v>
      </c>
      <c r="B995" t="s">
        <v>1083</v>
      </c>
      <c r="C995">
        <v>180</v>
      </c>
      <c r="D995" t="s">
        <v>149</v>
      </c>
      <c r="E995" t="s">
        <v>1165</v>
      </c>
      <c r="F995" s="26">
        <v>6830.09</v>
      </c>
      <c r="G995" s="3">
        <v>45761</v>
      </c>
      <c r="H995" t="s">
        <v>31</v>
      </c>
      <c r="I995" s="4" t="str">
        <f t="shared" si="424"/>
        <v>Investment Account</v>
      </c>
      <c r="J995" t="str">
        <f t="shared" si="425"/>
        <v>Voluntary</v>
      </c>
      <c r="K995" t="s">
        <v>15</v>
      </c>
      <c r="M995" t="str">
        <f t="shared" si="415"/>
        <v>b</v>
      </c>
      <c r="N995" t="str">
        <f t="shared" si="416"/>
        <v/>
      </c>
      <c r="O995" t="str">
        <f t="shared" si="417"/>
        <v/>
      </c>
    </row>
    <row r="996" spans="1:15" s="13" customFormat="1" x14ac:dyDescent="0.3">
      <c r="A996" s="13">
        <v>100614771</v>
      </c>
      <c r="B996" s="13" t="s">
        <v>789</v>
      </c>
      <c r="C996" s="13">
        <v>365</v>
      </c>
      <c r="D996" s="13" t="s">
        <v>632</v>
      </c>
      <c r="E996" s="13" t="s">
        <v>1165</v>
      </c>
      <c r="F996" s="27">
        <v>2059.87</v>
      </c>
      <c r="G996" s="14">
        <v>45761</v>
      </c>
      <c r="H996" s="13" t="s">
        <v>31</v>
      </c>
      <c r="I996" s="15" t="str">
        <f t="shared" si="424"/>
        <v>Investment Account</v>
      </c>
      <c r="J996" s="13" t="str">
        <f t="shared" si="425"/>
        <v>Voluntary</v>
      </c>
      <c r="K996" s="13" t="s">
        <v>15</v>
      </c>
      <c r="M996" t="str">
        <f t="shared" si="415"/>
        <v>b</v>
      </c>
      <c r="N996" t="str">
        <f t="shared" si="416"/>
        <v/>
      </c>
      <c r="O996" t="str">
        <f t="shared" si="417"/>
        <v/>
      </c>
    </row>
    <row r="997" spans="1:15" s="13" customFormat="1" x14ac:dyDescent="0.3">
      <c r="A997" s="13">
        <v>100620477</v>
      </c>
      <c r="B997" s="13" t="s">
        <v>790</v>
      </c>
      <c r="C997" s="13">
        <v>437</v>
      </c>
      <c r="D997" s="13" t="s">
        <v>643</v>
      </c>
      <c r="E997" s="13" t="s">
        <v>1165</v>
      </c>
      <c r="F997" s="27">
        <v>16370.54</v>
      </c>
      <c r="G997" s="14">
        <v>45761</v>
      </c>
      <c r="H997" s="13" t="s">
        <v>31</v>
      </c>
      <c r="I997" s="15" t="str">
        <f t="shared" si="424"/>
        <v>Investment Account</v>
      </c>
      <c r="J997" s="13" t="str">
        <f t="shared" si="425"/>
        <v>Voluntary</v>
      </c>
      <c r="K997" s="13" t="s">
        <v>15</v>
      </c>
      <c r="M997" t="str">
        <f t="shared" si="415"/>
        <v>b</v>
      </c>
      <c r="N997" t="str">
        <f t="shared" si="416"/>
        <v/>
      </c>
      <c r="O997" t="str">
        <f t="shared" si="417"/>
        <v/>
      </c>
    </row>
    <row r="998" spans="1:15" s="16" customFormat="1" x14ac:dyDescent="0.3">
      <c r="A998" s="16">
        <v>100623191</v>
      </c>
      <c r="B998" s="16" t="s">
        <v>791</v>
      </c>
      <c r="C998" s="16">
        <v>293</v>
      </c>
      <c r="D998" s="16" t="s">
        <v>645</v>
      </c>
      <c r="E998" s="16" t="s">
        <v>1165</v>
      </c>
      <c r="F998" s="33">
        <v>1192.56</v>
      </c>
      <c r="G998" s="17">
        <v>45761</v>
      </c>
      <c r="H998" s="16" t="s">
        <v>31</v>
      </c>
      <c r="I998" s="18" t="str">
        <f t="shared" si="424"/>
        <v>Investment Account</v>
      </c>
      <c r="J998" s="16" t="str">
        <f t="shared" si="425"/>
        <v>Voluntary</v>
      </c>
      <c r="K998" s="16" t="s">
        <v>15</v>
      </c>
      <c r="M998" t="str">
        <f t="shared" si="415"/>
        <v>b</v>
      </c>
      <c r="N998" t="str">
        <f t="shared" si="416"/>
        <v/>
      </c>
      <c r="O998" t="str">
        <f t="shared" si="417"/>
        <v/>
      </c>
    </row>
    <row r="999" spans="1:15" x14ac:dyDescent="0.3">
      <c r="A999">
        <v>100625039</v>
      </c>
      <c r="B999" t="s">
        <v>792</v>
      </c>
      <c r="C999">
        <v>444</v>
      </c>
      <c r="D999" t="s">
        <v>647</v>
      </c>
      <c r="E999" t="s">
        <v>1165</v>
      </c>
      <c r="F999" s="25">
        <v>17237.86</v>
      </c>
      <c r="G999" s="3">
        <v>45761</v>
      </c>
      <c r="H999" t="s">
        <v>31</v>
      </c>
      <c r="I999" s="4" t="str">
        <f t="shared" si="424"/>
        <v>Investment Account</v>
      </c>
      <c r="J999" t="str">
        <f t="shared" si="425"/>
        <v>Voluntary</v>
      </c>
      <c r="K999" t="s">
        <v>15</v>
      </c>
      <c r="M999" t="str">
        <f t="shared" si="415"/>
        <v>b</v>
      </c>
      <c r="N999" t="str">
        <f t="shared" si="416"/>
        <v/>
      </c>
      <c r="O999" t="str">
        <f t="shared" si="417"/>
        <v/>
      </c>
    </row>
    <row r="1000" spans="1:15" x14ac:dyDescent="0.3">
      <c r="A1000">
        <v>100625041</v>
      </c>
      <c r="B1000" t="s">
        <v>793</v>
      </c>
      <c r="C1000">
        <v>445</v>
      </c>
      <c r="D1000" t="s">
        <v>692</v>
      </c>
      <c r="E1000" t="s">
        <v>1165</v>
      </c>
      <c r="F1000" s="25">
        <v>13009.7</v>
      </c>
      <c r="G1000" s="3">
        <v>45761</v>
      </c>
      <c r="H1000" t="s">
        <v>31</v>
      </c>
      <c r="I1000" s="4" t="str">
        <f t="shared" si="424"/>
        <v>Investment Account</v>
      </c>
      <c r="J1000" t="str">
        <f t="shared" si="425"/>
        <v>Voluntary</v>
      </c>
      <c r="K1000" t="s">
        <v>15</v>
      </c>
      <c r="M1000" t="str">
        <f t="shared" si="415"/>
        <v>b</v>
      </c>
      <c r="N1000" t="str">
        <f t="shared" si="416"/>
        <v/>
      </c>
      <c r="O1000" t="str">
        <f t="shared" si="417"/>
        <v/>
      </c>
    </row>
    <row r="1001" spans="1:15" x14ac:dyDescent="0.3">
      <c r="A1001">
        <v>100628018</v>
      </c>
      <c r="B1001" t="s">
        <v>1140</v>
      </c>
      <c r="C1001">
        <v>448</v>
      </c>
      <c r="D1001" t="s">
        <v>706</v>
      </c>
      <c r="E1001" t="s">
        <v>1165</v>
      </c>
      <c r="F1001" s="26">
        <v>63747.55</v>
      </c>
      <c r="G1001" s="3">
        <v>45761</v>
      </c>
      <c r="H1001" t="s">
        <v>31</v>
      </c>
      <c r="I1001" s="4" t="str">
        <f t="shared" si="424"/>
        <v>Investment Account</v>
      </c>
      <c r="J1001" t="str">
        <f t="shared" si="425"/>
        <v>Voluntary</v>
      </c>
      <c r="K1001" t="s">
        <v>15</v>
      </c>
      <c r="M1001" t="str">
        <f t="shared" si="415"/>
        <v>b</v>
      </c>
      <c r="N1001" t="str">
        <f t="shared" si="416"/>
        <v/>
      </c>
      <c r="O1001" t="str">
        <f t="shared" si="417"/>
        <v/>
      </c>
    </row>
    <row r="1002" spans="1:15" x14ac:dyDescent="0.3">
      <c r="A1002">
        <v>100628990</v>
      </c>
      <c r="B1002" t="s">
        <v>1034</v>
      </c>
      <c r="C1002">
        <v>36</v>
      </c>
      <c r="D1002" t="s">
        <v>710</v>
      </c>
      <c r="E1002" t="s">
        <v>1165</v>
      </c>
      <c r="F1002" s="26">
        <v>20056.63</v>
      </c>
      <c r="G1002" s="3">
        <v>45761</v>
      </c>
      <c r="H1002" t="s">
        <v>14</v>
      </c>
      <c r="I1002" s="4" t="str">
        <f t="shared" si="424"/>
        <v>Living Annuity</v>
      </c>
      <c r="J1002" t="str">
        <f t="shared" si="425"/>
        <v>Compulsory, LA</v>
      </c>
      <c r="K1002" t="s">
        <v>15</v>
      </c>
      <c r="M1002" t="str">
        <f t="shared" si="415"/>
        <v>b</v>
      </c>
      <c r="N1002" t="str">
        <f t="shared" si="416"/>
        <v/>
      </c>
      <c r="O1002" t="str">
        <f t="shared" si="417"/>
        <v/>
      </c>
    </row>
    <row r="1003" spans="1:15" x14ac:dyDescent="0.3">
      <c r="A1003">
        <v>100630706</v>
      </c>
      <c r="B1003" t="s">
        <v>1035</v>
      </c>
      <c r="C1003">
        <v>361</v>
      </c>
      <c r="D1003" t="s">
        <v>847</v>
      </c>
      <c r="E1003" t="s">
        <v>1165</v>
      </c>
      <c r="F1003" s="26">
        <v>5637.54</v>
      </c>
      <c r="G1003" s="3">
        <v>45761</v>
      </c>
      <c r="H1003" t="s">
        <v>31</v>
      </c>
      <c r="I1003" s="4" t="str">
        <f t="shared" si="424"/>
        <v>Investment Account</v>
      </c>
      <c r="J1003" t="str">
        <f t="shared" si="425"/>
        <v>Voluntary</v>
      </c>
      <c r="K1003" t="s">
        <v>15</v>
      </c>
      <c r="M1003" t="str">
        <f t="shared" si="415"/>
        <v>b</v>
      </c>
      <c r="N1003" t="str">
        <f t="shared" si="416"/>
        <v/>
      </c>
      <c r="O1003" t="str">
        <f t="shared" si="417"/>
        <v/>
      </c>
    </row>
    <row r="1004" spans="1:15" s="13" customFormat="1" x14ac:dyDescent="0.3">
      <c r="A1004" s="13">
        <v>100631121</v>
      </c>
      <c r="B1004" s="13" t="s">
        <v>794</v>
      </c>
      <c r="C1004" s="13">
        <v>222</v>
      </c>
      <c r="D1004" s="13" t="s">
        <v>716</v>
      </c>
      <c r="E1004" s="13" t="s">
        <v>1165</v>
      </c>
      <c r="F1004" s="28">
        <v>2168.2800000000002</v>
      </c>
      <c r="G1004" s="14">
        <v>45761</v>
      </c>
      <c r="H1004" s="13" t="s">
        <v>31</v>
      </c>
      <c r="I1004" s="15" t="str">
        <f t="shared" si="424"/>
        <v>Investment Account</v>
      </c>
      <c r="J1004" s="13" t="str">
        <f t="shared" si="425"/>
        <v>Voluntary</v>
      </c>
      <c r="K1004" s="13" t="s">
        <v>15</v>
      </c>
      <c r="M1004" t="str">
        <f t="shared" si="415"/>
        <v>b</v>
      </c>
      <c r="N1004" t="str">
        <f t="shared" si="416"/>
        <v/>
      </c>
      <c r="O1004" t="str">
        <f t="shared" si="417"/>
        <v/>
      </c>
    </row>
    <row r="1005" spans="1:15" x14ac:dyDescent="0.3">
      <c r="A1005">
        <v>100633203</v>
      </c>
      <c r="B1005" t="s">
        <v>1141</v>
      </c>
      <c r="C1005">
        <v>447</v>
      </c>
      <c r="D1005" t="s">
        <v>712</v>
      </c>
      <c r="E1005" t="s">
        <v>1165</v>
      </c>
      <c r="F1005" s="26">
        <v>117304.16</v>
      </c>
      <c r="G1005" s="3">
        <v>45761</v>
      </c>
      <c r="H1005" t="s">
        <v>31</v>
      </c>
      <c r="I1005" s="4" t="str">
        <f t="shared" si="424"/>
        <v>Investment Account</v>
      </c>
      <c r="J1005" t="str">
        <f t="shared" si="425"/>
        <v>Voluntary</v>
      </c>
      <c r="K1005" t="s">
        <v>15</v>
      </c>
      <c r="M1005" t="str">
        <f t="shared" si="415"/>
        <v>b</v>
      </c>
      <c r="N1005" t="str">
        <f t="shared" si="416"/>
        <v/>
      </c>
      <c r="O1005" t="str">
        <f t="shared" si="417"/>
        <v/>
      </c>
    </row>
    <row r="1006" spans="1:15" x14ac:dyDescent="0.3">
      <c r="A1006">
        <v>100637079</v>
      </c>
      <c r="B1006" t="s">
        <v>816</v>
      </c>
      <c r="C1006">
        <v>7</v>
      </c>
      <c r="D1006" t="s">
        <v>722</v>
      </c>
      <c r="E1006" t="s">
        <v>1165</v>
      </c>
      <c r="F1006" s="26">
        <v>5420.71</v>
      </c>
      <c r="G1006" s="3">
        <v>45761</v>
      </c>
      <c r="H1006" t="s">
        <v>26</v>
      </c>
      <c r="I1006" s="4" t="str">
        <f t="shared" si="424"/>
        <v>Retirement Annuity</v>
      </c>
      <c r="J1006" t="str">
        <f t="shared" si="425"/>
        <v>Compulsory, RA</v>
      </c>
      <c r="K1006" t="s">
        <v>15</v>
      </c>
      <c r="M1006" t="str">
        <f t="shared" si="415"/>
        <v>d</v>
      </c>
      <c r="N1006" t="str">
        <f t="shared" si="416"/>
        <v/>
      </c>
      <c r="O1006" t="str">
        <f t="shared" si="417"/>
        <v/>
      </c>
    </row>
    <row r="1007" spans="1:15" x14ac:dyDescent="0.3">
      <c r="A1007">
        <v>100637079</v>
      </c>
      <c r="B1007" t="s">
        <v>817</v>
      </c>
      <c r="C1007">
        <v>7</v>
      </c>
      <c r="D1007" t="s">
        <v>722</v>
      </c>
      <c r="E1007" t="s">
        <v>1165</v>
      </c>
      <c r="F1007" s="26">
        <v>8564.7199999999993</v>
      </c>
      <c r="G1007" s="3">
        <v>45761</v>
      </c>
      <c r="H1007" t="s">
        <v>26</v>
      </c>
      <c r="I1007" s="4" t="str">
        <f t="shared" si="424"/>
        <v>Retirement Annuity</v>
      </c>
      <c r="J1007" t="str">
        <f t="shared" si="425"/>
        <v>Compulsory, RA</v>
      </c>
      <c r="K1007" t="s">
        <v>15</v>
      </c>
      <c r="M1007" t="str">
        <f t="shared" si="415"/>
        <v>d</v>
      </c>
      <c r="N1007" t="str">
        <f t="shared" si="416"/>
        <v/>
      </c>
      <c r="O1007" t="str">
        <f t="shared" si="417"/>
        <v/>
      </c>
    </row>
    <row r="1008" spans="1:15" x14ac:dyDescent="0.3">
      <c r="A1008">
        <v>100637079</v>
      </c>
      <c r="B1008" t="s">
        <v>1193</v>
      </c>
      <c r="C1008">
        <v>7</v>
      </c>
      <c r="D1008" t="s">
        <v>722</v>
      </c>
      <c r="E1008" t="s">
        <v>1165</v>
      </c>
      <c r="F1008" s="26">
        <v>216.83</v>
      </c>
      <c r="G1008" s="3">
        <v>45761</v>
      </c>
      <c r="H1008" t="s">
        <v>1174</v>
      </c>
      <c r="I1008" s="4" t="str">
        <f t="shared" si="424"/>
        <v>Retirement Annuity - Savings C</v>
      </c>
      <c r="J1008" t="str">
        <f t="shared" si="425"/>
        <v>Compulsory, RA</v>
      </c>
      <c r="K1008" t="s">
        <v>15</v>
      </c>
      <c r="M1008" t="str">
        <f t="shared" si="415"/>
        <v>d</v>
      </c>
      <c r="N1008" t="str">
        <f t="shared" si="416"/>
        <v/>
      </c>
      <c r="O1008" t="str">
        <f t="shared" si="417"/>
        <v/>
      </c>
    </row>
    <row r="1009" spans="1:15" x14ac:dyDescent="0.3">
      <c r="A1009">
        <v>100637079</v>
      </c>
      <c r="B1009" t="s">
        <v>1200</v>
      </c>
      <c r="C1009">
        <v>7</v>
      </c>
      <c r="D1009" t="s">
        <v>722</v>
      </c>
      <c r="E1009" t="s">
        <v>1165</v>
      </c>
      <c r="F1009" s="26">
        <v>975.73</v>
      </c>
      <c r="G1009" s="3">
        <v>45761</v>
      </c>
      <c r="H1009" t="s">
        <v>1147</v>
      </c>
      <c r="I1009" s="4" t="str">
        <f t="shared" si="424"/>
        <v>Investment Account</v>
      </c>
      <c r="J1009" t="str">
        <f t="shared" si="425"/>
        <v>Voluntary</v>
      </c>
      <c r="K1009" t="s">
        <v>15</v>
      </c>
      <c r="M1009" t="str">
        <f t="shared" si="415"/>
        <v>b</v>
      </c>
      <c r="N1009" t="str">
        <f t="shared" si="416"/>
        <v/>
      </c>
      <c r="O1009" t="str">
        <f t="shared" si="417"/>
        <v/>
      </c>
    </row>
    <row r="1010" spans="1:15" x14ac:dyDescent="0.3">
      <c r="A1010">
        <v>100641153</v>
      </c>
      <c r="B1010" t="s">
        <v>1119</v>
      </c>
      <c r="C1010">
        <v>455</v>
      </c>
      <c r="D1010" t="s">
        <v>725</v>
      </c>
      <c r="E1010" t="s">
        <v>1165</v>
      </c>
      <c r="F1010" s="26">
        <v>263121.26</v>
      </c>
      <c r="G1010" s="3">
        <v>45761</v>
      </c>
      <c r="H1010" t="s">
        <v>14</v>
      </c>
      <c r="I1010" s="4" t="str">
        <f t="shared" si="424"/>
        <v>Living Annuity</v>
      </c>
      <c r="J1010" t="str">
        <f t="shared" si="425"/>
        <v>Compulsory, LA</v>
      </c>
      <c r="K1010" t="s">
        <v>15</v>
      </c>
      <c r="M1010" t="str">
        <f t="shared" si="415"/>
        <v>b</v>
      </c>
      <c r="N1010" t="str">
        <f t="shared" si="416"/>
        <v/>
      </c>
      <c r="O1010" t="str">
        <f t="shared" si="417"/>
        <v/>
      </c>
    </row>
    <row r="1011" spans="1:15" x14ac:dyDescent="0.3">
      <c r="A1011">
        <v>100651921</v>
      </c>
      <c r="B1011" t="s">
        <v>1036</v>
      </c>
      <c r="C1011">
        <v>13</v>
      </c>
      <c r="D1011" t="s">
        <v>732</v>
      </c>
      <c r="E1011" t="s">
        <v>1165</v>
      </c>
      <c r="F1011" s="26">
        <v>41088.980000000003</v>
      </c>
      <c r="G1011" s="3">
        <v>45761</v>
      </c>
      <c r="H1011" t="s">
        <v>31</v>
      </c>
      <c r="I1011" s="4" t="str">
        <f t="shared" si="424"/>
        <v>Investment Account</v>
      </c>
      <c r="J1011" t="str">
        <f t="shared" si="425"/>
        <v>Voluntary</v>
      </c>
      <c r="K1011" t="s">
        <v>15</v>
      </c>
      <c r="M1011" t="str">
        <f t="shared" si="415"/>
        <v>b</v>
      </c>
      <c r="N1011" t="str">
        <f t="shared" si="416"/>
        <v/>
      </c>
      <c r="O1011" t="str">
        <f t="shared" si="417"/>
        <v/>
      </c>
    </row>
    <row r="1012" spans="1:15" x14ac:dyDescent="0.3">
      <c r="A1012">
        <v>100651921</v>
      </c>
      <c r="B1012" t="s">
        <v>1037</v>
      </c>
      <c r="C1012">
        <v>13</v>
      </c>
      <c r="D1012" t="s">
        <v>732</v>
      </c>
      <c r="E1012" t="s">
        <v>1165</v>
      </c>
      <c r="F1012" s="26">
        <v>42173.120000000003</v>
      </c>
      <c r="G1012" s="3">
        <v>45761</v>
      </c>
      <c r="H1012" t="s">
        <v>31</v>
      </c>
      <c r="I1012" s="4" t="str">
        <f t="shared" si="424"/>
        <v>Investment Account</v>
      </c>
      <c r="J1012" t="str">
        <f t="shared" si="425"/>
        <v>Voluntary</v>
      </c>
      <c r="K1012" t="s">
        <v>15</v>
      </c>
      <c r="M1012" t="str">
        <f t="shared" si="415"/>
        <v>b</v>
      </c>
      <c r="N1012" t="str">
        <f t="shared" si="416"/>
        <v/>
      </c>
      <c r="O1012" t="str">
        <f t="shared" si="417"/>
        <v/>
      </c>
    </row>
    <row r="1013" spans="1:15" x14ac:dyDescent="0.3">
      <c r="A1013">
        <v>100655835</v>
      </c>
      <c r="B1013" t="s">
        <v>795</v>
      </c>
      <c r="C1013">
        <v>456</v>
      </c>
      <c r="D1013" t="s">
        <v>731</v>
      </c>
      <c r="E1013" t="s">
        <v>1165</v>
      </c>
      <c r="F1013" s="26">
        <v>710980.32</v>
      </c>
      <c r="G1013" s="3">
        <v>45761</v>
      </c>
      <c r="H1013" t="s">
        <v>14</v>
      </c>
      <c r="I1013" s="4" t="str">
        <f t="shared" si="424"/>
        <v>Living Annuity</v>
      </c>
      <c r="J1013" t="str">
        <f t="shared" si="425"/>
        <v>Compulsory, LA</v>
      </c>
      <c r="K1013" t="s">
        <v>15</v>
      </c>
      <c r="M1013" t="str">
        <f t="shared" ref="M1013:M1074" si="426">RIGHT(B1013,1)</f>
        <v>b</v>
      </c>
      <c r="N1013" t="str">
        <f t="shared" ref="N1013:N1074" si="427">IF(M1013="f","FFFF","")</f>
        <v/>
      </c>
      <c r="O1013" t="str">
        <f t="shared" ref="O1013:O1074" si="428">IF(M1013="I","IIII","")</f>
        <v/>
      </c>
    </row>
    <row r="1014" spans="1:15" x14ac:dyDescent="0.3">
      <c r="A1014">
        <v>100663638</v>
      </c>
      <c r="B1014" t="s">
        <v>809</v>
      </c>
      <c r="C1014">
        <v>58</v>
      </c>
      <c r="D1014" t="s">
        <v>802</v>
      </c>
      <c r="E1014" t="s">
        <v>1165</v>
      </c>
      <c r="F1014" s="26">
        <v>217478.89</v>
      </c>
      <c r="G1014" s="3">
        <v>45761</v>
      </c>
      <c r="H1014" t="s">
        <v>14</v>
      </c>
      <c r="I1014" s="4" t="str">
        <f t="shared" si="424"/>
        <v>Living Annuity</v>
      </c>
      <c r="J1014" t="str">
        <f t="shared" si="425"/>
        <v>Compulsory, LA</v>
      </c>
      <c r="K1014" t="s">
        <v>15</v>
      </c>
      <c r="M1014" t="str">
        <f t="shared" si="426"/>
        <v>b</v>
      </c>
      <c r="N1014" t="str">
        <f t="shared" si="427"/>
        <v/>
      </c>
      <c r="O1014" t="str">
        <f t="shared" si="428"/>
        <v/>
      </c>
    </row>
    <row r="1015" spans="1:15" x14ac:dyDescent="0.3">
      <c r="A1015">
        <v>100663638</v>
      </c>
      <c r="B1015" t="s">
        <v>904</v>
      </c>
      <c r="C1015">
        <v>58</v>
      </c>
      <c r="D1015" t="s">
        <v>802</v>
      </c>
      <c r="E1015" t="s">
        <v>1165</v>
      </c>
      <c r="F1015" s="26">
        <v>6071.2</v>
      </c>
      <c r="G1015" s="3">
        <v>45761</v>
      </c>
      <c r="H1015" t="s">
        <v>14</v>
      </c>
      <c r="I1015" s="4" t="str">
        <f t="shared" si="424"/>
        <v>Living Annuity</v>
      </c>
      <c r="J1015" t="str">
        <f t="shared" si="425"/>
        <v>Compulsory, LA</v>
      </c>
      <c r="K1015" t="s">
        <v>15</v>
      </c>
      <c r="M1015" t="str">
        <f t="shared" si="426"/>
        <v>b</v>
      </c>
      <c r="N1015" t="str">
        <f t="shared" si="427"/>
        <v/>
      </c>
      <c r="O1015" t="str">
        <f t="shared" si="428"/>
        <v/>
      </c>
    </row>
    <row r="1016" spans="1:15" x14ac:dyDescent="0.3">
      <c r="A1016">
        <v>100664029</v>
      </c>
      <c r="B1016" t="s">
        <v>905</v>
      </c>
      <c r="C1016">
        <v>5</v>
      </c>
      <c r="D1016" t="s">
        <v>864</v>
      </c>
      <c r="E1016" t="s">
        <v>1165</v>
      </c>
      <c r="F1016" s="26">
        <v>18647.240000000002</v>
      </c>
      <c r="G1016" s="3">
        <v>45761</v>
      </c>
      <c r="H1016" t="s">
        <v>14</v>
      </c>
      <c r="I1016" s="4" t="str">
        <f t="shared" si="424"/>
        <v>Living Annuity</v>
      </c>
      <c r="J1016" t="str">
        <f t="shared" si="425"/>
        <v>Compulsory, LA</v>
      </c>
      <c r="K1016" t="s">
        <v>15</v>
      </c>
      <c r="M1016" t="str">
        <f t="shared" si="426"/>
        <v>b</v>
      </c>
      <c r="N1016" t="str">
        <f t="shared" si="427"/>
        <v/>
      </c>
      <c r="O1016" t="str">
        <f t="shared" si="428"/>
        <v/>
      </c>
    </row>
    <row r="1017" spans="1:15" x14ac:dyDescent="0.3">
      <c r="A1017">
        <v>100664029</v>
      </c>
      <c r="B1017" t="s">
        <v>906</v>
      </c>
      <c r="C1017">
        <v>5</v>
      </c>
      <c r="D1017" t="s">
        <v>864</v>
      </c>
      <c r="E1017" t="s">
        <v>1165</v>
      </c>
      <c r="F1017" s="26">
        <v>11275.08</v>
      </c>
      <c r="G1017" s="3">
        <v>45761</v>
      </c>
      <c r="H1017" t="s">
        <v>14</v>
      </c>
      <c r="I1017" s="4" t="str">
        <f t="shared" si="424"/>
        <v>Living Annuity</v>
      </c>
      <c r="J1017" t="str">
        <f t="shared" si="425"/>
        <v>Compulsory, LA</v>
      </c>
      <c r="K1017" t="s">
        <v>15</v>
      </c>
      <c r="M1017" t="str">
        <f t="shared" si="426"/>
        <v>b</v>
      </c>
      <c r="N1017" t="str">
        <f t="shared" si="427"/>
        <v/>
      </c>
      <c r="O1017" t="str">
        <f t="shared" si="428"/>
        <v/>
      </c>
    </row>
    <row r="1018" spans="1:15" s="13" customFormat="1" x14ac:dyDescent="0.3">
      <c r="A1018" s="13">
        <v>100664292</v>
      </c>
      <c r="B1018" s="13" t="s">
        <v>907</v>
      </c>
      <c r="C1018" s="13">
        <v>21</v>
      </c>
      <c r="D1018" s="13" t="s">
        <v>849</v>
      </c>
      <c r="E1018" s="13" t="s">
        <v>1165</v>
      </c>
      <c r="F1018" s="27">
        <v>100066.31</v>
      </c>
      <c r="G1018" s="14">
        <v>45761</v>
      </c>
      <c r="H1018" s="13" t="s">
        <v>14</v>
      </c>
      <c r="I1018" s="15" t="str">
        <f t="shared" si="424"/>
        <v>Living Annuity</v>
      </c>
      <c r="J1018" s="13" t="str">
        <f t="shared" si="425"/>
        <v>Compulsory, LA</v>
      </c>
      <c r="K1018" s="13" t="s">
        <v>15</v>
      </c>
      <c r="M1018" t="str">
        <f t="shared" si="426"/>
        <v>b</v>
      </c>
      <c r="N1018" t="str">
        <f t="shared" si="427"/>
        <v/>
      </c>
      <c r="O1018" t="str">
        <f t="shared" si="428"/>
        <v/>
      </c>
    </row>
    <row r="1019" spans="1:15" x14ac:dyDescent="0.3">
      <c r="A1019">
        <v>100664348</v>
      </c>
      <c r="B1019" t="s">
        <v>908</v>
      </c>
      <c r="C1019">
        <v>257</v>
      </c>
      <c r="D1019" t="s">
        <v>871</v>
      </c>
      <c r="E1019" t="s">
        <v>1165</v>
      </c>
      <c r="F1019" s="25">
        <v>15503.23</v>
      </c>
      <c r="G1019" s="3">
        <v>45761</v>
      </c>
      <c r="H1019" t="s">
        <v>14</v>
      </c>
      <c r="I1019" s="4" t="str">
        <f t="shared" si="424"/>
        <v>Living Annuity</v>
      </c>
      <c r="J1019" t="str">
        <f t="shared" si="425"/>
        <v>Compulsory, LA</v>
      </c>
      <c r="K1019" t="s">
        <v>15</v>
      </c>
      <c r="M1019" t="str">
        <f t="shared" si="426"/>
        <v>b</v>
      </c>
      <c r="N1019" t="str">
        <f t="shared" si="427"/>
        <v/>
      </c>
      <c r="O1019" t="str">
        <f t="shared" si="428"/>
        <v/>
      </c>
    </row>
    <row r="1020" spans="1:15" x14ac:dyDescent="0.3">
      <c r="A1020">
        <v>100664351</v>
      </c>
      <c r="B1020" t="s">
        <v>909</v>
      </c>
      <c r="C1020">
        <v>196</v>
      </c>
      <c r="D1020" t="s">
        <v>873</v>
      </c>
      <c r="E1020" t="s">
        <v>1165</v>
      </c>
      <c r="F1020" s="25">
        <v>23200.639999999999</v>
      </c>
      <c r="G1020" s="3">
        <v>45761</v>
      </c>
      <c r="H1020" t="s">
        <v>14</v>
      </c>
      <c r="I1020" s="4" t="str">
        <f t="shared" si="424"/>
        <v>Living Annuity</v>
      </c>
      <c r="J1020" t="str">
        <f t="shared" si="425"/>
        <v>Compulsory, LA</v>
      </c>
      <c r="K1020" t="s">
        <v>15</v>
      </c>
      <c r="M1020" t="str">
        <f t="shared" si="426"/>
        <v>b</v>
      </c>
      <c r="N1020" t="str">
        <f t="shared" si="427"/>
        <v/>
      </c>
      <c r="O1020" t="str">
        <f t="shared" si="428"/>
        <v/>
      </c>
    </row>
    <row r="1021" spans="1:15" x14ac:dyDescent="0.3">
      <c r="A1021">
        <v>100664601</v>
      </c>
      <c r="B1021" t="s">
        <v>880</v>
      </c>
      <c r="C1021">
        <v>60</v>
      </c>
      <c r="D1021" t="s">
        <v>875</v>
      </c>
      <c r="E1021" t="s">
        <v>1165</v>
      </c>
      <c r="F1021" s="25">
        <v>102885.08</v>
      </c>
      <c r="G1021" s="3">
        <v>45761</v>
      </c>
      <c r="H1021" t="s">
        <v>80</v>
      </c>
      <c r="I1021" s="4" t="str">
        <f t="shared" si="424"/>
        <v>Pension Preservation Fund</v>
      </c>
      <c r="J1021" t="str">
        <f t="shared" si="425"/>
        <v>Compulsory, Pens</v>
      </c>
      <c r="K1021" t="s">
        <v>15</v>
      </c>
      <c r="M1021" t="str">
        <f t="shared" si="426"/>
        <v>d</v>
      </c>
      <c r="N1021" t="str">
        <f t="shared" si="427"/>
        <v/>
      </c>
      <c r="O1021" t="str">
        <f t="shared" si="428"/>
        <v/>
      </c>
    </row>
    <row r="1022" spans="1:15" x14ac:dyDescent="0.3">
      <c r="A1022">
        <v>100664601</v>
      </c>
      <c r="B1022" t="s">
        <v>881</v>
      </c>
      <c r="C1022">
        <v>60</v>
      </c>
      <c r="D1022" t="s">
        <v>875</v>
      </c>
      <c r="E1022" t="s">
        <v>1165</v>
      </c>
      <c r="F1022" s="25">
        <v>31440.12</v>
      </c>
      <c r="G1022" s="3">
        <v>45761</v>
      </c>
      <c r="H1022" t="s">
        <v>26</v>
      </c>
      <c r="I1022" s="4" t="str">
        <f t="shared" si="424"/>
        <v>Retirement Annuity</v>
      </c>
      <c r="J1022" t="str">
        <f t="shared" si="425"/>
        <v>Compulsory, RA</v>
      </c>
      <c r="K1022" t="s">
        <v>15</v>
      </c>
      <c r="M1022" t="str">
        <f t="shared" si="426"/>
        <v>d</v>
      </c>
      <c r="N1022" t="str">
        <f t="shared" si="427"/>
        <v/>
      </c>
      <c r="O1022" t="str">
        <f t="shared" si="428"/>
        <v/>
      </c>
    </row>
    <row r="1023" spans="1:15" x14ac:dyDescent="0.3">
      <c r="A1023">
        <v>100664601</v>
      </c>
      <c r="B1023" t="s">
        <v>1194</v>
      </c>
      <c r="C1023">
        <v>60</v>
      </c>
      <c r="D1023" t="s">
        <v>875</v>
      </c>
      <c r="E1023" t="s">
        <v>1165</v>
      </c>
      <c r="F1023" s="25">
        <v>650.49</v>
      </c>
      <c r="G1023" s="3">
        <v>45761</v>
      </c>
      <c r="H1023" t="s">
        <v>1187</v>
      </c>
      <c r="I1023" s="4" t="str">
        <f t="shared" si="424"/>
        <v>Pension Preservation Fund - Sa</v>
      </c>
      <c r="J1023" t="str">
        <f t="shared" si="425"/>
        <v>Compulsory, Pens</v>
      </c>
      <c r="K1023" t="s">
        <v>15</v>
      </c>
      <c r="M1023" t="str">
        <f t="shared" si="426"/>
        <v>d</v>
      </c>
      <c r="N1023" t="str">
        <f t="shared" si="427"/>
        <v/>
      </c>
      <c r="O1023" t="str">
        <f t="shared" si="428"/>
        <v/>
      </c>
    </row>
    <row r="1024" spans="1:15" x14ac:dyDescent="0.3">
      <c r="A1024">
        <v>100664601</v>
      </c>
      <c r="B1024" t="s">
        <v>1195</v>
      </c>
      <c r="C1024">
        <v>60</v>
      </c>
      <c r="D1024" t="s">
        <v>875</v>
      </c>
      <c r="E1024" t="s">
        <v>1165</v>
      </c>
      <c r="F1024" s="25">
        <v>542.07000000000005</v>
      </c>
      <c r="G1024" s="3">
        <v>45761</v>
      </c>
      <c r="H1024" t="s">
        <v>1174</v>
      </c>
      <c r="I1024" s="4" t="str">
        <f t="shared" si="424"/>
        <v>Retirement Annuity - Savings C</v>
      </c>
      <c r="J1024" t="str">
        <f t="shared" si="425"/>
        <v>Compulsory, RA</v>
      </c>
      <c r="K1024" t="s">
        <v>15</v>
      </c>
      <c r="M1024" t="str">
        <f t="shared" si="426"/>
        <v>d</v>
      </c>
      <c r="N1024" t="str">
        <f t="shared" si="427"/>
        <v/>
      </c>
      <c r="O1024" t="str">
        <f t="shared" si="428"/>
        <v/>
      </c>
    </row>
    <row r="1025" spans="1:15" x14ac:dyDescent="0.3">
      <c r="A1025">
        <v>100664737</v>
      </c>
      <c r="B1025" t="s">
        <v>1117</v>
      </c>
      <c r="C1025">
        <v>57</v>
      </c>
      <c r="D1025" t="s">
        <v>882</v>
      </c>
      <c r="E1025" t="s">
        <v>1165</v>
      </c>
      <c r="F1025" s="25">
        <v>12467.63</v>
      </c>
      <c r="G1025" s="3">
        <v>45761</v>
      </c>
      <c r="H1025" t="s">
        <v>14</v>
      </c>
      <c r="I1025" s="4" t="str">
        <f t="shared" si="424"/>
        <v>Living Annuity</v>
      </c>
      <c r="J1025" t="str">
        <f t="shared" si="425"/>
        <v>Compulsory, LA</v>
      </c>
      <c r="K1025" t="s">
        <v>15</v>
      </c>
      <c r="M1025" t="str">
        <f t="shared" si="426"/>
        <v>b</v>
      </c>
      <c r="N1025" t="str">
        <f t="shared" si="427"/>
        <v/>
      </c>
      <c r="O1025" t="str">
        <f t="shared" si="428"/>
        <v/>
      </c>
    </row>
    <row r="1026" spans="1:15" x14ac:dyDescent="0.3">
      <c r="A1026">
        <v>100664737</v>
      </c>
      <c r="B1026" t="s">
        <v>1123</v>
      </c>
      <c r="C1026">
        <v>57</v>
      </c>
      <c r="D1026" t="s">
        <v>882</v>
      </c>
      <c r="E1026" t="s">
        <v>1165</v>
      </c>
      <c r="F1026" s="25">
        <v>5095.47</v>
      </c>
      <c r="G1026" s="3">
        <v>45761</v>
      </c>
      <c r="H1026" t="s">
        <v>14</v>
      </c>
      <c r="I1026" s="4" t="str">
        <f t="shared" si="424"/>
        <v>Living Annuity</v>
      </c>
      <c r="J1026" t="str">
        <f t="shared" si="425"/>
        <v>Compulsory, LA</v>
      </c>
      <c r="K1026" t="s">
        <v>15</v>
      </c>
      <c r="M1026" t="str">
        <f t="shared" si="426"/>
        <v>b</v>
      </c>
      <c r="N1026" t="str">
        <f t="shared" si="427"/>
        <v/>
      </c>
      <c r="O1026" t="str">
        <f t="shared" si="428"/>
        <v/>
      </c>
    </row>
    <row r="1027" spans="1:15" x14ac:dyDescent="0.3">
      <c r="A1027">
        <v>100665510</v>
      </c>
      <c r="B1027" t="s">
        <v>1039</v>
      </c>
      <c r="C1027">
        <v>6</v>
      </c>
      <c r="D1027" t="s">
        <v>850</v>
      </c>
      <c r="E1027" t="s">
        <v>1165</v>
      </c>
      <c r="F1027" s="25">
        <v>4661.8100000000004</v>
      </c>
      <c r="G1027" s="3">
        <v>45761</v>
      </c>
      <c r="H1027" t="s">
        <v>31</v>
      </c>
      <c r="I1027" s="4" t="str">
        <f t="shared" si="424"/>
        <v>Investment Account</v>
      </c>
      <c r="J1027" t="str">
        <f t="shared" si="425"/>
        <v>Voluntary</v>
      </c>
      <c r="K1027" t="s">
        <v>15</v>
      </c>
      <c r="M1027" t="str">
        <f t="shared" si="426"/>
        <v>b</v>
      </c>
      <c r="N1027" t="str">
        <f t="shared" si="427"/>
        <v/>
      </c>
      <c r="O1027" t="str">
        <f t="shared" si="428"/>
        <v/>
      </c>
    </row>
    <row r="1028" spans="1:15" x14ac:dyDescent="0.3">
      <c r="A1028">
        <v>100665510</v>
      </c>
      <c r="B1028" t="s">
        <v>910</v>
      </c>
      <c r="C1028">
        <v>6</v>
      </c>
      <c r="D1028" t="s">
        <v>850</v>
      </c>
      <c r="E1028" t="s">
        <v>1165</v>
      </c>
      <c r="F1028" s="25">
        <v>63097.06</v>
      </c>
      <c r="G1028" s="3">
        <v>45761</v>
      </c>
      <c r="H1028" t="s">
        <v>14</v>
      </c>
      <c r="I1028" s="4" t="str">
        <f t="shared" si="424"/>
        <v>Living Annuity</v>
      </c>
      <c r="J1028" t="str">
        <f t="shared" si="425"/>
        <v>Compulsory, LA</v>
      </c>
      <c r="K1028" t="s">
        <v>15</v>
      </c>
      <c r="M1028" t="str">
        <f t="shared" si="426"/>
        <v>b</v>
      </c>
      <c r="N1028" t="str">
        <f t="shared" si="427"/>
        <v/>
      </c>
      <c r="O1028" t="str">
        <f t="shared" si="428"/>
        <v/>
      </c>
    </row>
    <row r="1029" spans="1:15" x14ac:dyDescent="0.3">
      <c r="A1029">
        <v>100665581</v>
      </c>
      <c r="B1029" t="s">
        <v>1230</v>
      </c>
      <c r="C1029">
        <v>113</v>
      </c>
      <c r="D1029" t="s">
        <v>884</v>
      </c>
      <c r="E1029" t="s">
        <v>1165</v>
      </c>
      <c r="F1029" s="25">
        <v>172053.34</v>
      </c>
      <c r="G1029" s="3">
        <v>45761</v>
      </c>
      <c r="H1029" t="s">
        <v>1147</v>
      </c>
      <c r="I1029" s="4" t="str">
        <f t="shared" si="424"/>
        <v>Investment Account</v>
      </c>
      <c r="J1029" t="str">
        <f t="shared" si="425"/>
        <v>Voluntary</v>
      </c>
      <c r="K1029" t="s">
        <v>15</v>
      </c>
      <c r="M1029" t="str">
        <f t="shared" si="426"/>
        <v>b</v>
      </c>
      <c r="N1029" t="str">
        <f t="shared" si="427"/>
        <v/>
      </c>
      <c r="O1029" t="str">
        <f t="shared" si="428"/>
        <v/>
      </c>
    </row>
    <row r="1030" spans="1:15" x14ac:dyDescent="0.3">
      <c r="A1030">
        <v>100665581</v>
      </c>
      <c r="B1030" t="s">
        <v>1236</v>
      </c>
      <c r="C1030">
        <v>113</v>
      </c>
      <c r="D1030" t="s">
        <v>884</v>
      </c>
      <c r="E1030" t="s">
        <v>1165</v>
      </c>
      <c r="F1030" s="25">
        <v>563862.25</v>
      </c>
      <c r="G1030" s="3">
        <v>45761</v>
      </c>
      <c r="H1030" t="s">
        <v>14</v>
      </c>
      <c r="I1030" s="4" t="str">
        <f t="shared" si="424"/>
        <v>Living Annuity</v>
      </c>
      <c r="J1030" t="str">
        <f t="shared" si="425"/>
        <v>Compulsory, LA</v>
      </c>
      <c r="K1030" t="s">
        <v>15</v>
      </c>
      <c r="M1030" t="str">
        <f t="shared" si="426"/>
        <v>b</v>
      </c>
      <c r="N1030" t="str">
        <f t="shared" si="427"/>
        <v/>
      </c>
      <c r="O1030" t="str">
        <f t="shared" si="428"/>
        <v/>
      </c>
    </row>
    <row r="1031" spans="1:15" x14ac:dyDescent="0.3">
      <c r="A1031">
        <v>100666150</v>
      </c>
      <c r="B1031" t="s">
        <v>810</v>
      </c>
      <c r="C1031">
        <v>163</v>
      </c>
      <c r="D1031" t="s">
        <v>803</v>
      </c>
      <c r="E1031" t="s">
        <v>1165</v>
      </c>
      <c r="F1031" s="26">
        <v>106245.92</v>
      </c>
      <c r="G1031" s="3">
        <v>45761</v>
      </c>
      <c r="H1031" t="s">
        <v>14</v>
      </c>
      <c r="I1031" s="4" t="str">
        <f t="shared" si="424"/>
        <v>Living Annuity</v>
      </c>
      <c r="J1031" t="str">
        <f t="shared" si="425"/>
        <v>Compulsory, LA</v>
      </c>
      <c r="K1031" t="s">
        <v>15</v>
      </c>
      <c r="M1031" t="str">
        <f t="shared" si="426"/>
        <v>b</v>
      </c>
      <c r="N1031" t="str">
        <f t="shared" si="427"/>
        <v/>
      </c>
      <c r="O1031" t="str">
        <f t="shared" si="428"/>
        <v/>
      </c>
    </row>
    <row r="1032" spans="1:15" x14ac:dyDescent="0.3">
      <c r="A1032">
        <v>100668166</v>
      </c>
      <c r="B1032" t="s">
        <v>915</v>
      </c>
      <c r="C1032">
        <v>188</v>
      </c>
      <c r="D1032" t="s">
        <v>913</v>
      </c>
      <c r="E1032" t="s">
        <v>1165</v>
      </c>
      <c r="F1032" s="26">
        <v>13009.7</v>
      </c>
      <c r="G1032" s="3">
        <v>45761</v>
      </c>
      <c r="H1032" t="s">
        <v>31</v>
      </c>
      <c r="I1032" s="4" t="str">
        <f t="shared" si="424"/>
        <v>Investment Account</v>
      </c>
      <c r="J1032" t="str">
        <f t="shared" si="425"/>
        <v>Voluntary</v>
      </c>
      <c r="K1032" t="s">
        <v>15</v>
      </c>
      <c r="M1032" t="str">
        <f t="shared" si="426"/>
        <v>b</v>
      </c>
      <c r="N1032" t="str">
        <f t="shared" si="427"/>
        <v/>
      </c>
      <c r="O1032" t="str">
        <f t="shared" si="428"/>
        <v/>
      </c>
    </row>
    <row r="1033" spans="1:15" x14ac:dyDescent="0.3">
      <c r="A1033">
        <v>100668409</v>
      </c>
      <c r="B1033" t="s">
        <v>1040</v>
      </c>
      <c r="C1033">
        <v>178</v>
      </c>
      <c r="D1033" t="s">
        <v>852</v>
      </c>
      <c r="E1033" t="s">
        <v>1165</v>
      </c>
      <c r="F1033" s="26">
        <v>20381.87</v>
      </c>
      <c r="G1033" s="3">
        <v>45761</v>
      </c>
      <c r="H1033" t="s">
        <v>31</v>
      </c>
      <c r="I1033" s="4" t="str">
        <f t="shared" si="424"/>
        <v>Investment Account</v>
      </c>
      <c r="J1033" t="str">
        <f t="shared" si="425"/>
        <v>Voluntary</v>
      </c>
      <c r="K1033" t="s">
        <v>15</v>
      </c>
      <c r="M1033" t="str">
        <f t="shared" si="426"/>
        <v>b</v>
      </c>
      <c r="N1033" t="str">
        <f t="shared" si="427"/>
        <v/>
      </c>
      <c r="O1033" t="str">
        <f t="shared" si="428"/>
        <v/>
      </c>
    </row>
    <row r="1034" spans="1:15" x14ac:dyDescent="0.3">
      <c r="A1034">
        <v>100668534</v>
      </c>
      <c r="B1034" t="s">
        <v>1041</v>
      </c>
      <c r="C1034">
        <v>23</v>
      </c>
      <c r="D1034" t="s">
        <v>194</v>
      </c>
      <c r="E1034" t="s">
        <v>1165</v>
      </c>
      <c r="F1034" s="26">
        <v>42389.95</v>
      </c>
      <c r="G1034" s="3">
        <v>45761</v>
      </c>
      <c r="H1034" t="s">
        <v>31</v>
      </c>
      <c r="I1034" s="4" t="str">
        <f t="shared" si="424"/>
        <v>Investment Account</v>
      </c>
      <c r="J1034" t="str">
        <f t="shared" si="425"/>
        <v>Voluntary</v>
      </c>
      <c r="K1034" t="s">
        <v>15</v>
      </c>
      <c r="M1034" t="str">
        <f t="shared" si="426"/>
        <v>b</v>
      </c>
      <c r="N1034" t="str">
        <f t="shared" si="427"/>
        <v/>
      </c>
      <c r="O1034" t="str">
        <f t="shared" si="428"/>
        <v/>
      </c>
    </row>
    <row r="1035" spans="1:15" x14ac:dyDescent="0.3">
      <c r="A1035">
        <v>100669580</v>
      </c>
      <c r="B1035" t="s">
        <v>911</v>
      </c>
      <c r="C1035">
        <v>321</v>
      </c>
      <c r="D1035" t="s">
        <v>887</v>
      </c>
      <c r="E1035" t="s">
        <v>1165</v>
      </c>
      <c r="F1035" s="26">
        <v>49978.95</v>
      </c>
      <c r="G1035" s="3">
        <v>45761</v>
      </c>
      <c r="H1035" t="s">
        <v>14</v>
      </c>
      <c r="I1035" s="4" t="str">
        <f t="shared" si="424"/>
        <v>Living Annuity</v>
      </c>
      <c r="J1035" t="str">
        <f t="shared" si="425"/>
        <v>Compulsory, LA</v>
      </c>
      <c r="K1035" t="s">
        <v>15</v>
      </c>
      <c r="M1035" t="str">
        <f t="shared" si="426"/>
        <v>b</v>
      </c>
      <c r="N1035" t="str">
        <f t="shared" si="427"/>
        <v/>
      </c>
      <c r="O1035" t="str">
        <f t="shared" si="428"/>
        <v/>
      </c>
    </row>
    <row r="1036" spans="1:15" x14ac:dyDescent="0.3">
      <c r="A1036">
        <v>100670671</v>
      </c>
      <c r="B1036" t="s">
        <v>912</v>
      </c>
      <c r="C1036">
        <v>150</v>
      </c>
      <c r="D1036" t="s">
        <v>890</v>
      </c>
      <c r="E1036" t="s">
        <v>1165</v>
      </c>
      <c r="F1036" s="26">
        <v>389532.22</v>
      </c>
      <c r="G1036" s="3">
        <v>45761</v>
      </c>
      <c r="H1036" t="s">
        <v>31</v>
      </c>
      <c r="I1036" s="4" t="str">
        <f t="shared" si="424"/>
        <v>Investment Account</v>
      </c>
      <c r="J1036" t="str">
        <f t="shared" si="425"/>
        <v>Voluntary</v>
      </c>
      <c r="K1036" t="s">
        <v>15</v>
      </c>
      <c r="M1036" t="str">
        <f t="shared" si="426"/>
        <v>b</v>
      </c>
      <c r="N1036" t="str">
        <f t="shared" si="427"/>
        <v/>
      </c>
      <c r="O1036" t="str">
        <f t="shared" si="428"/>
        <v/>
      </c>
    </row>
    <row r="1037" spans="1:15" x14ac:dyDescent="0.3">
      <c r="A1037">
        <v>100670671</v>
      </c>
      <c r="B1037" t="s">
        <v>1110</v>
      </c>
      <c r="C1037">
        <v>150</v>
      </c>
      <c r="D1037" t="s">
        <v>890</v>
      </c>
      <c r="E1037" t="s">
        <v>1165</v>
      </c>
      <c r="F1037" s="26">
        <v>4987.05</v>
      </c>
      <c r="G1037" s="3">
        <v>45761</v>
      </c>
      <c r="H1037" t="s">
        <v>26</v>
      </c>
      <c r="I1037" s="4" t="str">
        <f t="shared" si="424"/>
        <v>Retirement Annuity</v>
      </c>
      <c r="J1037" t="str">
        <f t="shared" si="425"/>
        <v>Compulsory, RA</v>
      </c>
      <c r="K1037" t="s">
        <v>15</v>
      </c>
      <c r="M1037" t="str">
        <f t="shared" si="426"/>
        <v>d</v>
      </c>
      <c r="N1037" t="str">
        <f t="shared" si="427"/>
        <v/>
      </c>
      <c r="O1037" t="str">
        <f t="shared" si="428"/>
        <v/>
      </c>
    </row>
    <row r="1038" spans="1:15" x14ac:dyDescent="0.3">
      <c r="A1038">
        <v>100675336</v>
      </c>
      <c r="B1038" t="s">
        <v>1099</v>
      </c>
      <c r="C1038">
        <v>245</v>
      </c>
      <c r="D1038" t="s">
        <v>1094</v>
      </c>
      <c r="E1038" t="s">
        <v>1165</v>
      </c>
      <c r="F1038" s="25">
        <v>68951.429999999993</v>
      </c>
      <c r="G1038" s="3">
        <v>45761</v>
      </c>
      <c r="H1038" t="s">
        <v>14</v>
      </c>
      <c r="I1038" s="4" t="str">
        <f t="shared" si="424"/>
        <v>Living Annuity</v>
      </c>
      <c r="J1038" t="str">
        <f t="shared" si="425"/>
        <v>Compulsory, LA</v>
      </c>
      <c r="K1038" t="s">
        <v>15</v>
      </c>
      <c r="M1038" t="str">
        <f t="shared" si="426"/>
        <v>b</v>
      </c>
      <c r="N1038" t="str">
        <f t="shared" si="427"/>
        <v/>
      </c>
      <c r="O1038" t="str">
        <f t="shared" si="428"/>
        <v/>
      </c>
    </row>
    <row r="1039" spans="1:15" x14ac:dyDescent="0.3">
      <c r="A1039">
        <v>100677278</v>
      </c>
      <c r="B1039" t="s">
        <v>1042</v>
      </c>
      <c r="C1039">
        <v>460</v>
      </c>
      <c r="D1039" t="s">
        <v>993</v>
      </c>
      <c r="E1039" t="s">
        <v>1165</v>
      </c>
      <c r="F1039" s="25">
        <v>42064.71</v>
      </c>
      <c r="G1039" s="3">
        <v>45761</v>
      </c>
      <c r="H1039" t="s">
        <v>14</v>
      </c>
      <c r="I1039" s="4" t="str">
        <f t="shared" si="424"/>
        <v>Living Annuity</v>
      </c>
      <c r="J1039" t="str">
        <f t="shared" si="425"/>
        <v>Compulsory, LA</v>
      </c>
      <c r="K1039" t="s">
        <v>15</v>
      </c>
      <c r="M1039" t="str">
        <f t="shared" si="426"/>
        <v>b</v>
      </c>
      <c r="N1039" t="str">
        <f t="shared" si="427"/>
        <v/>
      </c>
      <c r="O1039" t="str">
        <f t="shared" si="428"/>
        <v/>
      </c>
    </row>
    <row r="1040" spans="1:15" x14ac:dyDescent="0.3">
      <c r="A1040">
        <v>100677585</v>
      </c>
      <c r="B1040" t="s">
        <v>1105</v>
      </c>
      <c r="C1040">
        <v>175</v>
      </c>
      <c r="D1040" t="s">
        <v>1104</v>
      </c>
      <c r="E1040" t="s">
        <v>1165</v>
      </c>
      <c r="F1040" s="26">
        <v>32632.67</v>
      </c>
      <c r="G1040" s="3">
        <v>45761</v>
      </c>
      <c r="H1040" t="s">
        <v>14</v>
      </c>
      <c r="I1040" s="4" t="str">
        <f>MID(H1040,6,30)</f>
        <v>Living Annuity</v>
      </c>
      <c r="J1040" t="str">
        <f>IF(LEFT(I1040)="L","Compulsory, LA",IF(LEFT(I1040)="R","Compulsory, RA",IF(LEFT(I1040,2)="Pe","Compulsory, Pens","Voluntary")))</f>
        <v>Compulsory, LA</v>
      </c>
      <c r="K1040" t="s">
        <v>15</v>
      </c>
      <c r="M1040" t="str">
        <f t="shared" si="426"/>
        <v>b</v>
      </c>
      <c r="N1040" t="str">
        <f t="shared" si="427"/>
        <v/>
      </c>
      <c r="O1040" t="str">
        <f t="shared" si="428"/>
        <v/>
      </c>
    </row>
    <row r="1041" spans="1:15" x14ac:dyDescent="0.3">
      <c r="A1041">
        <v>100706842</v>
      </c>
      <c r="B1041" t="s">
        <v>1134</v>
      </c>
      <c r="C1041">
        <v>83</v>
      </c>
      <c r="D1041" t="s">
        <v>1129</v>
      </c>
      <c r="E1041" t="s">
        <v>1165</v>
      </c>
      <c r="F1041" s="26">
        <v>12792.88</v>
      </c>
      <c r="G1041" s="3">
        <v>45761</v>
      </c>
      <c r="H1041" t="s">
        <v>14</v>
      </c>
      <c r="I1041" s="4" t="str">
        <f t="shared" ref="I1041:I1042" si="429">MID(H1041,6,30)</f>
        <v>Living Annuity</v>
      </c>
      <c r="J1041" t="str">
        <f t="shared" ref="J1041:J1042" si="430">IF(LEFT(I1041)="L","Compulsory, LA",IF(LEFT(I1041)="R","Compulsory, RA",IF(LEFT(I1041,2)="Pe","Compulsory, Pens","Voluntary")))</f>
        <v>Compulsory, LA</v>
      </c>
      <c r="K1041" t="s">
        <v>15</v>
      </c>
      <c r="M1041" t="str">
        <f t="shared" si="426"/>
        <v>b</v>
      </c>
      <c r="N1041" t="str">
        <f t="shared" si="427"/>
        <v/>
      </c>
      <c r="O1041" t="str">
        <f t="shared" si="428"/>
        <v/>
      </c>
    </row>
    <row r="1042" spans="1:15" x14ac:dyDescent="0.3">
      <c r="A1042">
        <v>100711105</v>
      </c>
      <c r="B1042" t="s">
        <v>1135</v>
      </c>
      <c r="C1042">
        <v>470</v>
      </c>
      <c r="D1042" t="s">
        <v>1130</v>
      </c>
      <c r="E1042" t="s">
        <v>1165</v>
      </c>
      <c r="F1042" s="26">
        <v>1084.1400000000001</v>
      </c>
      <c r="G1042" s="3">
        <v>45761</v>
      </c>
      <c r="H1042" t="s">
        <v>31</v>
      </c>
      <c r="I1042" s="4" t="str">
        <f t="shared" si="429"/>
        <v>Investment Account</v>
      </c>
      <c r="J1042" t="str">
        <f t="shared" si="430"/>
        <v>Voluntary</v>
      </c>
      <c r="K1042" t="s">
        <v>15</v>
      </c>
      <c r="M1042" t="str">
        <f t="shared" si="426"/>
        <v>b</v>
      </c>
      <c r="N1042" t="str">
        <f t="shared" si="427"/>
        <v/>
      </c>
      <c r="O1042" t="str">
        <f t="shared" si="428"/>
        <v/>
      </c>
    </row>
    <row r="1043" spans="1:15" x14ac:dyDescent="0.3">
      <c r="A1043">
        <v>100786852</v>
      </c>
      <c r="B1043" t="s">
        <v>1222</v>
      </c>
      <c r="C1043">
        <v>209</v>
      </c>
      <c r="D1043" t="s">
        <v>1201</v>
      </c>
      <c r="E1043" t="s">
        <v>1165</v>
      </c>
      <c r="F1043" s="26">
        <v>187231.32</v>
      </c>
      <c r="G1043" s="3">
        <v>45761</v>
      </c>
      <c r="H1043" t="s">
        <v>14</v>
      </c>
      <c r="I1043" s="4" t="str">
        <f>MID(H1043,6,30)</f>
        <v>Living Annuity</v>
      </c>
      <c r="J1043" t="str">
        <f>IF(LEFT(I1043)="L","Compulsory, LA",IF(LEFT(I1043)="R","Compulsory, RA",IF(LEFT(I1043,2)="Pe","Compulsory, Pens","Voluntary")))</f>
        <v>Compulsory, LA</v>
      </c>
      <c r="K1043" t="s">
        <v>15</v>
      </c>
      <c r="M1043" t="str">
        <f t="shared" si="426"/>
        <v>b</v>
      </c>
      <c r="N1043" t="str">
        <f t="shared" si="427"/>
        <v/>
      </c>
      <c r="O1043" t="str">
        <f t="shared" si="428"/>
        <v/>
      </c>
    </row>
    <row r="1044" spans="1:15" s="6" customFormat="1" x14ac:dyDescent="0.3">
      <c r="A1044" s="6">
        <v>100799345</v>
      </c>
      <c r="B1044" s="6" t="s">
        <v>1231</v>
      </c>
      <c r="C1044" s="6">
        <v>478</v>
      </c>
      <c r="D1044" s="6" t="s">
        <v>1228</v>
      </c>
      <c r="E1044" s="6" t="s">
        <v>1165</v>
      </c>
      <c r="F1044" s="32">
        <v>800855.7</v>
      </c>
      <c r="G1044" s="22">
        <v>45761</v>
      </c>
      <c r="H1044" s="6" t="s">
        <v>1147</v>
      </c>
      <c r="I1044" s="23" t="str">
        <f>MID(H1044,6,30)</f>
        <v>Investment Account</v>
      </c>
      <c r="J1044" s="6" t="str">
        <f>IF(LEFT(I1044)="L","Compulsory, LA",IF(LEFT(I1044)="R","Compulsory, RA",IF(LEFT(I1044,2)="Pe","Compulsory, Pens","Voluntary")))</f>
        <v>Voluntary</v>
      </c>
      <c r="K1044" s="6" t="s">
        <v>15</v>
      </c>
      <c r="M1044" t="str">
        <f t="shared" si="426"/>
        <v>b</v>
      </c>
      <c r="N1044" t="str">
        <f t="shared" si="427"/>
        <v/>
      </c>
      <c r="O1044" t="str">
        <f t="shared" si="428"/>
        <v/>
      </c>
    </row>
    <row r="1045" spans="1:15" s="6" customFormat="1" x14ac:dyDescent="0.3">
      <c r="A1045" s="6">
        <v>32490</v>
      </c>
      <c r="B1045" s="6" t="s">
        <v>711</v>
      </c>
      <c r="C1045" s="6">
        <v>126</v>
      </c>
      <c r="D1045" s="6" t="s">
        <v>12</v>
      </c>
      <c r="E1045" s="6" t="s">
        <v>1166</v>
      </c>
      <c r="F1045" s="31">
        <v>7845.46</v>
      </c>
      <c r="G1045" s="22">
        <v>45761</v>
      </c>
      <c r="H1045" s="24" t="s">
        <v>31</v>
      </c>
      <c r="I1045" s="23" t="str">
        <f>MID(H1045,6,30)</f>
        <v>Investment Account</v>
      </c>
      <c r="J1045" s="6" t="str">
        <f>IF(LEFT(I1045)="L","Compulsory, LA",IF(LEFT(I1045)="R","Compulsory, RA",IF(LEFT(I1045,2)="Pe","Compulsory, Pens","Voluntary")))</f>
        <v>Voluntary</v>
      </c>
      <c r="K1045" s="6" t="s">
        <v>15</v>
      </c>
      <c r="M1045" t="str">
        <f t="shared" si="426"/>
        <v>a</v>
      </c>
      <c r="N1045" t="str">
        <f t="shared" si="427"/>
        <v/>
      </c>
      <c r="O1045" t="str">
        <f t="shared" si="428"/>
        <v/>
      </c>
    </row>
    <row r="1046" spans="1:15" x14ac:dyDescent="0.3">
      <c r="A1046">
        <v>32490</v>
      </c>
      <c r="B1046" t="s">
        <v>748</v>
      </c>
      <c r="C1046">
        <v>126</v>
      </c>
      <c r="D1046" t="s">
        <v>12</v>
      </c>
      <c r="E1046" t="s">
        <v>1166</v>
      </c>
      <c r="F1046" s="25">
        <v>823.27</v>
      </c>
      <c r="G1046" s="3">
        <v>45761</v>
      </c>
      <c r="H1046" t="s">
        <v>14</v>
      </c>
      <c r="I1046" s="4" t="str">
        <f>MID(H1046,6,30)</f>
        <v>Living Annuity</v>
      </c>
      <c r="J1046" t="str">
        <f>IF(LEFT(I1046)="L","Compulsory, LA",IF(LEFT(I1046)="R","Compulsory, RA",IF(LEFT(I1046,2)="Pe","Compulsory, Pens","Voluntary")))</f>
        <v>Compulsory, LA</v>
      </c>
      <c r="K1046" t="s">
        <v>15</v>
      </c>
      <c r="M1046" t="str">
        <f t="shared" si="426"/>
        <v>a</v>
      </c>
      <c r="N1046" t="str">
        <f t="shared" si="427"/>
        <v/>
      </c>
      <c r="O1046" t="str">
        <f t="shared" si="428"/>
        <v/>
      </c>
    </row>
    <row r="1047" spans="1:15" x14ac:dyDescent="0.3">
      <c r="A1047">
        <v>32490</v>
      </c>
      <c r="B1047" t="s">
        <v>749</v>
      </c>
      <c r="C1047">
        <v>126</v>
      </c>
      <c r="D1047" t="s">
        <v>12</v>
      </c>
      <c r="E1047" t="s">
        <v>1166</v>
      </c>
      <c r="F1047" s="25">
        <v>2559.86</v>
      </c>
      <c r="G1047" s="3">
        <v>45761</v>
      </c>
      <c r="H1047" t="s">
        <v>14</v>
      </c>
      <c r="I1047" s="4" t="str">
        <f>MID(H1047,6,30)</f>
        <v>Living Annuity</v>
      </c>
      <c r="J1047" t="str">
        <f>IF(LEFT(I1047)="L","Compulsory, LA",IF(LEFT(I1047)="R","Compulsory, RA",IF(LEFT(I1047,2)="Pe","Compulsory, Pens","Voluntary")))</f>
        <v>Compulsory, LA</v>
      </c>
      <c r="K1047" t="s">
        <v>15</v>
      </c>
      <c r="M1047" t="str">
        <f t="shared" si="426"/>
        <v>a</v>
      </c>
      <c r="N1047" t="str">
        <f t="shared" si="427"/>
        <v/>
      </c>
      <c r="O1047" t="str">
        <f t="shared" si="428"/>
        <v/>
      </c>
    </row>
    <row r="1048" spans="1:15" x14ac:dyDescent="0.3">
      <c r="A1048">
        <v>33672</v>
      </c>
      <c r="B1048" t="s">
        <v>929</v>
      </c>
      <c r="C1048">
        <v>87</v>
      </c>
      <c r="D1048" t="s">
        <v>18</v>
      </c>
      <c r="E1048" t="s">
        <v>1166</v>
      </c>
      <c r="F1048" s="25">
        <v>13640.81</v>
      </c>
      <c r="G1048" s="3">
        <v>45761</v>
      </c>
      <c r="H1048" t="s">
        <v>14</v>
      </c>
      <c r="I1048" s="4" t="str">
        <f t="shared" ref="I1048:I1051" si="431">MID(H1048,6,30)</f>
        <v>Living Annuity</v>
      </c>
      <c r="J1048" t="str">
        <f t="shared" ref="J1048:J1051" si="432">IF(LEFT(I1048)="L","Compulsory, LA",IF(LEFT(I1048)="R","Compulsory, RA",IF(LEFT(I1048,2)="Pe","Compulsory, Pens","Voluntary")))</f>
        <v>Compulsory, LA</v>
      </c>
      <c r="K1048" t="s">
        <v>15</v>
      </c>
      <c r="M1048" t="str">
        <f t="shared" si="426"/>
        <v>a</v>
      </c>
      <c r="N1048" t="str">
        <f t="shared" si="427"/>
        <v/>
      </c>
      <c r="O1048" t="str">
        <f t="shared" si="428"/>
        <v/>
      </c>
    </row>
    <row r="1049" spans="1:15" x14ac:dyDescent="0.3">
      <c r="A1049">
        <v>34171</v>
      </c>
      <c r="B1049" t="s">
        <v>930</v>
      </c>
      <c r="C1049">
        <v>268</v>
      </c>
      <c r="D1049" t="s">
        <v>928</v>
      </c>
      <c r="E1049" t="s">
        <v>1166</v>
      </c>
      <c r="F1049" s="25">
        <v>4013.96</v>
      </c>
      <c r="G1049" s="3">
        <v>45761</v>
      </c>
      <c r="H1049" t="s">
        <v>14</v>
      </c>
      <c r="I1049" s="4" t="str">
        <f t="shared" si="431"/>
        <v>Living Annuity</v>
      </c>
      <c r="J1049" t="str">
        <f t="shared" si="432"/>
        <v>Compulsory, LA</v>
      </c>
      <c r="K1049" t="s">
        <v>15</v>
      </c>
      <c r="M1049" t="str">
        <f t="shared" si="426"/>
        <v>a</v>
      </c>
      <c r="N1049" t="str">
        <f t="shared" si="427"/>
        <v/>
      </c>
      <c r="O1049" t="str">
        <f t="shared" si="428"/>
        <v/>
      </c>
    </row>
    <row r="1050" spans="1:15" x14ac:dyDescent="0.3">
      <c r="A1050">
        <v>34173</v>
      </c>
      <c r="B1050" t="s">
        <v>931</v>
      </c>
      <c r="C1050">
        <v>96</v>
      </c>
      <c r="D1050" t="s">
        <v>22</v>
      </c>
      <c r="E1050" t="s">
        <v>1166</v>
      </c>
      <c r="F1050" s="25">
        <v>4616.68</v>
      </c>
      <c r="G1050" s="3">
        <v>45761</v>
      </c>
      <c r="H1050" t="s">
        <v>14</v>
      </c>
      <c r="I1050" s="4" t="str">
        <f t="shared" si="431"/>
        <v>Living Annuity</v>
      </c>
      <c r="J1050" t="str">
        <f t="shared" si="432"/>
        <v>Compulsory, LA</v>
      </c>
      <c r="K1050" t="s">
        <v>15</v>
      </c>
      <c r="M1050" t="str">
        <f t="shared" si="426"/>
        <v>a</v>
      </c>
      <c r="N1050" t="str">
        <f t="shared" si="427"/>
        <v/>
      </c>
      <c r="O1050" t="str">
        <f t="shared" si="428"/>
        <v/>
      </c>
    </row>
    <row r="1051" spans="1:15" x14ac:dyDescent="0.3">
      <c r="A1051">
        <v>34196</v>
      </c>
      <c r="B1051" t="s">
        <v>750</v>
      </c>
      <c r="C1051">
        <v>169</v>
      </c>
      <c r="D1051" t="s">
        <v>614</v>
      </c>
      <c r="E1051" t="s">
        <v>1166</v>
      </c>
      <c r="F1051" s="25">
        <v>109031.49</v>
      </c>
      <c r="G1051" s="3">
        <v>45761</v>
      </c>
      <c r="H1051" t="s">
        <v>31</v>
      </c>
      <c r="I1051" s="4" t="str">
        <f t="shared" si="431"/>
        <v>Investment Account</v>
      </c>
      <c r="J1051" t="str">
        <f t="shared" si="432"/>
        <v>Voluntary</v>
      </c>
      <c r="K1051" t="s">
        <v>15</v>
      </c>
      <c r="M1051" t="str">
        <f t="shared" si="426"/>
        <v>a</v>
      </c>
      <c r="N1051" t="str">
        <f t="shared" si="427"/>
        <v/>
      </c>
      <c r="O1051" t="str">
        <f t="shared" si="428"/>
        <v/>
      </c>
    </row>
    <row r="1052" spans="1:15" x14ac:dyDescent="0.3">
      <c r="A1052">
        <v>34199</v>
      </c>
      <c r="B1052" t="s">
        <v>856</v>
      </c>
      <c r="C1052">
        <v>240</v>
      </c>
      <c r="D1052" t="s">
        <v>24</v>
      </c>
      <c r="E1052" t="s">
        <v>1166</v>
      </c>
      <c r="F1052" s="25">
        <v>4147.68</v>
      </c>
      <c r="G1052" s="3">
        <v>45761</v>
      </c>
      <c r="H1052" t="s">
        <v>31</v>
      </c>
      <c r="I1052" s="4" t="str">
        <f>MID(H1052,6,30)</f>
        <v>Investment Account</v>
      </c>
      <c r="J1052" t="str">
        <f>IF(LEFT(I1052)="L","Compulsory, LA",IF(LEFT(I1052)="R","Compulsory, RA",IF(LEFT(I1052,2)="Pe","Compulsory, Pens","Voluntary")))</f>
        <v>Voluntary</v>
      </c>
      <c r="K1052" t="s">
        <v>15</v>
      </c>
      <c r="M1052" t="str">
        <f t="shared" si="426"/>
        <v>a</v>
      </c>
      <c r="N1052" t="str">
        <f t="shared" si="427"/>
        <v/>
      </c>
      <c r="O1052" t="str">
        <f t="shared" si="428"/>
        <v/>
      </c>
    </row>
    <row r="1053" spans="1:15" x14ac:dyDescent="0.3">
      <c r="A1053">
        <v>34199</v>
      </c>
      <c r="B1053" t="s">
        <v>932</v>
      </c>
      <c r="C1053">
        <v>240</v>
      </c>
      <c r="D1053" t="s">
        <v>24</v>
      </c>
      <c r="E1053" t="s">
        <v>1166</v>
      </c>
      <c r="F1053" s="25">
        <v>3705.61</v>
      </c>
      <c r="G1053" s="3">
        <v>45761</v>
      </c>
      <c r="H1053" t="s">
        <v>14</v>
      </c>
      <c r="I1053" s="4" t="str">
        <f t="shared" ref="I1053:I1060" si="433">MID(H1053,6,30)</f>
        <v>Living Annuity</v>
      </c>
      <c r="J1053" t="str">
        <f t="shared" ref="J1053:J1060" si="434">IF(LEFT(I1053)="L","Compulsory, LA",IF(LEFT(I1053)="R","Compulsory, RA",IF(LEFT(I1053,2)="Pe","Compulsory, Pens","Voluntary")))</f>
        <v>Compulsory, LA</v>
      </c>
      <c r="K1053" t="s">
        <v>15</v>
      </c>
      <c r="M1053" t="str">
        <f t="shared" si="426"/>
        <v>a</v>
      </c>
      <c r="N1053" t="str">
        <f t="shared" si="427"/>
        <v/>
      </c>
      <c r="O1053" t="str">
        <f t="shared" si="428"/>
        <v/>
      </c>
    </row>
    <row r="1054" spans="1:15" x14ac:dyDescent="0.3">
      <c r="A1054">
        <v>34200</v>
      </c>
      <c r="B1054" t="s">
        <v>933</v>
      </c>
      <c r="C1054">
        <v>99</v>
      </c>
      <c r="D1054" t="s">
        <v>25</v>
      </c>
      <c r="E1054" t="s">
        <v>1166</v>
      </c>
      <c r="F1054" s="26">
        <v>64286.6</v>
      </c>
      <c r="G1054" s="3">
        <v>45761</v>
      </c>
      <c r="H1054" t="s">
        <v>26</v>
      </c>
      <c r="I1054" s="4" t="str">
        <f>MID(H1054,6,30)</f>
        <v>Retirement Annuity</v>
      </c>
      <c r="J1054" t="str">
        <f>IF(LEFT(I1054)="L","Compulsory, LA",IF(LEFT(I1054)="R","Compulsory, RA",IF(LEFT(I1054,2)="Pe","Compulsory, Pens","Voluntary")))</f>
        <v>Compulsory, RA</v>
      </c>
      <c r="K1054" t="s">
        <v>15</v>
      </c>
      <c r="M1054" t="str">
        <f t="shared" si="426"/>
        <v>d</v>
      </c>
      <c r="N1054" t="str">
        <f t="shared" si="427"/>
        <v/>
      </c>
      <c r="O1054" t="str">
        <f t="shared" si="428"/>
        <v/>
      </c>
    </row>
    <row r="1055" spans="1:15" x14ac:dyDescent="0.3">
      <c r="A1055">
        <v>34200</v>
      </c>
      <c r="B1055" t="s">
        <v>934</v>
      </c>
      <c r="C1055">
        <v>99</v>
      </c>
      <c r="D1055" t="s">
        <v>25</v>
      </c>
      <c r="E1055" t="s">
        <v>1166</v>
      </c>
      <c r="F1055" s="26">
        <v>35582.19</v>
      </c>
      <c r="G1055" s="3">
        <v>45761</v>
      </c>
      <c r="H1055" t="s">
        <v>26</v>
      </c>
      <c r="I1055" s="4" t="str">
        <f>MID(H1055,6,30)</f>
        <v>Retirement Annuity</v>
      </c>
      <c r="J1055" t="str">
        <f>IF(LEFT(I1055)="L","Compulsory, LA",IF(LEFT(I1055)="R","Compulsory, RA",IF(LEFT(I1055,2)="Pe","Compulsory, Pens","Voluntary")))</f>
        <v>Compulsory, RA</v>
      </c>
      <c r="K1055" t="s">
        <v>15</v>
      </c>
      <c r="M1055" t="str">
        <f t="shared" si="426"/>
        <v>d</v>
      </c>
      <c r="N1055" t="str">
        <f t="shared" si="427"/>
        <v/>
      </c>
      <c r="O1055" t="str">
        <f t="shared" si="428"/>
        <v/>
      </c>
    </row>
    <row r="1056" spans="1:15" x14ac:dyDescent="0.3">
      <c r="A1056">
        <v>34200</v>
      </c>
      <c r="B1056" t="s">
        <v>1178</v>
      </c>
      <c r="C1056">
        <v>99</v>
      </c>
      <c r="D1056" t="s">
        <v>25</v>
      </c>
      <c r="E1056" t="s">
        <v>1166</v>
      </c>
      <c r="F1056" s="26">
        <v>3521.17</v>
      </c>
      <c r="G1056" s="3">
        <v>45761</v>
      </c>
      <c r="H1056" t="s">
        <v>1175</v>
      </c>
      <c r="I1056" s="4" t="str">
        <f>MID(H1056,6,30)</f>
        <v>Retirement Annuity - Retiremen</v>
      </c>
      <c r="J1056" t="str">
        <f>IF(LEFT(I1056)="L","Compulsory, LA",IF(LEFT(I1056)="R","Compulsory, RA",IF(LEFT(I1056,2)="Pe","Compulsory, Pens","Voluntary")))</f>
        <v>Compulsory, RA</v>
      </c>
      <c r="K1056" t="s">
        <v>15</v>
      </c>
      <c r="M1056" t="str">
        <f t="shared" si="426"/>
        <v>d</v>
      </c>
      <c r="N1056" t="str">
        <f t="shared" si="427"/>
        <v/>
      </c>
      <c r="O1056" t="str">
        <f t="shared" si="428"/>
        <v/>
      </c>
    </row>
    <row r="1057" spans="1:15" x14ac:dyDescent="0.3">
      <c r="A1057">
        <v>34200</v>
      </c>
      <c r="B1057" t="s">
        <v>1176</v>
      </c>
      <c r="C1057">
        <v>99</v>
      </c>
      <c r="D1057" t="s">
        <v>25</v>
      </c>
      <c r="E1057" t="s">
        <v>1166</v>
      </c>
      <c r="F1057" s="26">
        <v>5035.08</v>
      </c>
      <c r="G1057" s="3">
        <v>45761</v>
      </c>
      <c r="H1057" t="s">
        <v>1174</v>
      </c>
      <c r="I1057" s="4" t="str">
        <f t="shared" si="433"/>
        <v>Retirement Annuity - Savings C</v>
      </c>
      <c r="J1057" t="str">
        <f t="shared" si="434"/>
        <v>Compulsory, RA</v>
      </c>
      <c r="K1057" t="s">
        <v>15</v>
      </c>
      <c r="M1057" t="str">
        <f t="shared" si="426"/>
        <v>d</v>
      </c>
      <c r="N1057" t="str">
        <f t="shared" si="427"/>
        <v/>
      </c>
      <c r="O1057" t="str">
        <f t="shared" si="428"/>
        <v/>
      </c>
    </row>
    <row r="1058" spans="1:15" x14ac:dyDescent="0.3">
      <c r="A1058">
        <v>34200</v>
      </c>
      <c r="B1058" t="s">
        <v>1177</v>
      </c>
      <c r="C1058">
        <v>99</v>
      </c>
      <c r="D1058" t="s">
        <v>25</v>
      </c>
      <c r="E1058" t="s">
        <v>1166</v>
      </c>
      <c r="F1058" s="26">
        <v>3244.78</v>
      </c>
      <c r="G1058" s="3">
        <v>45761</v>
      </c>
      <c r="H1058" t="s">
        <v>1174</v>
      </c>
      <c r="I1058" s="4" t="str">
        <f t="shared" si="433"/>
        <v>Retirement Annuity - Savings C</v>
      </c>
      <c r="J1058" t="str">
        <f t="shared" si="434"/>
        <v>Compulsory, RA</v>
      </c>
      <c r="K1058" t="s">
        <v>15</v>
      </c>
      <c r="M1058" t="str">
        <f t="shared" si="426"/>
        <v>d</v>
      </c>
      <c r="N1058" t="str">
        <f t="shared" si="427"/>
        <v/>
      </c>
      <c r="O1058" t="str">
        <f t="shared" si="428"/>
        <v/>
      </c>
    </row>
    <row r="1059" spans="1:15" x14ac:dyDescent="0.3">
      <c r="A1059">
        <v>34202</v>
      </c>
      <c r="B1059" t="s">
        <v>799</v>
      </c>
      <c r="C1059">
        <v>104</v>
      </c>
      <c r="D1059" t="s">
        <v>797</v>
      </c>
      <c r="E1059" t="s">
        <v>1166</v>
      </c>
      <c r="F1059" s="26">
        <v>2854.36</v>
      </c>
      <c r="G1059" s="3">
        <v>45761</v>
      </c>
      <c r="H1059" t="s">
        <v>14</v>
      </c>
      <c r="I1059" s="4" t="str">
        <f>MID(H1059,6,30)</f>
        <v>Living Annuity</v>
      </c>
      <c r="J1059" t="str">
        <f>IF(LEFT(I1059)="L","Compulsory, LA",IF(LEFT(I1059)="R","Compulsory, RA",IF(LEFT(I1059,2)="Pe","Compulsory, Pens","Voluntary")))</f>
        <v>Compulsory, LA</v>
      </c>
      <c r="K1059" t="s">
        <v>15</v>
      </c>
      <c r="M1059" t="str">
        <f t="shared" si="426"/>
        <v>a</v>
      </c>
      <c r="N1059" t="str">
        <f t="shared" si="427"/>
        <v/>
      </c>
      <c r="O1059" t="str">
        <f t="shared" si="428"/>
        <v/>
      </c>
    </row>
    <row r="1060" spans="1:15" x14ac:dyDescent="0.3">
      <c r="A1060">
        <v>34202</v>
      </c>
      <c r="B1060" t="s">
        <v>798</v>
      </c>
      <c r="C1060">
        <v>104</v>
      </c>
      <c r="D1060" t="s">
        <v>797</v>
      </c>
      <c r="E1060" t="s">
        <v>1166</v>
      </c>
      <c r="F1060" s="26">
        <v>863.02</v>
      </c>
      <c r="G1060" s="3">
        <v>45761</v>
      </c>
      <c r="H1060" t="s">
        <v>14</v>
      </c>
      <c r="I1060" s="4" t="str">
        <f t="shared" si="433"/>
        <v>Living Annuity</v>
      </c>
      <c r="J1060" t="str">
        <f t="shared" si="434"/>
        <v>Compulsory, LA</v>
      </c>
      <c r="K1060" t="s">
        <v>15</v>
      </c>
      <c r="M1060" t="str">
        <f t="shared" si="426"/>
        <v>a</v>
      </c>
      <c r="N1060" t="str">
        <f t="shared" si="427"/>
        <v/>
      </c>
      <c r="O1060" t="str">
        <f t="shared" si="428"/>
        <v/>
      </c>
    </row>
    <row r="1061" spans="1:15" x14ac:dyDescent="0.3">
      <c r="A1061">
        <v>34209</v>
      </c>
      <c r="B1061" t="s">
        <v>752</v>
      </c>
      <c r="C1061">
        <v>25</v>
      </c>
      <c r="D1061" t="s">
        <v>28</v>
      </c>
      <c r="E1061" t="s">
        <v>1166</v>
      </c>
      <c r="F1061" s="25">
        <v>39591.25</v>
      </c>
      <c r="G1061" s="3">
        <v>45761</v>
      </c>
      <c r="H1061" t="s">
        <v>14</v>
      </c>
      <c r="I1061" s="4" t="str">
        <f>MID(H1061,6,30)</f>
        <v>Living Annuity</v>
      </c>
      <c r="J1061" t="str">
        <f>IF(LEFT(I1061)="L","Compulsory, LA",IF(LEFT(I1061)="R","Compulsory, RA",IF(LEFT(I1061,2)="Pe","Compulsory, Pens","Voluntary")))</f>
        <v>Compulsory, LA</v>
      </c>
      <c r="K1061" t="s">
        <v>15</v>
      </c>
      <c r="M1061" t="str">
        <f t="shared" si="426"/>
        <v>a</v>
      </c>
      <c r="N1061" t="str">
        <f t="shared" si="427"/>
        <v/>
      </c>
      <c r="O1061" t="str">
        <f t="shared" si="428"/>
        <v/>
      </c>
    </row>
    <row r="1062" spans="1:15" x14ac:dyDescent="0.3">
      <c r="A1062">
        <v>34209</v>
      </c>
      <c r="B1062" t="s">
        <v>751</v>
      </c>
      <c r="C1062">
        <v>25</v>
      </c>
      <c r="D1062" t="s">
        <v>28</v>
      </c>
      <c r="E1062" t="s">
        <v>1166</v>
      </c>
      <c r="F1062" s="25">
        <v>31368.51</v>
      </c>
      <c r="G1062" s="3">
        <v>45761</v>
      </c>
      <c r="H1062" t="s">
        <v>14</v>
      </c>
      <c r="I1062" s="4" t="str">
        <f>MID(H1062,6,30)</f>
        <v>Living Annuity</v>
      </c>
      <c r="J1062" t="str">
        <f>IF(LEFT(I1062)="L","Compulsory, LA",IF(LEFT(I1062)="R","Compulsory, RA",IF(LEFT(I1062,2)="Pe","Compulsory, Pens","Voluntary")))</f>
        <v>Compulsory, LA</v>
      </c>
      <c r="K1062" t="s">
        <v>15</v>
      </c>
      <c r="M1062" t="str">
        <f t="shared" si="426"/>
        <v>a</v>
      </c>
      <c r="N1062" t="str">
        <f t="shared" si="427"/>
        <v/>
      </c>
      <c r="O1062" t="str">
        <f t="shared" si="428"/>
        <v/>
      </c>
    </row>
    <row r="1063" spans="1:15" x14ac:dyDescent="0.3">
      <c r="A1063">
        <v>34209</v>
      </c>
      <c r="B1063" t="s">
        <v>935</v>
      </c>
      <c r="C1063">
        <v>25</v>
      </c>
      <c r="D1063" t="s">
        <v>28</v>
      </c>
      <c r="E1063" t="s">
        <v>1166</v>
      </c>
      <c r="F1063" s="25">
        <v>12684.6</v>
      </c>
      <c r="G1063" s="3">
        <v>45761</v>
      </c>
      <c r="H1063" t="s">
        <v>29</v>
      </c>
      <c r="I1063" s="4" t="str">
        <f>MID(H1063,6,30)</f>
        <v>Provident Preservation Fund</v>
      </c>
      <c r="J1063" t="str">
        <f>IF(LEFT(I1063)="L","Compulsory, LA",IF(LEFT(I1063)="R","Compulsory, RA",IF(LEFT(I1063,2)="Pe","Compulsory, Pens","Voluntary")))</f>
        <v>Voluntary</v>
      </c>
      <c r="K1063" t="s">
        <v>15</v>
      </c>
      <c r="M1063" t="str">
        <f t="shared" si="426"/>
        <v>d</v>
      </c>
      <c r="N1063" t="str">
        <f t="shared" si="427"/>
        <v/>
      </c>
      <c r="O1063" t="str">
        <f t="shared" si="428"/>
        <v/>
      </c>
    </row>
    <row r="1064" spans="1:15" x14ac:dyDescent="0.3">
      <c r="A1064">
        <v>34216</v>
      </c>
      <c r="B1064" t="s">
        <v>753</v>
      </c>
      <c r="C1064">
        <v>95</v>
      </c>
      <c r="D1064" t="s">
        <v>30</v>
      </c>
      <c r="E1064" t="s">
        <v>1166</v>
      </c>
      <c r="F1064" s="25">
        <v>2332.7600000000002</v>
      </c>
      <c r="G1064" s="3">
        <v>45761</v>
      </c>
      <c r="H1064" t="s">
        <v>14</v>
      </c>
      <c r="I1064" s="4" t="str">
        <f t="shared" ref="I1064:I1067" si="435">MID(H1064,6,30)</f>
        <v>Living Annuity</v>
      </c>
      <c r="J1064" t="str">
        <f t="shared" ref="J1064:J1067" si="436">IF(LEFT(I1064)="L","Compulsory, LA",IF(LEFT(I1064)="R","Compulsory, RA",IF(LEFT(I1064,2)="Pe","Compulsory, Pens","Voluntary")))</f>
        <v>Compulsory, LA</v>
      </c>
      <c r="K1064" t="s">
        <v>15</v>
      </c>
      <c r="M1064" t="str">
        <f t="shared" si="426"/>
        <v>a</v>
      </c>
      <c r="N1064" t="str">
        <f t="shared" si="427"/>
        <v/>
      </c>
      <c r="O1064" t="str">
        <f t="shared" si="428"/>
        <v/>
      </c>
    </row>
    <row r="1065" spans="1:15" x14ac:dyDescent="0.3">
      <c r="A1065">
        <v>34216</v>
      </c>
      <c r="B1065" t="s">
        <v>800</v>
      </c>
      <c r="C1065">
        <v>95</v>
      </c>
      <c r="D1065" t="s">
        <v>30</v>
      </c>
      <c r="E1065" t="s">
        <v>1166</v>
      </c>
      <c r="F1065" s="25">
        <v>7560.05</v>
      </c>
      <c r="G1065" s="3">
        <v>45761</v>
      </c>
      <c r="H1065" t="s">
        <v>31</v>
      </c>
      <c r="I1065" s="4" t="str">
        <f t="shared" si="435"/>
        <v>Investment Account</v>
      </c>
      <c r="J1065" t="str">
        <f t="shared" si="436"/>
        <v>Voluntary</v>
      </c>
      <c r="K1065" t="s">
        <v>15</v>
      </c>
      <c r="M1065" t="str">
        <f t="shared" si="426"/>
        <v>a</v>
      </c>
      <c r="N1065" t="str">
        <f t="shared" si="427"/>
        <v/>
      </c>
      <c r="O1065" t="str">
        <f t="shared" si="428"/>
        <v/>
      </c>
    </row>
    <row r="1066" spans="1:15" x14ac:dyDescent="0.3">
      <c r="A1066">
        <v>34337</v>
      </c>
      <c r="B1066" t="s">
        <v>718</v>
      </c>
      <c r="C1066">
        <v>243</v>
      </c>
      <c r="D1066" t="s">
        <v>717</v>
      </c>
      <c r="E1066" t="s">
        <v>1166</v>
      </c>
      <c r="F1066" s="25">
        <v>1235.93</v>
      </c>
      <c r="G1066" s="3">
        <v>45761</v>
      </c>
      <c r="H1066" t="s">
        <v>31</v>
      </c>
      <c r="I1066" s="4" t="str">
        <f t="shared" si="435"/>
        <v>Investment Account</v>
      </c>
      <c r="J1066" t="str">
        <f t="shared" si="436"/>
        <v>Voluntary</v>
      </c>
      <c r="K1066" t="s">
        <v>15</v>
      </c>
      <c r="M1066" t="str">
        <f t="shared" si="426"/>
        <v>a</v>
      </c>
      <c r="N1066" t="str">
        <f t="shared" si="427"/>
        <v/>
      </c>
      <c r="O1066" t="str">
        <f t="shared" si="428"/>
        <v/>
      </c>
    </row>
    <row r="1067" spans="1:15" x14ac:dyDescent="0.3">
      <c r="A1067">
        <v>34337</v>
      </c>
      <c r="B1067" t="s">
        <v>723</v>
      </c>
      <c r="C1067">
        <v>243</v>
      </c>
      <c r="D1067" t="s">
        <v>717</v>
      </c>
      <c r="E1067" t="s">
        <v>1166</v>
      </c>
      <c r="F1067" s="25">
        <v>30344.87</v>
      </c>
      <c r="G1067" s="3">
        <v>45761</v>
      </c>
      <c r="H1067" t="s">
        <v>14</v>
      </c>
      <c r="I1067" s="4" t="str">
        <f t="shared" si="435"/>
        <v>Living Annuity</v>
      </c>
      <c r="J1067" t="str">
        <f t="shared" si="436"/>
        <v>Compulsory, LA</v>
      </c>
      <c r="K1067" t="s">
        <v>15</v>
      </c>
      <c r="M1067" t="str">
        <f t="shared" si="426"/>
        <v>a</v>
      </c>
      <c r="N1067" t="str">
        <f t="shared" si="427"/>
        <v/>
      </c>
      <c r="O1067" t="str">
        <f t="shared" si="428"/>
        <v/>
      </c>
    </row>
    <row r="1068" spans="1:15" x14ac:dyDescent="0.3">
      <c r="A1068">
        <v>34395</v>
      </c>
      <c r="B1068" t="s">
        <v>936</v>
      </c>
      <c r="C1068">
        <v>168</v>
      </c>
      <c r="D1068" t="s">
        <v>111</v>
      </c>
      <c r="E1068" t="s">
        <v>1166</v>
      </c>
      <c r="F1068" s="26">
        <v>6586.55</v>
      </c>
      <c r="G1068" s="3">
        <v>45761</v>
      </c>
      <c r="H1068" t="s">
        <v>14</v>
      </c>
      <c r="I1068" s="4" t="str">
        <f>MID(H1068,6,30)</f>
        <v>Living Annuity</v>
      </c>
      <c r="J1068" t="str">
        <f>IF(LEFT(I1068)="L","Compulsory, LA",IF(LEFT(I1068)="R","Compulsory, RA",IF(LEFT(I1068,2)="Pe","Compulsory, Pens","Voluntary")))</f>
        <v>Compulsory, LA</v>
      </c>
      <c r="K1068" t="s">
        <v>15</v>
      </c>
      <c r="M1068" t="str">
        <f t="shared" si="426"/>
        <v>a</v>
      </c>
      <c r="N1068" t="str">
        <f t="shared" si="427"/>
        <v/>
      </c>
      <c r="O1068" t="str">
        <f t="shared" si="428"/>
        <v/>
      </c>
    </row>
    <row r="1069" spans="1:15" x14ac:dyDescent="0.3">
      <c r="A1069">
        <v>34395</v>
      </c>
      <c r="B1069" t="s">
        <v>858</v>
      </c>
      <c r="C1069">
        <v>168</v>
      </c>
      <c r="D1069" t="s">
        <v>111</v>
      </c>
      <c r="E1069" t="s">
        <v>1166</v>
      </c>
      <c r="F1069" s="26">
        <v>4156.32</v>
      </c>
      <c r="G1069" s="3">
        <v>45761</v>
      </c>
      <c r="H1069" t="s">
        <v>14</v>
      </c>
      <c r="I1069" s="4" t="str">
        <f>MID(H1069,6,30)</f>
        <v>Living Annuity</v>
      </c>
      <c r="J1069" t="str">
        <f>IF(LEFT(I1069)="L","Compulsory, LA",IF(LEFT(I1069)="R","Compulsory, RA",IF(LEFT(I1069,2)="Pe","Compulsory, Pens","Voluntary")))</f>
        <v>Compulsory, LA</v>
      </c>
      <c r="K1069" t="s">
        <v>15</v>
      </c>
      <c r="M1069" t="str">
        <f t="shared" si="426"/>
        <v>a</v>
      </c>
      <c r="N1069" t="str">
        <f t="shared" si="427"/>
        <v/>
      </c>
      <c r="O1069" t="str">
        <f t="shared" si="428"/>
        <v/>
      </c>
    </row>
    <row r="1070" spans="1:15" x14ac:dyDescent="0.3">
      <c r="A1070">
        <v>34395</v>
      </c>
      <c r="B1070" t="s">
        <v>754</v>
      </c>
      <c r="C1070">
        <v>168</v>
      </c>
      <c r="D1070" t="s">
        <v>111</v>
      </c>
      <c r="E1070" t="s">
        <v>1166</v>
      </c>
      <c r="F1070" s="26">
        <v>71924.28</v>
      </c>
      <c r="G1070" s="3">
        <v>45761</v>
      </c>
      <c r="H1070" t="s">
        <v>14</v>
      </c>
      <c r="I1070" s="4" t="str">
        <f t="shared" ref="I1070:I1082" si="437">MID(H1070,6,30)</f>
        <v>Living Annuity</v>
      </c>
      <c r="J1070" t="str">
        <f t="shared" ref="J1070:J1082" si="438">IF(LEFT(I1070)="L","Compulsory, LA",IF(LEFT(I1070)="R","Compulsory, RA",IF(LEFT(I1070,2)="Pe","Compulsory, Pens","Voluntary")))</f>
        <v>Compulsory, LA</v>
      </c>
      <c r="K1070" t="s">
        <v>15</v>
      </c>
      <c r="M1070" t="str">
        <f t="shared" si="426"/>
        <v>a</v>
      </c>
      <c r="N1070" t="str">
        <f t="shared" si="427"/>
        <v/>
      </c>
      <c r="O1070" t="str">
        <f t="shared" si="428"/>
        <v/>
      </c>
    </row>
    <row r="1071" spans="1:15" x14ac:dyDescent="0.3">
      <c r="A1071">
        <v>36048</v>
      </c>
      <c r="B1071" t="s">
        <v>939</v>
      </c>
      <c r="C1071">
        <v>34</v>
      </c>
      <c r="D1071" t="s">
        <v>937</v>
      </c>
      <c r="E1071" t="s">
        <v>1166</v>
      </c>
      <c r="F1071" s="26">
        <v>831.02</v>
      </c>
      <c r="G1071" s="3">
        <v>45761</v>
      </c>
      <c r="H1071" t="s">
        <v>14</v>
      </c>
      <c r="I1071" s="4" t="str">
        <f t="shared" si="437"/>
        <v>Living Annuity</v>
      </c>
      <c r="J1071" t="str">
        <f t="shared" si="438"/>
        <v>Compulsory, LA</v>
      </c>
      <c r="K1071" t="s">
        <v>15</v>
      </c>
      <c r="M1071" t="str">
        <f t="shared" si="426"/>
        <v>a</v>
      </c>
      <c r="N1071" t="str">
        <f t="shared" si="427"/>
        <v/>
      </c>
      <c r="O1071" t="str">
        <f t="shared" si="428"/>
        <v/>
      </c>
    </row>
    <row r="1072" spans="1:15" x14ac:dyDescent="0.3">
      <c r="A1072">
        <v>36048</v>
      </c>
      <c r="B1072" t="s">
        <v>940</v>
      </c>
      <c r="C1072">
        <v>34</v>
      </c>
      <c r="D1072" t="s">
        <v>937</v>
      </c>
      <c r="E1072" t="s">
        <v>1166</v>
      </c>
      <c r="F1072" s="26">
        <v>2115.7399999999998</v>
      </c>
      <c r="G1072" s="3">
        <v>45761</v>
      </c>
      <c r="H1072" t="s">
        <v>14</v>
      </c>
      <c r="I1072" s="4" t="str">
        <f t="shared" si="437"/>
        <v>Living Annuity</v>
      </c>
      <c r="J1072" t="str">
        <f t="shared" si="438"/>
        <v>Compulsory, LA</v>
      </c>
      <c r="K1072" t="s">
        <v>15</v>
      </c>
      <c r="M1072" t="str">
        <f t="shared" si="426"/>
        <v>a</v>
      </c>
      <c r="N1072" t="str">
        <f t="shared" si="427"/>
        <v/>
      </c>
      <c r="O1072" t="str">
        <f t="shared" si="428"/>
        <v/>
      </c>
    </row>
    <row r="1073" spans="1:15" x14ac:dyDescent="0.3">
      <c r="A1073">
        <v>36059</v>
      </c>
      <c r="B1073" t="s">
        <v>941</v>
      </c>
      <c r="C1073">
        <v>4</v>
      </c>
      <c r="D1073" t="s">
        <v>35</v>
      </c>
      <c r="E1073" t="s">
        <v>1166</v>
      </c>
      <c r="F1073" s="26">
        <v>10253.75</v>
      </c>
      <c r="G1073" s="3">
        <v>45761</v>
      </c>
      <c r="H1073" t="s">
        <v>14</v>
      </c>
      <c r="I1073" s="4" t="str">
        <f t="shared" si="437"/>
        <v>Living Annuity</v>
      </c>
      <c r="J1073" t="str">
        <f t="shared" si="438"/>
        <v>Compulsory, LA</v>
      </c>
      <c r="K1073" t="s">
        <v>15</v>
      </c>
      <c r="M1073" t="str">
        <f t="shared" si="426"/>
        <v>a</v>
      </c>
      <c r="N1073" t="str">
        <f t="shared" si="427"/>
        <v/>
      </c>
      <c r="O1073" t="str">
        <f t="shared" si="428"/>
        <v/>
      </c>
    </row>
    <row r="1074" spans="1:15" x14ac:dyDescent="0.3">
      <c r="A1074">
        <v>36059</v>
      </c>
      <c r="B1074" t="s">
        <v>942</v>
      </c>
      <c r="C1074">
        <v>4</v>
      </c>
      <c r="D1074" t="s">
        <v>35</v>
      </c>
      <c r="E1074" t="s">
        <v>1166</v>
      </c>
      <c r="F1074" s="26">
        <v>6783.1</v>
      </c>
      <c r="G1074" s="3">
        <v>45761</v>
      </c>
      <c r="H1074" t="s">
        <v>14</v>
      </c>
      <c r="I1074" s="4" t="str">
        <f t="shared" si="437"/>
        <v>Living Annuity</v>
      </c>
      <c r="J1074" t="str">
        <f t="shared" si="438"/>
        <v>Compulsory, LA</v>
      </c>
      <c r="K1074" t="s">
        <v>15</v>
      </c>
      <c r="M1074" t="str">
        <f t="shared" si="426"/>
        <v>a</v>
      </c>
      <c r="N1074" t="str">
        <f t="shared" si="427"/>
        <v/>
      </c>
      <c r="O1074" t="str">
        <f t="shared" si="428"/>
        <v/>
      </c>
    </row>
    <row r="1075" spans="1:15" x14ac:dyDescent="0.3">
      <c r="A1075">
        <v>36060</v>
      </c>
      <c r="B1075" t="s">
        <v>943</v>
      </c>
      <c r="C1075">
        <v>2</v>
      </c>
      <c r="D1075" t="s">
        <v>38</v>
      </c>
      <c r="E1075" t="s">
        <v>1166</v>
      </c>
      <c r="F1075" s="26">
        <v>414</v>
      </c>
      <c r="G1075" s="3">
        <v>45761</v>
      </c>
      <c r="H1075" t="s">
        <v>14</v>
      </c>
      <c r="I1075" s="4" t="str">
        <f t="shared" si="437"/>
        <v>Living Annuity</v>
      </c>
      <c r="J1075" t="str">
        <f t="shared" si="438"/>
        <v>Compulsory, LA</v>
      </c>
      <c r="K1075" t="s">
        <v>15</v>
      </c>
      <c r="M1075" t="str">
        <f t="shared" ref="M1075:M1135" si="439">RIGHT(B1075,1)</f>
        <v>a</v>
      </c>
      <c r="N1075" t="str">
        <f t="shared" ref="N1075:N1135" si="440">IF(M1075="f","FFFF","")</f>
        <v/>
      </c>
      <c r="O1075" t="str">
        <f t="shared" ref="O1075:O1135" si="441">IF(M1075="I","IIII","")</f>
        <v/>
      </c>
    </row>
    <row r="1076" spans="1:15" x14ac:dyDescent="0.3">
      <c r="A1076">
        <v>36060</v>
      </c>
      <c r="B1076" t="s">
        <v>944</v>
      </c>
      <c r="C1076">
        <v>2</v>
      </c>
      <c r="D1076" t="s">
        <v>38</v>
      </c>
      <c r="E1076" t="s">
        <v>1166</v>
      </c>
      <c r="F1076" s="26">
        <v>915.75</v>
      </c>
      <c r="G1076" s="3">
        <v>45761</v>
      </c>
      <c r="H1076" t="s">
        <v>14</v>
      </c>
      <c r="I1076" s="4" t="str">
        <f t="shared" si="437"/>
        <v>Living Annuity</v>
      </c>
      <c r="J1076" t="str">
        <f t="shared" si="438"/>
        <v>Compulsory, LA</v>
      </c>
      <c r="K1076" t="s">
        <v>15</v>
      </c>
      <c r="M1076" t="str">
        <f t="shared" si="439"/>
        <v>a</v>
      </c>
      <c r="N1076" t="str">
        <f t="shared" si="440"/>
        <v/>
      </c>
      <c r="O1076" t="str">
        <f t="shared" si="441"/>
        <v/>
      </c>
    </row>
    <row r="1077" spans="1:15" x14ac:dyDescent="0.3">
      <c r="A1077">
        <v>36062</v>
      </c>
      <c r="B1077" t="s">
        <v>945</v>
      </c>
      <c r="C1077">
        <v>224</v>
      </c>
      <c r="D1077" t="s">
        <v>938</v>
      </c>
      <c r="E1077" t="s">
        <v>1166</v>
      </c>
      <c r="F1077" s="26">
        <v>18449.25</v>
      </c>
      <c r="G1077" s="3">
        <v>45761</v>
      </c>
      <c r="H1077" t="s">
        <v>26</v>
      </c>
      <c r="I1077" s="4" t="str">
        <f t="shared" si="437"/>
        <v>Retirement Annuity</v>
      </c>
      <c r="J1077" t="str">
        <f t="shared" si="438"/>
        <v>Compulsory, RA</v>
      </c>
      <c r="K1077" t="s">
        <v>15</v>
      </c>
      <c r="M1077" t="str">
        <f t="shared" si="439"/>
        <v>d</v>
      </c>
      <c r="N1077" t="str">
        <f t="shared" si="440"/>
        <v/>
      </c>
      <c r="O1077" t="str">
        <f t="shared" si="441"/>
        <v/>
      </c>
    </row>
    <row r="1078" spans="1:15" x14ac:dyDescent="0.3">
      <c r="A1078">
        <v>36062</v>
      </c>
      <c r="B1078" t="s">
        <v>1179</v>
      </c>
      <c r="C1078">
        <v>224</v>
      </c>
      <c r="D1078" t="s">
        <v>938</v>
      </c>
      <c r="E1078" t="s">
        <v>1166</v>
      </c>
      <c r="F1078" s="26">
        <v>2163.42</v>
      </c>
      <c r="G1078" s="3">
        <v>45761</v>
      </c>
      <c r="H1078" t="s">
        <v>1174</v>
      </c>
      <c r="I1078" s="4" t="str">
        <f t="shared" si="437"/>
        <v>Retirement Annuity - Savings C</v>
      </c>
      <c r="J1078" t="str">
        <f t="shared" si="438"/>
        <v>Compulsory, RA</v>
      </c>
      <c r="K1078" t="s">
        <v>15</v>
      </c>
      <c r="M1078" t="str">
        <f t="shared" si="439"/>
        <v>d</v>
      </c>
      <c r="N1078" t="str">
        <f t="shared" si="440"/>
        <v/>
      </c>
      <c r="O1078" t="str">
        <f t="shared" si="441"/>
        <v/>
      </c>
    </row>
    <row r="1079" spans="1:15" x14ac:dyDescent="0.3">
      <c r="A1079">
        <v>36355</v>
      </c>
      <c r="B1079" t="s">
        <v>946</v>
      </c>
      <c r="C1079">
        <v>53</v>
      </c>
      <c r="D1079" t="s">
        <v>42</v>
      </c>
      <c r="E1079" t="s">
        <v>1166</v>
      </c>
      <c r="F1079" s="26">
        <v>310.92</v>
      </c>
      <c r="G1079" s="3">
        <v>45761</v>
      </c>
      <c r="H1079" t="s">
        <v>14</v>
      </c>
      <c r="I1079" s="4" t="str">
        <f t="shared" si="437"/>
        <v>Living Annuity</v>
      </c>
      <c r="J1079" t="str">
        <f t="shared" si="438"/>
        <v>Compulsory, LA</v>
      </c>
      <c r="K1079" t="s">
        <v>15</v>
      </c>
      <c r="M1079" t="str">
        <f t="shared" si="439"/>
        <v>a</v>
      </c>
      <c r="N1079" t="str">
        <f t="shared" si="440"/>
        <v/>
      </c>
      <c r="O1079" t="str">
        <f t="shared" si="441"/>
        <v/>
      </c>
    </row>
    <row r="1080" spans="1:15" x14ac:dyDescent="0.3">
      <c r="A1080">
        <v>37040</v>
      </c>
      <c r="B1080" t="s">
        <v>947</v>
      </c>
      <c r="C1080">
        <v>263</v>
      </c>
      <c r="D1080" t="s">
        <v>44</v>
      </c>
      <c r="E1080" t="s">
        <v>1166</v>
      </c>
      <c r="F1080" s="26">
        <v>278.13</v>
      </c>
      <c r="G1080" s="3">
        <v>45761</v>
      </c>
      <c r="H1080" t="s">
        <v>14</v>
      </c>
      <c r="I1080" s="4" t="str">
        <f t="shared" si="437"/>
        <v>Living Annuity</v>
      </c>
      <c r="J1080" t="str">
        <f t="shared" si="438"/>
        <v>Compulsory, LA</v>
      </c>
      <c r="K1080" t="s">
        <v>15</v>
      </c>
      <c r="M1080" t="str">
        <f t="shared" si="439"/>
        <v>a</v>
      </c>
      <c r="N1080" t="str">
        <f t="shared" si="440"/>
        <v/>
      </c>
      <c r="O1080" t="str">
        <f t="shared" si="441"/>
        <v/>
      </c>
    </row>
    <row r="1081" spans="1:15" x14ac:dyDescent="0.3">
      <c r="A1081">
        <v>37041</v>
      </c>
      <c r="B1081" t="s">
        <v>948</v>
      </c>
      <c r="C1081">
        <v>84</v>
      </c>
      <c r="D1081" t="s">
        <v>46</v>
      </c>
      <c r="E1081" t="s">
        <v>1166</v>
      </c>
      <c r="F1081" s="26">
        <v>1582.88</v>
      </c>
      <c r="G1081" s="3">
        <v>45761</v>
      </c>
      <c r="H1081" t="s">
        <v>14</v>
      </c>
      <c r="I1081" s="4" t="str">
        <f t="shared" si="437"/>
        <v>Living Annuity</v>
      </c>
      <c r="J1081" t="str">
        <f t="shared" si="438"/>
        <v>Compulsory, LA</v>
      </c>
      <c r="K1081" t="s">
        <v>15</v>
      </c>
      <c r="M1081" t="str">
        <f t="shared" si="439"/>
        <v>a</v>
      </c>
      <c r="N1081" t="str">
        <f t="shared" si="440"/>
        <v/>
      </c>
      <c r="O1081" t="str">
        <f t="shared" si="441"/>
        <v/>
      </c>
    </row>
    <row r="1082" spans="1:15" x14ac:dyDescent="0.3">
      <c r="A1082">
        <v>38586</v>
      </c>
      <c r="B1082" t="s">
        <v>949</v>
      </c>
      <c r="C1082">
        <v>181</v>
      </c>
      <c r="D1082" t="s">
        <v>48</v>
      </c>
      <c r="E1082" t="s">
        <v>1166</v>
      </c>
      <c r="F1082" s="26">
        <v>1471.26</v>
      </c>
      <c r="G1082" s="3">
        <v>45761</v>
      </c>
      <c r="H1082" t="s">
        <v>14</v>
      </c>
      <c r="I1082" s="4" t="str">
        <f t="shared" si="437"/>
        <v>Living Annuity</v>
      </c>
      <c r="J1082" t="str">
        <f t="shared" si="438"/>
        <v>Compulsory, LA</v>
      </c>
      <c r="K1082" t="s">
        <v>15</v>
      </c>
      <c r="M1082" t="str">
        <f t="shared" si="439"/>
        <v>a</v>
      </c>
      <c r="N1082" t="str">
        <f t="shared" si="440"/>
        <v/>
      </c>
      <c r="O1082" t="str">
        <f t="shared" si="441"/>
        <v/>
      </c>
    </row>
    <row r="1083" spans="1:15" x14ac:dyDescent="0.3">
      <c r="A1083">
        <v>38842</v>
      </c>
      <c r="B1083" t="s">
        <v>1093</v>
      </c>
      <c r="C1083">
        <v>79</v>
      </c>
      <c r="D1083" t="s">
        <v>50</v>
      </c>
      <c r="E1083" t="s">
        <v>1166</v>
      </c>
      <c r="F1083" s="25">
        <v>1158.28</v>
      </c>
      <c r="G1083" s="3">
        <v>45761</v>
      </c>
      <c r="H1083" t="s">
        <v>14</v>
      </c>
      <c r="I1083" s="4" t="str">
        <f>MID(H1083,6,30)</f>
        <v>Living Annuity</v>
      </c>
      <c r="J1083" t="str">
        <f>IF(LEFT(I1083)="L","Compulsory, LA",IF(LEFT(I1083)="R","Compulsory, RA",IF(LEFT(I1083,2)="Pe","Compulsory, Pens","Voluntary")))</f>
        <v>Compulsory, LA</v>
      </c>
      <c r="K1083" t="s">
        <v>15</v>
      </c>
      <c r="M1083" t="str">
        <f t="shared" si="439"/>
        <v>a</v>
      </c>
      <c r="N1083" t="str">
        <f t="shared" si="440"/>
        <v/>
      </c>
      <c r="O1083" t="str">
        <f t="shared" si="441"/>
        <v/>
      </c>
    </row>
    <row r="1084" spans="1:15" x14ac:dyDescent="0.3">
      <c r="A1084">
        <v>38851</v>
      </c>
      <c r="B1084" t="s">
        <v>950</v>
      </c>
      <c r="C1084">
        <v>172</v>
      </c>
      <c r="D1084" t="s">
        <v>52</v>
      </c>
      <c r="E1084" t="s">
        <v>1166</v>
      </c>
      <c r="F1084" s="26">
        <v>102.74</v>
      </c>
      <c r="G1084" s="3">
        <v>45761</v>
      </c>
      <c r="H1084" t="s">
        <v>14</v>
      </c>
      <c r="I1084" s="4" t="str">
        <f t="shared" ref="I1084:I1088" si="442">MID(H1084,6,30)</f>
        <v>Living Annuity</v>
      </c>
      <c r="J1084" t="str">
        <f t="shared" ref="J1084:J1088" si="443">IF(LEFT(I1084)="L","Compulsory, LA",IF(LEFT(I1084)="R","Compulsory, RA",IF(LEFT(I1084,2)="Pe","Compulsory, Pens","Voluntary")))</f>
        <v>Compulsory, LA</v>
      </c>
      <c r="K1084" t="s">
        <v>15</v>
      </c>
      <c r="M1084" t="str">
        <f t="shared" si="439"/>
        <v>a</v>
      </c>
      <c r="N1084" t="str">
        <f t="shared" si="440"/>
        <v/>
      </c>
      <c r="O1084" t="str">
        <f t="shared" si="441"/>
        <v/>
      </c>
    </row>
    <row r="1085" spans="1:15" x14ac:dyDescent="0.3">
      <c r="A1085">
        <v>38887</v>
      </c>
      <c r="B1085" t="s">
        <v>951</v>
      </c>
      <c r="C1085">
        <v>29</v>
      </c>
      <c r="D1085" t="s">
        <v>54</v>
      </c>
      <c r="E1085" t="s">
        <v>1166</v>
      </c>
      <c r="F1085" s="26">
        <v>298.45999999999998</v>
      </c>
      <c r="G1085" s="3">
        <v>45761</v>
      </c>
      <c r="H1085" t="s">
        <v>14</v>
      </c>
      <c r="I1085" s="4" t="str">
        <f t="shared" si="442"/>
        <v>Living Annuity</v>
      </c>
      <c r="J1085" t="str">
        <f t="shared" si="443"/>
        <v>Compulsory, LA</v>
      </c>
      <c r="K1085" t="s">
        <v>15</v>
      </c>
      <c r="M1085" t="str">
        <f t="shared" si="439"/>
        <v>a</v>
      </c>
      <c r="N1085" t="str">
        <f t="shared" si="440"/>
        <v/>
      </c>
      <c r="O1085" t="str">
        <f t="shared" si="441"/>
        <v/>
      </c>
    </row>
    <row r="1086" spans="1:15" x14ac:dyDescent="0.3">
      <c r="A1086">
        <v>41695</v>
      </c>
      <c r="B1086" t="s">
        <v>818</v>
      </c>
      <c r="C1086">
        <v>278</v>
      </c>
      <c r="D1086" t="s">
        <v>56</v>
      </c>
      <c r="E1086" t="s">
        <v>1166</v>
      </c>
      <c r="F1086" s="25">
        <v>4884.1899999999996</v>
      </c>
      <c r="G1086" s="3">
        <v>45761</v>
      </c>
      <c r="H1086" t="s">
        <v>26</v>
      </c>
      <c r="I1086" s="4" t="str">
        <f t="shared" si="442"/>
        <v>Retirement Annuity</v>
      </c>
      <c r="J1086" t="str">
        <f t="shared" si="443"/>
        <v>Compulsory, RA</v>
      </c>
      <c r="K1086" t="s">
        <v>15</v>
      </c>
      <c r="M1086" t="str">
        <f t="shared" si="439"/>
        <v>d</v>
      </c>
      <c r="N1086" t="str">
        <f t="shared" si="440"/>
        <v/>
      </c>
      <c r="O1086" t="str">
        <f t="shared" si="441"/>
        <v/>
      </c>
    </row>
    <row r="1087" spans="1:15" x14ac:dyDescent="0.3">
      <c r="A1087">
        <v>41695</v>
      </c>
      <c r="B1087" t="s">
        <v>1180</v>
      </c>
      <c r="C1087">
        <v>278</v>
      </c>
      <c r="D1087" t="s">
        <v>56</v>
      </c>
      <c r="E1087" t="s">
        <v>1166</v>
      </c>
      <c r="F1087" s="25">
        <v>535.38</v>
      </c>
      <c r="G1087" s="3">
        <v>45761</v>
      </c>
      <c r="H1087" t="s">
        <v>1174</v>
      </c>
      <c r="I1087" s="4" t="str">
        <f t="shared" si="442"/>
        <v>Retirement Annuity - Savings C</v>
      </c>
      <c r="J1087" t="str">
        <f t="shared" si="443"/>
        <v>Compulsory, RA</v>
      </c>
      <c r="K1087" t="s">
        <v>15</v>
      </c>
      <c r="M1087" t="str">
        <f t="shared" si="439"/>
        <v>d</v>
      </c>
      <c r="N1087" t="str">
        <f t="shared" si="440"/>
        <v/>
      </c>
      <c r="O1087" t="str">
        <f t="shared" si="441"/>
        <v/>
      </c>
    </row>
    <row r="1088" spans="1:15" x14ac:dyDescent="0.3">
      <c r="A1088">
        <v>41695</v>
      </c>
      <c r="B1088" t="s">
        <v>1137</v>
      </c>
      <c r="C1088">
        <v>278</v>
      </c>
      <c r="D1088" t="s">
        <v>56</v>
      </c>
      <c r="E1088" t="s">
        <v>1166</v>
      </c>
      <c r="F1088" s="26">
        <v>36260.379999999997</v>
      </c>
      <c r="G1088" s="3">
        <v>45761</v>
      </c>
      <c r="H1088" t="s">
        <v>31</v>
      </c>
      <c r="I1088" s="4" t="str">
        <f t="shared" si="442"/>
        <v>Investment Account</v>
      </c>
      <c r="J1088" t="str">
        <f t="shared" si="443"/>
        <v>Voluntary</v>
      </c>
      <c r="K1088" t="s">
        <v>15</v>
      </c>
      <c r="M1088" t="str">
        <f t="shared" si="439"/>
        <v>a</v>
      </c>
      <c r="N1088" t="str">
        <f t="shared" si="440"/>
        <v/>
      </c>
      <c r="O1088" t="str">
        <f t="shared" si="441"/>
        <v/>
      </c>
    </row>
    <row r="1089" spans="1:15" x14ac:dyDescent="0.3">
      <c r="A1089">
        <v>46589</v>
      </c>
      <c r="B1089" t="s">
        <v>953</v>
      </c>
      <c r="C1089">
        <v>80</v>
      </c>
      <c r="D1089" t="s">
        <v>58</v>
      </c>
      <c r="E1089" t="s">
        <v>1166</v>
      </c>
      <c r="F1089" s="25">
        <v>1443.47</v>
      </c>
      <c r="G1089" s="3">
        <v>45761</v>
      </c>
      <c r="H1089" t="s">
        <v>14</v>
      </c>
      <c r="I1089" s="4" t="str">
        <f>MID(H1089,6,30)</f>
        <v>Living Annuity</v>
      </c>
      <c r="J1089" t="str">
        <f>IF(LEFT(I1089)="L","Compulsory, LA",IF(LEFT(I1089)="R","Compulsory, RA",IF(LEFT(I1089,2)="Pe","Compulsory, Pens","Voluntary")))</f>
        <v>Compulsory, LA</v>
      </c>
      <c r="K1089" t="s">
        <v>15</v>
      </c>
      <c r="M1089" t="str">
        <f t="shared" si="439"/>
        <v>a</v>
      </c>
      <c r="N1089" t="str">
        <f t="shared" si="440"/>
        <v/>
      </c>
      <c r="O1089" t="str">
        <f t="shared" si="441"/>
        <v/>
      </c>
    </row>
    <row r="1090" spans="1:15" x14ac:dyDescent="0.3">
      <c r="A1090">
        <v>46589</v>
      </c>
      <c r="B1090" t="s">
        <v>952</v>
      </c>
      <c r="C1090">
        <v>80</v>
      </c>
      <c r="D1090" t="s">
        <v>58</v>
      </c>
      <c r="E1090" t="s">
        <v>1166</v>
      </c>
      <c r="F1090" s="25">
        <v>32931.440000000002</v>
      </c>
      <c r="G1090" s="3">
        <v>45761</v>
      </c>
      <c r="H1090" t="s">
        <v>14</v>
      </c>
      <c r="I1090" s="4" t="str">
        <f t="shared" ref="I1090:I1091" si="444">MID(H1090,6,30)</f>
        <v>Living Annuity</v>
      </c>
      <c r="J1090" t="str">
        <f t="shared" ref="J1090:J1091" si="445">IF(LEFT(I1090)="L","Compulsory, LA",IF(LEFT(I1090)="R","Compulsory, RA",IF(LEFT(I1090,2)="Pe","Compulsory, Pens","Voluntary")))</f>
        <v>Compulsory, LA</v>
      </c>
      <c r="K1090" t="s">
        <v>15</v>
      </c>
      <c r="M1090" t="str">
        <f t="shared" si="439"/>
        <v>a</v>
      </c>
      <c r="N1090" t="str">
        <f t="shared" si="440"/>
        <v/>
      </c>
      <c r="O1090" t="str">
        <f t="shared" si="441"/>
        <v/>
      </c>
    </row>
    <row r="1091" spans="1:15" x14ac:dyDescent="0.3">
      <c r="A1091">
        <v>54985</v>
      </c>
      <c r="B1091" t="s">
        <v>954</v>
      </c>
      <c r="C1091">
        <v>33</v>
      </c>
      <c r="D1091" t="s">
        <v>60</v>
      </c>
      <c r="E1091" t="s">
        <v>1166</v>
      </c>
      <c r="F1091" s="25">
        <v>409.89</v>
      </c>
      <c r="G1091" s="3">
        <v>45761</v>
      </c>
      <c r="H1091" t="s">
        <v>14</v>
      </c>
      <c r="I1091" s="4" t="str">
        <f t="shared" si="444"/>
        <v>Living Annuity</v>
      </c>
      <c r="J1091" t="str">
        <f t="shared" si="445"/>
        <v>Compulsory, LA</v>
      </c>
      <c r="K1091" t="s">
        <v>15</v>
      </c>
      <c r="M1091" t="str">
        <f t="shared" si="439"/>
        <v>a</v>
      </c>
      <c r="N1091" t="str">
        <f t="shared" si="440"/>
        <v/>
      </c>
      <c r="O1091" t="str">
        <f t="shared" si="441"/>
        <v/>
      </c>
    </row>
    <row r="1092" spans="1:15" x14ac:dyDescent="0.3">
      <c r="A1092">
        <v>61172</v>
      </c>
      <c r="B1092" t="s">
        <v>1062</v>
      </c>
      <c r="C1092">
        <v>272</v>
      </c>
      <c r="D1092" t="s">
        <v>62</v>
      </c>
      <c r="E1092" t="s">
        <v>1166</v>
      </c>
      <c r="F1092" s="25">
        <v>37517.19</v>
      </c>
      <c r="G1092" s="3">
        <v>45761</v>
      </c>
      <c r="H1092" t="s">
        <v>26</v>
      </c>
      <c r="I1092" s="4" t="str">
        <f>MID(H1092,6,30)</f>
        <v>Retirement Annuity</v>
      </c>
      <c r="J1092" t="str">
        <f>IF(LEFT(I1092)="L","Compulsory, LA",IF(LEFT(I1092)="R","Compulsory, RA",IF(LEFT(I1092,2)="Pe","Compulsory, Pens",IF(LEFT(I1092,2)="Pr","Compulsory, Prov","Voluntary"))))</f>
        <v>Compulsory, RA</v>
      </c>
      <c r="K1092" t="s">
        <v>15</v>
      </c>
      <c r="M1092" t="str">
        <f t="shared" si="439"/>
        <v>d</v>
      </c>
      <c r="N1092" t="str">
        <f t="shared" si="440"/>
        <v/>
      </c>
      <c r="O1092" t="str">
        <f t="shared" si="441"/>
        <v/>
      </c>
    </row>
    <row r="1093" spans="1:15" x14ac:dyDescent="0.3">
      <c r="A1093">
        <v>61172</v>
      </c>
      <c r="B1093" t="s">
        <v>1181</v>
      </c>
      <c r="C1093">
        <v>272</v>
      </c>
      <c r="D1093" t="s">
        <v>62</v>
      </c>
      <c r="E1093" t="s">
        <v>1166</v>
      </c>
      <c r="F1093" s="25">
        <v>3277.17</v>
      </c>
      <c r="G1093" s="3">
        <v>45761</v>
      </c>
      <c r="H1093" t="s">
        <v>1174</v>
      </c>
      <c r="I1093" s="4" t="str">
        <f t="shared" ref="I1093" si="446">MID(H1093,6,30)</f>
        <v>Retirement Annuity - Savings C</v>
      </c>
      <c r="J1093" t="str">
        <f t="shared" ref="J1093" si="447">IF(LEFT(I1093)="L","Compulsory, LA",IF(LEFT(I1093)="R","Compulsory, RA",IF(LEFT(I1093,2)="Pe","Compulsory, Pens",IF(LEFT(I1093,2)="Pr","Compulsory, Prov","Voluntary"))))</f>
        <v>Compulsory, RA</v>
      </c>
      <c r="K1093" t="s">
        <v>15</v>
      </c>
      <c r="M1093" t="str">
        <f t="shared" si="439"/>
        <v>d</v>
      </c>
      <c r="N1093" t="str">
        <f t="shared" si="440"/>
        <v/>
      </c>
      <c r="O1093" t="str">
        <f t="shared" si="441"/>
        <v/>
      </c>
    </row>
    <row r="1094" spans="1:15" x14ac:dyDescent="0.3">
      <c r="A1094">
        <v>62166</v>
      </c>
      <c r="B1094" t="s">
        <v>955</v>
      </c>
      <c r="C1094">
        <v>153</v>
      </c>
      <c r="D1094" t="s">
        <v>64</v>
      </c>
      <c r="E1094" t="s">
        <v>1166</v>
      </c>
      <c r="F1094" s="25">
        <v>32263.21</v>
      </c>
      <c r="G1094" s="3">
        <v>45761</v>
      </c>
      <c r="H1094" t="s">
        <v>26</v>
      </c>
      <c r="I1094" s="4" t="str">
        <f t="shared" ref="I1094:I1115" si="448">MID(H1094,6,30)</f>
        <v>Retirement Annuity</v>
      </c>
      <c r="J1094" t="str">
        <f t="shared" ref="J1094:J1096" si="449">IF(LEFT(I1094)="L","Compulsory, LA",IF(LEFT(I1094)="R","Compulsory, RA",IF(LEFT(I1094,2)="Pe","Compulsory, Pens",IF(LEFT(I1094,2)="Pr","Compulsory, Prov","Voluntary"))))</f>
        <v>Compulsory, RA</v>
      </c>
      <c r="K1094" t="s">
        <v>15</v>
      </c>
      <c r="M1094" t="str">
        <f t="shared" si="439"/>
        <v>d</v>
      </c>
      <c r="N1094" t="str">
        <f t="shared" si="440"/>
        <v/>
      </c>
      <c r="O1094" t="str">
        <f t="shared" si="441"/>
        <v/>
      </c>
    </row>
    <row r="1095" spans="1:15" x14ac:dyDescent="0.3">
      <c r="A1095">
        <v>62166</v>
      </c>
      <c r="B1095" t="s">
        <v>1182</v>
      </c>
      <c r="C1095">
        <v>153</v>
      </c>
      <c r="D1095" t="s">
        <v>64</v>
      </c>
      <c r="E1095" t="s">
        <v>1166</v>
      </c>
      <c r="F1095" s="25">
        <v>3249.11</v>
      </c>
      <c r="G1095" s="3">
        <v>45761</v>
      </c>
      <c r="H1095" t="s">
        <v>1174</v>
      </c>
      <c r="I1095" s="4" t="str">
        <f t="shared" si="448"/>
        <v>Retirement Annuity - Savings C</v>
      </c>
      <c r="J1095" t="str">
        <f t="shared" si="449"/>
        <v>Compulsory, RA</v>
      </c>
      <c r="K1095" t="s">
        <v>15</v>
      </c>
      <c r="M1095" t="str">
        <f t="shared" si="439"/>
        <v>d</v>
      </c>
      <c r="N1095" t="str">
        <f t="shared" si="440"/>
        <v/>
      </c>
      <c r="O1095" t="str">
        <f t="shared" si="441"/>
        <v/>
      </c>
    </row>
    <row r="1096" spans="1:15" x14ac:dyDescent="0.3">
      <c r="A1096">
        <v>69046</v>
      </c>
      <c r="B1096" t="s">
        <v>956</v>
      </c>
      <c r="C1096">
        <v>167</v>
      </c>
      <c r="D1096" t="s">
        <v>703</v>
      </c>
      <c r="E1096" t="s">
        <v>1166</v>
      </c>
      <c r="F1096" s="25">
        <v>7359.55</v>
      </c>
      <c r="G1096" s="3">
        <v>45761</v>
      </c>
      <c r="H1096" t="s">
        <v>14</v>
      </c>
      <c r="I1096" s="4" t="str">
        <f t="shared" si="448"/>
        <v>Living Annuity</v>
      </c>
      <c r="J1096" t="str">
        <f t="shared" si="449"/>
        <v>Compulsory, LA</v>
      </c>
      <c r="K1096" t="s">
        <v>15</v>
      </c>
      <c r="M1096" t="str">
        <f t="shared" si="439"/>
        <v>a</v>
      </c>
      <c r="N1096" t="str">
        <f t="shared" si="440"/>
        <v/>
      </c>
      <c r="O1096" t="str">
        <f t="shared" si="441"/>
        <v/>
      </c>
    </row>
    <row r="1097" spans="1:15" s="13" customFormat="1" x14ac:dyDescent="0.3">
      <c r="A1097" s="13">
        <v>72002</v>
      </c>
      <c r="B1097" s="13" t="s">
        <v>714</v>
      </c>
      <c r="C1097" s="13">
        <v>67</v>
      </c>
      <c r="D1097" s="13" t="s">
        <v>66</v>
      </c>
      <c r="E1097" s="13" t="s">
        <v>1166</v>
      </c>
      <c r="F1097" s="27">
        <v>8497.01</v>
      </c>
      <c r="G1097" s="14">
        <v>45761</v>
      </c>
      <c r="H1097" s="13" t="s">
        <v>31</v>
      </c>
      <c r="I1097" s="15" t="str">
        <f t="shared" si="448"/>
        <v>Investment Account</v>
      </c>
      <c r="J1097" s="13" t="str">
        <f t="shared" ref="J1097:J1115" si="450">IF(LEFT(I1097)="L","Compulsory, LA",IF(LEFT(I1097)="R","Compulsory, RA",IF(LEFT(I1097,2)="Pe","Compulsory, Pens","Voluntary")))</f>
        <v>Voluntary</v>
      </c>
      <c r="K1097" s="13" t="s">
        <v>15</v>
      </c>
      <c r="M1097" t="str">
        <f t="shared" si="439"/>
        <v>a</v>
      </c>
      <c r="N1097" t="str">
        <f t="shared" si="440"/>
        <v/>
      </c>
      <c r="O1097" t="str">
        <f t="shared" si="441"/>
        <v/>
      </c>
    </row>
    <row r="1098" spans="1:15" x14ac:dyDescent="0.3">
      <c r="A1098">
        <v>72002</v>
      </c>
      <c r="B1098" t="s">
        <v>957</v>
      </c>
      <c r="C1098">
        <v>67</v>
      </c>
      <c r="D1098" t="s">
        <v>66</v>
      </c>
      <c r="E1098" t="s">
        <v>1166</v>
      </c>
      <c r="F1098" s="26">
        <v>7055.59</v>
      </c>
      <c r="G1098" s="3">
        <v>45761</v>
      </c>
      <c r="H1098" t="s">
        <v>14</v>
      </c>
      <c r="I1098" s="4" t="str">
        <f t="shared" si="448"/>
        <v>Living Annuity</v>
      </c>
      <c r="J1098" t="str">
        <f t="shared" si="450"/>
        <v>Compulsory, LA</v>
      </c>
      <c r="K1098" t="s">
        <v>15</v>
      </c>
      <c r="M1098" t="str">
        <f t="shared" si="439"/>
        <v>a</v>
      </c>
      <c r="N1098" t="str">
        <f t="shared" si="440"/>
        <v/>
      </c>
      <c r="O1098" t="str">
        <f t="shared" si="441"/>
        <v/>
      </c>
    </row>
    <row r="1099" spans="1:15" x14ac:dyDescent="0.3">
      <c r="A1099">
        <v>72002</v>
      </c>
      <c r="B1099" t="s">
        <v>860</v>
      </c>
      <c r="C1099">
        <v>67</v>
      </c>
      <c r="D1099" t="s">
        <v>66</v>
      </c>
      <c r="E1099" t="s">
        <v>1166</v>
      </c>
      <c r="F1099" s="26">
        <v>2871.94</v>
      </c>
      <c r="G1099" s="3">
        <v>45761</v>
      </c>
      <c r="H1099" t="s">
        <v>14</v>
      </c>
      <c r="I1099" s="4" t="str">
        <f t="shared" si="448"/>
        <v>Living Annuity</v>
      </c>
      <c r="J1099" t="str">
        <f t="shared" si="450"/>
        <v>Compulsory, LA</v>
      </c>
      <c r="K1099" t="s">
        <v>15</v>
      </c>
      <c r="M1099" t="str">
        <f t="shared" si="439"/>
        <v>a</v>
      </c>
      <c r="N1099" t="str">
        <f t="shared" si="440"/>
        <v/>
      </c>
      <c r="O1099" t="str">
        <f t="shared" si="441"/>
        <v/>
      </c>
    </row>
    <row r="1100" spans="1:15" x14ac:dyDescent="0.3">
      <c r="A1100">
        <v>80212</v>
      </c>
      <c r="B1100" t="s">
        <v>960</v>
      </c>
      <c r="C1100">
        <v>372</v>
      </c>
      <c r="D1100" t="s">
        <v>68</v>
      </c>
      <c r="E1100" t="s">
        <v>1166</v>
      </c>
      <c r="F1100" s="26">
        <v>237.04</v>
      </c>
      <c r="G1100" s="3">
        <v>45761</v>
      </c>
      <c r="H1100" t="s">
        <v>31</v>
      </c>
      <c r="I1100" s="4" t="str">
        <f t="shared" si="448"/>
        <v>Investment Account</v>
      </c>
      <c r="J1100" t="str">
        <f t="shared" si="450"/>
        <v>Voluntary</v>
      </c>
      <c r="K1100" t="s">
        <v>15</v>
      </c>
      <c r="M1100" t="str">
        <f t="shared" si="439"/>
        <v>a</v>
      </c>
      <c r="N1100" t="str">
        <f t="shared" si="440"/>
        <v/>
      </c>
      <c r="O1100" t="str">
        <f t="shared" si="441"/>
        <v/>
      </c>
    </row>
    <row r="1101" spans="1:15" x14ac:dyDescent="0.3">
      <c r="A1101">
        <v>80212</v>
      </c>
      <c r="B1101" t="s">
        <v>961</v>
      </c>
      <c r="C1101">
        <v>372</v>
      </c>
      <c r="D1101" t="s">
        <v>68</v>
      </c>
      <c r="E1101" t="s">
        <v>1166</v>
      </c>
      <c r="F1101" s="26">
        <v>13702.59</v>
      </c>
      <c r="G1101" s="3">
        <v>45761</v>
      </c>
      <c r="H1101" t="s">
        <v>26</v>
      </c>
      <c r="I1101" s="4" t="str">
        <f t="shared" si="448"/>
        <v>Retirement Annuity</v>
      </c>
      <c r="J1101" t="str">
        <f t="shared" si="450"/>
        <v>Compulsory, RA</v>
      </c>
      <c r="K1101" t="s">
        <v>15</v>
      </c>
      <c r="M1101" t="str">
        <f t="shared" si="439"/>
        <v>d</v>
      </c>
      <c r="N1101" t="str">
        <f t="shared" si="440"/>
        <v/>
      </c>
      <c r="O1101" t="str">
        <f t="shared" si="441"/>
        <v/>
      </c>
    </row>
    <row r="1102" spans="1:15" x14ac:dyDescent="0.3">
      <c r="A1102">
        <v>80212</v>
      </c>
      <c r="B1102" t="s">
        <v>1183</v>
      </c>
      <c r="C1102">
        <v>372</v>
      </c>
      <c r="D1102" t="s">
        <v>68</v>
      </c>
      <c r="E1102" t="s">
        <v>1166</v>
      </c>
      <c r="F1102" s="26">
        <v>1597.43</v>
      </c>
      <c r="G1102" s="3">
        <v>45761</v>
      </c>
      <c r="H1102" t="s">
        <v>1174</v>
      </c>
      <c r="I1102" s="4" t="str">
        <f>MID(H1102,6,30)</f>
        <v>Retirement Annuity - Savings C</v>
      </c>
      <c r="J1102" t="str">
        <f>IF(LEFT(I1102)="L","Compulsory, LA",IF(LEFT(I1102)="R","Compulsory, RA",IF(LEFT(I1102,2)="Pe","Compulsory, Pens","Voluntary")))</f>
        <v>Compulsory, RA</v>
      </c>
      <c r="K1102" t="s">
        <v>15</v>
      </c>
      <c r="M1102" t="str">
        <f t="shared" si="439"/>
        <v>d</v>
      </c>
      <c r="N1102" t="str">
        <f t="shared" si="440"/>
        <v/>
      </c>
      <c r="O1102" t="str">
        <f t="shared" si="441"/>
        <v/>
      </c>
    </row>
    <row r="1103" spans="1:15" x14ac:dyDescent="0.3">
      <c r="A1103">
        <v>81381</v>
      </c>
      <c r="B1103" t="s">
        <v>962</v>
      </c>
      <c r="C1103">
        <v>183</v>
      </c>
      <c r="D1103" t="s">
        <v>71</v>
      </c>
      <c r="E1103" t="s">
        <v>1166</v>
      </c>
      <c r="F1103" s="26">
        <v>2444.5300000000002</v>
      </c>
      <c r="G1103" s="3">
        <v>45761</v>
      </c>
      <c r="H1103" t="s">
        <v>14</v>
      </c>
      <c r="I1103" s="4" t="str">
        <f t="shared" si="448"/>
        <v>Living Annuity</v>
      </c>
      <c r="J1103" t="str">
        <f t="shared" si="450"/>
        <v>Compulsory, LA</v>
      </c>
      <c r="K1103" t="s">
        <v>15</v>
      </c>
      <c r="M1103" t="str">
        <f t="shared" si="439"/>
        <v>a</v>
      </c>
      <c r="N1103" t="str">
        <f t="shared" si="440"/>
        <v/>
      </c>
      <c r="O1103" t="str">
        <f t="shared" si="441"/>
        <v/>
      </c>
    </row>
    <row r="1104" spans="1:15" x14ac:dyDescent="0.3">
      <c r="A1104">
        <v>81381</v>
      </c>
      <c r="B1104" t="s">
        <v>963</v>
      </c>
      <c r="C1104">
        <v>183</v>
      </c>
      <c r="D1104" t="s">
        <v>71</v>
      </c>
      <c r="E1104" t="s">
        <v>1166</v>
      </c>
      <c r="F1104" s="26">
        <v>163755.1</v>
      </c>
      <c r="G1104" s="3">
        <v>45761</v>
      </c>
      <c r="H1104" t="s">
        <v>14</v>
      </c>
      <c r="I1104" s="4" t="str">
        <f t="shared" si="448"/>
        <v>Living Annuity</v>
      </c>
      <c r="J1104" t="str">
        <f t="shared" si="450"/>
        <v>Compulsory, LA</v>
      </c>
      <c r="K1104" t="s">
        <v>15</v>
      </c>
      <c r="M1104" t="str">
        <f t="shared" si="439"/>
        <v>a</v>
      </c>
      <c r="N1104" t="str">
        <f t="shared" si="440"/>
        <v/>
      </c>
      <c r="O1104" t="str">
        <f t="shared" si="441"/>
        <v/>
      </c>
    </row>
    <row r="1105" spans="1:15" x14ac:dyDescent="0.3">
      <c r="A1105">
        <v>113590</v>
      </c>
      <c r="B1105" t="s">
        <v>964</v>
      </c>
      <c r="C1105">
        <v>44</v>
      </c>
      <c r="D1105" t="s">
        <v>958</v>
      </c>
      <c r="E1105" t="s">
        <v>1166</v>
      </c>
      <c r="F1105" s="26">
        <v>4334.22</v>
      </c>
      <c r="G1105" s="3">
        <v>45761</v>
      </c>
      <c r="H1105" t="s">
        <v>14</v>
      </c>
      <c r="I1105" s="4" t="str">
        <f t="shared" si="448"/>
        <v>Living Annuity</v>
      </c>
      <c r="J1105" t="str">
        <f t="shared" si="450"/>
        <v>Compulsory, LA</v>
      </c>
      <c r="K1105" t="s">
        <v>15</v>
      </c>
      <c r="M1105" t="str">
        <f t="shared" si="439"/>
        <v>a</v>
      </c>
      <c r="N1105" t="str">
        <f t="shared" si="440"/>
        <v/>
      </c>
      <c r="O1105" t="str">
        <f t="shared" si="441"/>
        <v/>
      </c>
    </row>
    <row r="1106" spans="1:15" x14ac:dyDescent="0.3">
      <c r="A1106">
        <v>113590</v>
      </c>
      <c r="B1106" t="s">
        <v>1112</v>
      </c>
      <c r="C1106">
        <v>44</v>
      </c>
      <c r="D1106" t="s">
        <v>958</v>
      </c>
      <c r="E1106" t="s">
        <v>1166</v>
      </c>
      <c r="F1106" s="26">
        <v>1191.1400000000001</v>
      </c>
      <c r="G1106" s="3">
        <v>45761</v>
      </c>
      <c r="H1106" t="s">
        <v>14</v>
      </c>
      <c r="I1106" s="4" t="str">
        <f t="shared" si="448"/>
        <v>Living Annuity</v>
      </c>
      <c r="J1106" t="str">
        <f t="shared" si="450"/>
        <v>Compulsory, LA</v>
      </c>
      <c r="K1106" t="s">
        <v>15</v>
      </c>
      <c r="M1106" t="str">
        <f t="shared" si="439"/>
        <v>a</v>
      </c>
      <c r="N1106" t="str">
        <f t="shared" si="440"/>
        <v/>
      </c>
      <c r="O1106" t="str">
        <f t="shared" si="441"/>
        <v/>
      </c>
    </row>
    <row r="1107" spans="1:15" x14ac:dyDescent="0.3">
      <c r="A1107">
        <v>130912</v>
      </c>
      <c r="B1107" t="s">
        <v>1170</v>
      </c>
      <c r="C1107">
        <v>35</v>
      </c>
      <c r="D1107" t="s">
        <v>1169</v>
      </c>
      <c r="E1107" t="s">
        <v>1166</v>
      </c>
      <c r="F1107" s="26">
        <v>4726.42</v>
      </c>
      <c r="G1107" s="3">
        <v>45761</v>
      </c>
      <c r="H1107" t="s">
        <v>1147</v>
      </c>
      <c r="I1107" s="4" t="str">
        <f t="shared" si="448"/>
        <v>Investment Account</v>
      </c>
      <c r="J1107" t="str">
        <f t="shared" si="450"/>
        <v>Voluntary</v>
      </c>
      <c r="K1107" t="s">
        <v>15</v>
      </c>
      <c r="M1107" t="str">
        <f t="shared" si="439"/>
        <v>a</v>
      </c>
      <c r="N1107" t="str">
        <f t="shared" si="440"/>
        <v/>
      </c>
      <c r="O1107" t="str">
        <f t="shared" si="441"/>
        <v/>
      </c>
    </row>
    <row r="1108" spans="1:15" x14ac:dyDescent="0.3">
      <c r="A1108">
        <v>133380</v>
      </c>
      <c r="B1108" t="s">
        <v>965</v>
      </c>
      <c r="C1108">
        <v>298</v>
      </c>
      <c r="D1108" t="s">
        <v>959</v>
      </c>
      <c r="E1108" t="s">
        <v>1166</v>
      </c>
      <c r="F1108" s="26">
        <v>8383.69</v>
      </c>
      <c r="G1108" s="3">
        <v>45761</v>
      </c>
      <c r="H1108" t="s">
        <v>26</v>
      </c>
      <c r="I1108" s="4" t="str">
        <f t="shared" si="448"/>
        <v>Retirement Annuity</v>
      </c>
      <c r="J1108" t="str">
        <f t="shared" si="450"/>
        <v>Compulsory, RA</v>
      </c>
      <c r="K1108" t="s">
        <v>15</v>
      </c>
      <c r="M1108" t="str">
        <f t="shared" si="439"/>
        <v>d</v>
      </c>
      <c r="N1108" t="str">
        <f t="shared" si="440"/>
        <v/>
      </c>
      <c r="O1108" t="str">
        <f t="shared" si="441"/>
        <v/>
      </c>
    </row>
    <row r="1109" spans="1:15" x14ac:dyDescent="0.3">
      <c r="A1109">
        <v>133380</v>
      </c>
      <c r="B1109" t="s">
        <v>1184</v>
      </c>
      <c r="C1109">
        <v>298</v>
      </c>
      <c r="D1109" t="s">
        <v>959</v>
      </c>
      <c r="E1109" t="s">
        <v>1166</v>
      </c>
      <c r="F1109" s="26">
        <v>952.69</v>
      </c>
      <c r="G1109" s="3">
        <v>45761</v>
      </c>
      <c r="H1109" t="s">
        <v>1174</v>
      </c>
      <c r="I1109" s="4" t="str">
        <f t="shared" si="448"/>
        <v>Retirement Annuity - Savings C</v>
      </c>
      <c r="J1109" t="str">
        <f t="shared" si="450"/>
        <v>Compulsory, RA</v>
      </c>
      <c r="K1109" t="s">
        <v>15</v>
      </c>
      <c r="M1109" t="str">
        <f t="shared" si="439"/>
        <v>d</v>
      </c>
      <c r="N1109" t="str">
        <f t="shared" si="440"/>
        <v/>
      </c>
      <c r="O1109" t="str">
        <f t="shared" si="441"/>
        <v/>
      </c>
    </row>
    <row r="1110" spans="1:15" x14ac:dyDescent="0.3">
      <c r="A1110">
        <v>133382</v>
      </c>
      <c r="B1110" t="s">
        <v>966</v>
      </c>
      <c r="C1110">
        <v>202</v>
      </c>
      <c r="D1110" t="s">
        <v>78</v>
      </c>
      <c r="E1110" t="s">
        <v>1166</v>
      </c>
      <c r="F1110" s="26">
        <v>966.66</v>
      </c>
      <c r="G1110" s="3">
        <v>45761</v>
      </c>
      <c r="H1110" t="s">
        <v>26</v>
      </c>
      <c r="I1110" s="4" t="str">
        <f t="shared" si="448"/>
        <v>Retirement Annuity</v>
      </c>
      <c r="J1110" t="str">
        <f t="shared" si="450"/>
        <v>Compulsory, RA</v>
      </c>
      <c r="K1110" t="s">
        <v>15</v>
      </c>
      <c r="M1110" t="str">
        <f t="shared" si="439"/>
        <v>d</v>
      </c>
      <c r="N1110" t="str">
        <f t="shared" si="440"/>
        <v/>
      </c>
      <c r="O1110" t="str">
        <f t="shared" si="441"/>
        <v/>
      </c>
    </row>
    <row r="1111" spans="1:15" x14ac:dyDescent="0.3">
      <c r="A1111">
        <v>133382</v>
      </c>
      <c r="B1111" t="s">
        <v>1185</v>
      </c>
      <c r="C1111">
        <v>202</v>
      </c>
      <c r="D1111" t="s">
        <v>78</v>
      </c>
      <c r="E1111" t="s">
        <v>1166</v>
      </c>
      <c r="F1111" s="26">
        <v>110.8</v>
      </c>
      <c r="G1111" s="3">
        <v>45761</v>
      </c>
      <c r="H1111" t="s">
        <v>1174</v>
      </c>
      <c r="I1111" s="4" t="str">
        <f t="shared" si="448"/>
        <v>Retirement Annuity - Savings C</v>
      </c>
      <c r="J1111" t="str">
        <f t="shared" si="450"/>
        <v>Compulsory, RA</v>
      </c>
      <c r="K1111" t="s">
        <v>15</v>
      </c>
      <c r="M1111" t="str">
        <f t="shared" si="439"/>
        <v>d</v>
      </c>
      <c r="N1111" t="str">
        <f t="shared" si="440"/>
        <v/>
      </c>
      <c r="O1111" t="str">
        <f t="shared" si="441"/>
        <v/>
      </c>
    </row>
    <row r="1112" spans="1:15" x14ac:dyDescent="0.3">
      <c r="A1112">
        <v>135931</v>
      </c>
      <c r="B1112" t="s">
        <v>755</v>
      </c>
      <c r="C1112">
        <v>45</v>
      </c>
      <c r="D1112" t="s">
        <v>617</v>
      </c>
      <c r="E1112" t="s">
        <v>1166</v>
      </c>
      <c r="F1112" s="26">
        <v>303.73</v>
      </c>
      <c r="G1112" s="3">
        <v>45761</v>
      </c>
      <c r="H1112" t="s">
        <v>31</v>
      </c>
      <c r="I1112" s="4" t="str">
        <f t="shared" si="448"/>
        <v>Investment Account</v>
      </c>
      <c r="J1112" t="str">
        <f t="shared" si="450"/>
        <v>Voluntary</v>
      </c>
      <c r="K1112" t="s">
        <v>15</v>
      </c>
      <c r="M1112" t="str">
        <f t="shared" si="439"/>
        <v>a</v>
      </c>
      <c r="N1112" t="str">
        <f t="shared" si="440"/>
        <v/>
      </c>
      <c r="O1112" t="str">
        <f t="shared" si="441"/>
        <v/>
      </c>
    </row>
    <row r="1113" spans="1:15" x14ac:dyDescent="0.3">
      <c r="A1113">
        <v>100202693</v>
      </c>
      <c r="B1113" t="s">
        <v>1160</v>
      </c>
      <c r="C1113">
        <v>92</v>
      </c>
      <c r="D1113" t="s">
        <v>79</v>
      </c>
      <c r="E1113" t="s">
        <v>1166</v>
      </c>
      <c r="F1113" s="26">
        <v>32978.86</v>
      </c>
      <c r="G1113" s="3">
        <v>45761</v>
      </c>
      <c r="H1113" t="s">
        <v>1147</v>
      </c>
      <c r="I1113" s="4" t="str">
        <f>MID(H1113,6,30)</f>
        <v>Investment Account</v>
      </c>
      <c r="J1113" t="str">
        <f>IF(LEFT(I1113)="L","Compulsory, LA",IF(LEFT(I1113)="R","Compulsory, RA",IF(LEFT(I1113,2)="Pe","Compulsory, Pens","Voluntary")))</f>
        <v>Voluntary</v>
      </c>
      <c r="K1113" t="s">
        <v>15</v>
      </c>
      <c r="M1113" t="str">
        <f t="shared" si="439"/>
        <v>a</v>
      </c>
      <c r="N1113" t="str">
        <f t="shared" si="440"/>
        <v/>
      </c>
      <c r="O1113" t="str">
        <f t="shared" si="441"/>
        <v/>
      </c>
    </row>
    <row r="1114" spans="1:15" x14ac:dyDescent="0.3">
      <c r="A1114">
        <v>100202693</v>
      </c>
      <c r="B1114" t="s">
        <v>1152</v>
      </c>
      <c r="C1114">
        <v>92</v>
      </c>
      <c r="D1114" t="s">
        <v>79</v>
      </c>
      <c r="E1114" t="s">
        <v>1166</v>
      </c>
      <c r="F1114" s="26">
        <v>21178.04</v>
      </c>
      <c r="G1114" s="3">
        <v>45761</v>
      </c>
      <c r="H1114" t="s">
        <v>14</v>
      </c>
      <c r="I1114" s="4" t="str">
        <f>MID(H1114,6,30)</f>
        <v>Living Annuity</v>
      </c>
      <c r="J1114" t="str">
        <f>IF(LEFT(I1114)="L","Compulsory, LA",IF(LEFT(I1114)="R","Compulsory, RA",IF(LEFT(I1114,2)="Pe","Compulsory, Pens","Voluntary")))</f>
        <v>Compulsory, LA</v>
      </c>
      <c r="K1114" t="s">
        <v>15</v>
      </c>
      <c r="M1114" t="str">
        <f t="shared" si="439"/>
        <v>a</v>
      </c>
      <c r="N1114" t="str">
        <f t="shared" si="440"/>
        <v/>
      </c>
      <c r="O1114" t="str">
        <f t="shared" si="441"/>
        <v/>
      </c>
    </row>
    <row r="1115" spans="1:15" x14ac:dyDescent="0.3">
      <c r="A1115">
        <v>100202693</v>
      </c>
      <c r="B1115" t="s">
        <v>1151</v>
      </c>
      <c r="C1115">
        <v>92</v>
      </c>
      <c r="D1115" t="s">
        <v>79</v>
      </c>
      <c r="E1115" t="s">
        <v>1166</v>
      </c>
      <c r="F1115" s="26">
        <v>82533.95</v>
      </c>
      <c r="G1115" s="3">
        <v>45761</v>
      </c>
      <c r="H1115" t="s">
        <v>14</v>
      </c>
      <c r="I1115" s="4" t="str">
        <f t="shared" si="448"/>
        <v>Living Annuity</v>
      </c>
      <c r="J1115" t="str">
        <f t="shared" si="450"/>
        <v>Compulsory, LA</v>
      </c>
      <c r="K1115" t="s">
        <v>15</v>
      </c>
      <c r="M1115" t="str">
        <f t="shared" si="439"/>
        <v>a</v>
      </c>
      <c r="N1115" t="str">
        <f t="shared" si="440"/>
        <v/>
      </c>
      <c r="O1115" t="str">
        <f t="shared" si="441"/>
        <v/>
      </c>
    </row>
    <row r="1116" spans="1:15" x14ac:dyDescent="0.3">
      <c r="A1116">
        <v>100205932</v>
      </c>
      <c r="B1116" t="s">
        <v>1143</v>
      </c>
      <c r="C1116">
        <v>117</v>
      </c>
      <c r="D1116" t="s">
        <v>81</v>
      </c>
      <c r="E1116" t="s">
        <v>1166</v>
      </c>
      <c r="F1116" s="26">
        <v>40360.29</v>
      </c>
      <c r="G1116" s="3">
        <v>45761</v>
      </c>
      <c r="H1116" t="s">
        <v>14</v>
      </c>
      <c r="I1116" s="4" t="str">
        <f>MID(H1116,6,30)</f>
        <v>Living Annuity</v>
      </c>
      <c r="J1116" t="str">
        <f>IF(LEFT(I1116)="L","Compulsory, LA",IF(LEFT(I1116)="R","Compulsory, RA",IF(LEFT(I1116,2)="Pe","Compulsory, Pens","Voluntary")))</f>
        <v>Compulsory, LA</v>
      </c>
      <c r="K1116" t="s">
        <v>15</v>
      </c>
      <c r="M1116" t="str">
        <f t="shared" si="439"/>
        <v>a</v>
      </c>
      <c r="N1116" t="str">
        <f t="shared" si="440"/>
        <v/>
      </c>
      <c r="O1116" t="str">
        <f t="shared" si="441"/>
        <v/>
      </c>
    </row>
    <row r="1117" spans="1:15" x14ac:dyDescent="0.3">
      <c r="A1117">
        <v>100220898</v>
      </c>
      <c r="B1117" t="s">
        <v>967</v>
      </c>
      <c r="C1117">
        <v>115</v>
      </c>
      <c r="D1117" t="s">
        <v>83</v>
      </c>
      <c r="E1117" t="s">
        <v>1166</v>
      </c>
      <c r="F1117" s="25">
        <v>36255.11</v>
      </c>
      <c r="G1117" s="3">
        <v>45761</v>
      </c>
      <c r="H1117" t="s">
        <v>14</v>
      </c>
      <c r="I1117" s="4" t="str">
        <f t="shared" ref="I1117:I1122" si="451">MID(H1117,6,30)</f>
        <v>Living Annuity</v>
      </c>
      <c r="J1117" t="str">
        <f t="shared" ref="J1117:J1122" si="452">IF(LEFT(I1117)="L","Compulsory, LA",IF(LEFT(I1117)="R","Compulsory, RA",IF(LEFT(I1117,2)="Pe","Compulsory, Pens","Voluntary")))</f>
        <v>Compulsory, LA</v>
      </c>
      <c r="K1117" t="s">
        <v>15</v>
      </c>
      <c r="M1117" t="str">
        <f t="shared" si="439"/>
        <v>a</v>
      </c>
      <c r="N1117" t="str">
        <f t="shared" si="440"/>
        <v/>
      </c>
      <c r="O1117" t="str">
        <f t="shared" si="441"/>
        <v/>
      </c>
    </row>
    <row r="1118" spans="1:15" x14ac:dyDescent="0.3">
      <c r="A1118">
        <v>100220898</v>
      </c>
      <c r="B1118" t="s">
        <v>756</v>
      </c>
      <c r="C1118">
        <v>115</v>
      </c>
      <c r="D1118" t="s">
        <v>83</v>
      </c>
      <c r="E1118" t="s">
        <v>1166</v>
      </c>
      <c r="F1118" s="25">
        <v>26504.23</v>
      </c>
      <c r="G1118" s="3">
        <v>45761</v>
      </c>
      <c r="H1118" t="s">
        <v>14</v>
      </c>
      <c r="I1118" s="4" t="str">
        <f t="shared" si="451"/>
        <v>Living Annuity</v>
      </c>
      <c r="J1118" t="str">
        <f t="shared" si="452"/>
        <v>Compulsory, LA</v>
      </c>
      <c r="K1118" t="s">
        <v>15</v>
      </c>
      <c r="M1118" t="str">
        <f t="shared" si="439"/>
        <v>a</v>
      </c>
      <c r="N1118" t="str">
        <f t="shared" si="440"/>
        <v/>
      </c>
      <c r="O1118" t="str">
        <f t="shared" si="441"/>
        <v/>
      </c>
    </row>
    <row r="1119" spans="1:15" x14ac:dyDescent="0.3">
      <c r="A1119">
        <v>100247003</v>
      </c>
      <c r="B1119" t="s">
        <v>969</v>
      </c>
      <c r="C1119">
        <v>79</v>
      </c>
      <c r="D1119" t="s">
        <v>50</v>
      </c>
      <c r="E1119" t="s">
        <v>1166</v>
      </c>
      <c r="F1119" s="25">
        <v>3561.01</v>
      </c>
      <c r="G1119" s="3">
        <v>45761</v>
      </c>
      <c r="H1119" t="s">
        <v>14</v>
      </c>
      <c r="I1119" s="4" t="str">
        <f t="shared" si="451"/>
        <v>Living Annuity</v>
      </c>
      <c r="J1119" t="str">
        <f t="shared" si="452"/>
        <v>Compulsory, LA</v>
      </c>
      <c r="K1119" t="s">
        <v>15</v>
      </c>
      <c r="M1119" t="str">
        <f t="shared" si="439"/>
        <v>a</v>
      </c>
      <c r="N1119" t="str">
        <f t="shared" si="440"/>
        <v/>
      </c>
      <c r="O1119" t="str">
        <f t="shared" si="441"/>
        <v/>
      </c>
    </row>
    <row r="1120" spans="1:15" x14ac:dyDescent="0.3">
      <c r="A1120">
        <v>100249944</v>
      </c>
      <c r="B1120" t="s">
        <v>970</v>
      </c>
      <c r="C1120">
        <v>56</v>
      </c>
      <c r="D1120" t="s">
        <v>86</v>
      </c>
      <c r="E1120" t="s">
        <v>1166</v>
      </c>
      <c r="F1120" s="25">
        <v>3245.08</v>
      </c>
      <c r="G1120" s="3">
        <v>45761</v>
      </c>
      <c r="H1120" t="s">
        <v>14</v>
      </c>
      <c r="I1120" s="4" t="str">
        <f t="shared" si="451"/>
        <v>Living Annuity</v>
      </c>
      <c r="J1120" t="str">
        <f t="shared" si="452"/>
        <v>Compulsory, LA</v>
      </c>
      <c r="K1120" t="s">
        <v>15</v>
      </c>
      <c r="M1120" t="str">
        <f t="shared" si="439"/>
        <v>a</v>
      </c>
      <c r="N1120" t="str">
        <f t="shared" si="440"/>
        <v/>
      </c>
      <c r="O1120" t="str">
        <f t="shared" si="441"/>
        <v/>
      </c>
    </row>
    <row r="1121" spans="1:15" x14ac:dyDescent="0.3">
      <c r="A1121">
        <v>100250182</v>
      </c>
      <c r="B1121" t="s">
        <v>971</v>
      </c>
      <c r="C1121">
        <v>193</v>
      </c>
      <c r="D1121" t="s">
        <v>968</v>
      </c>
      <c r="E1121" t="s">
        <v>1166</v>
      </c>
      <c r="F1121" s="25">
        <v>50136.86</v>
      </c>
      <c r="G1121" s="3">
        <v>45761</v>
      </c>
      <c r="H1121" t="s">
        <v>14</v>
      </c>
      <c r="I1121" s="4" t="str">
        <f t="shared" si="451"/>
        <v>Living Annuity</v>
      </c>
      <c r="J1121" t="str">
        <f t="shared" si="452"/>
        <v>Compulsory, LA</v>
      </c>
      <c r="K1121" t="s">
        <v>15</v>
      </c>
      <c r="M1121" t="str">
        <f t="shared" si="439"/>
        <v>a</v>
      </c>
      <c r="N1121" t="str">
        <f t="shared" si="440"/>
        <v/>
      </c>
      <c r="O1121" t="str">
        <f t="shared" si="441"/>
        <v/>
      </c>
    </row>
    <row r="1122" spans="1:15" x14ac:dyDescent="0.3">
      <c r="A1122">
        <v>100271808</v>
      </c>
      <c r="B1122" t="s">
        <v>972</v>
      </c>
      <c r="C1122">
        <v>144</v>
      </c>
      <c r="D1122" t="s">
        <v>90</v>
      </c>
      <c r="E1122" t="s">
        <v>1166</v>
      </c>
      <c r="F1122" s="25">
        <v>6433.67</v>
      </c>
      <c r="G1122" s="3">
        <v>45761</v>
      </c>
      <c r="H1122" t="s">
        <v>26</v>
      </c>
      <c r="I1122" s="4" t="str">
        <f t="shared" si="451"/>
        <v>Retirement Annuity</v>
      </c>
      <c r="J1122" t="str">
        <f t="shared" si="452"/>
        <v>Compulsory, RA</v>
      </c>
      <c r="K1122" t="s">
        <v>15</v>
      </c>
      <c r="M1122" t="str">
        <f t="shared" si="439"/>
        <v>d</v>
      </c>
      <c r="N1122" t="str">
        <f t="shared" si="440"/>
        <v/>
      </c>
      <c r="O1122" t="str">
        <f t="shared" si="441"/>
        <v/>
      </c>
    </row>
    <row r="1123" spans="1:15" x14ac:dyDescent="0.3">
      <c r="A1123">
        <v>100273792</v>
      </c>
      <c r="B1123" t="s">
        <v>757</v>
      </c>
      <c r="C1123">
        <v>299</v>
      </c>
      <c r="D1123" t="s">
        <v>114</v>
      </c>
      <c r="E1123" t="s">
        <v>1166</v>
      </c>
      <c r="F1123" s="26">
        <v>3371.78</v>
      </c>
      <c r="G1123" s="3">
        <v>45761</v>
      </c>
      <c r="H1123" t="s">
        <v>14</v>
      </c>
      <c r="I1123" s="4" t="str">
        <f>MID(H1123,6,30)</f>
        <v>Living Annuity</v>
      </c>
      <c r="J1123" t="str">
        <f>IF(LEFT(I1123)="L","Compulsory, LA",IF(LEFT(I1123)="R","Compulsory, RA",IF(LEFT(I1123,2)="Pe","Compulsory, Pens","Voluntary")))</f>
        <v>Compulsory, LA</v>
      </c>
      <c r="K1123" t="s">
        <v>15</v>
      </c>
      <c r="M1123" t="str">
        <f t="shared" si="439"/>
        <v>a</v>
      </c>
      <c r="N1123" t="str">
        <f t="shared" si="440"/>
        <v/>
      </c>
      <c r="O1123" t="str">
        <f t="shared" si="441"/>
        <v/>
      </c>
    </row>
    <row r="1124" spans="1:15" x14ac:dyDescent="0.3">
      <c r="A1124">
        <v>100273792</v>
      </c>
      <c r="B1124" t="s">
        <v>758</v>
      </c>
      <c r="C1124">
        <v>299</v>
      </c>
      <c r="D1124" t="s">
        <v>114</v>
      </c>
      <c r="E1124" t="s">
        <v>1166</v>
      </c>
      <c r="F1124" s="26">
        <v>2922.45</v>
      </c>
      <c r="G1124" s="3">
        <v>45761</v>
      </c>
      <c r="H1124" t="s">
        <v>14</v>
      </c>
      <c r="I1124" s="4" t="str">
        <f t="shared" ref="I1124" si="453">MID(H1124,6,30)</f>
        <v>Living Annuity</v>
      </c>
      <c r="J1124" t="str">
        <f t="shared" ref="J1124" si="454">IF(LEFT(I1124)="L","Compulsory, LA",IF(LEFT(I1124)="R","Compulsory, RA",IF(LEFT(I1124,2)="Pe","Compulsory, Pens","Voluntary")))</f>
        <v>Compulsory, LA</v>
      </c>
      <c r="K1124" t="s">
        <v>15</v>
      </c>
      <c r="M1124" t="str">
        <f t="shared" si="439"/>
        <v>a</v>
      </c>
      <c r="N1124" t="str">
        <f t="shared" si="440"/>
        <v/>
      </c>
      <c r="O1124" t="str">
        <f t="shared" si="441"/>
        <v/>
      </c>
    </row>
    <row r="1125" spans="1:15" x14ac:dyDescent="0.3">
      <c r="A1125">
        <v>100278188</v>
      </c>
      <c r="B1125" t="s">
        <v>759</v>
      </c>
      <c r="C1125">
        <v>300</v>
      </c>
      <c r="D1125" t="s">
        <v>92</v>
      </c>
      <c r="E1125" t="s">
        <v>1166</v>
      </c>
      <c r="F1125" s="25">
        <v>868.11</v>
      </c>
      <c r="G1125" s="3">
        <v>45761</v>
      </c>
      <c r="H1125" t="s">
        <v>31</v>
      </c>
      <c r="I1125" s="4" t="str">
        <f>MID(H1125,6,30)</f>
        <v>Investment Account</v>
      </c>
      <c r="J1125" t="str">
        <f>IF(LEFT(I1125)="L","Compulsory, LA",IF(LEFT(I1125)="R","Compulsory, RA",IF(LEFT(I1125,2)="Pe","Compulsory, Pens","Voluntary")))</f>
        <v>Voluntary</v>
      </c>
      <c r="K1125" t="s">
        <v>15</v>
      </c>
      <c r="M1125" t="str">
        <f t="shared" si="439"/>
        <v>a</v>
      </c>
      <c r="N1125" t="str">
        <f t="shared" si="440"/>
        <v/>
      </c>
      <c r="O1125" t="str">
        <f t="shared" si="441"/>
        <v/>
      </c>
    </row>
    <row r="1126" spans="1:15" x14ac:dyDescent="0.3">
      <c r="A1126">
        <v>100278188</v>
      </c>
      <c r="B1126" t="s">
        <v>973</v>
      </c>
      <c r="C1126">
        <v>300</v>
      </c>
      <c r="D1126" t="s">
        <v>92</v>
      </c>
      <c r="E1126" t="s">
        <v>1166</v>
      </c>
      <c r="F1126" s="25">
        <v>2475</v>
      </c>
      <c r="G1126" s="3">
        <v>45761</v>
      </c>
      <c r="H1126" t="s">
        <v>14</v>
      </c>
      <c r="I1126" s="4" t="str">
        <f t="shared" ref="I1126" si="455">MID(H1126,6,30)</f>
        <v>Living Annuity</v>
      </c>
      <c r="J1126" t="str">
        <f t="shared" ref="J1126" si="456">IF(LEFT(I1126)="L","Compulsory, LA",IF(LEFT(I1126)="R","Compulsory, RA",IF(LEFT(I1126,2)="Pe","Compulsory, Pens","Voluntary")))</f>
        <v>Compulsory, LA</v>
      </c>
      <c r="K1126" t="s">
        <v>15</v>
      </c>
      <c r="M1126" t="str">
        <f t="shared" si="439"/>
        <v>a</v>
      </c>
      <c r="N1126" t="str">
        <f t="shared" si="440"/>
        <v/>
      </c>
      <c r="O1126" t="str">
        <f t="shared" si="441"/>
        <v/>
      </c>
    </row>
    <row r="1127" spans="1:15" x14ac:dyDescent="0.3">
      <c r="A1127">
        <v>100278188</v>
      </c>
      <c r="B1127" t="s">
        <v>974</v>
      </c>
      <c r="C1127">
        <v>300</v>
      </c>
      <c r="D1127" t="s">
        <v>92</v>
      </c>
      <c r="E1127" t="s">
        <v>1166</v>
      </c>
      <c r="F1127" s="25">
        <v>8086.91</v>
      </c>
      <c r="G1127" s="3">
        <v>45761</v>
      </c>
      <c r="H1127" t="s">
        <v>14</v>
      </c>
      <c r="I1127" s="4" t="str">
        <f>MID(H1127,6,30)</f>
        <v>Living Annuity</v>
      </c>
      <c r="J1127" t="str">
        <f>IF(LEFT(I1127)="L","Compulsory, LA",IF(LEFT(I1127)="R","Compulsory, RA",IF(LEFT(I1127,2)="Pe","Compulsory, Pens","Voluntary")))</f>
        <v>Compulsory, LA</v>
      </c>
      <c r="K1127" t="s">
        <v>15</v>
      </c>
      <c r="M1127" t="str">
        <f t="shared" si="439"/>
        <v>a</v>
      </c>
      <c r="N1127" t="str">
        <f t="shared" si="440"/>
        <v/>
      </c>
      <c r="O1127" t="str">
        <f t="shared" si="441"/>
        <v/>
      </c>
    </row>
    <row r="1128" spans="1:15" x14ac:dyDescent="0.3">
      <c r="A1128">
        <v>100278188</v>
      </c>
      <c r="B1128" t="s">
        <v>862</v>
      </c>
      <c r="C1128">
        <v>300</v>
      </c>
      <c r="D1128" t="s">
        <v>92</v>
      </c>
      <c r="E1128" t="s">
        <v>1166</v>
      </c>
      <c r="F1128" s="25">
        <v>1029.72</v>
      </c>
      <c r="G1128" s="3">
        <v>45761</v>
      </c>
      <c r="H1128" t="s">
        <v>14</v>
      </c>
      <c r="I1128" s="4" t="str">
        <f>MID(H1128,6,30)</f>
        <v>Living Annuity</v>
      </c>
      <c r="J1128" t="str">
        <f>IF(LEFT(I1128)="L","Compulsory, LA",IF(LEFT(I1128)="R","Compulsory, RA",IF(LEFT(I1128,2)="Pe","Compulsory, Pens","Voluntary")))</f>
        <v>Compulsory, LA</v>
      </c>
      <c r="K1128" t="s">
        <v>15</v>
      </c>
      <c r="M1128" t="str">
        <f t="shared" si="439"/>
        <v>a</v>
      </c>
      <c r="N1128" t="str">
        <f t="shared" si="440"/>
        <v/>
      </c>
      <c r="O1128" t="str">
        <f t="shared" si="441"/>
        <v/>
      </c>
    </row>
    <row r="1129" spans="1:15" s="13" customFormat="1" x14ac:dyDescent="0.3">
      <c r="A1129" s="13">
        <v>100309343</v>
      </c>
      <c r="B1129" s="13" t="s">
        <v>760</v>
      </c>
      <c r="C1129" s="13">
        <v>30</v>
      </c>
      <c r="D1129" s="13" t="s">
        <v>94</v>
      </c>
      <c r="E1129" s="13" t="s">
        <v>1166</v>
      </c>
      <c r="F1129" s="27">
        <v>23647.15</v>
      </c>
      <c r="G1129" s="14">
        <v>45761</v>
      </c>
      <c r="H1129" s="13" t="s">
        <v>31</v>
      </c>
      <c r="I1129" s="15" t="str">
        <f>MID(H1129,6,30)</f>
        <v>Investment Account</v>
      </c>
      <c r="J1129" s="13" t="str">
        <f>IF(LEFT(I1129)="L","Compulsory, LA",IF(LEFT(I1129)="R","Compulsory, RA",IF(LEFT(I1129,2)="Pe","Compulsory, Pens","Voluntary")))</f>
        <v>Voluntary</v>
      </c>
      <c r="K1129" s="13" t="s">
        <v>15</v>
      </c>
      <c r="M1129" t="str">
        <f t="shared" si="439"/>
        <v>a</v>
      </c>
      <c r="N1129" t="str">
        <f t="shared" si="440"/>
        <v/>
      </c>
      <c r="O1129" t="str">
        <f t="shared" si="441"/>
        <v/>
      </c>
    </row>
    <row r="1130" spans="1:15" x14ac:dyDescent="0.3">
      <c r="A1130">
        <v>100317997</v>
      </c>
      <c r="B1130" t="s">
        <v>975</v>
      </c>
      <c r="C1130">
        <v>32</v>
      </c>
      <c r="D1130" t="s">
        <v>96</v>
      </c>
      <c r="E1130" t="s">
        <v>1166</v>
      </c>
      <c r="F1130" s="26">
        <v>1355.64</v>
      </c>
      <c r="G1130" s="3">
        <v>45761</v>
      </c>
      <c r="H1130" t="s">
        <v>26</v>
      </c>
      <c r="I1130" s="4" t="str">
        <f t="shared" ref="I1130:I1136" si="457">MID(H1130,6,30)</f>
        <v>Retirement Annuity</v>
      </c>
      <c r="J1130" t="str">
        <f t="shared" ref="J1130:J1136" si="458">IF(LEFT(I1130)="L","Compulsory, LA",IF(LEFT(I1130)="R","Compulsory, RA",IF(LEFT(I1130,2)="Pe","Compulsory, Pens","Voluntary")))</f>
        <v>Compulsory, RA</v>
      </c>
      <c r="K1130" t="s">
        <v>15</v>
      </c>
      <c r="M1130" t="str">
        <f t="shared" si="439"/>
        <v>d</v>
      </c>
      <c r="N1130" t="str">
        <f t="shared" si="440"/>
        <v/>
      </c>
      <c r="O1130" t="str">
        <f t="shared" si="441"/>
        <v/>
      </c>
    </row>
    <row r="1131" spans="1:15" x14ac:dyDescent="0.3">
      <c r="A1131">
        <v>100317997</v>
      </c>
      <c r="B1131" t="s">
        <v>1220</v>
      </c>
      <c r="C1131">
        <v>32</v>
      </c>
      <c r="D1131" t="s">
        <v>96</v>
      </c>
      <c r="E1131" t="s">
        <v>1166</v>
      </c>
      <c r="F1131" s="26">
        <v>148.61000000000001</v>
      </c>
      <c r="G1131" s="3">
        <v>45761</v>
      </c>
      <c r="H1131" t="s">
        <v>1174</v>
      </c>
      <c r="I1131" s="4" t="str">
        <f t="shared" si="457"/>
        <v>Retirement Annuity - Savings C</v>
      </c>
      <c r="J1131" t="str">
        <f t="shared" si="458"/>
        <v>Compulsory, RA</v>
      </c>
      <c r="K1131" t="s">
        <v>15</v>
      </c>
      <c r="M1131" t="str">
        <f t="shared" si="439"/>
        <v>d</v>
      </c>
      <c r="N1131" t="str">
        <f t="shared" si="440"/>
        <v/>
      </c>
      <c r="O1131" t="str">
        <f t="shared" si="441"/>
        <v/>
      </c>
    </row>
    <row r="1132" spans="1:15" x14ac:dyDescent="0.3">
      <c r="A1132">
        <v>100325823</v>
      </c>
      <c r="B1132" t="s">
        <v>976</v>
      </c>
      <c r="C1132">
        <v>114</v>
      </c>
      <c r="D1132" t="s">
        <v>97</v>
      </c>
      <c r="E1132" t="s">
        <v>1166</v>
      </c>
      <c r="F1132" s="26">
        <v>28101.96</v>
      </c>
      <c r="G1132" s="3">
        <v>45761</v>
      </c>
      <c r="H1132" t="s">
        <v>14</v>
      </c>
      <c r="I1132" s="4" t="str">
        <f>MID(H1132,6,30)</f>
        <v>Living Annuity</v>
      </c>
      <c r="J1132" t="str">
        <f>IF(LEFT(I1132)="L","Compulsory, LA",IF(LEFT(I1132)="R","Compulsory, RA",IF(LEFT(I1132,2)="Pe","Compulsory, Pens","Voluntary")))</f>
        <v>Compulsory, LA</v>
      </c>
      <c r="K1132" t="s">
        <v>15</v>
      </c>
      <c r="M1132" t="str">
        <f t="shared" si="439"/>
        <v>a</v>
      </c>
      <c r="N1132" t="str">
        <f t="shared" si="440"/>
        <v/>
      </c>
      <c r="O1132" t="str">
        <f t="shared" si="441"/>
        <v/>
      </c>
    </row>
    <row r="1133" spans="1:15" x14ac:dyDescent="0.3">
      <c r="A1133">
        <v>100376880</v>
      </c>
      <c r="B1133" t="s">
        <v>761</v>
      </c>
      <c r="C1133">
        <v>97</v>
      </c>
      <c r="D1133" t="s">
        <v>618</v>
      </c>
      <c r="E1133" t="s">
        <v>1166</v>
      </c>
      <c r="F1133" s="26">
        <v>65564.649999999994</v>
      </c>
      <c r="G1133" s="3">
        <v>45761</v>
      </c>
      <c r="H1133" t="s">
        <v>31</v>
      </c>
      <c r="I1133" s="4" t="str">
        <f t="shared" si="457"/>
        <v>Investment Account</v>
      </c>
      <c r="J1133" t="str">
        <f t="shared" si="458"/>
        <v>Voluntary</v>
      </c>
      <c r="K1133" t="s">
        <v>15</v>
      </c>
      <c r="M1133" t="str">
        <f t="shared" si="439"/>
        <v>a</v>
      </c>
      <c r="N1133" t="str">
        <f t="shared" si="440"/>
        <v/>
      </c>
      <c r="O1133" t="str">
        <f t="shared" si="441"/>
        <v/>
      </c>
    </row>
    <row r="1134" spans="1:15" x14ac:dyDescent="0.3">
      <c r="A1134">
        <v>100388471</v>
      </c>
      <c r="B1134" t="s">
        <v>978</v>
      </c>
      <c r="C1134">
        <v>3</v>
      </c>
      <c r="D1134" t="s">
        <v>101</v>
      </c>
      <c r="E1134" t="s">
        <v>1166</v>
      </c>
      <c r="F1134" s="25">
        <v>26199.33</v>
      </c>
      <c r="G1134" s="3">
        <v>45761</v>
      </c>
      <c r="H1134" t="s">
        <v>14</v>
      </c>
      <c r="I1134" s="4" t="str">
        <f t="shared" si="457"/>
        <v>Living Annuity</v>
      </c>
      <c r="J1134" t="str">
        <f t="shared" si="458"/>
        <v>Compulsory, LA</v>
      </c>
      <c r="K1134" t="s">
        <v>15</v>
      </c>
      <c r="M1134" t="str">
        <f t="shared" si="439"/>
        <v>a</v>
      </c>
      <c r="N1134" t="str">
        <f t="shared" si="440"/>
        <v/>
      </c>
      <c r="O1134" t="str">
        <f t="shared" si="441"/>
        <v/>
      </c>
    </row>
    <row r="1135" spans="1:15" x14ac:dyDescent="0.3">
      <c r="A1135">
        <v>100388471</v>
      </c>
      <c r="B1135" t="s">
        <v>762</v>
      </c>
      <c r="C1135">
        <v>3</v>
      </c>
      <c r="D1135" t="s">
        <v>101</v>
      </c>
      <c r="E1135" t="s">
        <v>1166</v>
      </c>
      <c r="F1135" s="25">
        <v>4507.28</v>
      </c>
      <c r="G1135" s="3">
        <v>45761</v>
      </c>
      <c r="H1135" t="s">
        <v>14</v>
      </c>
      <c r="I1135" s="4" t="str">
        <f t="shared" si="457"/>
        <v>Living Annuity</v>
      </c>
      <c r="J1135" t="str">
        <f t="shared" si="458"/>
        <v>Compulsory, LA</v>
      </c>
      <c r="K1135" t="s">
        <v>15</v>
      </c>
      <c r="M1135" t="str">
        <f t="shared" si="439"/>
        <v>a</v>
      </c>
      <c r="N1135" t="str">
        <f t="shared" si="440"/>
        <v/>
      </c>
      <c r="O1135" t="str">
        <f t="shared" si="441"/>
        <v/>
      </c>
    </row>
    <row r="1136" spans="1:15" x14ac:dyDescent="0.3">
      <c r="A1136">
        <v>100408912</v>
      </c>
      <c r="B1136" t="s">
        <v>979</v>
      </c>
      <c r="C1136">
        <v>297</v>
      </c>
      <c r="D1136" t="s">
        <v>103</v>
      </c>
      <c r="E1136" t="s">
        <v>1166</v>
      </c>
      <c r="F1136" s="25">
        <v>10550.37</v>
      </c>
      <c r="G1136" s="3">
        <v>45761</v>
      </c>
      <c r="H1136" t="s">
        <v>14</v>
      </c>
      <c r="I1136" s="4" t="str">
        <f t="shared" si="457"/>
        <v>Living Annuity</v>
      </c>
      <c r="J1136" t="str">
        <f t="shared" si="458"/>
        <v>Compulsory, LA</v>
      </c>
      <c r="K1136" t="s">
        <v>15</v>
      </c>
      <c r="M1136" t="str">
        <f t="shared" ref="M1136:M1197" si="459">RIGHT(B1136,1)</f>
        <v>a</v>
      </c>
      <c r="N1136" t="str">
        <f t="shared" ref="N1136:N1197" si="460">IF(M1136="f","FFFF","")</f>
        <v/>
      </c>
      <c r="O1136" t="str">
        <f t="shared" ref="O1136:O1197" si="461">IF(M1136="I","IIII","")</f>
        <v/>
      </c>
    </row>
    <row r="1137" spans="1:15" x14ac:dyDescent="0.3">
      <c r="A1137">
        <v>100421069</v>
      </c>
      <c r="B1137" t="s">
        <v>763</v>
      </c>
      <c r="C1137">
        <v>37</v>
      </c>
      <c r="D1137" t="s">
        <v>105</v>
      </c>
      <c r="E1137" t="s">
        <v>1166</v>
      </c>
      <c r="F1137" s="26">
        <v>4784.45</v>
      </c>
      <c r="G1137" s="3">
        <v>45761</v>
      </c>
      <c r="H1137" t="s">
        <v>14</v>
      </c>
      <c r="I1137" s="4" t="str">
        <f>MID(H1137,6,30)</f>
        <v>Living Annuity</v>
      </c>
      <c r="J1137" t="str">
        <f>IF(LEFT(I1137)="L","Compulsory, LA",IF(LEFT(I1137)="R","Compulsory, RA",IF(LEFT(I1137,2)="Pe","Compulsory, Pens","Voluntary")))</f>
        <v>Compulsory, LA</v>
      </c>
      <c r="K1137" t="s">
        <v>15</v>
      </c>
      <c r="M1137" t="str">
        <f t="shared" si="459"/>
        <v>a</v>
      </c>
      <c r="N1137" t="str">
        <f t="shared" si="460"/>
        <v/>
      </c>
      <c r="O1137" t="str">
        <f t="shared" si="461"/>
        <v/>
      </c>
    </row>
    <row r="1138" spans="1:15" x14ac:dyDescent="0.3">
      <c r="A1138">
        <v>100421069</v>
      </c>
      <c r="B1138" t="s">
        <v>980</v>
      </c>
      <c r="C1138">
        <v>37</v>
      </c>
      <c r="D1138" t="s">
        <v>105</v>
      </c>
      <c r="E1138" t="s">
        <v>1166</v>
      </c>
      <c r="F1138" s="26">
        <v>10584.7</v>
      </c>
      <c r="G1138" s="3">
        <v>45761</v>
      </c>
      <c r="H1138" t="s">
        <v>14</v>
      </c>
      <c r="I1138" s="4" t="str">
        <f t="shared" ref="I1138:I1147" si="462">MID(H1138,6,30)</f>
        <v>Living Annuity</v>
      </c>
      <c r="J1138" t="str">
        <f t="shared" ref="J1138:J1147" si="463">IF(LEFT(I1138)="L","Compulsory, LA",IF(LEFT(I1138)="R","Compulsory, RA",IF(LEFT(I1138,2)="Pe","Compulsory, Pens","Voluntary")))</f>
        <v>Compulsory, LA</v>
      </c>
      <c r="K1138" t="s">
        <v>15</v>
      </c>
      <c r="M1138" t="str">
        <f t="shared" si="459"/>
        <v>a</v>
      </c>
      <c r="N1138" t="str">
        <f t="shared" si="460"/>
        <v/>
      </c>
      <c r="O1138" t="str">
        <f t="shared" si="461"/>
        <v/>
      </c>
    </row>
    <row r="1139" spans="1:15" x14ac:dyDescent="0.3">
      <c r="A1139">
        <v>100421069</v>
      </c>
      <c r="B1139" t="s">
        <v>801</v>
      </c>
      <c r="C1139">
        <v>37</v>
      </c>
      <c r="D1139" t="s">
        <v>105</v>
      </c>
      <c r="E1139" t="s">
        <v>1166</v>
      </c>
      <c r="F1139" s="26">
        <v>5774.71</v>
      </c>
      <c r="G1139" s="3">
        <v>45761</v>
      </c>
      <c r="H1139" t="s">
        <v>14</v>
      </c>
      <c r="I1139" s="4" t="str">
        <f t="shared" si="462"/>
        <v>Living Annuity</v>
      </c>
      <c r="J1139" t="str">
        <f t="shared" si="463"/>
        <v>Compulsory, LA</v>
      </c>
      <c r="K1139" t="s">
        <v>15</v>
      </c>
      <c r="M1139" t="str">
        <f t="shared" si="459"/>
        <v>a</v>
      </c>
      <c r="N1139" t="str">
        <f t="shared" si="460"/>
        <v/>
      </c>
      <c r="O1139" t="str">
        <f t="shared" si="461"/>
        <v/>
      </c>
    </row>
    <row r="1140" spans="1:15" x14ac:dyDescent="0.3">
      <c r="A1140" s="7">
        <v>100489695</v>
      </c>
      <c r="B1140" t="s">
        <v>1120</v>
      </c>
      <c r="C1140">
        <v>294</v>
      </c>
      <c r="D1140" t="s">
        <v>136</v>
      </c>
      <c r="E1140" t="s">
        <v>1166</v>
      </c>
      <c r="F1140" s="26">
        <v>77167.64</v>
      </c>
      <c r="G1140" s="3">
        <v>45761</v>
      </c>
      <c r="H1140" t="s">
        <v>31</v>
      </c>
      <c r="I1140" s="4" t="str">
        <f t="shared" si="462"/>
        <v>Investment Account</v>
      </c>
      <c r="J1140" t="str">
        <f t="shared" si="463"/>
        <v>Voluntary</v>
      </c>
      <c r="K1140" t="s">
        <v>15</v>
      </c>
      <c r="M1140" t="str">
        <f t="shared" si="459"/>
        <v>a</v>
      </c>
      <c r="N1140" t="str">
        <f t="shared" si="460"/>
        <v/>
      </c>
      <c r="O1140" t="str">
        <f t="shared" si="461"/>
        <v/>
      </c>
    </row>
    <row r="1141" spans="1:15" x14ac:dyDescent="0.3">
      <c r="A1141">
        <v>100492707</v>
      </c>
      <c r="B1141" t="s">
        <v>982</v>
      </c>
      <c r="C1141">
        <v>233</v>
      </c>
      <c r="D1141" t="s">
        <v>107</v>
      </c>
      <c r="E1141" t="s">
        <v>1166</v>
      </c>
      <c r="F1141" s="26">
        <v>8067.04</v>
      </c>
      <c r="G1141" s="3">
        <v>45761</v>
      </c>
      <c r="H1141" t="s">
        <v>14</v>
      </c>
      <c r="I1141" s="4" t="str">
        <f t="shared" si="462"/>
        <v>Living Annuity</v>
      </c>
      <c r="J1141" t="str">
        <f t="shared" si="463"/>
        <v>Compulsory, LA</v>
      </c>
      <c r="K1141" t="s">
        <v>15</v>
      </c>
      <c r="M1141" t="str">
        <f t="shared" si="459"/>
        <v>a</v>
      </c>
      <c r="N1141" t="str">
        <f t="shared" si="460"/>
        <v/>
      </c>
      <c r="O1141" t="str">
        <f t="shared" si="461"/>
        <v/>
      </c>
    </row>
    <row r="1142" spans="1:15" x14ac:dyDescent="0.3">
      <c r="A1142">
        <v>100492707</v>
      </c>
      <c r="B1142" t="s">
        <v>1188</v>
      </c>
      <c r="C1142">
        <v>233</v>
      </c>
      <c r="D1142" t="s">
        <v>107</v>
      </c>
      <c r="E1142" t="s">
        <v>1166</v>
      </c>
      <c r="F1142" s="26">
        <v>26394.89</v>
      </c>
      <c r="G1142" s="3">
        <v>45761</v>
      </c>
      <c r="H1142" t="s">
        <v>14</v>
      </c>
      <c r="I1142" s="4" t="str">
        <f t="shared" si="462"/>
        <v>Living Annuity</v>
      </c>
      <c r="J1142" t="str">
        <f t="shared" si="463"/>
        <v>Compulsory, LA</v>
      </c>
      <c r="K1142" t="s">
        <v>15</v>
      </c>
      <c r="M1142" t="str">
        <f t="shared" si="459"/>
        <v>a</v>
      </c>
      <c r="N1142" t="str">
        <f t="shared" si="460"/>
        <v/>
      </c>
      <c r="O1142" t="str">
        <f t="shared" si="461"/>
        <v/>
      </c>
    </row>
    <row r="1143" spans="1:15" x14ac:dyDescent="0.3">
      <c r="A1143">
        <v>100497270</v>
      </c>
      <c r="B1143" t="s">
        <v>1189</v>
      </c>
      <c r="C1143">
        <v>364</v>
      </c>
      <c r="D1143" t="s">
        <v>109</v>
      </c>
      <c r="E1143" t="s">
        <v>1166</v>
      </c>
      <c r="F1143" s="26">
        <v>1229.9100000000001</v>
      </c>
      <c r="G1143" s="3">
        <v>45761</v>
      </c>
      <c r="H1143" t="s">
        <v>1174</v>
      </c>
      <c r="I1143" s="4" t="str">
        <f t="shared" si="462"/>
        <v>Retirement Annuity - Savings C</v>
      </c>
      <c r="J1143" t="str">
        <f t="shared" si="463"/>
        <v>Compulsory, RA</v>
      </c>
      <c r="K1143" t="s">
        <v>15</v>
      </c>
      <c r="M1143" t="str">
        <f t="shared" si="459"/>
        <v>d</v>
      </c>
      <c r="N1143" t="str">
        <f t="shared" si="460"/>
        <v/>
      </c>
      <c r="O1143" t="str">
        <f t="shared" si="461"/>
        <v/>
      </c>
    </row>
    <row r="1144" spans="1:15" x14ac:dyDescent="0.3">
      <c r="A1144">
        <v>100497270</v>
      </c>
      <c r="B1144" t="s">
        <v>983</v>
      </c>
      <c r="C1144">
        <v>364</v>
      </c>
      <c r="D1144" t="s">
        <v>109</v>
      </c>
      <c r="E1144" t="s">
        <v>1166</v>
      </c>
      <c r="F1144" s="26">
        <v>10483.540000000001</v>
      </c>
      <c r="G1144" s="3">
        <v>45761</v>
      </c>
      <c r="H1144" t="s">
        <v>26</v>
      </c>
      <c r="I1144" s="4" t="str">
        <f t="shared" si="462"/>
        <v>Retirement Annuity</v>
      </c>
      <c r="J1144" t="str">
        <f t="shared" si="463"/>
        <v>Compulsory, RA</v>
      </c>
      <c r="K1144" t="s">
        <v>15</v>
      </c>
      <c r="M1144" t="str">
        <f t="shared" si="459"/>
        <v>d</v>
      </c>
      <c r="N1144" t="str">
        <f t="shared" si="460"/>
        <v/>
      </c>
      <c r="O1144" t="str">
        <f t="shared" si="461"/>
        <v/>
      </c>
    </row>
    <row r="1145" spans="1:15" x14ac:dyDescent="0.3">
      <c r="A1145">
        <v>100562496</v>
      </c>
      <c r="B1145" t="s">
        <v>984</v>
      </c>
      <c r="C1145">
        <v>381</v>
      </c>
      <c r="D1145" t="s">
        <v>981</v>
      </c>
      <c r="E1145" t="s">
        <v>1166</v>
      </c>
      <c r="F1145" s="26">
        <v>12985.92</v>
      </c>
      <c r="G1145" s="3">
        <v>45761</v>
      </c>
      <c r="H1145" t="s">
        <v>26</v>
      </c>
      <c r="I1145" s="4" t="str">
        <f t="shared" si="462"/>
        <v>Retirement Annuity</v>
      </c>
      <c r="J1145" t="str">
        <f t="shared" si="463"/>
        <v>Compulsory, RA</v>
      </c>
      <c r="K1145" t="s">
        <v>15</v>
      </c>
      <c r="M1145" t="str">
        <f t="shared" si="459"/>
        <v>d</v>
      </c>
      <c r="N1145" t="str">
        <f t="shared" si="460"/>
        <v/>
      </c>
      <c r="O1145" t="str">
        <f t="shared" si="461"/>
        <v/>
      </c>
    </row>
    <row r="1146" spans="1:15" x14ac:dyDescent="0.3">
      <c r="A1146">
        <v>100562496</v>
      </c>
      <c r="B1146" t="s">
        <v>1190</v>
      </c>
      <c r="C1146">
        <v>381</v>
      </c>
      <c r="D1146" t="s">
        <v>981</v>
      </c>
      <c r="E1146" t="s">
        <v>1166</v>
      </c>
      <c r="F1146" s="26">
        <v>1673.29</v>
      </c>
      <c r="G1146" s="3">
        <v>45761</v>
      </c>
      <c r="H1146" t="s">
        <v>1174</v>
      </c>
      <c r="I1146" s="4" t="str">
        <f t="shared" si="462"/>
        <v>Retirement Annuity - Savings C</v>
      </c>
      <c r="J1146" t="str">
        <f t="shared" si="463"/>
        <v>Compulsory, RA</v>
      </c>
      <c r="K1146" t="s">
        <v>15</v>
      </c>
      <c r="M1146" t="str">
        <f t="shared" si="459"/>
        <v>d</v>
      </c>
      <c r="N1146" t="str">
        <f t="shared" si="460"/>
        <v/>
      </c>
      <c r="O1146" t="str">
        <f t="shared" si="461"/>
        <v/>
      </c>
    </row>
    <row r="1147" spans="1:15" x14ac:dyDescent="0.3">
      <c r="A1147">
        <v>100562496</v>
      </c>
      <c r="B1147" t="s">
        <v>1191</v>
      </c>
      <c r="C1147">
        <v>381</v>
      </c>
      <c r="D1147" t="s">
        <v>981</v>
      </c>
      <c r="E1147" t="s">
        <v>1166</v>
      </c>
      <c r="F1147" s="26">
        <v>405.89</v>
      </c>
      <c r="G1147" s="3">
        <v>45761</v>
      </c>
      <c r="H1147" t="s">
        <v>1175</v>
      </c>
      <c r="I1147" s="4" t="str">
        <f t="shared" si="462"/>
        <v>Retirement Annuity - Retiremen</v>
      </c>
      <c r="J1147" t="str">
        <f t="shared" si="463"/>
        <v>Compulsory, RA</v>
      </c>
      <c r="K1147" t="s">
        <v>15</v>
      </c>
      <c r="M1147" t="str">
        <f t="shared" si="459"/>
        <v>d</v>
      </c>
      <c r="N1147" t="str">
        <f t="shared" si="460"/>
        <v/>
      </c>
      <c r="O1147" t="str">
        <f t="shared" si="461"/>
        <v/>
      </c>
    </row>
    <row r="1148" spans="1:15" x14ac:dyDescent="0.3">
      <c r="A1148">
        <v>100564770</v>
      </c>
      <c r="B1148" t="s">
        <v>764</v>
      </c>
      <c r="C1148">
        <v>384</v>
      </c>
      <c r="D1148" t="s">
        <v>123</v>
      </c>
      <c r="E1148" t="s">
        <v>1166</v>
      </c>
      <c r="F1148" s="26">
        <v>27593.42</v>
      </c>
      <c r="G1148" s="3">
        <v>45761</v>
      </c>
      <c r="H1148" t="s">
        <v>14</v>
      </c>
      <c r="I1148" s="4" t="str">
        <f>MID(H1148,6,30)</f>
        <v>Living Annuity</v>
      </c>
      <c r="J1148" t="str">
        <f>IF(LEFT(I1148)="L","Compulsory, LA",IF(LEFT(I1148)="R","Compulsory, RA",IF(LEFT(I1148,2)="Pe","Compulsory, Pens","Voluntary")))</f>
        <v>Compulsory, LA</v>
      </c>
      <c r="K1148" t="s">
        <v>15</v>
      </c>
      <c r="M1148" t="str">
        <f t="shared" si="459"/>
        <v>a</v>
      </c>
      <c r="N1148" t="str">
        <f t="shared" si="460"/>
        <v/>
      </c>
      <c r="O1148" t="str">
        <f t="shared" si="461"/>
        <v/>
      </c>
    </row>
    <row r="1149" spans="1:15" s="13" customFormat="1" x14ac:dyDescent="0.3">
      <c r="A1149" s="13">
        <v>100596195</v>
      </c>
      <c r="B1149" s="13" t="s">
        <v>765</v>
      </c>
      <c r="C1149" s="13">
        <v>142</v>
      </c>
      <c r="D1149" s="13" t="s">
        <v>620</v>
      </c>
      <c r="E1149" s="13" t="s">
        <v>1166</v>
      </c>
      <c r="F1149" s="28">
        <v>65549.789999999994</v>
      </c>
      <c r="G1149" s="14">
        <v>45761</v>
      </c>
      <c r="H1149" s="13" t="s">
        <v>31</v>
      </c>
      <c r="I1149" s="15" t="str">
        <f t="shared" ref="I1149:I1195" si="464">MID(H1149,6,30)</f>
        <v>Investment Account</v>
      </c>
      <c r="J1149" s="13" t="str">
        <f t="shared" ref="J1149:J1195" si="465">IF(LEFT(I1149)="L","Compulsory, LA",IF(LEFT(I1149)="R","Compulsory, RA",IF(LEFT(I1149,2)="Pe","Compulsory, Pens","Voluntary")))</f>
        <v>Voluntary</v>
      </c>
      <c r="K1149" s="13" t="s">
        <v>15</v>
      </c>
      <c r="M1149" t="str">
        <f t="shared" si="459"/>
        <v>a</v>
      </c>
      <c r="N1149" t="str">
        <f t="shared" si="460"/>
        <v/>
      </c>
      <c r="O1149" t="str">
        <f t="shared" si="461"/>
        <v/>
      </c>
    </row>
    <row r="1150" spans="1:15" s="13" customFormat="1" x14ac:dyDescent="0.3">
      <c r="A1150" s="13">
        <v>100596197</v>
      </c>
      <c r="B1150" s="13" t="s">
        <v>766</v>
      </c>
      <c r="C1150" s="13">
        <v>50</v>
      </c>
      <c r="D1150" s="13" t="s">
        <v>622</v>
      </c>
      <c r="E1150" s="13" t="s">
        <v>1166</v>
      </c>
      <c r="F1150" s="28">
        <v>3799.15</v>
      </c>
      <c r="G1150" s="14">
        <v>45761</v>
      </c>
      <c r="H1150" s="13" t="s">
        <v>31</v>
      </c>
      <c r="I1150" s="15" t="str">
        <f t="shared" si="464"/>
        <v>Investment Account</v>
      </c>
      <c r="J1150" s="13" t="str">
        <f t="shared" si="465"/>
        <v>Voluntary</v>
      </c>
      <c r="K1150" s="13" t="s">
        <v>15</v>
      </c>
      <c r="M1150" t="str">
        <f t="shared" si="459"/>
        <v>a</v>
      </c>
      <c r="N1150" t="str">
        <f t="shared" si="460"/>
        <v/>
      </c>
      <c r="O1150" t="str">
        <f t="shared" si="461"/>
        <v/>
      </c>
    </row>
    <row r="1151" spans="1:15" x14ac:dyDescent="0.3">
      <c r="A1151">
        <v>100596689</v>
      </c>
      <c r="B1151" t="s">
        <v>1082</v>
      </c>
      <c r="C1151">
        <v>180</v>
      </c>
      <c r="D1151" t="s">
        <v>149</v>
      </c>
      <c r="E1151" t="s">
        <v>1166</v>
      </c>
      <c r="F1151" s="26">
        <v>1369.24</v>
      </c>
      <c r="G1151" s="3">
        <v>45761</v>
      </c>
      <c r="H1151" t="s">
        <v>31</v>
      </c>
      <c r="I1151" s="4" t="str">
        <f t="shared" si="464"/>
        <v>Investment Account</v>
      </c>
      <c r="J1151" t="str">
        <f t="shared" si="465"/>
        <v>Voluntary</v>
      </c>
      <c r="K1151" t="s">
        <v>15</v>
      </c>
      <c r="M1151" t="str">
        <f t="shared" si="459"/>
        <v>a</v>
      </c>
      <c r="N1151" t="str">
        <f t="shared" si="460"/>
        <v/>
      </c>
      <c r="O1151" t="str">
        <f t="shared" si="461"/>
        <v/>
      </c>
    </row>
    <row r="1152" spans="1:15" x14ac:dyDescent="0.3">
      <c r="A1152">
        <v>100628018</v>
      </c>
      <c r="B1152" t="s">
        <v>1226</v>
      </c>
      <c r="C1152">
        <v>448</v>
      </c>
      <c r="D1152" t="s">
        <v>706</v>
      </c>
      <c r="E1152" t="s">
        <v>1166</v>
      </c>
      <c r="F1152" s="26">
        <v>29952.46</v>
      </c>
      <c r="G1152" s="3">
        <v>45761</v>
      </c>
      <c r="H1152" t="s">
        <v>31</v>
      </c>
      <c r="I1152" s="4" t="str">
        <f t="shared" si="464"/>
        <v>Investment Account</v>
      </c>
      <c r="J1152" t="str">
        <f t="shared" si="465"/>
        <v>Voluntary</v>
      </c>
      <c r="K1152" t="s">
        <v>15</v>
      </c>
      <c r="M1152" t="str">
        <f t="shared" si="459"/>
        <v>a</v>
      </c>
      <c r="N1152" t="str">
        <f t="shared" si="460"/>
        <v/>
      </c>
      <c r="O1152" t="str">
        <f t="shared" si="461"/>
        <v/>
      </c>
    </row>
    <row r="1153" spans="1:15" x14ac:dyDescent="0.3">
      <c r="A1153">
        <v>100628990</v>
      </c>
      <c r="B1153" t="s">
        <v>985</v>
      </c>
      <c r="C1153">
        <v>36</v>
      </c>
      <c r="D1153" t="s">
        <v>710</v>
      </c>
      <c r="E1153" t="s">
        <v>1166</v>
      </c>
      <c r="F1153" s="26">
        <v>401.93</v>
      </c>
      <c r="G1153" s="3">
        <v>45761</v>
      </c>
      <c r="H1153" t="s">
        <v>14</v>
      </c>
      <c r="I1153" s="4" t="str">
        <f t="shared" si="464"/>
        <v>Living Annuity</v>
      </c>
      <c r="J1153" t="str">
        <f t="shared" si="465"/>
        <v>Compulsory, LA</v>
      </c>
      <c r="K1153" t="s">
        <v>15</v>
      </c>
      <c r="M1153" t="str">
        <f t="shared" si="459"/>
        <v>a</v>
      </c>
      <c r="N1153" t="str">
        <f t="shared" si="460"/>
        <v/>
      </c>
      <c r="O1153" t="str">
        <f t="shared" si="461"/>
        <v/>
      </c>
    </row>
    <row r="1154" spans="1:15" x14ac:dyDescent="0.3">
      <c r="A1154">
        <v>100630705</v>
      </c>
      <c r="B1154" t="s">
        <v>767</v>
      </c>
      <c r="C1154">
        <v>248</v>
      </c>
      <c r="D1154" t="s">
        <v>721</v>
      </c>
      <c r="E1154" t="s">
        <v>1166</v>
      </c>
      <c r="F1154" s="26">
        <v>2604.83</v>
      </c>
      <c r="G1154" s="3">
        <v>45761</v>
      </c>
      <c r="H1154" t="s">
        <v>31</v>
      </c>
      <c r="I1154" s="4" t="str">
        <f t="shared" si="464"/>
        <v>Investment Account</v>
      </c>
      <c r="J1154" t="str">
        <f t="shared" si="465"/>
        <v>Voluntary</v>
      </c>
      <c r="K1154" t="s">
        <v>15</v>
      </c>
      <c r="M1154" t="str">
        <f t="shared" si="459"/>
        <v>a</v>
      </c>
      <c r="N1154" t="str">
        <f t="shared" si="460"/>
        <v/>
      </c>
      <c r="O1154" t="str">
        <f t="shared" si="461"/>
        <v/>
      </c>
    </row>
    <row r="1155" spans="1:15" x14ac:dyDescent="0.3">
      <c r="A1155">
        <v>100630706</v>
      </c>
      <c r="B1155" t="s">
        <v>986</v>
      </c>
      <c r="C1155">
        <v>361</v>
      </c>
      <c r="D1155" t="s">
        <v>847</v>
      </c>
      <c r="E1155" t="s">
        <v>1166</v>
      </c>
      <c r="F1155" s="26">
        <v>486.3</v>
      </c>
      <c r="G1155" s="3">
        <v>45761</v>
      </c>
      <c r="H1155" t="s">
        <v>31</v>
      </c>
      <c r="I1155" s="4" t="str">
        <f t="shared" si="464"/>
        <v>Investment Account</v>
      </c>
      <c r="J1155" t="str">
        <f t="shared" si="465"/>
        <v>Voluntary</v>
      </c>
      <c r="K1155" t="s">
        <v>15</v>
      </c>
      <c r="M1155" t="str">
        <f t="shared" si="459"/>
        <v>a</v>
      </c>
      <c r="N1155" t="str">
        <f t="shared" si="460"/>
        <v/>
      </c>
      <c r="O1155" t="str">
        <f t="shared" si="461"/>
        <v/>
      </c>
    </row>
    <row r="1156" spans="1:15" s="13" customFormat="1" x14ac:dyDescent="0.3">
      <c r="A1156" s="13">
        <v>100633203</v>
      </c>
      <c r="B1156" s="13" t="s">
        <v>728</v>
      </c>
      <c r="C1156" s="13">
        <v>447</v>
      </c>
      <c r="D1156" s="13" t="s">
        <v>712</v>
      </c>
      <c r="E1156" s="13" t="s">
        <v>1166</v>
      </c>
      <c r="F1156" s="28">
        <v>30361.919999999998</v>
      </c>
      <c r="G1156" s="14">
        <v>45761</v>
      </c>
      <c r="H1156" s="13" t="s">
        <v>31</v>
      </c>
      <c r="I1156" s="15" t="str">
        <f t="shared" si="464"/>
        <v>Investment Account</v>
      </c>
      <c r="J1156" s="13" t="str">
        <f t="shared" si="465"/>
        <v>Voluntary</v>
      </c>
      <c r="K1156" s="13" t="s">
        <v>15</v>
      </c>
      <c r="M1156" t="str">
        <f t="shared" si="459"/>
        <v>a</v>
      </c>
      <c r="N1156" t="str">
        <f t="shared" si="460"/>
        <v/>
      </c>
      <c r="O1156" t="str">
        <f t="shared" si="461"/>
        <v/>
      </c>
    </row>
    <row r="1157" spans="1:15" x14ac:dyDescent="0.3">
      <c r="A1157">
        <v>100637079</v>
      </c>
      <c r="B1157" t="s">
        <v>816</v>
      </c>
      <c r="C1157">
        <v>7</v>
      </c>
      <c r="D1157" t="s">
        <v>722</v>
      </c>
      <c r="E1157" t="s">
        <v>1166</v>
      </c>
      <c r="F1157" s="26">
        <v>14557.73</v>
      </c>
      <c r="G1157" s="3">
        <v>45761</v>
      </c>
      <c r="H1157" t="s">
        <v>26</v>
      </c>
      <c r="I1157" s="4" t="str">
        <f t="shared" si="464"/>
        <v>Retirement Annuity</v>
      </c>
      <c r="J1157" t="str">
        <f t="shared" si="465"/>
        <v>Compulsory, RA</v>
      </c>
      <c r="K1157" t="s">
        <v>15</v>
      </c>
      <c r="M1157" t="str">
        <f t="shared" si="459"/>
        <v>d</v>
      </c>
      <c r="N1157" t="str">
        <f t="shared" si="460"/>
        <v/>
      </c>
      <c r="O1157" t="str">
        <f t="shared" si="461"/>
        <v/>
      </c>
    </row>
    <row r="1158" spans="1:15" x14ac:dyDescent="0.3">
      <c r="A1158">
        <v>100637079</v>
      </c>
      <c r="B1158" t="s">
        <v>817</v>
      </c>
      <c r="C1158">
        <v>7</v>
      </c>
      <c r="D1158" t="s">
        <v>722</v>
      </c>
      <c r="E1158" t="s">
        <v>1166</v>
      </c>
      <c r="F1158" s="26">
        <v>20197.02</v>
      </c>
      <c r="G1158" s="3">
        <v>45761</v>
      </c>
      <c r="H1158" t="s">
        <v>26</v>
      </c>
      <c r="I1158" s="4" t="str">
        <f t="shared" si="464"/>
        <v>Retirement Annuity</v>
      </c>
      <c r="J1158" t="str">
        <f t="shared" si="465"/>
        <v>Compulsory, RA</v>
      </c>
      <c r="K1158" t="s">
        <v>15</v>
      </c>
      <c r="M1158" t="str">
        <f t="shared" si="459"/>
        <v>d</v>
      </c>
      <c r="N1158" t="str">
        <f t="shared" si="460"/>
        <v/>
      </c>
      <c r="O1158" t="str">
        <f t="shared" si="461"/>
        <v/>
      </c>
    </row>
    <row r="1159" spans="1:15" x14ac:dyDescent="0.3">
      <c r="A1159">
        <v>100637079</v>
      </c>
      <c r="B1159" t="s">
        <v>1192</v>
      </c>
      <c r="C1159">
        <v>7</v>
      </c>
      <c r="D1159" t="s">
        <v>722</v>
      </c>
      <c r="E1159" t="s">
        <v>1166</v>
      </c>
      <c r="F1159" s="26">
        <v>1692.57</v>
      </c>
      <c r="G1159" s="3">
        <v>45761</v>
      </c>
      <c r="H1159" t="s">
        <v>1174</v>
      </c>
      <c r="I1159" s="4" t="str">
        <f t="shared" si="464"/>
        <v>Retirement Annuity - Savings C</v>
      </c>
      <c r="J1159" t="str">
        <f t="shared" si="465"/>
        <v>Compulsory, RA</v>
      </c>
      <c r="K1159" t="s">
        <v>15</v>
      </c>
      <c r="M1159" t="str">
        <f t="shared" si="459"/>
        <v>d</v>
      </c>
      <c r="N1159" t="str">
        <f t="shared" si="460"/>
        <v/>
      </c>
      <c r="O1159" t="str">
        <f t="shared" si="461"/>
        <v/>
      </c>
    </row>
    <row r="1160" spans="1:15" x14ac:dyDescent="0.3">
      <c r="A1160">
        <v>100637079</v>
      </c>
      <c r="B1160" t="s">
        <v>1193</v>
      </c>
      <c r="C1160">
        <v>7</v>
      </c>
      <c r="D1160" t="s">
        <v>722</v>
      </c>
      <c r="E1160" t="s">
        <v>1166</v>
      </c>
      <c r="F1160" s="26">
        <v>2346.13</v>
      </c>
      <c r="G1160" s="3">
        <v>45761</v>
      </c>
      <c r="H1160" t="s">
        <v>1174</v>
      </c>
      <c r="I1160" s="4" t="str">
        <f t="shared" si="464"/>
        <v>Retirement Annuity - Savings C</v>
      </c>
      <c r="J1160" t="str">
        <f t="shared" si="465"/>
        <v>Compulsory, RA</v>
      </c>
      <c r="K1160" t="s">
        <v>15</v>
      </c>
      <c r="M1160" t="str">
        <f t="shared" si="459"/>
        <v>d</v>
      </c>
      <c r="N1160" t="str">
        <f t="shared" si="460"/>
        <v/>
      </c>
      <c r="O1160" t="str">
        <f t="shared" si="461"/>
        <v/>
      </c>
    </row>
    <row r="1161" spans="1:15" x14ac:dyDescent="0.3">
      <c r="A1161">
        <v>100641153</v>
      </c>
      <c r="B1161" t="s">
        <v>768</v>
      </c>
      <c r="C1161">
        <v>455</v>
      </c>
      <c r="D1161" t="s">
        <v>725</v>
      </c>
      <c r="E1161" t="s">
        <v>1166</v>
      </c>
      <c r="F1161" s="26">
        <v>4847.76</v>
      </c>
      <c r="G1161" s="3">
        <v>45761</v>
      </c>
      <c r="H1161" t="s">
        <v>14</v>
      </c>
      <c r="I1161" s="4" t="str">
        <f t="shared" si="464"/>
        <v>Living Annuity</v>
      </c>
      <c r="J1161" t="str">
        <f t="shared" si="465"/>
        <v>Compulsory, LA</v>
      </c>
      <c r="K1161" t="s">
        <v>15</v>
      </c>
      <c r="M1161" t="str">
        <f t="shared" si="459"/>
        <v>a</v>
      </c>
      <c r="N1161" t="str">
        <f t="shared" si="460"/>
        <v/>
      </c>
      <c r="O1161" t="str">
        <f t="shared" si="461"/>
        <v/>
      </c>
    </row>
    <row r="1162" spans="1:15" x14ac:dyDescent="0.3">
      <c r="A1162">
        <v>100651305</v>
      </c>
      <c r="B1162" t="s">
        <v>769</v>
      </c>
      <c r="C1162">
        <v>82</v>
      </c>
      <c r="D1162" t="s">
        <v>727</v>
      </c>
      <c r="E1162" t="s">
        <v>1166</v>
      </c>
      <c r="F1162" s="26">
        <v>2649.77</v>
      </c>
      <c r="G1162" s="3">
        <v>45761</v>
      </c>
      <c r="H1162" s="12" t="s">
        <v>31</v>
      </c>
      <c r="I1162" s="4" t="str">
        <f t="shared" si="464"/>
        <v>Investment Account</v>
      </c>
      <c r="J1162" t="str">
        <f t="shared" si="465"/>
        <v>Voluntary</v>
      </c>
      <c r="K1162" t="s">
        <v>15</v>
      </c>
      <c r="M1162" t="str">
        <f t="shared" si="459"/>
        <v>a</v>
      </c>
      <c r="N1162" t="str">
        <f t="shared" si="460"/>
        <v/>
      </c>
      <c r="O1162" t="str">
        <f t="shared" si="461"/>
        <v/>
      </c>
    </row>
    <row r="1163" spans="1:15" x14ac:dyDescent="0.3">
      <c r="A1163">
        <v>100651921</v>
      </c>
      <c r="B1163" t="s">
        <v>987</v>
      </c>
      <c r="C1163">
        <v>13</v>
      </c>
      <c r="D1163" t="s">
        <v>732</v>
      </c>
      <c r="E1163" t="s">
        <v>1166</v>
      </c>
      <c r="F1163" s="26">
        <v>16070.38</v>
      </c>
      <c r="G1163" s="3">
        <v>45761</v>
      </c>
      <c r="H1163" t="s">
        <v>31</v>
      </c>
      <c r="I1163" s="4" t="str">
        <f t="shared" si="464"/>
        <v>Investment Account</v>
      </c>
      <c r="J1163" t="str">
        <f t="shared" si="465"/>
        <v>Voluntary</v>
      </c>
      <c r="K1163" t="s">
        <v>15</v>
      </c>
      <c r="M1163" t="str">
        <f t="shared" si="459"/>
        <v>a</v>
      </c>
      <c r="N1163" t="str">
        <f t="shared" si="460"/>
        <v/>
      </c>
      <c r="O1163" t="str">
        <f t="shared" si="461"/>
        <v/>
      </c>
    </row>
    <row r="1164" spans="1:15" x14ac:dyDescent="0.3">
      <c r="A1164">
        <v>100651921</v>
      </c>
      <c r="B1164" t="s">
        <v>988</v>
      </c>
      <c r="C1164">
        <v>13</v>
      </c>
      <c r="D1164" t="s">
        <v>732</v>
      </c>
      <c r="E1164" t="s">
        <v>1166</v>
      </c>
      <c r="F1164" s="26">
        <v>2127.11</v>
      </c>
      <c r="G1164" s="3">
        <v>45761</v>
      </c>
      <c r="H1164" t="s">
        <v>31</v>
      </c>
      <c r="I1164" s="4" t="str">
        <f t="shared" si="464"/>
        <v>Investment Account</v>
      </c>
      <c r="J1164" t="str">
        <f t="shared" si="465"/>
        <v>Voluntary</v>
      </c>
      <c r="K1164" t="s">
        <v>15</v>
      </c>
      <c r="M1164" t="str">
        <f t="shared" si="459"/>
        <v>a</v>
      </c>
      <c r="N1164" t="str">
        <f t="shared" si="460"/>
        <v/>
      </c>
      <c r="O1164" t="str">
        <f t="shared" si="461"/>
        <v/>
      </c>
    </row>
    <row r="1165" spans="1:15" x14ac:dyDescent="0.3">
      <c r="A1165">
        <v>100655835</v>
      </c>
      <c r="B1165" t="s">
        <v>770</v>
      </c>
      <c r="C1165">
        <v>456</v>
      </c>
      <c r="D1165" t="s">
        <v>731</v>
      </c>
      <c r="E1165" t="s">
        <v>1166</v>
      </c>
      <c r="F1165" s="26">
        <v>322473.46000000002</v>
      </c>
      <c r="G1165" s="3">
        <v>45761</v>
      </c>
      <c r="H1165" t="s">
        <v>14</v>
      </c>
      <c r="I1165" s="4" t="str">
        <f t="shared" si="464"/>
        <v>Living Annuity</v>
      </c>
      <c r="J1165" t="str">
        <f t="shared" si="465"/>
        <v>Compulsory, LA</v>
      </c>
      <c r="K1165" t="s">
        <v>15</v>
      </c>
      <c r="M1165" t="str">
        <f t="shared" si="459"/>
        <v>a</v>
      </c>
      <c r="N1165" t="str">
        <f t="shared" si="460"/>
        <v/>
      </c>
      <c r="O1165" t="str">
        <f t="shared" si="461"/>
        <v/>
      </c>
    </row>
    <row r="1166" spans="1:15" x14ac:dyDescent="0.3">
      <c r="A1166">
        <v>100663638</v>
      </c>
      <c r="B1166" t="s">
        <v>804</v>
      </c>
      <c r="C1166">
        <v>58</v>
      </c>
      <c r="D1166" t="s">
        <v>802</v>
      </c>
      <c r="E1166" t="s">
        <v>1166</v>
      </c>
      <c r="F1166" s="26">
        <v>60362.51</v>
      </c>
      <c r="G1166" s="3">
        <v>45761</v>
      </c>
      <c r="H1166" t="s">
        <v>14</v>
      </c>
      <c r="I1166" s="4" t="str">
        <f t="shared" si="464"/>
        <v>Living Annuity</v>
      </c>
      <c r="J1166" t="str">
        <f t="shared" si="465"/>
        <v>Compulsory, LA</v>
      </c>
      <c r="K1166" t="s">
        <v>15</v>
      </c>
      <c r="M1166" t="str">
        <f t="shared" si="459"/>
        <v>a</v>
      </c>
      <c r="N1166" t="str">
        <f t="shared" si="460"/>
        <v/>
      </c>
      <c r="O1166" t="str">
        <f t="shared" si="461"/>
        <v/>
      </c>
    </row>
    <row r="1167" spans="1:15" x14ac:dyDescent="0.3">
      <c r="A1167">
        <v>100663638</v>
      </c>
      <c r="B1167" t="s">
        <v>863</v>
      </c>
      <c r="C1167">
        <v>58</v>
      </c>
      <c r="D1167" t="s">
        <v>802</v>
      </c>
      <c r="E1167" t="s">
        <v>1166</v>
      </c>
      <c r="F1167" s="26">
        <v>2605.54</v>
      </c>
      <c r="G1167" s="3">
        <v>45761</v>
      </c>
      <c r="H1167" t="s">
        <v>14</v>
      </c>
      <c r="I1167" s="4" t="str">
        <f t="shared" si="464"/>
        <v>Living Annuity</v>
      </c>
      <c r="J1167" t="str">
        <f t="shared" si="465"/>
        <v>Compulsory, LA</v>
      </c>
      <c r="K1167" t="s">
        <v>15</v>
      </c>
      <c r="M1167" t="str">
        <f t="shared" si="459"/>
        <v>a</v>
      </c>
      <c r="N1167" t="str">
        <f t="shared" si="460"/>
        <v/>
      </c>
      <c r="O1167" t="str">
        <f t="shared" si="461"/>
        <v/>
      </c>
    </row>
    <row r="1168" spans="1:15" x14ac:dyDescent="0.3">
      <c r="A1168">
        <v>100663638</v>
      </c>
      <c r="B1168" t="s">
        <v>1161</v>
      </c>
      <c r="C1168">
        <v>58</v>
      </c>
      <c r="D1168" t="s">
        <v>802</v>
      </c>
      <c r="E1168" t="s">
        <v>1166</v>
      </c>
      <c r="F1168" s="26">
        <v>64078.559999999998</v>
      </c>
      <c r="G1168" s="3">
        <v>45761</v>
      </c>
      <c r="H1168" t="s">
        <v>1147</v>
      </c>
      <c r="I1168" s="4" t="str">
        <f t="shared" si="464"/>
        <v>Investment Account</v>
      </c>
      <c r="J1168" t="str">
        <f t="shared" si="465"/>
        <v>Voluntary</v>
      </c>
      <c r="K1168" t="s">
        <v>15</v>
      </c>
      <c r="M1168" t="str">
        <f t="shared" si="459"/>
        <v>a</v>
      </c>
      <c r="N1168" t="str">
        <f t="shared" si="460"/>
        <v/>
      </c>
      <c r="O1168" t="str">
        <f t="shared" si="461"/>
        <v/>
      </c>
    </row>
    <row r="1169" spans="1:15" x14ac:dyDescent="0.3">
      <c r="A1169">
        <v>100664029</v>
      </c>
      <c r="B1169" t="s">
        <v>866</v>
      </c>
      <c r="C1169">
        <v>5</v>
      </c>
      <c r="D1169" t="s">
        <v>864</v>
      </c>
      <c r="E1169" t="s">
        <v>1166</v>
      </c>
      <c r="F1169" s="26">
        <v>10404.75</v>
      </c>
      <c r="G1169" s="3">
        <v>45761</v>
      </c>
      <c r="H1169" t="s">
        <v>14</v>
      </c>
      <c r="I1169" s="4" t="str">
        <f t="shared" si="464"/>
        <v>Living Annuity</v>
      </c>
      <c r="J1169" t="str">
        <f t="shared" si="465"/>
        <v>Compulsory, LA</v>
      </c>
      <c r="K1169" t="s">
        <v>15</v>
      </c>
      <c r="M1169" t="str">
        <f t="shared" si="459"/>
        <v>a</v>
      </c>
      <c r="N1169" t="str">
        <f t="shared" si="460"/>
        <v/>
      </c>
      <c r="O1169" t="str">
        <f t="shared" si="461"/>
        <v/>
      </c>
    </row>
    <row r="1170" spans="1:15" x14ac:dyDescent="0.3">
      <c r="A1170">
        <v>100664029</v>
      </c>
      <c r="B1170" t="s">
        <v>868</v>
      </c>
      <c r="C1170">
        <v>5</v>
      </c>
      <c r="D1170" t="s">
        <v>864</v>
      </c>
      <c r="E1170" t="s">
        <v>1166</v>
      </c>
      <c r="F1170" s="26">
        <v>7686.3</v>
      </c>
      <c r="G1170" s="3">
        <v>45761</v>
      </c>
      <c r="H1170" t="s">
        <v>14</v>
      </c>
      <c r="I1170" s="4" t="str">
        <f t="shared" si="464"/>
        <v>Living Annuity</v>
      </c>
      <c r="J1170" t="str">
        <f t="shared" si="465"/>
        <v>Compulsory, LA</v>
      </c>
      <c r="K1170" t="s">
        <v>15</v>
      </c>
      <c r="M1170" t="str">
        <f t="shared" si="459"/>
        <v>a</v>
      </c>
      <c r="N1170" t="str">
        <f t="shared" si="460"/>
        <v/>
      </c>
      <c r="O1170" t="str">
        <f t="shared" si="461"/>
        <v/>
      </c>
    </row>
    <row r="1171" spans="1:15" x14ac:dyDescent="0.3">
      <c r="A1171">
        <v>100664292</v>
      </c>
      <c r="B1171" t="s">
        <v>989</v>
      </c>
      <c r="C1171">
        <v>21</v>
      </c>
      <c r="D1171" t="s">
        <v>849</v>
      </c>
      <c r="E1171" t="s">
        <v>1166</v>
      </c>
      <c r="F1171" s="25">
        <v>13074.12</v>
      </c>
      <c r="G1171" s="3">
        <v>45761</v>
      </c>
      <c r="H1171" t="s">
        <v>31</v>
      </c>
      <c r="I1171" s="4" t="str">
        <f t="shared" si="464"/>
        <v>Investment Account</v>
      </c>
      <c r="J1171" t="str">
        <f t="shared" si="465"/>
        <v>Voluntary</v>
      </c>
      <c r="K1171" t="s">
        <v>15</v>
      </c>
      <c r="M1171" t="str">
        <f t="shared" si="459"/>
        <v>a</v>
      </c>
      <c r="N1171" t="str">
        <f t="shared" si="460"/>
        <v/>
      </c>
      <c r="O1171" t="str">
        <f t="shared" si="461"/>
        <v/>
      </c>
    </row>
    <row r="1172" spans="1:15" x14ac:dyDescent="0.3">
      <c r="A1172">
        <v>100664292</v>
      </c>
      <c r="B1172" t="s">
        <v>870</v>
      </c>
      <c r="C1172">
        <v>21</v>
      </c>
      <c r="D1172" t="s">
        <v>849</v>
      </c>
      <c r="E1172" t="s">
        <v>1166</v>
      </c>
      <c r="F1172" s="25">
        <v>23351.51</v>
      </c>
      <c r="G1172" s="3">
        <v>45761</v>
      </c>
      <c r="H1172" t="s">
        <v>14</v>
      </c>
      <c r="I1172" s="4" t="str">
        <f t="shared" si="464"/>
        <v>Living Annuity</v>
      </c>
      <c r="J1172" t="str">
        <f t="shared" si="465"/>
        <v>Compulsory, LA</v>
      </c>
      <c r="K1172" t="s">
        <v>15</v>
      </c>
      <c r="M1172" t="str">
        <f t="shared" si="459"/>
        <v>a</v>
      </c>
      <c r="N1172" t="str">
        <f t="shared" si="460"/>
        <v/>
      </c>
      <c r="O1172" t="str">
        <f t="shared" si="461"/>
        <v/>
      </c>
    </row>
    <row r="1173" spans="1:15" x14ac:dyDescent="0.3">
      <c r="A1173">
        <v>100664348</v>
      </c>
      <c r="B1173" t="s">
        <v>878</v>
      </c>
      <c r="C1173">
        <v>257</v>
      </c>
      <c r="D1173" t="s">
        <v>871</v>
      </c>
      <c r="E1173" t="s">
        <v>1166</v>
      </c>
      <c r="F1173" s="25">
        <v>27995.360000000001</v>
      </c>
      <c r="G1173" s="3">
        <v>45761</v>
      </c>
      <c r="H1173" t="s">
        <v>14</v>
      </c>
      <c r="I1173" s="4" t="str">
        <f t="shared" si="464"/>
        <v>Living Annuity</v>
      </c>
      <c r="J1173" t="str">
        <f t="shared" si="465"/>
        <v>Compulsory, LA</v>
      </c>
      <c r="K1173" t="s">
        <v>15</v>
      </c>
      <c r="M1173" t="str">
        <f t="shared" si="459"/>
        <v>a</v>
      </c>
      <c r="N1173" t="str">
        <f t="shared" si="460"/>
        <v/>
      </c>
      <c r="O1173" t="str">
        <f t="shared" si="461"/>
        <v/>
      </c>
    </row>
    <row r="1174" spans="1:15" x14ac:dyDescent="0.3">
      <c r="A1174">
        <v>100664351</v>
      </c>
      <c r="B1174" t="s">
        <v>879</v>
      </c>
      <c r="C1174">
        <v>196</v>
      </c>
      <c r="D1174" t="s">
        <v>873</v>
      </c>
      <c r="E1174" t="s">
        <v>1166</v>
      </c>
      <c r="F1174" s="25">
        <v>245.38</v>
      </c>
      <c r="G1174" s="3">
        <v>45761</v>
      </c>
      <c r="H1174" t="s">
        <v>14</v>
      </c>
      <c r="I1174" s="4" t="str">
        <f t="shared" si="464"/>
        <v>Living Annuity</v>
      </c>
      <c r="J1174" t="str">
        <f t="shared" si="465"/>
        <v>Compulsory, LA</v>
      </c>
      <c r="K1174" t="s">
        <v>15</v>
      </c>
      <c r="M1174" t="str">
        <f t="shared" si="459"/>
        <v>a</v>
      </c>
      <c r="N1174" t="str">
        <f t="shared" si="460"/>
        <v/>
      </c>
      <c r="O1174" t="str">
        <f t="shared" si="461"/>
        <v/>
      </c>
    </row>
    <row r="1175" spans="1:15" x14ac:dyDescent="0.3">
      <c r="A1175">
        <v>100664601</v>
      </c>
      <c r="B1175" t="s">
        <v>880</v>
      </c>
      <c r="C1175">
        <v>60</v>
      </c>
      <c r="D1175" t="s">
        <v>875</v>
      </c>
      <c r="E1175" t="s">
        <v>1166</v>
      </c>
      <c r="F1175" s="25">
        <v>212929.77</v>
      </c>
      <c r="G1175" s="3">
        <v>45761</v>
      </c>
      <c r="H1175" t="s">
        <v>80</v>
      </c>
      <c r="I1175" s="4" t="str">
        <f t="shared" si="464"/>
        <v>Pension Preservation Fund</v>
      </c>
      <c r="J1175" t="str">
        <f t="shared" si="465"/>
        <v>Compulsory, Pens</v>
      </c>
      <c r="K1175" t="s">
        <v>15</v>
      </c>
      <c r="M1175" t="str">
        <f t="shared" si="459"/>
        <v>d</v>
      </c>
      <c r="N1175" t="str">
        <f t="shared" si="460"/>
        <v/>
      </c>
      <c r="O1175" t="str">
        <f t="shared" si="461"/>
        <v/>
      </c>
    </row>
    <row r="1176" spans="1:15" x14ac:dyDescent="0.3">
      <c r="A1176">
        <v>100664601</v>
      </c>
      <c r="B1176" t="s">
        <v>881</v>
      </c>
      <c r="C1176">
        <v>60</v>
      </c>
      <c r="D1176" t="s">
        <v>875</v>
      </c>
      <c r="E1176" t="s">
        <v>1166</v>
      </c>
      <c r="F1176" s="25">
        <v>65806.320000000007</v>
      </c>
      <c r="G1176" s="3">
        <v>45761</v>
      </c>
      <c r="H1176" t="s">
        <v>26</v>
      </c>
      <c r="I1176" s="4" t="str">
        <f t="shared" si="464"/>
        <v>Retirement Annuity</v>
      </c>
      <c r="J1176" t="str">
        <f t="shared" si="465"/>
        <v>Compulsory, RA</v>
      </c>
      <c r="K1176" t="s">
        <v>15</v>
      </c>
      <c r="M1176" t="str">
        <f t="shared" si="459"/>
        <v>d</v>
      </c>
      <c r="N1176" t="str">
        <f t="shared" si="460"/>
        <v/>
      </c>
      <c r="O1176" t="str">
        <f t="shared" si="461"/>
        <v/>
      </c>
    </row>
    <row r="1177" spans="1:15" x14ac:dyDescent="0.3">
      <c r="A1177">
        <v>100664601</v>
      </c>
      <c r="B1177" t="s">
        <v>1194</v>
      </c>
      <c r="C1177">
        <v>60</v>
      </c>
      <c r="D1177" t="s">
        <v>875</v>
      </c>
      <c r="E1177" t="s">
        <v>1166</v>
      </c>
      <c r="F1177" s="25">
        <v>3251.9</v>
      </c>
      <c r="G1177" s="3">
        <v>45761</v>
      </c>
      <c r="H1177" t="s">
        <v>1187</v>
      </c>
      <c r="I1177" s="4" t="str">
        <f t="shared" si="464"/>
        <v>Pension Preservation Fund - Sa</v>
      </c>
      <c r="J1177" t="str">
        <f t="shared" si="465"/>
        <v>Compulsory, Pens</v>
      </c>
      <c r="K1177" t="s">
        <v>15</v>
      </c>
      <c r="M1177" t="str">
        <f t="shared" si="459"/>
        <v>d</v>
      </c>
      <c r="N1177" t="str">
        <f t="shared" si="460"/>
        <v/>
      </c>
      <c r="O1177" t="str">
        <f t="shared" si="461"/>
        <v/>
      </c>
    </row>
    <row r="1178" spans="1:15" x14ac:dyDescent="0.3">
      <c r="A1178">
        <v>100664601</v>
      </c>
      <c r="B1178" t="s">
        <v>1195</v>
      </c>
      <c r="C1178">
        <v>60</v>
      </c>
      <c r="D1178" t="s">
        <v>875</v>
      </c>
      <c r="E1178" t="s">
        <v>1166</v>
      </c>
      <c r="F1178" s="25">
        <v>3267.73</v>
      </c>
      <c r="G1178" s="3">
        <v>45761</v>
      </c>
      <c r="H1178" t="s">
        <v>1174</v>
      </c>
      <c r="I1178" s="4" t="str">
        <f t="shared" si="464"/>
        <v>Retirement Annuity - Savings C</v>
      </c>
      <c r="J1178" t="str">
        <f t="shared" si="465"/>
        <v>Compulsory, RA</v>
      </c>
      <c r="K1178" t="s">
        <v>15</v>
      </c>
      <c r="M1178" t="str">
        <f t="shared" si="459"/>
        <v>d</v>
      </c>
      <c r="N1178" t="str">
        <f t="shared" si="460"/>
        <v/>
      </c>
      <c r="O1178" t="str">
        <f t="shared" si="461"/>
        <v/>
      </c>
    </row>
    <row r="1179" spans="1:15" x14ac:dyDescent="0.3">
      <c r="A1179">
        <v>100664737</v>
      </c>
      <c r="B1179" t="s">
        <v>1116</v>
      </c>
      <c r="C1179">
        <v>57</v>
      </c>
      <c r="D1179" t="s">
        <v>882</v>
      </c>
      <c r="E1179" t="s">
        <v>1166</v>
      </c>
      <c r="F1179" s="25">
        <v>13656.38</v>
      </c>
      <c r="G1179" s="3">
        <v>45761</v>
      </c>
      <c r="H1179" t="s">
        <v>14</v>
      </c>
      <c r="I1179" s="4" t="str">
        <f t="shared" si="464"/>
        <v>Living Annuity</v>
      </c>
      <c r="J1179" t="str">
        <f t="shared" si="465"/>
        <v>Compulsory, LA</v>
      </c>
      <c r="K1179" t="s">
        <v>15</v>
      </c>
      <c r="M1179" t="str">
        <f t="shared" si="459"/>
        <v>a</v>
      </c>
      <c r="N1179" t="str">
        <f t="shared" si="460"/>
        <v/>
      </c>
      <c r="O1179" t="str">
        <f t="shared" si="461"/>
        <v/>
      </c>
    </row>
    <row r="1180" spans="1:15" x14ac:dyDescent="0.3">
      <c r="A1180">
        <v>100664737</v>
      </c>
      <c r="B1180" t="s">
        <v>1122</v>
      </c>
      <c r="C1180">
        <v>57</v>
      </c>
      <c r="D1180" t="s">
        <v>882</v>
      </c>
      <c r="E1180" t="s">
        <v>1166</v>
      </c>
      <c r="F1180" s="25">
        <v>4226.1099999999997</v>
      </c>
      <c r="G1180" s="3">
        <v>45761</v>
      </c>
      <c r="H1180" t="s">
        <v>14</v>
      </c>
      <c r="I1180" s="4" t="str">
        <f t="shared" si="464"/>
        <v>Living Annuity</v>
      </c>
      <c r="J1180" t="str">
        <f t="shared" si="465"/>
        <v>Compulsory, LA</v>
      </c>
      <c r="K1180" t="s">
        <v>15</v>
      </c>
      <c r="M1180" t="str">
        <f t="shared" si="459"/>
        <v>a</v>
      </c>
      <c r="N1180" t="str">
        <f t="shared" si="460"/>
        <v/>
      </c>
      <c r="O1180" t="str">
        <f t="shared" si="461"/>
        <v/>
      </c>
    </row>
    <row r="1181" spans="1:15" x14ac:dyDescent="0.3">
      <c r="A1181">
        <v>100665510</v>
      </c>
      <c r="B1181" t="s">
        <v>885</v>
      </c>
      <c r="C1181">
        <v>6</v>
      </c>
      <c r="D1181" t="s">
        <v>850</v>
      </c>
      <c r="E1181" t="s">
        <v>1166</v>
      </c>
      <c r="F1181" s="25">
        <v>2515.88</v>
      </c>
      <c r="G1181" s="3">
        <v>45761</v>
      </c>
      <c r="H1181" t="s">
        <v>14</v>
      </c>
      <c r="I1181" s="4" t="str">
        <f t="shared" si="464"/>
        <v>Living Annuity</v>
      </c>
      <c r="J1181" t="str">
        <f t="shared" si="465"/>
        <v>Compulsory, LA</v>
      </c>
      <c r="K1181" t="s">
        <v>15</v>
      </c>
      <c r="M1181" t="str">
        <f t="shared" si="459"/>
        <v>a</v>
      </c>
      <c r="N1181" t="str">
        <f t="shared" si="460"/>
        <v/>
      </c>
      <c r="O1181" t="str">
        <f t="shared" si="461"/>
        <v/>
      </c>
    </row>
    <row r="1182" spans="1:15" x14ac:dyDescent="0.3">
      <c r="A1182">
        <v>100665581</v>
      </c>
      <c r="B1182" t="s">
        <v>1227</v>
      </c>
      <c r="C1182">
        <v>113</v>
      </c>
      <c r="D1182" t="s">
        <v>884</v>
      </c>
      <c r="E1182" t="s">
        <v>1166</v>
      </c>
      <c r="F1182" s="25">
        <v>71181.88</v>
      </c>
      <c r="G1182" s="3">
        <v>45761</v>
      </c>
      <c r="H1182" t="s">
        <v>1147</v>
      </c>
      <c r="I1182" s="4" t="str">
        <f t="shared" si="464"/>
        <v>Investment Account</v>
      </c>
      <c r="J1182" t="str">
        <f t="shared" si="465"/>
        <v>Voluntary</v>
      </c>
      <c r="K1182" t="s">
        <v>15</v>
      </c>
      <c r="M1182" t="str">
        <f t="shared" si="459"/>
        <v>a</v>
      </c>
      <c r="N1182" t="str">
        <f t="shared" si="460"/>
        <v/>
      </c>
      <c r="O1182" t="str">
        <f t="shared" si="461"/>
        <v/>
      </c>
    </row>
    <row r="1183" spans="1:15" x14ac:dyDescent="0.3">
      <c r="A1183">
        <v>100665581</v>
      </c>
      <c r="B1183" t="s">
        <v>1235</v>
      </c>
      <c r="C1183">
        <v>113</v>
      </c>
      <c r="D1183" t="s">
        <v>884</v>
      </c>
      <c r="E1183" t="s">
        <v>1166</v>
      </c>
      <c r="F1183" s="25">
        <v>46612.74</v>
      </c>
      <c r="G1183" s="3">
        <v>45761</v>
      </c>
      <c r="H1183" t="s">
        <v>14</v>
      </c>
      <c r="I1183" s="4" t="str">
        <f t="shared" si="464"/>
        <v>Living Annuity</v>
      </c>
      <c r="J1183" t="str">
        <f t="shared" si="465"/>
        <v>Compulsory, LA</v>
      </c>
      <c r="K1183" t="s">
        <v>15</v>
      </c>
      <c r="M1183" t="str">
        <f t="shared" si="459"/>
        <v>a</v>
      </c>
      <c r="N1183" t="str">
        <f t="shared" si="460"/>
        <v/>
      </c>
      <c r="O1183" t="str">
        <f t="shared" si="461"/>
        <v/>
      </c>
    </row>
    <row r="1184" spans="1:15" x14ac:dyDescent="0.3">
      <c r="A1184">
        <v>100666150</v>
      </c>
      <c r="B1184" t="s">
        <v>805</v>
      </c>
      <c r="C1184">
        <v>163</v>
      </c>
      <c r="D1184" t="s">
        <v>803</v>
      </c>
      <c r="E1184" t="s">
        <v>1166</v>
      </c>
      <c r="F1184" s="26">
        <v>40593.01</v>
      </c>
      <c r="G1184" s="3">
        <v>45761</v>
      </c>
      <c r="H1184" t="s">
        <v>14</v>
      </c>
      <c r="I1184" s="4" t="str">
        <f t="shared" si="464"/>
        <v>Living Annuity</v>
      </c>
      <c r="J1184" t="str">
        <f t="shared" si="465"/>
        <v>Compulsory, LA</v>
      </c>
      <c r="K1184" t="s">
        <v>15</v>
      </c>
      <c r="M1184" t="str">
        <f t="shared" si="459"/>
        <v>a</v>
      </c>
      <c r="N1184" t="str">
        <f t="shared" si="460"/>
        <v/>
      </c>
      <c r="O1184" t="str">
        <f t="shared" si="461"/>
        <v/>
      </c>
    </row>
    <row r="1185" spans="1:15" x14ac:dyDescent="0.3">
      <c r="A1185">
        <v>100668409</v>
      </c>
      <c r="B1185" t="s">
        <v>990</v>
      </c>
      <c r="C1185">
        <v>178</v>
      </c>
      <c r="D1185" t="s">
        <v>852</v>
      </c>
      <c r="E1185" t="s">
        <v>1166</v>
      </c>
      <c r="F1185" s="26">
        <v>2216.73</v>
      </c>
      <c r="G1185" s="3">
        <v>45761</v>
      </c>
      <c r="H1185" t="s">
        <v>31</v>
      </c>
      <c r="I1185" s="4" t="str">
        <f t="shared" si="464"/>
        <v>Investment Account</v>
      </c>
      <c r="J1185" t="str">
        <f t="shared" si="465"/>
        <v>Voluntary</v>
      </c>
      <c r="K1185" t="s">
        <v>15</v>
      </c>
      <c r="M1185" t="str">
        <f t="shared" si="459"/>
        <v>a</v>
      </c>
      <c r="N1185" t="str">
        <f t="shared" si="460"/>
        <v/>
      </c>
      <c r="O1185" t="str">
        <f t="shared" si="461"/>
        <v/>
      </c>
    </row>
    <row r="1186" spans="1:15" x14ac:dyDescent="0.3">
      <c r="A1186">
        <v>100668534</v>
      </c>
      <c r="B1186" t="s">
        <v>991</v>
      </c>
      <c r="C1186">
        <v>23</v>
      </c>
      <c r="D1186" t="s">
        <v>194</v>
      </c>
      <c r="E1186" t="s">
        <v>1166</v>
      </c>
      <c r="F1186" s="26">
        <v>2061.19</v>
      </c>
      <c r="G1186" s="3">
        <v>45761</v>
      </c>
      <c r="H1186" t="s">
        <v>31</v>
      </c>
      <c r="I1186" s="4" t="str">
        <f t="shared" si="464"/>
        <v>Investment Account</v>
      </c>
      <c r="J1186" t="str">
        <f t="shared" si="465"/>
        <v>Voluntary</v>
      </c>
      <c r="K1186" t="s">
        <v>15</v>
      </c>
      <c r="M1186" t="str">
        <f t="shared" si="459"/>
        <v>a</v>
      </c>
      <c r="N1186" t="str">
        <f t="shared" si="460"/>
        <v/>
      </c>
      <c r="O1186" t="str">
        <f t="shared" si="461"/>
        <v/>
      </c>
    </row>
    <row r="1187" spans="1:15" x14ac:dyDescent="0.3">
      <c r="A1187">
        <v>100669580</v>
      </c>
      <c r="B1187" t="s">
        <v>889</v>
      </c>
      <c r="C1187">
        <v>321</v>
      </c>
      <c r="D1187" t="s">
        <v>887</v>
      </c>
      <c r="E1187" t="s">
        <v>1166</v>
      </c>
      <c r="F1187" s="26">
        <v>6968.41</v>
      </c>
      <c r="G1187" s="3">
        <v>45761</v>
      </c>
      <c r="H1187" t="s">
        <v>14</v>
      </c>
      <c r="I1187" s="4" t="str">
        <f t="shared" si="464"/>
        <v>Living Annuity</v>
      </c>
      <c r="J1187" t="str">
        <f t="shared" si="465"/>
        <v>Compulsory, LA</v>
      </c>
      <c r="K1187" t="s">
        <v>15</v>
      </c>
      <c r="M1187" t="str">
        <f t="shared" si="459"/>
        <v>a</v>
      </c>
      <c r="N1187" t="str">
        <f t="shared" si="460"/>
        <v/>
      </c>
      <c r="O1187" t="str">
        <f t="shared" si="461"/>
        <v/>
      </c>
    </row>
    <row r="1188" spans="1:15" x14ac:dyDescent="0.3">
      <c r="A1188">
        <v>100670671</v>
      </c>
      <c r="B1188" t="s">
        <v>892</v>
      </c>
      <c r="C1188">
        <v>150</v>
      </c>
      <c r="D1188" t="s">
        <v>890</v>
      </c>
      <c r="E1188" t="s">
        <v>1166</v>
      </c>
      <c r="F1188" s="26">
        <v>31347.94</v>
      </c>
      <c r="G1188" s="3">
        <v>45761</v>
      </c>
      <c r="H1188" t="s">
        <v>31</v>
      </c>
      <c r="I1188" s="4" t="str">
        <f t="shared" si="464"/>
        <v>Investment Account</v>
      </c>
      <c r="J1188" t="str">
        <f t="shared" si="465"/>
        <v>Voluntary</v>
      </c>
      <c r="K1188" t="s">
        <v>15</v>
      </c>
      <c r="M1188" t="str">
        <f t="shared" si="459"/>
        <v>a</v>
      </c>
      <c r="N1188" t="str">
        <f t="shared" si="460"/>
        <v/>
      </c>
      <c r="O1188" t="str">
        <f t="shared" si="461"/>
        <v/>
      </c>
    </row>
    <row r="1189" spans="1:15" x14ac:dyDescent="0.3">
      <c r="A1189">
        <v>100670671</v>
      </c>
      <c r="B1189" t="s">
        <v>1110</v>
      </c>
      <c r="C1189">
        <v>150</v>
      </c>
      <c r="D1189" t="s">
        <v>890</v>
      </c>
      <c r="E1189" t="s">
        <v>1166</v>
      </c>
      <c r="F1189" s="26">
        <v>13518.76</v>
      </c>
      <c r="G1189" s="3">
        <v>45761</v>
      </c>
      <c r="H1189" t="s">
        <v>26</v>
      </c>
      <c r="I1189" s="4" t="str">
        <f t="shared" si="464"/>
        <v>Retirement Annuity</v>
      </c>
      <c r="J1189" t="str">
        <f t="shared" si="465"/>
        <v>Compulsory, RA</v>
      </c>
      <c r="K1189" t="s">
        <v>15</v>
      </c>
      <c r="M1189" t="str">
        <f t="shared" si="459"/>
        <v>d</v>
      </c>
      <c r="N1189" t="str">
        <f t="shared" si="460"/>
        <v/>
      </c>
      <c r="O1189" t="str">
        <f t="shared" si="461"/>
        <v/>
      </c>
    </row>
    <row r="1190" spans="1:15" x14ac:dyDescent="0.3">
      <c r="A1190">
        <v>100670671</v>
      </c>
      <c r="B1190" t="s">
        <v>1196</v>
      </c>
      <c r="C1190">
        <v>150</v>
      </c>
      <c r="D1190" t="s">
        <v>890</v>
      </c>
      <c r="E1190" t="s">
        <v>1166</v>
      </c>
      <c r="F1190" s="26">
        <v>1716.61</v>
      </c>
      <c r="G1190" s="3">
        <v>45761</v>
      </c>
      <c r="H1190" t="s">
        <v>1174</v>
      </c>
      <c r="I1190" s="4" t="str">
        <f t="shared" si="464"/>
        <v>Retirement Annuity - Savings C</v>
      </c>
      <c r="J1190" t="str">
        <f t="shared" si="465"/>
        <v>Compulsory, RA</v>
      </c>
      <c r="K1190" t="s">
        <v>15</v>
      </c>
      <c r="M1190" t="str">
        <f t="shared" si="459"/>
        <v>d</v>
      </c>
      <c r="N1190" t="str">
        <f t="shared" si="460"/>
        <v/>
      </c>
      <c r="O1190" t="str">
        <f t="shared" si="461"/>
        <v/>
      </c>
    </row>
    <row r="1191" spans="1:15" x14ac:dyDescent="0.3">
      <c r="A1191">
        <v>100670671</v>
      </c>
      <c r="B1191" t="s">
        <v>1197</v>
      </c>
      <c r="C1191">
        <v>150</v>
      </c>
      <c r="D1191" t="s">
        <v>890</v>
      </c>
      <c r="E1191" t="s">
        <v>1166</v>
      </c>
      <c r="F1191" s="26">
        <v>265.24</v>
      </c>
      <c r="G1191" s="3">
        <v>45761</v>
      </c>
      <c r="H1191" t="s">
        <v>1175</v>
      </c>
      <c r="I1191" s="4" t="str">
        <f t="shared" si="464"/>
        <v>Retirement Annuity - Retiremen</v>
      </c>
      <c r="J1191" t="str">
        <f t="shared" si="465"/>
        <v>Compulsory, RA</v>
      </c>
      <c r="K1191" t="s">
        <v>15</v>
      </c>
      <c r="M1191" t="str">
        <f t="shared" si="459"/>
        <v>d</v>
      </c>
      <c r="N1191" t="str">
        <f t="shared" si="460"/>
        <v/>
      </c>
      <c r="O1191" t="str">
        <f t="shared" si="461"/>
        <v/>
      </c>
    </row>
    <row r="1192" spans="1:15" s="13" customFormat="1" x14ac:dyDescent="0.3">
      <c r="A1192" s="13">
        <v>100672294</v>
      </c>
      <c r="B1192" s="13" t="s">
        <v>897</v>
      </c>
      <c r="C1192" s="13">
        <v>458</v>
      </c>
      <c r="D1192" s="13" t="s">
        <v>893</v>
      </c>
      <c r="E1192" s="13" t="s">
        <v>1166</v>
      </c>
      <c r="F1192" s="27">
        <v>8346.51</v>
      </c>
      <c r="G1192" s="14">
        <v>45761</v>
      </c>
      <c r="H1192" s="13" t="s">
        <v>31</v>
      </c>
      <c r="I1192" s="15" t="str">
        <f t="shared" si="464"/>
        <v>Investment Account</v>
      </c>
      <c r="J1192" s="13" t="str">
        <f t="shared" si="465"/>
        <v>Voluntary</v>
      </c>
      <c r="K1192" s="13" t="s">
        <v>15</v>
      </c>
      <c r="M1192" t="str">
        <f t="shared" si="459"/>
        <v>a</v>
      </c>
      <c r="N1192" t="str">
        <f t="shared" si="460"/>
        <v/>
      </c>
      <c r="O1192" t="str">
        <f t="shared" si="461"/>
        <v/>
      </c>
    </row>
    <row r="1193" spans="1:15" x14ac:dyDescent="0.3">
      <c r="A1193">
        <v>100672395</v>
      </c>
      <c r="B1193" t="s">
        <v>900</v>
      </c>
      <c r="C1193">
        <v>125</v>
      </c>
      <c r="D1193" t="s">
        <v>899</v>
      </c>
      <c r="E1193" t="s">
        <v>1166</v>
      </c>
      <c r="F1193" s="25">
        <v>491.82</v>
      </c>
      <c r="G1193" s="3">
        <v>45761</v>
      </c>
      <c r="H1193" t="s">
        <v>31</v>
      </c>
      <c r="I1193" s="4" t="str">
        <f t="shared" si="464"/>
        <v>Investment Account</v>
      </c>
      <c r="J1193" t="str">
        <f t="shared" si="465"/>
        <v>Voluntary</v>
      </c>
      <c r="K1193" t="s">
        <v>15</v>
      </c>
      <c r="M1193" t="str">
        <f t="shared" si="459"/>
        <v>a</v>
      </c>
      <c r="N1193" t="str">
        <f t="shared" si="460"/>
        <v/>
      </c>
      <c r="O1193" t="str">
        <f t="shared" si="461"/>
        <v/>
      </c>
    </row>
    <row r="1194" spans="1:15" x14ac:dyDescent="0.3">
      <c r="A1194">
        <v>100675336</v>
      </c>
      <c r="B1194" t="s">
        <v>1096</v>
      </c>
      <c r="C1194">
        <v>245</v>
      </c>
      <c r="D1194" t="s">
        <v>1094</v>
      </c>
      <c r="E1194" t="s">
        <v>1166</v>
      </c>
      <c r="F1194" s="25">
        <v>356.57</v>
      </c>
      <c r="G1194" s="3">
        <v>45761</v>
      </c>
      <c r="H1194" t="s">
        <v>14</v>
      </c>
      <c r="I1194" s="4" t="str">
        <f t="shared" si="464"/>
        <v>Living Annuity</v>
      </c>
      <c r="J1194" t="str">
        <f t="shared" si="465"/>
        <v>Compulsory, LA</v>
      </c>
      <c r="K1194" t="s">
        <v>15</v>
      </c>
      <c r="M1194" t="str">
        <f t="shared" si="459"/>
        <v>a</v>
      </c>
      <c r="N1194" t="str">
        <f t="shared" si="460"/>
        <v/>
      </c>
      <c r="O1194" t="str">
        <f t="shared" si="461"/>
        <v/>
      </c>
    </row>
    <row r="1195" spans="1:15" x14ac:dyDescent="0.3">
      <c r="A1195">
        <v>100677278</v>
      </c>
      <c r="B1195" t="s">
        <v>994</v>
      </c>
      <c r="C1195">
        <v>460</v>
      </c>
      <c r="D1195" t="s">
        <v>993</v>
      </c>
      <c r="E1195" t="s">
        <v>1166</v>
      </c>
      <c r="F1195" s="25">
        <v>21693.46</v>
      </c>
      <c r="G1195" s="3">
        <v>45761</v>
      </c>
      <c r="H1195" t="s">
        <v>14</v>
      </c>
      <c r="I1195" s="4" t="str">
        <f t="shared" si="464"/>
        <v>Living Annuity</v>
      </c>
      <c r="J1195" t="str">
        <f t="shared" si="465"/>
        <v>Compulsory, LA</v>
      </c>
      <c r="K1195" t="s">
        <v>15</v>
      </c>
      <c r="M1195" t="str">
        <f t="shared" si="459"/>
        <v>a</v>
      </c>
      <c r="N1195" t="str">
        <f t="shared" si="460"/>
        <v/>
      </c>
      <c r="O1195" t="str">
        <f t="shared" si="461"/>
        <v/>
      </c>
    </row>
    <row r="1196" spans="1:15" x14ac:dyDescent="0.3">
      <c r="A1196">
        <v>100677585</v>
      </c>
      <c r="B1196" t="s">
        <v>1103</v>
      </c>
      <c r="C1196">
        <v>175</v>
      </c>
      <c r="D1196" t="s">
        <v>1104</v>
      </c>
      <c r="E1196" t="s">
        <v>1166</v>
      </c>
      <c r="F1196" s="25">
        <v>2098.04</v>
      </c>
      <c r="G1196" s="3">
        <v>45761</v>
      </c>
      <c r="H1196" t="s">
        <v>14</v>
      </c>
      <c r="I1196" s="4" t="str">
        <f>MID(H1196,6,30)</f>
        <v>Living Annuity</v>
      </c>
      <c r="J1196" t="str">
        <f>IF(LEFT(I1196)="L","Compulsory, LA",IF(LEFT(I1196)="R","Compulsory, RA",IF(LEFT(I1196,2)="Pe","Compulsory, Pens","Voluntary")))</f>
        <v>Compulsory, LA</v>
      </c>
      <c r="K1196" t="s">
        <v>15</v>
      </c>
      <c r="M1196" t="str">
        <f t="shared" si="459"/>
        <v>a</v>
      </c>
      <c r="N1196" t="str">
        <f t="shared" si="460"/>
        <v/>
      </c>
      <c r="O1196" t="str">
        <f t="shared" si="461"/>
        <v/>
      </c>
    </row>
    <row r="1197" spans="1:15" x14ac:dyDescent="0.3">
      <c r="A1197">
        <v>100706842</v>
      </c>
      <c r="B1197" t="s">
        <v>1127</v>
      </c>
      <c r="C1197">
        <v>83</v>
      </c>
      <c r="D1197" t="s">
        <v>1129</v>
      </c>
      <c r="E1197" t="s">
        <v>1166</v>
      </c>
      <c r="F1197" s="26">
        <v>26578.19</v>
      </c>
      <c r="G1197" s="3">
        <v>45761</v>
      </c>
      <c r="H1197" t="s">
        <v>14</v>
      </c>
      <c r="I1197" s="4" t="str">
        <f t="shared" ref="I1197:I1198" si="466">MID(H1197,6,30)</f>
        <v>Living Annuity</v>
      </c>
      <c r="J1197" t="str">
        <f t="shared" ref="J1197:J1198" si="467">IF(LEFT(I1197)="L","Compulsory, LA",IF(LEFT(I1197)="R","Compulsory, RA",IF(LEFT(I1197,2)="Pe","Compulsory, Pens","Voluntary")))</f>
        <v>Compulsory, LA</v>
      </c>
      <c r="K1197" t="s">
        <v>15</v>
      </c>
      <c r="M1197" t="str">
        <f t="shared" si="459"/>
        <v>a</v>
      </c>
      <c r="N1197" t="str">
        <f t="shared" si="460"/>
        <v/>
      </c>
      <c r="O1197" t="str">
        <f t="shared" si="461"/>
        <v/>
      </c>
    </row>
    <row r="1198" spans="1:15" x14ac:dyDescent="0.3">
      <c r="A1198">
        <v>100711105</v>
      </c>
      <c r="B1198" t="s">
        <v>1128</v>
      </c>
      <c r="C1198">
        <v>470</v>
      </c>
      <c r="D1198" t="s">
        <v>1130</v>
      </c>
      <c r="E1198" t="s">
        <v>1166</v>
      </c>
      <c r="F1198" s="26">
        <v>89.42</v>
      </c>
      <c r="G1198" s="3">
        <v>45761</v>
      </c>
      <c r="H1198" t="s">
        <v>31</v>
      </c>
      <c r="I1198" s="4" t="str">
        <f t="shared" si="466"/>
        <v>Investment Account</v>
      </c>
      <c r="J1198" t="str">
        <f t="shared" si="467"/>
        <v>Voluntary</v>
      </c>
      <c r="K1198" t="s">
        <v>15</v>
      </c>
      <c r="M1198" t="str">
        <f t="shared" ref="M1198:M1244" si="468">RIGHT(B1198,1)</f>
        <v>a</v>
      </c>
      <c r="N1198" t="str">
        <f t="shared" ref="N1198:N1244" si="469">IF(M1198="f","FFFF","")</f>
        <v/>
      </c>
      <c r="O1198" t="str">
        <f t="shared" ref="O1198:O1244" si="470">IF(M1198="I","IIII","")</f>
        <v/>
      </c>
    </row>
    <row r="1199" spans="1:15" x14ac:dyDescent="0.3">
      <c r="A1199">
        <v>100786852</v>
      </c>
      <c r="B1199" t="s">
        <v>1221</v>
      </c>
      <c r="C1199">
        <v>209</v>
      </c>
      <c r="D1199" t="s">
        <v>1201</v>
      </c>
      <c r="E1199" t="s">
        <v>1166</v>
      </c>
      <c r="F1199" s="26">
        <v>36372.660000000003</v>
      </c>
      <c r="G1199" s="3">
        <v>45761</v>
      </c>
      <c r="H1199" t="s">
        <v>14</v>
      </c>
      <c r="I1199" s="4" t="str">
        <f>MID(H1199,6,30)</f>
        <v>Living Annuity</v>
      </c>
      <c r="J1199" t="str">
        <f>IF(LEFT(I1199)="L","Compulsory, LA",IF(LEFT(I1199)="R","Compulsory, RA",IF(LEFT(I1199,2)="Pe","Compulsory, Pens","Voluntary")))</f>
        <v>Compulsory, LA</v>
      </c>
      <c r="K1199" t="s">
        <v>15</v>
      </c>
      <c r="M1199" t="str">
        <f t="shared" si="468"/>
        <v>a</v>
      </c>
      <c r="N1199" t="str">
        <f t="shared" si="469"/>
        <v/>
      </c>
      <c r="O1199" t="str">
        <f t="shared" si="470"/>
        <v/>
      </c>
    </row>
    <row r="1200" spans="1:15" s="6" customFormat="1" x14ac:dyDescent="0.3">
      <c r="A1200" s="6">
        <v>100799345</v>
      </c>
      <c r="B1200" s="6" t="s">
        <v>1229</v>
      </c>
      <c r="C1200" s="6">
        <v>478</v>
      </c>
      <c r="D1200" s="6" t="s">
        <v>1228</v>
      </c>
      <c r="E1200" s="6" t="s">
        <v>1166</v>
      </c>
      <c r="F1200" s="32">
        <v>112912.19</v>
      </c>
      <c r="G1200" s="22">
        <v>45761</v>
      </c>
      <c r="H1200" s="6" t="s">
        <v>1147</v>
      </c>
      <c r="I1200" s="23" t="str">
        <f>MID(H1200,6,30)</f>
        <v>Investment Account</v>
      </c>
      <c r="J1200" s="6" t="str">
        <f>IF(LEFT(I1200)="L","Compulsory, LA",IF(LEFT(I1200)="R","Compulsory, RA",IF(LEFT(I1200,2)="Pe","Compulsory, Pens","Voluntary")))</f>
        <v>Voluntary</v>
      </c>
      <c r="K1200" s="6" t="s">
        <v>15</v>
      </c>
      <c r="M1200" t="str">
        <f t="shared" si="468"/>
        <v>a</v>
      </c>
      <c r="N1200" t="str">
        <f t="shared" si="469"/>
        <v/>
      </c>
      <c r="O1200" t="str">
        <f t="shared" si="470"/>
        <v/>
      </c>
    </row>
    <row r="1201" spans="1:15" s="6" customFormat="1" x14ac:dyDescent="0.3">
      <c r="A1201" s="6">
        <v>32490</v>
      </c>
      <c r="B1201" s="6" t="s">
        <v>711</v>
      </c>
      <c r="C1201" s="6">
        <v>126</v>
      </c>
      <c r="D1201" s="6" t="s">
        <v>12</v>
      </c>
      <c r="E1201" s="6" t="s">
        <v>1234</v>
      </c>
      <c r="F1201" s="31">
        <v>15397.44</v>
      </c>
      <c r="G1201" s="22">
        <v>45761</v>
      </c>
      <c r="H1201" s="24" t="s">
        <v>31</v>
      </c>
      <c r="I1201" s="23" t="str">
        <f>MID(H1201,6,30)</f>
        <v>Investment Account</v>
      </c>
      <c r="J1201" s="6" t="str">
        <f>IF(LEFT(I1201)="L","Compulsory, LA",IF(LEFT(I1201)="R","Compulsory, RA",IF(LEFT(I1201,2)="Pe","Compulsory, Pens","Voluntary")))</f>
        <v>Voluntary</v>
      </c>
      <c r="K1201" s="6" t="s">
        <v>15</v>
      </c>
      <c r="M1201" t="str">
        <f t="shared" si="468"/>
        <v>a</v>
      </c>
      <c r="N1201" t="str">
        <f t="shared" si="469"/>
        <v/>
      </c>
      <c r="O1201" t="str">
        <f t="shared" si="470"/>
        <v/>
      </c>
    </row>
    <row r="1202" spans="1:15" x14ac:dyDescent="0.3">
      <c r="A1202">
        <v>32490</v>
      </c>
      <c r="B1202" t="s">
        <v>748</v>
      </c>
      <c r="C1202">
        <v>126</v>
      </c>
      <c r="D1202" t="s">
        <v>12</v>
      </c>
      <c r="E1202" t="s">
        <v>1234</v>
      </c>
      <c r="F1202" s="25">
        <v>1641.62</v>
      </c>
      <c r="G1202" s="3">
        <v>45761</v>
      </c>
      <c r="H1202" t="s">
        <v>14</v>
      </c>
      <c r="I1202" s="4" t="str">
        <f>MID(H1202,6,30)</f>
        <v>Living Annuity</v>
      </c>
      <c r="J1202" t="str">
        <f>IF(LEFT(I1202)="L","Compulsory, LA",IF(LEFT(I1202)="R","Compulsory, RA",IF(LEFT(I1202,2)="Pe","Compulsory, Pens","Voluntary")))</f>
        <v>Compulsory, LA</v>
      </c>
      <c r="K1202" t="s">
        <v>15</v>
      </c>
      <c r="M1202" t="str">
        <f t="shared" si="468"/>
        <v>a</v>
      </c>
      <c r="N1202" t="str">
        <f t="shared" si="469"/>
        <v/>
      </c>
      <c r="O1202" t="str">
        <f t="shared" si="470"/>
        <v/>
      </c>
    </row>
    <row r="1203" spans="1:15" x14ac:dyDescent="0.3">
      <c r="A1203">
        <v>32490</v>
      </c>
      <c r="B1203" t="s">
        <v>749</v>
      </c>
      <c r="C1203">
        <v>126</v>
      </c>
      <c r="D1203" t="s">
        <v>12</v>
      </c>
      <c r="E1203" t="s">
        <v>1234</v>
      </c>
      <c r="F1203" s="25">
        <v>5124.08</v>
      </c>
      <c r="G1203" s="3">
        <v>45761</v>
      </c>
      <c r="H1203" t="s">
        <v>14</v>
      </c>
      <c r="I1203" s="4" t="str">
        <f>MID(H1203,6,30)</f>
        <v>Living Annuity</v>
      </c>
      <c r="J1203" t="str">
        <f>IF(LEFT(I1203)="L","Compulsory, LA",IF(LEFT(I1203)="R","Compulsory, RA",IF(LEFT(I1203,2)="Pe","Compulsory, Pens","Voluntary")))</f>
        <v>Compulsory, LA</v>
      </c>
      <c r="K1203" t="s">
        <v>15</v>
      </c>
      <c r="M1203" t="str">
        <f t="shared" si="468"/>
        <v>a</v>
      </c>
      <c r="N1203" t="str">
        <f t="shared" si="469"/>
        <v/>
      </c>
      <c r="O1203" t="str">
        <f t="shared" si="470"/>
        <v/>
      </c>
    </row>
    <row r="1204" spans="1:15" x14ac:dyDescent="0.3">
      <c r="A1204">
        <v>33672</v>
      </c>
      <c r="B1204" t="s">
        <v>929</v>
      </c>
      <c r="C1204">
        <v>87</v>
      </c>
      <c r="D1204" t="s">
        <v>18</v>
      </c>
      <c r="E1204" t="s">
        <v>1234</v>
      </c>
      <c r="F1204" s="25">
        <v>26767.02</v>
      </c>
      <c r="G1204" s="3">
        <v>45761</v>
      </c>
      <c r="H1204" t="s">
        <v>14</v>
      </c>
      <c r="I1204" s="4" t="str">
        <f t="shared" ref="I1204:I1207" si="471">MID(H1204,6,30)</f>
        <v>Living Annuity</v>
      </c>
      <c r="J1204" t="str">
        <f t="shared" ref="J1204:J1207" si="472">IF(LEFT(I1204)="L","Compulsory, LA",IF(LEFT(I1204)="R","Compulsory, RA",IF(LEFT(I1204,2)="Pe","Compulsory, Pens","Voluntary")))</f>
        <v>Compulsory, LA</v>
      </c>
      <c r="K1204" t="s">
        <v>15</v>
      </c>
      <c r="M1204" t="str">
        <f t="shared" si="468"/>
        <v>a</v>
      </c>
      <c r="N1204" t="str">
        <f t="shared" si="469"/>
        <v/>
      </c>
      <c r="O1204" t="str">
        <f t="shared" si="470"/>
        <v/>
      </c>
    </row>
    <row r="1205" spans="1:15" x14ac:dyDescent="0.3">
      <c r="A1205">
        <v>34171</v>
      </c>
      <c r="B1205" t="s">
        <v>930</v>
      </c>
      <c r="C1205">
        <v>268</v>
      </c>
      <c r="D1205" t="s">
        <v>928</v>
      </c>
      <c r="E1205" t="s">
        <v>1234</v>
      </c>
      <c r="F1205" s="25">
        <v>7878.07</v>
      </c>
      <c r="G1205" s="3">
        <v>45761</v>
      </c>
      <c r="H1205" t="s">
        <v>14</v>
      </c>
      <c r="I1205" s="4" t="str">
        <f t="shared" si="471"/>
        <v>Living Annuity</v>
      </c>
      <c r="J1205" t="str">
        <f t="shared" si="472"/>
        <v>Compulsory, LA</v>
      </c>
      <c r="K1205" t="s">
        <v>15</v>
      </c>
      <c r="M1205" t="str">
        <f t="shared" si="468"/>
        <v>a</v>
      </c>
      <c r="N1205" t="str">
        <f t="shared" si="469"/>
        <v/>
      </c>
      <c r="O1205" t="str">
        <f t="shared" si="470"/>
        <v/>
      </c>
    </row>
    <row r="1206" spans="1:15" x14ac:dyDescent="0.3">
      <c r="A1206">
        <v>34173</v>
      </c>
      <c r="B1206" t="s">
        <v>931</v>
      </c>
      <c r="C1206">
        <v>96</v>
      </c>
      <c r="D1206" t="s">
        <v>22</v>
      </c>
      <c r="E1206" t="s">
        <v>1234</v>
      </c>
      <c r="F1206" s="25">
        <v>9238.64</v>
      </c>
      <c r="G1206" s="3">
        <v>45761</v>
      </c>
      <c r="H1206" t="s">
        <v>14</v>
      </c>
      <c r="I1206" s="4" t="str">
        <f t="shared" si="471"/>
        <v>Living Annuity</v>
      </c>
      <c r="J1206" t="str">
        <f t="shared" si="472"/>
        <v>Compulsory, LA</v>
      </c>
      <c r="K1206" t="s">
        <v>15</v>
      </c>
      <c r="M1206" t="str">
        <f t="shared" si="468"/>
        <v>a</v>
      </c>
      <c r="N1206" t="str">
        <f t="shared" si="469"/>
        <v/>
      </c>
      <c r="O1206" t="str">
        <f t="shared" si="470"/>
        <v/>
      </c>
    </row>
    <row r="1207" spans="1:15" x14ac:dyDescent="0.3">
      <c r="A1207">
        <v>34196</v>
      </c>
      <c r="B1207" t="s">
        <v>750</v>
      </c>
      <c r="C1207">
        <v>169</v>
      </c>
      <c r="D1207" t="s">
        <v>614</v>
      </c>
      <c r="E1207" t="s">
        <v>1234</v>
      </c>
      <c r="F1207" s="25">
        <v>213952.75</v>
      </c>
      <c r="G1207" s="3">
        <v>45761</v>
      </c>
      <c r="H1207" t="s">
        <v>31</v>
      </c>
      <c r="I1207" s="4" t="str">
        <f t="shared" si="471"/>
        <v>Investment Account</v>
      </c>
      <c r="J1207" t="str">
        <f t="shared" si="472"/>
        <v>Voluntary</v>
      </c>
      <c r="K1207" t="s">
        <v>15</v>
      </c>
      <c r="M1207" t="str">
        <f t="shared" si="468"/>
        <v>a</v>
      </c>
      <c r="N1207" t="str">
        <f t="shared" si="469"/>
        <v/>
      </c>
      <c r="O1207" t="str">
        <f t="shared" si="470"/>
        <v/>
      </c>
    </row>
    <row r="1208" spans="1:15" x14ac:dyDescent="0.3">
      <c r="A1208">
        <v>34199</v>
      </c>
      <c r="B1208" t="s">
        <v>856</v>
      </c>
      <c r="C1208">
        <v>240</v>
      </c>
      <c r="D1208" t="s">
        <v>24</v>
      </c>
      <c r="E1208" t="s">
        <v>1234</v>
      </c>
      <c r="F1208" s="25">
        <v>8140.41</v>
      </c>
      <c r="G1208" s="3">
        <v>45761</v>
      </c>
      <c r="H1208" t="s">
        <v>31</v>
      </c>
      <c r="I1208" s="4" t="str">
        <f>MID(H1208,6,30)</f>
        <v>Investment Account</v>
      </c>
      <c r="J1208" t="str">
        <f>IF(LEFT(I1208)="L","Compulsory, LA",IF(LEFT(I1208)="R","Compulsory, RA",IF(LEFT(I1208,2)="Pe","Compulsory, Pens","Voluntary")))</f>
        <v>Voluntary</v>
      </c>
      <c r="K1208" t="s">
        <v>15</v>
      </c>
      <c r="M1208" t="str">
        <f t="shared" si="468"/>
        <v>a</v>
      </c>
      <c r="N1208" t="str">
        <f t="shared" si="469"/>
        <v/>
      </c>
      <c r="O1208" t="str">
        <f t="shared" si="470"/>
        <v/>
      </c>
    </row>
    <row r="1209" spans="1:15" x14ac:dyDescent="0.3">
      <c r="A1209">
        <v>34199</v>
      </c>
      <c r="B1209" t="s">
        <v>932</v>
      </c>
      <c r="C1209">
        <v>240</v>
      </c>
      <c r="D1209" t="s">
        <v>24</v>
      </c>
      <c r="E1209" t="s">
        <v>1234</v>
      </c>
      <c r="F1209" s="25">
        <v>7273.44</v>
      </c>
      <c r="G1209" s="3">
        <v>45761</v>
      </c>
      <c r="H1209" t="s">
        <v>14</v>
      </c>
      <c r="I1209" s="4" t="str">
        <f t="shared" ref="I1209" si="473">MID(H1209,6,30)</f>
        <v>Living Annuity</v>
      </c>
      <c r="J1209" t="str">
        <f t="shared" ref="J1209" si="474">IF(LEFT(I1209)="L","Compulsory, LA",IF(LEFT(I1209)="R","Compulsory, RA",IF(LEFT(I1209,2)="Pe","Compulsory, Pens","Voluntary")))</f>
        <v>Compulsory, LA</v>
      </c>
      <c r="K1209" t="s">
        <v>15</v>
      </c>
      <c r="M1209" t="str">
        <f t="shared" si="468"/>
        <v>a</v>
      </c>
      <c r="N1209" t="str">
        <f t="shared" si="469"/>
        <v/>
      </c>
      <c r="O1209" t="str">
        <f t="shared" si="470"/>
        <v/>
      </c>
    </row>
    <row r="1210" spans="1:15" x14ac:dyDescent="0.3">
      <c r="A1210">
        <v>34202</v>
      </c>
      <c r="B1210" t="s">
        <v>799</v>
      </c>
      <c r="C1210">
        <v>104</v>
      </c>
      <c r="D1210" t="s">
        <v>797</v>
      </c>
      <c r="E1210" t="s">
        <v>1234</v>
      </c>
      <c r="F1210" s="26">
        <v>5616.48</v>
      </c>
      <c r="G1210" s="3">
        <v>45761</v>
      </c>
      <c r="H1210" t="s">
        <v>14</v>
      </c>
      <c r="I1210" s="4" t="str">
        <f>MID(H1210,6,30)</f>
        <v>Living Annuity</v>
      </c>
      <c r="J1210" t="str">
        <f>IF(LEFT(I1210)="L","Compulsory, LA",IF(LEFT(I1210)="R","Compulsory, RA",IF(LEFT(I1210,2)="Pe","Compulsory, Pens","Voluntary")))</f>
        <v>Compulsory, LA</v>
      </c>
      <c r="K1210" t="s">
        <v>15</v>
      </c>
      <c r="M1210" t="str">
        <f t="shared" si="468"/>
        <v>a</v>
      </c>
      <c r="N1210" t="str">
        <f t="shared" si="469"/>
        <v/>
      </c>
      <c r="O1210" t="str">
        <f t="shared" si="470"/>
        <v/>
      </c>
    </row>
    <row r="1211" spans="1:15" x14ac:dyDescent="0.3">
      <c r="A1211">
        <v>34202</v>
      </c>
      <c r="B1211" t="s">
        <v>798</v>
      </c>
      <c r="C1211">
        <v>104</v>
      </c>
      <c r="D1211" t="s">
        <v>797</v>
      </c>
      <c r="E1211" t="s">
        <v>1234</v>
      </c>
      <c r="F1211" s="26">
        <v>1696.42</v>
      </c>
      <c r="G1211" s="3">
        <v>45761</v>
      </c>
      <c r="H1211" t="s">
        <v>14</v>
      </c>
      <c r="I1211" s="4" t="str">
        <f t="shared" ref="I1211" si="475">MID(H1211,6,30)</f>
        <v>Living Annuity</v>
      </c>
      <c r="J1211" t="str">
        <f t="shared" ref="J1211" si="476">IF(LEFT(I1211)="L","Compulsory, LA",IF(LEFT(I1211)="R","Compulsory, RA",IF(LEFT(I1211,2)="Pe","Compulsory, Pens","Voluntary")))</f>
        <v>Compulsory, LA</v>
      </c>
      <c r="K1211" t="s">
        <v>15</v>
      </c>
      <c r="M1211" t="str">
        <f t="shared" si="468"/>
        <v>a</v>
      </c>
      <c r="N1211" t="str">
        <f t="shared" si="469"/>
        <v/>
      </c>
      <c r="O1211" t="str">
        <f t="shared" si="470"/>
        <v/>
      </c>
    </row>
    <row r="1212" spans="1:15" x14ac:dyDescent="0.3">
      <c r="A1212">
        <v>34209</v>
      </c>
      <c r="B1212" t="s">
        <v>752</v>
      </c>
      <c r="C1212">
        <v>25</v>
      </c>
      <c r="D1212" t="s">
        <v>28</v>
      </c>
      <c r="E1212" t="s">
        <v>1234</v>
      </c>
      <c r="F1212" s="25">
        <v>79228.55</v>
      </c>
      <c r="G1212" s="3">
        <v>45761</v>
      </c>
      <c r="H1212" t="s">
        <v>14</v>
      </c>
      <c r="I1212" s="4" t="str">
        <f>MID(H1212,6,30)</f>
        <v>Living Annuity</v>
      </c>
      <c r="J1212" t="str">
        <f>IF(LEFT(I1212)="L","Compulsory, LA",IF(LEFT(I1212)="R","Compulsory, RA",IF(LEFT(I1212,2)="Pe","Compulsory, Pens","Voluntary")))</f>
        <v>Compulsory, LA</v>
      </c>
      <c r="K1212" t="s">
        <v>15</v>
      </c>
      <c r="M1212" t="str">
        <f t="shared" si="468"/>
        <v>a</v>
      </c>
      <c r="N1212" t="str">
        <f t="shared" si="469"/>
        <v/>
      </c>
      <c r="O1212" t="str">
        <f t="shared" si="470"/>
        <v/>
      </c>
    </row>
    <row r="1213" spans="1:15" x14ac:dyDescent="0.3">
      <c r="A1213">
        <v>34209</v>
      </c>
      <c r="B1213" t="s">
        <v>751</v>
      </c>
      <c r="C1213">
        <v>25</v>
      </c>
      <c r="D1213" t="s">
        <v>28</v>
      </c>
      <c r="E1213" t="s">
        <v>1234</v>
      </c>
      <c r="F1213" s="25">
        <v>62773.94</v>
      </c>
      <c r="G1213" s="3">
        <v>45761</v>
      </c>
      <c r="H1213" t="s">
        <v>14</v>
      </c>
      <c r="I1213" s="4" t="str">
        <f>MID(H1213,6,30)</f>
        <v>Living Annuity</v>
      </c>
      <c r="J1213" t="str">
        <f>IF(LEFT(I1213)="L","Compulsory, LA",IF(LEFT(I1213)="R","Compulsory, RA",IF(LEFT(I1213,2)="Pe","Compulsory, Pens","Voluntary")))</f>
        <v>Compulsory, LA</v>
      </c>
      <c r="K1213" t="s">
        <v>15</v>
      </c>
      <c r="M1213" t="str">
        <f t="shared" si="468"/>
        <v>a</v>
      </c>
      <c r="N1213" t="str">
        <f t="shared" si="469"/>
        <v/>
      </c>
      <c r="O1213" t="str">
        <f t="shared" si="470"/>
        <v/>
      </c>
    </row>
    <row r="1214" spans="1:15" x14ac:dyDescent="0.3">
      <c r="A1214">
        <v>34216</v>
      </c>
      <c r="B1214" t="s">
        <v>753</v>
      </c>
      <c r="C1214">
        <v>95</v>
      </c>
      <c r="D1214" t="s">
        <v>30</v>
      </c>
      <c r="E1214" t="s">
        <v>1234</v>
      </c>
      <c r="F1214" s="25">
        <v>4668.17</v>
      </c>
      <c r="G1214" s="3">
        <v>45761</v>
      </c>
      <c r="H1214" t="s">
        <v>14</v>
      </c>
      <c r="I1214" s="4" t="str">
        <f t="shared" ref="I1214:I1217" si="477">MID(H1214,6,30)</f>
        <v>Living Annuity</v>
      </c>
      <c r="J1214" t="str">
        <f t="shared" ref="J1214:J1217" si="478">IF(LEFT(I1214)="L","Compulsory, LA",IF(LEFT(I1214)="R","Compulsory, RA",IF(LEFT(I1214,2)="Pe","Compulsory, Pens","Voluntary")))</f>
        <v>Compulsory, LA</v>
      </c>
      <c r="K1214" t="s">
        <v>15</v>
      </c>
      <c r="M1214" t="str">
        <f t="shared" si="468"/>
        <v>a</v>
      </c>
      <c r="N1214" t="str">
        <f t="shared" si="469"/>
        <v/>
      </c>
      <c r="O1214" t="str">
        <f t="shared" si="470"/>
        <v/>
      </c>
    </row>
    <row r="1215" spans="1:15" x14ac:dyDescent="0.3">
      <c r="A1215">
        <v>34216</v>
      </c>
      <c r="B1215" t="s">
        <v>800</v>
      </c>
      <c r="C1215">
        <v>95</v>
      </c>
      <c r="D1215" t="s">
        <v>30</v>
      </c>
      <c r="E1215" t="s">
        <v>1234</v>
      </c>
      <c r="F1215" s="25">
        <v>14834.97</v>
      </c>
      <c r="G1215" s="3">
        <v>45761</v>
      </c>
      <c r="H1215" t="s">
        <v>31</v>
      </c>
      <c r="I1215" s="4" t="str">
        <f t="shared" si="477"/>
        <v>Investment Account</v>
      </c>
      <c r="J1215" t="str">
        <f t="shared" si="478"/>
        <v>Voluntary</v>
      </c>
      <c r="K1215" t="s">
        <v>15</v>
      </c>
      <c r="M1215" t="str">
        <f t="shared" si="468"/>
        <v>a</v>
      </c>
      <c r="N1215" t="str">
        <f t="shared" si="469"/>
        <v/>
      </c>
      <c r="O1215" t="str">
        <f t="shared" si="470"/>
        <v/>
      </c>
    </row>
    <row r="1216" spans="1:15" x14ac:dyDescent="0.3">
      <c r="A1216">
        <v>34337</v>
      </c>
      <c r="B1216" t="s">
        <v>718</v>
      </c>
      <c r="C1216">
        <v>243</v>
      </c>
      <c r="D1216" t="s">
        <v>717</v>
      </c>
      <c r="E1216" t="s">
        <v>1234</v>
      </c>
      <c r="F1216" s="25">
        <v>2428.67</v>
      </c>
      <c r="G1216" s="3">
        <v>45761</v>
      </c>
      <c r="H1216" t="s">
        <v>31</v>
      </c>
      <c r="I1216" s="4" t="str">
        <f t="shared" si="477"/>
        <v>Investment Account</v>
      </c>
      <c r="J1216" t="str">
        <f t="shared" si="478"/>
        <v>Voluntary</v>
      </c>
      <c r="K1216" t="s">
        <v>15</v>
      </c>
      <c r="M1216" t="str">
        <f t="shared" si="468"/>
        <v>a</v>
      </c>
      <c r="N1216" t="str">
        <f t="shared" si="469"/>
        <v/>
      </c>
      <c r="O1216" t="str">
        <f t="shared" si="470"/>
        <v/>
      </c>
    </row>
    <row r="1217" spans="1:15" x14ac:dyDescent="0.3">
      <c r="A1217">
        <v>34337</v>
      </c>
      <c r="B1217" t="s">
        <v>723</v>
      </c>
      <c r="C1217">
        <v>243</v>
      </c>
      <c r="D1217" t="s">
        <v>717</v>
      </c>
      <c r="E1217" t="s">
        <v>1234</v>
      </c>
      <c r="F1217" s="25">
        <v>59549.29</v>
      </c>
      <c r="G1217" s="3">
        <v>45761</v>
      </c>
      <c r="H1217" t="s">
        <v>14</v>
      </c>
      <c r="I1217" s="4" t="str">
        <f t="shared" si="477"/>
        <v>Living Annuity</v>
      </c>
      <c r="J1217" t="str">
        <f t="shared" si="478"/>
        <v>Compulsory, LA</v>
      </c>
      <c r="K1217" t="s">
        <v>15</v>
      </c>
      <c r="M1217" t="str">
        <f t="shared" si="468"/>
        <v>a</v>
      </c>
      <c r="N1217" t="str">
        <f t="shared" si="469"/>
        <v/>
      </c>
      <c r="O1217" t="str">
        <f t="shared" si="470"/>
        <v/>
      </c>
    </row>
    <row r="1218" spans="1:15" x14ac:dyDescent="0.3">
      <c r="A1218">
        <v>34395</v>
      </c>
      <c r="B1218" t="s">
        <v>936</v>
      </c>
      <c r="C1218">
        <v>168</v>
      </c>
      <c r="D1218" t="s">
        <v>111</v>
      </c>
      <c r="E1218" t="s">
        <v>1234</v>
      </c>
      <c r="F1218" s="26">
        <v>12927.62</v>
      </c>
      <c r="G1218" s="3">
        <v>45761</v>
      </c>
      <c r="H1218" t="s">
        <v>14</v>
      </c>
      <c r="I1218" s="4" t="str">
        <f>MID(H1218,6,30)</f>
        <v>Living Annuity</v>
      </c>
      <c r="J1218" t="str">
        <f>IF(LEFT(I1218)="L","Compulsory, LA",IF(LEFT(I1218)="R","Compulsory, RA",IF(LEFT(I1218,2)="Pe","Compulsory, Pens","Voluntary")))</f>
        <v>Compulsory, LA</v>
      </c>
      <c r="K1218" t="s">
        <v>15</v>
      </c>
      <c r="M1218" t="str">
        <f t="shared" si="468"/>
        <v>a</v>
      </c>
      <c r="N1218" t="str">
        <f t="shared" si="469"/>
        <v/>
      </c>
      <c r="O1218" t="str">
        <f t="shared" si="470"/>
        <v/>
      </c>
    </row>
    <row r="1219" spans="1:15" x14ac:dyDescent="0.3">
      <c r="A1219">
        <v>34395</v>
      </c>
      <c r="B1219" t="s">
        <v>858</v>
      </c>
      <c r="C1219">
        <v>168</v>
      </c>
      <c r="D1219" t="s">
        <v>111</v>
      </c>
      <c r="E1219" t="s">
        <v>1234</v>
      </c>
      <c r="F1219" s="26">
        <v>8158.77</v>
      </c>
      <c r="G1219" s="3">
        <v>45761</v>
      </c>
      <c r="H1219" t="s">
        <v>14</v>
      </c>
      <c r="I1219" s="4" t="str">
        <f>MID(H1219,6,30)</f>
        <v>Living Annuity</v>
      </c>
      <c r="J1219" t="str">
        <f>IF(LEFT(I1219)="L","Compulsory, LA",IF(LEFT(I1219)="R","Compulsory, RA",IF(LEFT(I1219,2)="Pe","Compulsory, Pens","Voluntary")))</f>
        <v>Compulsory, LA</v>
      </c>
      <c r="K1219" t="s">
        <v>15</v>
      </c>
      <c r="M1219" t="str">
        <f t="shared" si="468"/>
        <v>a</v>
      </c>
      <c r="N1219" t="str">
        <f t="shared" si="469"/>
        <v/>
      </c>
      <c r="O1219" t="str">
        <f t="shared" si="470"/>
        <v/>
      </c>
    </row>
    <row r="1220" spans="1:15" x14ac:dyDescent="0.3">
      <c r="A1220">
        <v>34395</v>
      </c>
      <c r="B1220" t="s">
        <v>754</v>
      </c>
      <c r="C1220">
        <v>168</v>
      </c>
      <c r="D1220" t="s">
        <v>111</v>
      </c>
      <c r="E1220" t="s">
        <v>1234</v>
      </c>
      <c r="F1220" s="26">
        <v>143938.16</v>
      </c>
      <c r="G1220" s="3">
        <v>45761</v>
      </c>
      <c r="H1220" t="s">
        <v>14</v>
      </c>
      <c r="I1220" s="4" t="str">
        <f t="shared" ref="I1220:I1230" si="479">MID(H1220,6,30)</f>
        <v>Living Annuity</v>
      </c>
      <c r="J1220" t="str">
        <f t="shared" ref="J1220:J1230" si="480">IF(LEFT(I1220)="L","Compulsory, LA",IF(LEFT(I1220)="R","Compulsory, RA",IF(LEFT(I1220,2)="Pe","Compulsory, Pens","Voluntary")))</f>
        <v>Compulsory, LA</v>
      </c>
      <c r="K1220" t="s">
        <v>15</v>
      </c>
      <c r="M1220" t="str">
        <f t="shared" si="468"/>
        <v>a</v>
      </c>
      <c r="N1220" t="str">
        <f t="shared" si="469"/>
        <v/>
      </c>
      <c r="O1220" t="str">
        <f t="shared" si="470"/>
        <v/>
      </c>
    </row>
    <row r="1221" spans="1:15" x14ac:dyDescent="0.3">
      <c r="A1221">
        <v>36048</v>
      </c>
      <c r="B1221" t="s">
        <v>939</v>
      </c>
      <c r="C1221">
        <v>34</v>
      </c>
      <c r="D1221" t="s">
        <v>937</v>
      </c>
      <c r="E1221" t="s">
        <v>1234</v>
      </c>
      <c r="F1221" s="26">
        <v>1663.39</v>
      </c>
      <c r="G1221" s="3">
        <v>45761</v>
      </c>
      <c r="H1221" t="s">
        <v>14</v>
      </c>
      <c r="I1221" s="4" t="str">
        <f t="shared" si="479"/>
        <v>Living Annuity</v>
      </c>
      <c r="J1221" t="str">
        <f t="shared" si="480"/>
        <v>Compulsory, LA</v>
      </c>
      <c r="K1221" t="s">
        <v>15</v>
      </c>
      <c r="M1221" t="str">
        <f t="shared" si="468"/>
        <v>a</v>
      </c>
      <c r="N1221" t="str">
        <f t="shared" si="469"/>
        <v/>
      </c>
      <c r="O1221" t="str">
        <f t="shared" si="470"/>
        <v/>
      </c>
    </row>
    <row r="1222" spans="1:15" x14ac:dyDescent="0.3">
      <c r="A1222">
        <v>36048</v>
      </c>
      <c r="B1222" t="s">
        <v>940</v>
      </c>
      <c r="C1222">
        <v>34</v>
      </c>
      <c r="D1222" t="s">
        <v>937</v>
      </c>
      <c r="E1222" t="s">
        <v>1234</v>
      </c>
      <c r="F1222" s="26">
        <v>4234.9399999999996</v>
      </c>
      <c r="G1222" s="3">
        <v>45761</v>
      </c>
      <c r="H1222" t="s">
        <v>14</v>
      </c>
      <c r="I1222" s="4" t="str">
        <f t="shared" si="479"/>
        <v>Living Annuity</v>
      </c>
      <c r="J1222" t="str">
        <f t="shared" si="480"/>
        <v>Compulsory, LA</v>
      </c>
      <c r="K1222" t="s">
        <v>15</v>
      </c>
      <c r="M1222" t="str">
        <f t="shared" si="468"/>
        <v>a</v>
      </c>
      <c r="N1222" t="str">
        <f t="shared" si="469"/>
        <v/>
      </c>
      <c r="O1222" t="str">
        <f t="shared" si="470"/>
        <v/>
      </c>
    </row>
    <row r="1223" spans="1:15" x14ac:dyDescent="0.3">
      <c r="A1223">
        <v>36059</v>
      </c>
      <c r="B1223" t="s">
        <v>941</v>
      </c>
      <c r="C1223">
        <v>4</v>
      </c>
      <c r="D1223" t="s">
        <v>35</v>
      </c>
      <c r="E1223" t="s">
        <v>1234</v>
      </c>
      <c r="F1223" s="26">
        <v>20122.990000000002</v>
      </c>
      <c r="G1223" s="3">
        <v>45761</v>
      </c>
      <c r="H1223" t="s">
        <v>14</v>
      </c>
      <c r="I1223" s="4" t="str">
        <f t="shared" si="479"/>
        <v>Living Annuity</v>
      </c>
      <c r="J1223" t="str">
        <f t="shared" si="480"/>
        <v>Compulsory, LA</v>
      </c>
      <c r="K1223" t="s">
        <v>15</v>
      </c>
      <c r="M1223" t="str">
        <f t="shared" si="468"/>
        <v>a</v>
      </c>
      <c r="N1223" t="str">
        <f t="shared" si="469"/>
        <v/>
      </c>
      <c r="O1223" t="str">
        <f t="shared" si="470"/>
        <v/>
      </c>
    </row>
    <row r="1224" spans="1:15" x14ac:dyDescent="0.3">
      <c r="A1224">
        <v>36059</v>
      </c>
      <c r="B1224" t="s">
        <v>942</v>
      </c>
      <c r="C1224">
        <v>4</v>
      </c>
      <c r="D1224" t="s">
        <v>35</v>
      </c>
      <c r="E1224" t="s">
        <v>1234</v>
      </c>
      <c r="F1224" s="26">
        <v>13330.54</v>
      </c>
      <c r="G1224" s="3">
        <v>45761</v>
      </c>
      <c r="H1224" t="s">
        <v>14</v>
      </c>
      <c r="I1224" s="4" t="str">
        <f t="shared" si="479"/>
        <v>Living Annuity</v>
      </c>
      <c r="J1224" t="str">
        <f t="shared" si="480"/>
        <v>Compulsory, LA</v>
      </c>
      <c r="K1224" t="s">
        <v>15</v>
      </c>
      <c r="M1224" t="str">
        <f t="shared" si="468"/>
        <v>a</v>
      </c>
      <c r="N1224" t="str">
        <f t="shared" si="469"/>
        <v/>
      </c>
      <c r="O1224" t="str">
        <f t="shared" si="470"/>
        <v/>
      </c>
    </row>
    <row r="1225" spans="1:15" x14ac:dyDescent="0.3">
      <c r="A1225">
        <v>36060</v>
      </c>
      <c r="B1225" t="s">
        <v>943</v>
      </c>
      <c r="C1225">
        <v>2</v>
      </c>
      <c r="D1225" t="s">
        <v>38</v>
      </c>
      <c r="E1225" t="s">
        <v>1234</v>
      </c>
      <c r="F1225" s="26">
        <v>814.95</v>
      </c>
      <c r="G1225" s="3">
        <v>45761</v>
      </c>
      <c r="H1225" t="s">
        <v>14</v>
      </c>
      <c r="I1225" s="4" t="str">
        <f t="shared" si="479"/>
        <v>Living Annuity</v>
      </c>
      <c r="J1225" t="str">
        <f t="shared" si="480"/>
        <v>Compulsory, LA</v>
      </c>
      <c r="K1225" t="s">
        <v>15</v>
      </c>
      <c r="M1225" t="str">
        <f t="shared" si="468"/>
        <v>a</v>
      </c>
      <c r="N1225" t="str">
        <f t="shared" si="469"/>
        <v/>
      </c>
      <c r="O1225" t="str">
        <f t="shared" si="470"/>
        <v/>
      </c>
    </row>
    <row r="1226" spans="1:15" x14ac:dyDescent="0.3">
      <c r="A1226">
        <v>36060</v>
      </c>
      <c r="B1226" t="s">
        <v>944</v>
      </c>
      <c r="C1226">
        <v>2</v>
      </c>
      <c r="D1226" t="s">
        <v>38</v>
      </c>
      <c r="E1226" t="s">
        <v>1234</v>
      </c>
      <c r="F1226" s="26">
        <v>1799.11</v>
      </c>
      <c r="G1226" s="3">
        <v>45761</v>
      </c>
      <c r="H1226" t="s">
        <v>14</v>
      </c>
      <c r="I1226" s="4" t="str">
        <f t="shared" si="479"/>
        <v>Living Annuity</v>
      </c>
      <c r="J1226" t="str">
        <f t="shared" si="480"/>
        <v>Compulsory, LA</v>
      </c>
      <c r="K1226" t="s">
        <v>15</v>
      </c>
      <c r="M1226" t="str">
        <f t="shared" si="468"/>
        <v>a</v>
      </c>
      <c r="N1226" t="str">
        <f t="shared" si="469"/>
        <v/>
      </c>
      <c r="O1226" t="str">
        <f t="shared" si="470"/>
        <v/>
      </c>
    </row>
    <row r="1227" spans="1:15" x14ac:dyDescent="0.3">
      <c r="A1227">
        <v>36355</v>
      </c>
      <c r="B1227" t="s">
        <v>946</v>
      </c>
      <c r="C1227">
        <v>53</v>
      </c>
      <c r="D1227" t="s">
        <v>42</v>
      </c>
      <c r="E1227" t="s">
        <v>1234</v>
      </c>
      <c r="F1227" s="26">
        <v>610.12</v>
      </c>
      <c r="G1227" s="3">
        <v>45761</v>
      </c>
      <c r="H1227" t="s">
        <v>14</v>
      </c>
      <c r="I1227" s="4" t="str">
        <f t="shared" si="479"/>
        <v>Living Annuity</v>
      </c>
      <c r="J1227" t="str">
        <f t="shared" si="480"/>
        <v>Compulsory, LA</v>
      </c>
      <c r="K1227" t="s">
        <v>15</v>
      </c>
      <c r="M1227" t="str">
        <f t="shared" si="468"/>
        <v>a</v>
      </c>
      <c r="N1227" t="str">
        <f t="shared" si="469"/>
        <v/>
      </c>
      <c r="O1227" t="str">
        <f t="shared" si="470"/>
        <v/>
      </c>
    </row>
    <row r="1228" spans="1:15" x14ac:dyDescent="0.3">
      <c r="A1228">
        <v>37040</v>
      </c>
      <c r="B1228" t="s">
        <v>947</v>
      </c>
      <c r="C1228">
        <v>263</v>
      </c>
      <c r="D1228" t="s">
        <v>44</v>
      </c>
      <c r="E1228" t="s">
        <v>1234</v>
      </c>
      <c r="F1228" s="26">
        <v>547.4</v>
      </c>
      <c r="G1228" s="3">
        <v>45761</v>
      </c>
      <c r="H1228" t="s">
        <v>14</v>
      </c>
      <c r="I1228" s="4" t="str">
        <f t="shared" si="479"/>
        <v>Living Annuity</v>
      </c>
      <c r="J1228" t="str">
        <f t="shared" si="480"/>
        <v>Compulsory, LA</v>
      </c>
      <c r="K1228" t="s">
        <v>15</v>
      </c>
      <c r="M1228" t="str">
        <f t="shared" si="468"/>
        <v>a</v>
      </c>
      <c r="N1228" t="str">
        <f t="shared" si="469"/>
        <v/>
      </c>
      <c r="O1228" t="str">
        <f t="shared" si="470"/>
        <v/>
      </c>
    </row>
    <row r="1229" spans="1:15" x14ac:dyDescent="0.3">
      <c r="A1229">
        <v>37041</v>
      </c>
      <c r="B1229" t="s">
        <v>948</v>
      </c>
      <c r="C1229">
        <v>84</v>
      </c>
      <c r="D1229" t="s">
        <v>46</v>
      </c>
      <c r="E1229" t="s">
        <v>1234</v>
      </c>
      <c r="F1229" s="26">
        <v>3106.41</v>
      </c>
      <c r="G1229" s="3">
        <v>45761</v>
      </c>
      <c r="H1229" t="s">
        <v>14</v>
      </c>
      <c r="I1229" s="4" t="str">
        <f t="shared" si="479"/>
        <v>Living Annuity</v>
      </c>
      <c r="J1229" t="str">
        <f t="shared" si="480"/>
        <v>Compulsory, LA</v>
      </c>
      <c r="K1229" t="s">
        <v>15</v>
      </c>
      <c r="M1229" t="str">
        <f t="shared" si="468"/>
        <v>a</v>
      </c>
      <c r="N1229" t="str">
        <f t="shared" si="469"/>
        <v/>
      </c>
      <c r="O1229" t="str">
        <f t="shared" si="470"/>
        <v/>
      </c>
    </row>
    <row r="1230" spans="1:15" x14ac:dyDescent="0.3">
      <c r="A1230">
        <v>38586</v>
      </c>
      <c r="B1230" t="s">
        <v>949</v>
      </c>
      <c r="C1230">
        <v>181</v>
      </c>
      <c r="D1230" t="s">
        <v>48</v>
      </c>
      <c r="E1230" t="s">
        <v>1234</v>
      </c>
      <c r="F1230" s="26">
        <v>2889.46</v>
      </c>
      <c r="G1230" s="3">
        <v>45761</v>
      </c>
      <c r="H1230" t="s">
        <v>14</v>
      </c>
      <c r="I1230" s="4" t="str">
        <f t="shared" si="479"/>
        <v>Living Annuity</v>
      </c>
      <c r="J1230" t="str">
        <f t="shared" si="480"/>
        <v>Compulsory, LA</v>
      </c>
      <c r="K1230" t="s">
        <v>15</v>
      </c>
      <c r="M1230" t="str">
        <f t="shared" si="468"/>
        <v>a</v>
      </c>
      <c r="N1230" t="str">
        <f t="shared" si="469"/>
        <v/>
      </c>
      <c r="O1230" t="str">
        <f t="shared" si="470"/>
        <v/>
      </c>
    </row>
    <row r="1231" spans="1:15" x14ac:dyDescent="0.3">
      <c r="A1231">
        <v>38842</v>
      </c>
      <c r="B1231" t="s">
        <v>1093</v>
      </c>
      <c r="C1231">
        <v>79</v>
      </c>
      <c r="D1231" t="s">
        <v>50</v>
      </c>
      <c r="E1231" t="s">
        <v>1234</v>
      </c>
      <c r="F1231" s="25">
        <v>2275.1799999999998</v>
      </c>
      <c r="G1231" s="3">
        <v>45761</v>
      </c>
      <c r="H1231" t="s">
        <v>14</v>
      </c>
      <c r="I1231" s="4" t="str">
        <f>MID(H1231,6,30)</f>
        <v>Living Annuity</v>
      </c>
      <c r="J1231" t="str">
        <f>IF(LEFT(I1231)="L","Compulsory, LA",IF(LEFT(I1231)="R","Compulsory, RA",IF(LEFT(I1231,2)="Pe","Compulsory, Pens","Voluntary")))</f>
        <v>Compulsory, LA</v>
      </c>
      <c r="K1231" t="s">
        <v>15</v>
      </c>
      <c r="M1231" t="str">
        <f t="shared" si="468"/>
        <v>a</v>
      </c>
      <c r="N1231" t="str">
        <f t="shared" si="469"/>
        <v/>
      </c>
      <c r="O1231" t="str">
        <f t="shared" si="470"/>
        <v/>
      </c>
    </row>
    <row r="1232" spans="1:15" x14ac:dyDescent="0.3">
      <c r="A1232">
        <v>38851</v>
      </c>
      <c r="B1232" t="s">
        <v>950</v>
      </c>
      <c r="C1232">
        <v>172</v>
      </c>
      <c r="D1232" t="s">
        <v>52</v>
      </c>
      <c r="E1232" t="s">
        <v>1234</v>
      </c>
      <c r="F1232" s="26">
        <v>201.63</v>
      </c>
      <c r="G1232" s="3">
        <v>45761</v>
      </c>
      <c r="H1232" t="s">
        <v>14</v>
      </c>
      <c r="I1232" s="4" t="str">
        <f t="shared" ref="I1232:I1233" si="481">MID(H1232,6,30)</f>
        <v>Living Annuity</v>
      </c>
      <c r="J1232" t="str">
        <f t="shared" ref="J1232:J1233" si="482">IF(LEFT(I1232)="L","Compulsory, LA",IF(LEFT(I1232)="R","Compulsory, RA",IF(LEFT(I1232,2)="Pe","Compulsory, Pens","Voluntary")))</f>
        <v>Compulsory, LA</v>
      </c>
      <c r="K1232" t="s">
        <v>15</v>
      </c>
      <c r="M1232" t="str">
        <f t="shared" si="468"/>
        <v>a</v>
      </c>
      <c r="N1232" t="str">
        <f t="shared" si="469"/>
        <v/>
      </c>
      <c r="O1232" t="str">
        <f t="shared" si="470"/>
        <v/>
      </c>
    </row>
    <row r="1233" spans="1:15" x14ac:dyDescent="0.3">
      <c r="A1233">
        <v>38887</v>
      </c>
      <c r="B1233" t="s">
        <v>951</v>
      </c>
      <c r="C1233">
        <v>29</v>
      </c>
      <c r="D1233" t="s">
        <v>54</v>
      </c>
      <c r="E1233" t="s">
        <v>1234</v>
      </c>
      <c r="F1233" s="26">
        <v>585.72</v>
      </c>
      <c r="G1233" s="3">
        <v>45761</v>
      </c>
      <c r="H1233" t="s">
        <v>14</v>
      </c>
      <c r="I1233" s="4" t="str">
        <f t="shared" si="481"/>
        <v>Living Annuity</v>
      </c>
      <c r="J1233" t="str">
        <f t="shared" si="482"/>
        <v>Compulsory, LA</v>
      </c>
      <c r="K1233" t="s">
        <v>15</v>
      </c>
      <c r="M1233" t="str">
        <f t="shared" si="468"/>
        <v>a</v>
      </c>
      <c r="N1233" t="str">
        <f t="shared" si="469"/>
        <v/>
      </c>
      <c r="O1233" t="str">
        <f t="shared" si="470"/>
        <v/>
      </c>
    </row>
    <row r="1234" spans="1:15" x14ac:dyDescent="0.3">
      <c r="A1234">
        <v>46589</v>
      </c>
      <c r="B1234" t="s">
        <v>953</v>
      </c>
      <c r="C1234">
        <v>80</v>
      </c>
      <c r="D1234" t="s">
        <v>58</v>
      </c>
      <c r="E1234" t="s">
        <v>1234</v>
      </c>
      <c r="F1234" s="25">
        <v>2834.86</v>
      </c>
      <c r="G1234" s="3">
        <v>45761</v>
      </c>
      <c r="H1234" t="s">
        <v>14</v>
      </c>
      <c r="I1234" s="4" t="str">
        <f>MID(H1234,6,30)</f>
        <v>Living Annuity</v>
      </c>
      <c r="J1234" t="str">
        <f>IF(LEFT(I1234)="L","Compulsory, LA",IF(LEFT(I1234)="R","Compulsory, RA",IF(LEFT(I1234,2)="Pe","Compulsory, Pens","Voluntary")))</f>
        <v>Compulsory, LA</v>
      </c>
      <c r="K1234" t="s">
        <v>15</v>
      </c>
      <c r="M1234" t="str">
        <f t="shared" si="468"/>
        <v>a</v>
      </c>
      <c r="N1234" t="str">
        <f t="shared" si="469"/>
        <v/>
      </c>
      <c r="O1234" t="str">
        <f t="shared" si="470"/>
        <v/>
      </c>
    </row>
    <row r="1235" spans="1:15" x14ac:dyDescent="0.3">
      <c r="A1235">
        <v>46589</v>
      </c>
      <c r="B1235" t="s">
        <v>952</v>
      </c>
      <c r="C1235">
        <v>80</v>
      </c>
      <c r="D1235" t="s">
        <v>58</v>
      </c>
      <c r="E1235" t="s">
        <v>1234</v>
      </c>
      <c r="F1235" s="25">
        <v>65900.45</v>
      </c>
      <c r="G1235" s="3">
        <v>45761</v>
      </c>
      <c r="H1235" t="s">
        <v>14</v>
      </c>
      <c r="I1235" s="4" t="str">
        <f t="shared" ref="I1235:I1236" si="483">MID(H1235,6,30)</f>
        <v>Living Annuity</v>
      </c>
      <c r="J1235" t="str">
        <f t="shared" ref="J1235:J1236" si="484">IF(LEFT(I1235)="L","Compulsory, LA",IF(LEFT(I1235)="R","Compulsory, RA",IF(LEFT(I1235,2)="Pe","Compulsory, Pens","Voluntary")))</f>
        <v>Compulsory, LA</v>
      </c>
      <c r="K1235" t="s">
        <v>15</v>
      </c>
      <c r="M1235" t="str">
        <f t="shared" si="468"/>
        <v>a</v>
      </c>
      <c r="N1235" t="str">
        <f t="shared" si="469"/>
        <v/>
      </c>
      <c r="O1235" t="str">
        <f t="shared" si="470"/>
        <v/>
      </c>
    </row>
    <row r="1236" spans="1:15" x14ac:dyDescent="0.3">
      <c r="A1236">
        <v>54985</v>
      </c>
      <c r="B1236" t="s">
        <v>954</v>
      </c>
      <c r="C1236">
        <v>33</v>
      </c>
      <c r="D1236" t="s">
        <v>60</v>
      </c>
      <c r="E1236" t="s">
        <v>1234</v>
      </c>
      <c r="F1236" s="25">
        <v>804.26</v>
      </c>
      <c r="G1236" s="3">
        <v>45761</v>
      </c>
      <c r="H1236" t="s">
        <v>14</v>
      </c>
      <c r="I1236" s="4" t="str">
        <f t="shared" si="483"/>
        <v>Living Annuity</v>
      </c>
      <c r="J1236" t="str">
        <f t="shared" si="484"/>
        <v>Compulsory, LA</v>
      </c>
      <c r="K1236" t="s">
        <v>15</v>
      </c>
      <c r="M1236" t="str">
        <f t="shared" si="468"/>
        <v>a</v>
      </c>
      <c r="N1236" t="str">
        <f t="shared" si="469"/>
        <v/>
      </c>
      <c r="O1236" t="str">
        <f t="shared" si="470"/>
        <v/>
      </c>
    </row>
    <row r="1237" spans="1:15" x14ac:dyDescent="0.3">
      <c r="A1237">
        <v>69046</v>
      </c>
      <c r="B1237" t="s">
        <v>956</v>
      </c>
      <c r="C1237">
        <v>167</v>
      </c>
      <c r="D1237" t="s">
        <v>703</v>
      </c>
      <c r="E1237" t="s">
        <v>1234</v>
      </c>
      <c r="F1237" s="25">
        <v>14443.91</v>
      </c>
      <c r="G1237" s="3">
        <v>45761</v>
      </c>
      <c r="H1237" t="s">
        <v>14</v>
      </c>
      <c r="I1237" s="4" t="str">
        <f t="shared" ref="I1237:I1241" si="485">MID(H1237,6,30)</f>
        <v>Living Annuity</v>
      </c>
      <c r="J1237" t="str">
        <f t="shared" ref="J1237" si="486">IF(LEFT(I1237)="L","Compulsory, LA",IF(LEFT(I1237)="R","Compulsory, RA",IF(LEFT(I1237,2)="Pe","Compulsory, Pens",IF(LEFT(I1237,2)="Pr","Compulsory, Prov","Voluntary"))))</f>
        <v>Compulsory, LA</v>
      </c>
      <c r="K1237" t="s">
        <v>15</v>
      </c>
      <c r="M1237" t="str">
        <f t="shared" si="468"/>
        <v>a</v>
      </c>
      <c r="N1237" t="str">
        <f t="shared" si="469"/>
        <v/>
      </c>
      <c r="O1237" t="str">
        <f t="shared" si="470"/>
        <v/>
      </c>
    </row>
    <row r="1238" spans="1:15" s="13" customFormat="1" x14ac:dyDescent="0.3">
      <c r="A1238" s="13">
        <v>72002</v>
      </c>
      <c r="B1238" s="13" t="s">
        <v>714</v>
      </c>
      <c r="C1238" s="13">
        <v>67</v>
      </c>
      <c r="D1238" s="13" t="s">
        <v>66</v>
      </c>
      <c r="E1238" s="13" t="s">
        <v>1234</v>
      </c>
      <c r="F1238" s="27">
        <v>16678.759999999998</v>
      </c>
      <c r="G1238" s="14">
        <v>45761</v>
      </c>
      <c r="H1238" s="13" t="s">
        <v>31</v>
      </c>
      <c r="I1238" s="15" t="str">
        <f t="shared" si="485"/>
        <v>Investment Account</v>
      </c>
      <c r="J1238" s="13" t="str">
        <f t="shared" ref="J1238:J1241" si="487">IF(LEFT(I1238)="L","Compulsory, LA",IF(LEFT(I1238)="R","Compulsory, RA",IF(LEFT(I1238,2)="Pe","Compulsory, Pens","Voluntary")))</f>
        <v>Voluntary</v>
      </c>
      <c r="K1238" s="13" t="s">
        <v>15</v>
      </c>
      <c r="M1238" t="str">
        <f t="shared" si="468"/>
        <v>a</v>
      </c>
      <c r="N1238" t="str">
        <f t="shared" si="469"/>
        <v/>
      </c>
      <c r="O1238" t="str">
        <f t="shared" si="470"/>
        <v/>
      </c>
    </row>
    <row r="1239" spans="1:15" x14ac:dyDescent="0.3">
      <c r="A1239">
        <v>72002</v>
      </c>
      <c r="B1239" t="s">
        <v>957</v>
      </c>
      <c r="C1239">
        <v>67</v>
      </c>
      <c r="D1239" t="s">
        <v>66</v>
      </c>
      <c r="E1239" t="s">
        <v>1234</v>
      </c>
      <c r="F1239" s="26">
        <v>13848.96</v>
      </c>
      <c r="G1239" s="3">
        <v>45761</v>
      </c>
      <c r="H1239" t="s">
        <v>14</v>
      </c>
      <c r="I1239" s="4" t="str">
        <f t="shared" si="485"/>
        <v>Living Annuity</v>
      </c>
      <c r="J1239" t="str">
        <f t="shared" si="487"/>
        <v>Compulsory, LA</v>
      </c>
      <c r="K1239" t="s">
        <v>15</v>
      </c>
      <c r="M1239" t="str">
        <f t="shared" si="468"/>
        <v>a</v>
      </c>
      <c r="N1239" t="str">
        <f t="shared" si="469"/>
        <v/>
      </c>
      <c r="O1239" t="str">
        <f t="shared" si="470"/>
        <v/>
      </c>
    </row>
    <row r="1240" spans="1:15" x14ac:dyDescent="0.3">
      <c r="A1240">
        <v>72002</v>
      </c>
      <c r="B1240" t="s">
        <v>860</v>
      </c>
      <c r="C1240">
        <v>67</v>
      </c>
      <c r="D1240" t="s">
        <v>66</v>
      </c>
      <c r="E1240" t="s">
        <v>1234</v>
      </c>
      <c r="F1240" s="26">
        <v>5633.85</v>
      </c>
      <c r="G1240" s="3">
        <v>45761</v>
      </c>
      <c r="H1240" t="s">
        <v>14</v>
      </c>
      <c r="I1240" s="4" t="str">
        <f t="shared" si="485"/>
        <v>Living Annuity</v>
      </c>
      <c r="J1240" t="str">
        <f t="shared" si="487"/>
        <v>Compulsory, LA</v>
      </c>
      <c r="K1240" t="s">
        <v>15</v>
      </c>
      <c r="M1240" t="str">
        <f t="shared" si="468"/>
        <v>a</v>
      </c>
      <c r="N1240" t="str">
        <f t="shared" si="469"/>
        <v/>
      </c>
      <c r="O1240" t="str">
        <f t="shared" si="470"/>
        <v/>
      </c>
    </row>
    <row r="1241" spans="1:15" x14ac:dyDescent="0.3">
      <c r="A1241">
        <v>80212</v>
      </c>
      <c r="B1241" t="s">
        <v>960</v>
      </c>
      <c r="C1241">
        <v>372</v>
      </c>
      <c r="D1241" t="s">
        <v>68</v>
      </c>
      <c r="E1241" t="s">
        <v>1234</v>
      </c>
      <c r="F1241" s="26">
        <v>465.26</v>
      </c>
      <c r="G1241" s="3">
        <v>45761</v>
      </c>
      <c r="H1241" t="s">
        <v>31</v>
      </c>
      <c r="I1241" s="4" t="str">
        <f t="shared" si="485"/>
        <v>Investment Account</v>
      </c>
      <c r="J1241" t="str">
        <f t="shared" si="487"/>
        <v>Voluntary</v>
      </c>
      <c r="K1241" t="s">
        <v>15</v>
      </c>
      <c r="M1241" t="str">
        <f t="shared" si="468"/>
        <v>a</v>
      </c>
      <c r="N1241" t="str">
        <f t="shared" si="469"/>
        <v/>
      </c>
      <c r="O1241" t="str">
        <f t="shared" si="470"/>
        <v/>
      </c>
    </row>
    <row r="1242" spans="1:15" x14ac:dyDescent="0.3">
      <c r="A1242">
        <v>81381</v>
      </c>
      <c r="B1242" t="s">
        <v>962</v>
      </c>
      <c r="C1242">
        <v>183</v>
      </c>
      <c r="D1242" t="s">
        <v>71</v>
      </c>
      <c r="E1242" t="s">
        <v>1234</v>
      </c>
      <c r="F1242" s="26">
        <v>4796.01</v>
      </c>
      <c r="G1242" s="3">
        <v>45761</v>
      </c>
      <c r="H1242" t="s">
        <v>14</v>
      </c>
      <c r="I1242" s="4" t="str">
        <f t="shared" ref="I1242:I1247" si="488">MID(H1242,6,30)</f>
        <v>Living Annuity</v>
      </c>
      <c r="J1242" t="str">
        <f t="shared" ref="J1242:J1247" si="489">IF(LEFT(I1242)="L","Compulsory, LA",IF(LEFT(I1242)="R","Compulsory, RA",IF(LEFT(I1242,2)="Pe","Compulsory, Pens","Voluntary")))</f>
        <v>Compulsory, LA</v>
      </c>
      <c r="K1242" t="s">
        <v>15</v>
      </c>
      <c r="M1242" t="str">
        <f t="shared" si="468"/>
        <v>a</v>
      </c>
      <c r="N1242" t="str">
        <f t="shared" si="469"/>
        <v/>
      </c>
      <c r="O1242" t="str">
        <f t="shared" si="470"/>
        <v/>
      </c>
    </row>
    <row r="1243" spans="1:15" x14ac:dyDescent="0.3">
      <c r="A1243">
        <v>81381</v>
      </c>
      <c r="B1243" t="s">
        <v>963</v>
      </c>
      <c r="C1243">
        <v>183</v>
      </c>
      <c r="D1243" t="s">
        <v>71</v>
      </c>
      <c r="E1243" t="s">
        <v>1234</v>
      </c>
      <c r="F1243" s="26">
        <v>321336.71000000002</v>
      </c>
      <c r="G1243" s="3">
        <v>45761</v>
      </c>
      <c r="H1243" t="s">
        <v>14</v>
      </c>
      <c r="I1243" s="4" t="str">
        <f t="shared" si="488"/>
        <v>Living Annuity</v>
      </c>
      <c r="J1243" t="str">
        <f t="shared" si="489"/>
        <v>Compulsory, LA</v>
      </c>
      <c r="K1243" t="s">
        <v>15</v>
      </c>
      <c r="M1243" t="str">
        <f t="shared" si="468"/>
        <v>a</v>
      </c>
      <c r="N1243" t="str">
        <f t="shared" si="469"/>
        <v/>
      </c>
      <c r="O1243" t="str">
        <f t="shared" si="470"/>
        <v/>
      </c>
    </row>
    <row r="1244" spans="1:15" x14ac:dyDescent="0.3">
      <c r="A1244">
        <v>113590</v>
      </c>
      <c r="B1244" t="s">
        <v>964</v>
      </c>
      <c r="C1244">
        <v>44</v>
      </c>
      <c r="D1244" t="s">
        <v>958</v>
      </c>
      <c r="E1244" t="s">
        <v>1234</v>
      </c>
      <c r="F1244" s="26">
        <v>8505.36</v>
      </c>
      <c r="G1244" s="3">
        <v>45761</v>
      </c>
      <c r="H1244" t="s">
        <v>14</v>
      </c>
      <c r="I1244" s="4" t="str">
        <f t="shared" si="488"/>
        <v>Living Annuity</v>
      </c>
      <c r="J1244" t="str">
        <f t="shared" si="489"/>
        <v>Compulsory, LA</v>
      </c>
      <c r="K1244" t="s">
        <v>15</v>
      </c>
      <c r="M1244" t="str">
        <f t="shared" si="468"/>
        <v>a</v>
      </c>
      <c r="N1244" t="str">
        <f t="shared" si="469"/>
        <v/>
      </c>
      <c r="O1244" t="str">
        <f t="shared" si="470"/>
        <v/>
      </c>
    </row>
    <row r="1245" spans="1:15" x14ac:dyDescent="0.3">
      <c r="A1245">
        <v>113590</v>
      </c>
      <c r="B1245" t="s">
        <v>1112</v>
      </c>
      <c r="C1245">
        <v>44</v>
      </c>
      <c r="D1245" t="s">
        <v>958</v>
      </c>
      <c r="E1245" t="s">
        <v>1234</v>
      </c>
      <c r="F1245" s="26">
        <v>2337.61</v>
      </c>
      <c r="G1245" s="3">
        <v>45761</v>
      </c>
      <c r="H1245" t="s">
        <v>14</v>
      </c>
      <c r="I1245" s="4" t="str">
        <f t="shared" si="488"/>
        <v>Living Annuity</v>
      </c>
      <c r="J1245" t="str">
        <f t="shared" si="489"/>
        <v>Compulsory, LA</v>
      </c>
      <c r="K1245" t="s">
        <v>15</v>
      </c>
      <c r="M1245" t="str">
        <f t="shared" ref="M1245:M1291" si="490">RIGHT(B1245,1)</f>
        <v>a</v>
      </c>
      <c r="N1245" t="str">
        <f t="shared" ref="N1245:N1291" si="491">IF(M1245="f","FFFF","")</f>
        <v/>
      </c>
      <c r="O1245" t="str">
        <f t="shared" ref="O1245:O1291" si="492">IF(M1245="I","IIII","")</f>
        <v/>
      </c>
    </row>
    <row r="1246" spans="1:15" x14ac:dyDescent="0.3">
      <c r="A1246">
        <v>130912</v>
      </c>
      <c r="B1246" t="s">
        <v>1170</v>
      </c>
      <c r="C1246">
        <v>35</v>
      </c>
      <c r="D1246" t="s">
        <v>1169</v>
      </c>
      <c r="E1246" t="s">
        <v>1234</v>
      </c>
      <c r="F1246" s="26">
        <v>9276.5</v>
      </c>
      <c r="G1246" s="3">
        <v>45761</v>
      </c>
      <c r="H1246" t="s">
        <v>1147</v>
      </c>
      <c r="I1246" s="4" t="str">
        <f t="shared" si="488"/>
        <v>Investment Account</v>
      </c>
      <c r="J1246" t="str">
        <f t="shared" si="489"/>
        <v>Voluntary</v>
      </c>
      <c r="K1246" t="s">
        <v>15</v>
      </c>
      <c r="M1246" t="str">
        <f t="shared" si="490"/>
        <v>a</v>
      </c>
      <c r="N1246" t="str">
        <f t="shared" si="491"/>
        <v/>
      </c>
      <c r="O1246" t="str">
        <f t="shared" si="492"/>
        <v/>
      </c>
    </row>
    <row r="1247" spans="1:15" x14ac:dyDescent="0.3">
      <c r="A1247">
        <v>135931</v>
      </c>
      <c r="B1247" t="s">
        <v>755</v>
      </c>
      <c r="C1247">
        <v>45</v>
      </c>
      <c r="D1247" t="s">
        <v>617</v>
      </c>
      <c r="E1247" t="s">
        <v>1234</v>
      </c>
      <c r="F1247" s="26">
        <v>596.36</v>
      </c>
      <c r="G1247" s="3">
        <v>45761</v>
      </c>
      <c r="H1247" t="s">
        <v>31</v>
      </c>
      <c r="I1247" s="4" t="str">
        <f t="shared" si="488"/>
        <v>Investment Account</v>
      </c>
      <c r="J1247" t="str">
        <f t="shared" si="489"/>
        <v>Voluntary</v>
      </c>
      <c r="K1247" t="s">
        <v>15</v>
      </c>
      <c r="M1247" t="str">
        <f t="shared" si="490"/>
        <v>a</v>
      </c>
      <c r="N1247" t="str">
        <f t="shared" si="491"/>
        <v/>
      </c>
      <c r="O1247" t="str">
        <f t="shared" si="492"/>
        <v/>
      </c>
    </row>
    <row r="1248" spans="1:15" x14ac:dyDescent="0.3">
      <c r="A1248">
        <v>100202693</v>
      </c>
      <c r="B1248" t="s">
        <v>1160</v>
      </c>
      <c r="C1248">
        <v>92</v>
      </c>
      <c r="D1248" t="s">
        <v>79</v>
      </c>
      <c r="E1248" t="s">
        <v>1234</v>
      </c>
      <c r="F1248" s="26">
        <v>64713.86</v>
      </c>
      <c r="G1248" s="3">
        <v>45761</v>
      </c>
      <c r="H1248" t="s">
        <v>1147</v>
      </c>
      <c r="I1248" s="4" t="str">
        <f>MID(H1248,6,30)</f>
        <v>Investment Account</v>
      </c>
      <c r="J1248" t="str">
        <f>IF(LEFT(I1248)="L","Compulsory, LA",IF(LEFT(I1248)="R","Compulsory, RA",IF(LEFT(I1248,2)="Pe","Compulsory, Pens","Voluntary")))</f>
        <v>Voluntary</v>
      </c>
      <c r="K1248" t="s">
        <v>15</v>
      </c>
      <c r="M1248" t="str">
        <f t="shared" si="490"/>
        <v>a</v>
      </c>
      <c r="N1248" t="str">
        <f t="shared" si="491"/>
        <v/>
      </c>
      <c r="O1248" t="str">
        <f t="shared" si="492"/>
        <v/>
      </c>
    </row>
    <row r="1249" spans="1:15" x14ac:dyDescent="0.3">
      <c r="A1249">
        <v>100202693</v>
      </c>
      <c r="B1249" t="s">
        <v>1152</v>
      </c>
      <c r="C1249">
        <v>92</v>
      </c>
      <c r="D1249" t="s">
        <v>79</v>
      </c>
      <c r="E1249" t="s">
        <v>1234</v>
      </c>
      <c r="F1249" s="26">
        <v>41562.620000000003</v>
      </c>
      <c r="G1249" s="3">
        <v>45761</v>
      </c>
      <c r="H1249" t="s">
        <v>14</v>
      </c>
      <c r="I1249" s="4" t="str">
        <f>MID(H1249,6,30)</f>
        <v>Living Annuity</v>
      </c>
      <c r="J1249" t="str">
        <f>IF(LEFT(I1249)="L","Compulsory, LA",IF(LEFT(I1249)="R","Compulsory, RA",IF(LEFT(I1249,2)="Pe","Compulsory, Pens","Voluntary")))</f>
        <v>Compulsory, LA</v>
      </c>
      <c r="K1249" t="s">
        <v>15</v>
      </c>
      <c r="M1249" t="str">
        <f t="shared" si="490"/>
        <v>a</v>
      </c>
      <c r="N1249" t="str">
        <f t="shared" si="491"/>
        <v/>
      </c>
      <c r="O1249" t="str">
        <f t="shared" si="492"/>
        <v/>
      </c>
    </row>
    <row r="1250" spans="1:15" x14ac:dyDescent="0.3">
      <c r="A1250">
        <v>100202693</v>
      </c>
      <c r="B1250" t="s">
        <v>1151</v>
      </c>
      <c r="C1250">
        <v>92</v>
      </c>
      <c r="D1250" t="s">
        <v>79</v>
      </c>
      <c r="E1250" t="s">
        <v>1234</v>
      </c>
      <c r="F1250" s="26">
        <v>161975.70000000001</v>
      </c>
      <c r="G1250" s="3">
        <v>45761</v>
      </c>
      <c r="H1250" t="s">
        <v>14</v>
      </c>
      <c r="I1250" s="4" t="str">
        <f t="shared" ref="I1250" si="493">MID(H1250,6,30)</f>
        <v>Living Annuity</v>
      </c>
      <c r="J1250" t="str">
        <f t="shared" ref="J1250" si="494">IF(LEFT(I1250)="L","Compulsory, LA",IF(LEFT(I1250)="R","Compulsory, RA",IF(LEFT(I1250,2)="Pe","Compulsory, Pens","Voluntary")))</f>
        <v>Compulsory, LA</v>
      </c>
      <c r="K1250" t="s">
        <v>15</v>
      </c>
      <c r="M1250" t="str">
        <f t="shared" si="490"/>
        <v>a</v>
      </c>
      <c r="N1250" t="str">
        <f t="shared" si="491"/>
        <v/>
      </c>
      <c r="O1250" t="str">
        <f t="shared" si="492"/>
        <v/>
      </c>
    </row>
    <row r="1251" spans="1:15" x14ac:dyDescent="0.3">
      <c r="A1251">
        <v>100205932</v>
      </c>
      <c r="B1251" t="s">
        <v>1143</v>
      </c>
      <c r="C1251">
        <v>117</v>
      </c>
      <c r="D1251" t="s">
        <v>81</v>
      </c>
      <c r="E1251" t="s">
        <v>1234</v>
      </c>
      <c r="F1251" s="26">
        <v>79199.98</v>
      </c>
      <c r="G1251" s="3">
        <v>45761</v>
      </c>
      <c r="H1251" t="s">
        <v>14</v>
      </c>
      <c r="I1251" s="4" t="str">
        <f>MID(H1251,6,30)</f>
        <v>Living Annuity</v>
      </c>
      <c r="J1251" t="str">
        <f>IF(LEFT(I1251)="L","Compulsory, LA",IF(LEFT(I1251)="R","Compulsory, RA",IF(LEFT(I1251,2)="Pe","Compulsory, Pens","Voluntary")))</f>
        <v>Compulsory, LA</v>
      </c>
      <c r="K1251" t="s">
        <v>15</v>
      </c>
      <c r="M1251" t="str">
        <f t="shared" si="490"/>
        <v>a</v>
      </c>
      <c r="N1251" t="str">
        <f t="shared" si="491"/>
        <v/>
      </c>
      <c r="O1251" t="str">
        <f t="shared" si="492"/>
        <v/>
      </c>
    </row>
    <row r="1252" spans="1:15" x14ac:dyDescent="0.3">
      <c r="A1252">
        <v>100220898</v>
      </c>
      <c r="B1252" t="s">
        <v>967</v>
      </c>
      <c r="C1252">
        <v>115</v>
      </c>
      <c r="D1252" t="s">
        <v>83</v>
      </c>
      <c r="E1252" t="s">
        <v>1234</v>
      </c>
      <c r="F1252" s="25">
        <v>71142.850000000006</v>
      </c>
      <c r="G1252" s="3">
        <v>45761</v>
      </c>
      <c r="H1252" t="s">
        <v>14</v>
      </c>
      <c r="I1252" s="4" t="str">
        <f t="shared" ref="I1252:I1256" si="495">MID(H1252,6,30)</f>
        <v>Living Annuity</v>
      </c>
      <c r="J1252" t="str">
        <f t="shared" ref="J1252:J1256" si="496">IF(LEFT(I1252)="L","Compulsory, LA",IF(LEFT(I1252)="R","Compulsory, RA",IF(LEFT(I1252,2)="Pe","Compulsory, Pens","Voluntary")))</f>
        <v>Compulsory, LA</v>
      </c>
      <c r="K1252" t="s">
        <v>15</v>
      </c>
      <c r="M1252" t="str">
        <f t="shared" si="490"/>
        <v>a</v>
      </c>
      <c r="N1252" t="str">
        <f t="shared" si="491"/>
        <v/>
      </c>
      <c r="O1252" t="str">
        <f t="shared" si="492"/>
        <v/>
      </c>
    </row>
    <row r="1253" spans="1:15" x14ac:dyDescent="0.3">
      <c r="A1253">
        <v>100220898</v>
      </c>
      <c r="B1253" t="s">
        <v>756</v>
      </c>
      <c r="C1253">
        <v>115</v>
      </c>
      <c r="D1253" t="s">
        <v>83</v>
      </c>
      <c r="E1253" t="s">
        <v>1234</v>
      </c>
      <c r="F1253" s="25">
        <v>53038.76</v>
      </c>
      <c r="G1253" s="3">
        <v>45761</v>
      </c>
      <c r="H1253" t="s">
        <v>14</v>
      </c>
      <c r="I1253" s="4" t="str">
        <f t="shared" si="495"/>
        <v>Living Annuity</v>
      </c>
      <c r="J1253" t="str">
        <f t="shared" si="496"/>
        <v>Compulsory, LA</v>
      </c>
      <c r="K1253" t="s">
        <v>15</v>
      </c>
      <c r="M1253" t="str">
        <f t="shared" si="490"/>
        <v>a</v>
      </c>
      <c r="N1253" t="str">
        <f t="shared" si="491"/>
        <v/>
      </c>
      <c r="O1253" t="str">
        <f t="shared" si="492"/>
        <v/>
      </c>
    </row>
    <row r="1254" spans="1:15" x14ac:dyDescent="0.3">
      <c r="A1254">
        <v>100247003</v>
      </c>
      <c r="B1254" t="s">
        <v>969</v>
      </c>
      <c r="C1254">
        <v>79</v>
      </c>
      <c r="D1254" t="s">
        <v>50</v>
      </c>
      <c r="E1254" t="s">
        <v>1234</v>
      </c>
      <c r="F1254" s="25">
        <v>7126.06</v>
      </c>
      <c r="G1254" s="3">
        <v>45761</v>
      </c>
      <c r="H1254" t="s">
        <v>14</v>
      </c>
      <c r="I1254" s="4" t="str">
        <f t="shared" si="495"/>
        <v>Living Annuity</v>
      </c>
      <c r="J1254" t="str">
        <f t="shared" si="496"/>
        <v>Compulsory, LA</v>
      </c>
      <c r="K1254" t="s">
        <v>15</v>
      </c>
      <c r="M1254" t="str">
        <f t="shared" si="490"/>
        <v>a</v>
      </c>
      <c r="N1254" t="str">
        <f t="shared" si="491"/>
        <v/>
      </c>
      <c r="O1254" t="str">
        <f t="shared" si="492"/>
        <v/>
      </c>
    </row>
    <row r="1255" spans="1:15" x14ac:dyDescent="0.3">
      <c r="A1255">
        <v>100249944</v>
      </c>
      <c r="B1255" t="s">
        <v>970</v>
      </c>
      <c r="C1255">
        <v>56</v>
      </c>
      <c r="D1255" t="s">
        <v>86</v>
      </c>
      <c r="E1255" t="s">
        <v>1234</v>
      </c>
      <c r="F1255" s="25">
        <v>6368.97</v>
      </c>
      <c r="G1255" s="3">
        <v>45761</v>
      </c>
      <c r="H1255" t="s">
        <v>14</v>
      </c>
      <c r="I1255" s="4" t="str">
        <f t="shared" si="495"/>
        <v>Living Annuity</v>
      </c>
      <c r="J1255" t="str">
        <f t="shared" si="496"/>
        <v>Compulsory, LA</v>
      </c>
      <c r="K1255" t="s">
        <v>15</v>
      </c>
      <c r="M1255" t="str">
        <f t="shared" si="490"/>
        <v>a</v>
      </c>
      <c r="N1255" t="str">
        <f t="shared" si="491"/>
        <v/>
      </c>
      <c r="O1255" t="str">
        <f t="shared" si="492"/>
        <v/>
      </c>
    </row>
    <row r="1256" spans="1:15" x14ac:dyDescent="0.3">
      <c r="A1256">
        <v>100250182</v>
      </c>
      <c r="B1256" t="s">
        <v>971</v>
      </c>
      <c r="C1256">
        <v>193</v>
      </c>
      <c r="D1256" t="s">
        <v>968</v>
      </c>
      <c r="E1256" t="s">
        <v>1234</v>
      </c>
      <c r="F1256" s="25">
        <v>98385.05</v>
      </c>
      <c r="G1256" s="3">
        <v>45761</v>
      </c>
      <c r="H1256" t="s">
        <v>14</v>
      </c>
      <c r="I1256" s="4" t="str">
        <f t="shared" si="495"/>
        <v>Living Annuity</v>
      </c>
      <c r="J1256" t="str">
        <f t="shared" si="496"/>
        <v>Compulsory, LA</v>
      </c>
      <c r="K1256" t="s">
        <v>15</v>
      </c>
      <c r="M1256" t="str">
        <f t="shared" si="490"/>
        <v>a</v>
      </c>
      <c r="N1256" t="str">
        <f t="shared" si="491"/>
        <v/>
      </c>
      <c r="O1256" t="str">
        <f t="shared" si="492"/>
        <v/>
      </c>
    </row>
    <row r="1257" spans="1:15" x14ac:dyDescent="0.3">
      <c r="A1257">
        <v>100273792</v>
      </c>
      <c r="B1257" t="s">
        <v>757</v>
      </c>
      <c r="C1257">
        <v>299</v>
      </c>
      <c r="D1257" t="s">
        <v>114</v>
      </c>
      <c r="E1257" t="s">
        <v>1234</v>
      </c>
      <c r="F1257" s="26">
        <v>6747.34</v>
      </c>
      <c r="G1257" s="3">
        <v>45761</v>
      </c>
      <c r="H1257" t="s">
        <v>14</v>
      </c>
      <c r="I1257" s="4" t="str">
        <f>MID(H1257,6,30)</f>
        <v>Living Annuity</v>
      </c>
      <c r="J1257" t="str">
        <f>IF(LEFT(I1257)="L","Compulsory, LA",IF(LEFT(I1257)="R","Compulsory, RA",IF(LEFT(I1257,2)="Pe","Compulsory, Pens","Voluntary")))</f>
        <v>Compulsory, LA</v>
      </c>
      <c r="K1257" t="s">
        <v>15</v>
      </c>
      <c r="M1257" t="str">
        <f t="shared" si="490"/>
        <v>a</v>
      </c>
      <c r="N1257" t="str">
        <f t="shared" si="491"/>
        <v/>
      </c>
      <c r="O1257" t="str">
        <f t="shared" si="492"/>
        <v/>
      </c>
    </row>
    <row r="1258" spans="1:15" x14ac:dyDescent="0.3">
      <c r="A1258">
        <v>100273792</v>
      </c>
      <c r="B1258" t="s">
        <v>758</v>
      </c>
      <c r="C1258">
        <v>299</v>
      </c>
      <c r="D1258" t="s">
        <v>114</v>
      </c>
      <c r="E1258" t="s">
        <v>1234</v>
      </c>
      <c r="F1258" s="26">
        <v>5848.19</v>
      </c>
      <c r="G1258" s="3">
        <v>45761</v>
      </c>
      <c r="H1258" t="s">
        <v>14</v>
      </c>
      <c r="I1258" s="4" t="str">
        <f t="shared" ref="I1258" si="497">MID(H1258,6,30)</f>
        <v>Living Annuity</v>
      </c>
      <c r="J1258" t="str">
        <f t="shared" ref="J1258" si="498">IF(LEFT(I1258)="L","Compulsory, LA",IF(LEFT(I1258)="R","Compulsory, RA",IF(LEFT(I1258,2)="Pe","Compulsory, Pens","Voluntary")))</f>
        <v>Compulsory, LA</v>
      </c>
      <c r="K1258" t="s">
        <v>15</v>
      </c>
      <c r="M1258" t="str">
        <f t="shared" si="490"/>
        <v>a</v>
      </c>
      <c r="N1258" t="str">
        <f t="shared" si="491"/>
        <v/>
      </c>
      <c r="O1258" t="str">
        <f t="shared" si="492"/>
        <v/>
      </c>
    </row>
    <row r="1259" spans="1:15" x14ac:dyDescent="0.3">
      <c r="A1259">
        <v>100278188</v>
      </c>
      <c r="B1259" t="s">
        <v>759</v>
      </c>
      <c r="C1259">
        <v>300</v>
      </c>
      <c r="D1259" t="s">
        <v>92</v>
      </c>
      <c r="E1259" t="s">
        <v>1234</v>
      </c>
      <c r="F1259" s="25">
        <v>1713.35</v>
      </c>
      <c r="G1259" s="3">
        <v>45761</v>
      </c>
      <c r="H1259" t="s">
        <v>31</v>
      </c>
      <c r="I1259" s="4" t="str">
        <f>MID(H1259,6,30)</f>
        <v>Investment Account</v>
      </c>
      <c r="J1259" t="str">
        <f>IF(LEFT(I1259)="L","Compulsory, LA",IF(LEFT(I1259)="R","Compulsory, RA",IF(LEFT(I1259,2)="Pe","Compulsory, Pens","Voluntary")))</f>
        <v>Voluntary</v>
      </c>
      <c r="K1259" t="s">
        <v>15</v>
      </c>
      <c r="M1259" t="str">
        <f t="shared" si="490"/>
        <v>a</v>
      </c>
      <c r="N1259" t="str">
        <f t="shared" si="491"/>
        <v/>
      </c>
      <c r="O1259" t="str">
        <f t="shared" si="492"/>
        <v/>
      </c>
    </row>
    <row r="1260" spans="1:15" x14ac:dyDescent="0.3">
      <c r="A1260">
        <v>100278188</v>
      </c>
      <c r="B1260" t="s">
        <v>973</v>
      </c>
      <c r="C1260">
        <v>300</v>
      </c>
      <c r="D1260" t="s">
        <v>92</v>
      </c>
      <c r="E1260" t="s">
        <v>1234</v>
      </c>
      <c r="F1260" s="25">
        <v>4857.0200000000004</v>
      </c>
      <c r="G1260" s="3">
        <v>45761</v>
      </c>
      <c r="H1260" t="s">
        <v>14</v>
      </c>
      <c r="I1260" s="4" t="str">
        <f t="shared" ref="I1260" si="499">MID(H1260,6,30)</f>
        <v>Living Annuity</v>
      </c>
      <c r="J1260" t="str">
        <f t="shared" ref="J1260" si="500">IF(LEFT(I1260)="L","Compulsory, LA",IF(LEFT(I1260)="R","Compulsory, RA",IF(LEFT(I1260,2)="Pe","Compulsory, Pens","Voluntary")))</f>
        <v>Compulsory, LA</v>
      </c>
      <c r="K1260" t="s">
        <v>15</v>
      </c>
      <c r="M1260" t="str">
        <f t="shared" si="490"/>
        <v>a</v>
      </c>
      <c r="N1260" t="str">
        <f t="shared" si="491"/>
        <v/>
      </c>
      <c r="O1260" t="str">
        <f t="shared" si="492"/>
        <v/>
      </c>
    </row>
    <row r="1261" spans="1:15" x14ac:dyDescent="0.3">
      <c r="A1261">
        <v>100278188</v>
      </c>
      <c r="B1261" t="s">
        <v>974</v>
      </c>
      <c r="C1261">
        <v>300</v>
      </c>
      <c r="D1261" t="s">
        <v>92</v>
      </c>
      <c r="E1261" t="s">
        <v>1234</v>
      </c>
      <c r="F1261" s="25">
        <v>15872.69</v>
      </c>
      <c r="G1261" s="3">
        <v>45761</v>
      </c>
      <c r="H1261" t="s">
        <v>14</v>
      </c>
      <c r="I1261" s="4" t="str">
        <f>MID(H1261,6,30)</f>
        <v>Living Annuity</v>
      </c>
      <c r="J1261" t="str">
        <f>IF(LEFT(I1261)="L","Compulsory, LA",IF(LEFT(I1261)="R","Compulsory, RA",IF(LEFT(I1261,2)="Pe","Compulsory, Pens","Voluntary")))</f>
        <v>Compulsory, LA</v>
      </c>
      <c r="K1261" t="s">
        <v>15</v>
      </c>
      <c r="M1261" t="str">
        <f t="shared" si="490"/>
        <v>a</v>
      </c>
      <c r="N1261" t="str">
        <f t="shared" si="491"/>
        <v/>
      </c>
      <c r="O1261" t="str">
        <f t="shared" si="492"/>
        <v/>
      </c>
    </row>
    <row r="1262" spans="1:15" x14ac:dyDescent="0.3">
      <c r="A1262">
        <v>100278188</v>
      </c>
      <c r="B1262" t="s">
        <v>862</v>
      </c>
      <c r="C1262">
        <v>300</v>
      </c>
      <c r="D1262" t="s">
        <v>92</v>
      </c>
      <c r="E1262" t="s">
        <v>1234</v>
      </c>
      <c r="F1262" s="25">
        <v>2021.18</v>
      </c>
      <c r="G1262" s="3">
        <v>45761</v>
      </c>
      <c r="H1262" t="s">
        <v>14</v>
      </c>
      <c r="I1262" s="4" t="str">
        <f>MID(H1262,6,30)</f>
        <v>Living Annuity</v>
      </c>
      <c r="J1262" t="str">
        <f>IF(LEFT(I1262)="L","Compulsory, LA",IF(LEFT(I1262)="R","Compulsory, RA",IF(LEFT(I1262,2)="Pe","Compulsory, Pens","Voluntary")))</f>
        <v>Compulsory, LA</v>
      </c>
      <c r="K1262" t="s">
        <v>15</v>
      </c>
      <c r="M1262" t="str">
        <f t="shared" si="490"/>
        <v>a</v>
      </c>
      <c r="N1262" t="str">
        <f t="shared" si="491"/>
        <v/>
      </c>
      <c r="O1262" t="str">
        <f t="shared" si="492"/>
        <v/>
      </c>
    </row>
    <row r="1263" spans="1:15" s="13" customFormat="1" x14ac:dyDescent="0.3">
      <c r="A1263" s="13">
        <v>100309343</v>
      </c>
      <c r="B1263" s="13" t="s">
        <v>760</v>
      </c>
      <c r="C1263" s="13">
        <v>30</v>
      </c>
      <c r="D1263" s="13" t="s">
        <v>94</v>
      </c>
      <c r="E1263" s="13" t="s">
        <v>1234</v>
      </c>
      <c r="F1263" s="27">
        <v>46422.32</v>
      </c>
      <c r="G1263" s="14">
        <v>45761</v>
      </c>
      <c r="H1263" s="13" t="s">
        <v>31</v>
      </c>
      <c r="I1263" s="15" t="str">
        <f>MID(H1263,6,30)</f>
        <v>Investment Account</v>
      </c>
      <c r="J1263" s="13" t="str">
        <f>IF(LEFT(I1263)="L","Compulsory, LA",IF(LEFT(I1263)="R","Compulsory, RA",IF(LEFT(I1263,2)="Pe","Compulsory, Pens","Voluntary")))</f>
        <v>Voluntary</v>
      </c>
      <c r="K1263" s="13" t="s">
        <v>15</v>
      </c>
      <c r="M1263" t="str">
        <f t="shared" si="490"/>
        <v>a</v>
      </c>
      <c r="N1263" t="str">
        <f t="shared" si="491"/>
        <v/>
      </c>
      <c r="O1263" t="str">
        <f t="shared" si="492"/>
        <v/>
      </c>
    </row>
    <row r="1264" spans="1:15" x14ac:dyDescent="0.3">
      <c r="A1264">
        <v>100325823</v>
      </c>
      <c r="B1264" t="s">
        <v>976</v>
      </c>
      <c r="C1264">
        <v>114</v>
      </c>
      <c r="D1264" t="s">
        <v>97</v>
      </c>
      <c r="E1264" t="s">
        <v>1234</v>
      </c>
      <c r="F1264" s="26">
        <v>55220.800000000003</v>
      </c>
      <c r="G1264" s="3">
        <v>45761</v>
      </c>
      <c r="H1264" t="s">
        <v>14</v>
      </c>
      <c r="I1264" s="4" t="str">
        <f>MID(H1264,6,30)</f>
        <v>Living Annuity</v>
      </c>
      <c r="J1264" t="str">
        <f>IF(LEFT(I1264)="L","Compulsory, LA",IF(LEFT(I1264)="R","Compulsory, RA",IF(LEFT(I1264,2)="Pe","Compulsory, Pens","Voluntary")))</f>
        <v>Compulsory, LA</v>
      </c>
      <c r="K1264" t="s">
        <v>15</v>
      </c>
      <c r="M1264" t="str">
        <f t="shared" si="490"/>
        <v>a</v>
      </c>
      <c r="N1264" t="str">
        <f t="shared" si="491"/>
        <v/>
      </c>
      <c r="O1264" t="str">
        <f t="shared" si="492"/>
        <v/>
      </c>
    </row>
    <row r="1265" spans="1:15" x14ac:dyDescent="0.3">
      <c r="A1265">
        <v>100376880</v>
      </c>
      <c r="B1265" t="s">
        <v>761</v>
      </c>
      <c r="C1265">
        <v>97</v>
      </c>
      <c r="D1265" t="s">
        <v>618</v>
      </c>
      <c r="E1265" t="s">
        <v>1234</v>
      </c>
      <c r="F1265" s="26">
        <v>128659.05</v>
      </c>
      <c r="G1265" s="3">
        <v>45761</v>
      </c>
      <c r="H1265" t="s">
        <v>31</v>
      </c>
      <c r="I1265" s="4" t="str">
        <f t="shared" ref="I1265:I1269" si="501">MID(H1265,6,30)</f>
        <v>Investment Account</v>
      </c>
      <c r="J1265" t="str">
        <f t="shared" ref="J1265:J1269" si="502">IF(LEFT(I1265)="L","Compulsory, LA",IF(LEFT(I1265)="R","Compulsory, RA",IF(LEFT(I1265,2)="Pe","Compulsory, Pens","Voluntary")))</f>
        <v>Voluntary</v>
      </c>
      <c r="K1265" t="s">
        <v>15</v>
      </c>
      <c r="M1265" t="str">
        <f t="shared" si="490"/>
        <v>a</v>
      </c>
      <c r="N1265" t="str">
        <f t="shared" si="491"/>
        <v/>
      </c>
      <c r="O1265" t="str">
        <f t="shared" si="492"/>
        <v/>
      </c>
    </row>
    <row r="1266" spans="1:15" x14ac:dyDescent="0.3">
      <c r="A1266">
        <v>100376880</v>
      </c>
      <c r="B1266" t="s">
        <v>977</v>
      </c>
      <c r="C1266">
        <v>97</v>
      </c>
      <c r="D1266" t="s">
        <v>618</v>
      </c>
      <c r="E1266" t="s">
        <v>1234</v>
      </c>
      <c r="F1266" s="26">
        <v>90.86</v>
      </c>
      <c r="G1266" s="3">
        <v>45761</v>
      </c>
      <c r="H1266" t="s">
        <v>14</v>
      </c>
      <c r="I1266" s="4" t="str">
        <f t="shared" si="501"/>
        <v>Living Annuity</v>
      </c>
      <c r="J1266" t="str">
        <f t="shared" si="502"/>
        <v>Compulsory, LA</v>
      </c>
      <c r="K1266" t="s">
        <v>15</v>
      </c>
      <c r="M1266" t="str">
        <f t="shared" si="490"/>
        <v>a</v>
      </c>
      <c r="N1266" t="str">
        <f t="shared" si="491"/>
        <v/>
      </c>
      <c r="O1266" t="str">
        <f t="shared" si="492"/>
        <v/>
      </c>
    </row>
    <row r="1267" spans="1:15" x14ac:dyDescent="0.3">
      <c r="A1267">
        <v>100388471</v>
      </c>
      <c r="B1267" t="s">
        <v>978</v>
      </c>
      <c r="C1267">
        <v>3</v>
      </c>
      <c r="D1267" t="s">
        <v>101</v>
      </c>
      <c r="E1267" t="s">
        <v>1234</v>
      </c>
      <c r="F1267" s="25">
        <v>52428.63</v>
      </c>
      <c r="G1267" s="3">
        <v>45761</v>
      </c>
      <c r="H1267" t="s">
        <v>14</v>
      </c>
      <c r="I1267" s="4" t="str">
        <f t="shared" si="501"/>
        <v>Living Annuity</v>
      </c>
      <c r="J1267" t="str">
        <f t="shared" si="502"/>
        <v>Compulsory, LA</v>
      </c>
      <c r="K1267" t="s">
        <v>15</v>
      </c>
      <c r="M1267" t="str">
        <f t="shared" si="490"/>
        <v>a</v>
      </c>
      <c r="N1267" t="str">
        <f t="shared" si="491"/>
        <v/>
      </c>
      <c r="O1267" t="str">
        <f t="shared" si="492"/>
        <v/>
      </c>
    </row>
    <row r="1268" spans="1:15" x14ac:dyDescent="0.3">
      <c r="A1268">
        <v>100388471</v>
      </c>
      <c r="B1268" t="s">
        <v>762</v>
      </c>
      <c r="C1268">
        <v>3</v>
      </c>
      <c r="D1268" t="s">
        <v>101</v>
      </c>
      <c r="E1268" t="s">
        <v>1234</v>
      </c>
      <c r="F1268" s="25">
        <v>9020.26</v>
      </c>
      <c r="G1268" s="3">
        <v>45761</v>
      </c>
      <c r="H1268" t="s">
        <v>14</v>
      </c>
      <c r="I1268" s="4" t="str">
        <f t="shared" si="501"/>
        <v>Living Annuity</v>
      </c>
      <c r="J1268" t="str">
        <f t="shared" si="502"/>
        <v>Compulsory, LA</v>
      </c>
      <c r="K1268" t="s">
        <v>15</v>
      </c>
      <c r="M1268" t="str">
        <f t="shared" si="490"/>
        <v>a</v>
      </c>
      <c r="N1268" t="str">
        <f t="shared" si="491"/>
        <v/>
      </c>
      <c r="O1268" t="str">
        <f t="shared" si="492"/>
        <v/>
      </c>
    </row>
    <row r="1269" spans="1:15" x14ac:dyDescent="0.3">
      <c r="A1269">
        <v>100408912</v>
      </c>
      <c r="B1269" t="s">
        <v>979</v>
      </c>
      <c r="C1269">
        <v>297</v>
      </c>
      <c r="D1269" t="s">
        <v>103</v>
      </c>
      <c r="E1269" t="s">
        <v>1234</v>
      </c>
      <c r="F1269" s="25">
        <v>20708.98</v>
      </c>
      <c r="G1269" s="3">
        <v>45761</v>
      </c>
      <c r="H1269" t="s">
        <v>14</v>
      </c>
      <c r="I1269" s="4" t="str">
        <f t="shared" si="501"/>
        <v>Living Annuity</v>
      </c>
      <c r="J1269" t="str">
        <f t="shared" si="502"/>
        <v>Compulsory, LA</v>
      </c>
      <c r="K1269" t="s">
        <v>15</v>
      </c>
      <c r="M1269" t="str">
        <f t="shared" si="490"/>
        <v>a</v>
      </c>
      <c r="N1269" t="str">
        <f t="shared" si="491"/>
        <v/>
      </c>
      <c r="O1269" t="str">
        <f t="shared" si="492"/>
        <v/>
      </c>
    </row>
    <row r="1270" spans="1:15" x14ac:dyDescent="0.3">
      <c r="A1270">
        <v>100421069</v>
      </c>
      <c r="B1270" t="s">
        <v>763</v>
      </c>
      <c r="C1270">
        <v>37</v>
      </c>
      <c r="D1270" t="s">
        <v>105</v>
      </c>
      <c r="E1270" t="s">
        <v>1234</v>
      </c>
      <c r="F1270" s="26">
        <v>9574.81</v>
      </c>
      <c r="G1270" s="3">
        <v>45761</v>
      </c>
      <c r="H1270" t="s">
        <v>14</v>
      </c>
      <c r="I1270" s="4" t="str">
        <f>MID(H1270,6,30)</f>
        <v>Living Annuity</v>
      </c>
      <c r="J1270" t="str">
        <f>IF(LEFT(I1270)="L","Compulsory, LA",IF(LEFT(I1270)="R","Compulsory, RA",IF(LEFT(I1270,2)="Pe","Compulsory, Pens","Voluntary")))</f>
        <v>Compulsory, LA</v>
      </c>
      <c r="K1270" t="s">
        <v>15</v>
      </c>
      <c r="M1270" t="str">
        <f t="shared" si="490"/>
        <v>a</v>
      </c>
      <c r="N1270" t="str">
        <f t="shared" si="491"/>
        <v/>
      </c>
      <c r="O1270" t="str">
        <f t="shared" si="492"/>
        <v/>
      </c>
    </row>
    <row r="1271" spans="1:15" x14ac:dyDescent="0.3">
      <c r="A1271">
        <v>100421069</v>
      </c>
      <c r="B1271" t="s">
        <v>980</v>
      </c>
      <c r="C1271">
        <v>37</v>
      </c>
      <c r="D1271" t="s">
        <v>105</v>
      </c>
      <c r="E1271" t="s">
        <v>1234</v>
      </c>
      <c r="F1271" s="26">
        <v>20771.03</v>
      </c>
      <c r="G1271" s="3">
        <v>45761</v>
      </c>
      <c r="H1271" t="s">
        <v>14</v>
      </c>
      <c r="I1271" s="4" t="str">
        <f t="shared" ref="I1271:I1275" si="503">MID(H1271,6,30)</f>
        <v>Living Annuity</v>
      </c>
      <c r="J1271" t="str">
        <f t="shared" ref="J1271:J1275" si="504">IF(LEFT(I1271)="L","Compulsory, LA",IF(LEFT(I1271)="R","Compulsory, RA",IF(LEFT(I1271,2)="Pe","Compulsory, Pens","Voluntary")))</f>
        <v>Compulsory, LA</v>
      </c>
      <c r="K1271" t="s">
        <v>15</v>
      </c>
      <c r="M1271" t="str">
        <f t="shared" si="490"/>
        <v>a</v>
      </c>
      <c r="N1271" t="str">
        <f t="shared" si="491"/>
        <v/>
      </c>
      <c r="O1271" t="str">
        <f t="shared" si="492"/>
        <v/>
      </c>
    </row>
    <row r="1272" spans="1:15" x14ac:dyDescent="0.3">
      <c r="A1272">
        <v>100421069</v>
      </c>
      <c r="B1272" t="s">
        <v>801</v>
      </c>
      <c r="C1272">
        <v>37</v>
      </c>
      <c r="D1272" t="s">
        <v>105</v>
      </c>
      <c r="E1272" t="s">
        <v>1234</v>
      </c>
      <c r="F1272" s="26">
        <v>11333.78</v>
      </c>
      <c r="G1272" s="3">
        <v>45761</v>
      </c>
      <c r="H1272" t="s">
        <v>14</v>
      </c>
      <c r="I1272" s="4" t="str">
        <f t="shared" si="503"/>
        <v>Living Annuity</v>
      </c>
      <c r="J1272" t="str">
        <f t="shared" si="504"/>
        <v>Compulsory, LA</v>
      </c>
      <c r="K1272" t="s">
        <v>15</v>
      </c>
      <c r="M1272" t="str">
        <f t="shared" si="490"/>
        <v>a</v>
      </c>
      <c r="N1272" t="str">
        <f t="shared" si="491"/>
        <v/>
      </c>
      <c r="O1272" t="str">
        <f t="shared" si="492"/>
        <v/>
      </c>
    </row>
    <row r="1273" spans="1:15" x14ac:dyDescent="0.3">
      <c r="A1273" s="7">
        <v>100489695</v>
      </c>
      <c r="B1273" t="s">
        <v>1120</v>
      </c>
      <c r="C1273">
        <v>294</v>
      </c>
      <c r="D1273" t="s">
        <v>136</v>
      </c>
      <c r="E1273" t="s">
        <v>1234</v>
      </c>
      <c r="F1273" s="26">
        <v>154424.04999999999</v>
      </c>
      <c r="G1273" s="3">
        <v>45761</v>
      </c>
      <c r="H1273" t="s">
        <v>31</v>
      </c>
      <c r="I1273" s="4" t="str">
        <f t="shared" si="503"/>
        <v>Investment Account</v>
      </c>
      <c r="J1273" t="str">
        <f t="shared" si="504"/>
        <v>Voluntary</v>
      </c>
      <c r="K1273" t="s">
        <v>15</v>
      </c>
      <c r="M1273" t="str">
        <f t="shared" si="490"/>
        <v>a</v>
      </c>
      <c r="N1273" t="str">
        <f t="shared" si="491"/>
        <v/>
      </c>
      <c r="O1273" t="str">
        <f t="shared" si="492"/>
        <v/>
      </c>
    </row>
    <row r="1274" spans="1:15" x14ac:dyDescent="0.3">
      <c r="A1274">
        <v>100492707</v>
      </c>
      <c r="B1274" t="s">
        <v>982</v>
      </c>
      <c r="C1274">
        <v>233</v>
      </c>
      <c r="D1274" t="s">
        <v>107</v>
      </c>
      <c r="E1274" t="s">
        <v>1234</v>
      </c>
      <c r="F1274" s="26">
        <v>15831.41</v>
      </c>
      <c r="G1274" s="3">
        <v>45761</v>
      </c>
      <c r="H1274" t="s">
        <v>14</v>
      </c>
      <c r="I1274" s="4" t="str">
        <f t="shared" si="503"/>
        <v>Living Annuity</v>
      </c>
      <c r="J1274" t="str">
        <f t="shared" si="504"/>
        <v>Compulsory, LA</v>
      </c>
      <c r="K1274" t="s">
        <v>15</v>
      </c>
      <c r="M1274" t="str">
        <f t="shared" si="490"/>
        <v>a</v>
      </c>
      <c r="N1274" t="str">
        <f t="shared" si="491"/>
        <v/>
      </c>
      <c r="O1274" t="str">
        <f t="shared" si="492"/>
        <v/>
      </c>
    </row>
    <row r="1275" spans="1:15" x14ac:dyDescent="0.3">
      <c r="A1275">
        <v>100492707</v>
      </c>
      <c r="B1275" t="s">
        <v>1188</v>
      </c>
      <c r="C1275">
        <v>233</v>
      </c>
      <c r="D1275" t="s">
        <v>107</v>
      </c>
      <c r="E1275" t="s">
        <v>1234</v>
      </c>
      <c r="F1275" s="26">
        <v>51796.37</v>
      </c>
      <c r="G1275" s="3">
        <v>45761</v>
      </c>
      <c r="H1275" t="s">
        <v>14</v>
      </c>
      <c r="I1275" s="4" t="str">
        <f t="shared" si="503"/>
        <v>Living Annuity</v>
      </c>
      <c r="J1275" t="str">
        <f t="shared" si="504"/>
        <v>Compulsory, LA</v>
      </c>
      <c r="K1275" t="s">
        <v>15</v>
      </c>
      <c r="M1275" t="str">
        <f t="shared" si="490"/>
        <v>a</v>
      </c>
      <c r="N1275" t="str">
        <f t="shared" si="491"/>
        <v/>
      </c>
      <c r="O1275" t="str">
        <f t="shared" si="492"/>
        <v/>
      </c>
    </row>
    <row r="1276" spans="1:15" x14ac:dyDescent="0.3">
      <c r="A1276">
        <v>100564770</v>
      </c>
      <c r="B1276" t="s">
        <v>764</v>
      </c>
      <c r="C1276">
        <v>384</v>
      </c>
      <c r="D1276" t="s">
        <v>123</v>
      </c>
      <c r="E1276" t="s">
        <v>1234</v>
      </c>
      <c r="F1276" s="26">
        <v>55219.3</v>
      </c>
      <c r="G1276" s="3">
        <v>45761</v>
      </c>
      <c r="H1276" t="s">
        <v>14</v>
      </c>
      <c r="I1276" s="4" t="str">
        <f>MID(H1276,6,30)</f>
        <v>Living Annuity</v>
      </c>
      <c r="J1276" t="str">
        <f>IF(LEFT(I1276)="L","Compulsory, LA",IF(LEFT(I1276)="R","Compulsory, RA",IF(LEFT(I1276,2)="Pe","Compulsory, Pens","Voluntary")))</f>
        <v>Compulsory, LA</v>
      </c>
      <c r="K1276" t="s">
        <v>15</v>
      </c>
      <c r="M1276" t="str">
        <f t="shared" si="490"/>
        <v>a</v>
      </c>
      <c r="N1276" t="str">
        <f t="shared" si="491"/>
        <v/>
      </c>
      <c r="O1276" t="str">
        <f t="shared" si="492"/>
        <v/>
      </c>
    </row>
    <row r="1277" spans="1:15" s="13" customFormat="1" x14ac:dyDescent="0.3">
      <c r="A1277" s="13">
        <v>100596195</v>
      </c>
      <c r="B1277" s="13" t="s">
        <v>765</v>
      </c>
      <c r="C1277" s="13">
        <v>142</v>
      </c>
      <c r="D1277" s="13" t="s">
        <v>620</v>
      </c>
      <c r="E1277" s="13" t="s">
        <v>1234</v>
      </c>
      <c r="F1277" s="28">
        <v>128655.94</v>
      </c>
      <c r="G1277" s="14">
        <v>45761</v>
      </c>
      <c r="H1277" s="13" t="s">
        <v>31</v>
      </c>
      <c r="I1277" s="15" t="str">
        <f t="shared" ref="I1277:I1312" si="505">MID(H1277,6,30)</f>
        <v>Investment Account</v>
      </c>
      <c r="J1277" s="13" t="str">
        <f t="shared" ref="J1277:J1312" si="506">IF(LEFT(I1277)="L","Compulsory, LA",IF(LEFT(I1277)="R","Compulsory, RA",IF(LEFT(I1277,2)="Pe","Compulsory, Pens","Voluntary")))</f>
        <v>Voluntary</v>
      </c>
      <c r="K1277" s="13" t="s">
        <v>15</v>
      </c>
      <c r="M1277" t="str">
        <f t="shared" si="490"/>
        <v>a</v>
      </c>
      <c r="N1277" t="str">
        <f t="shared" si="491"/>
        <v/>
      </c>
      <c r="O1277" t="str">
        <f t="shared" si="492"/>
        <v/>
      </c>
    </row>
    <row r="1278" spans="1:15" s="13" customFormat="1" x14ac:dyDescent="0.3">
      <c r="A1278" s="13">
        <v>100596197</v>
      </c>
      <c r="B1278" s="13" t="s">
        <v>766</v>
      </c>
      <c r="C1278" s="13">
        <v>50</v>
      </c>
      <c r="D1278" s="13" t="s">
        <v>622</v>
      </c>
      <c r="E1278" s="13" t="s">
        <v>1234</v>
      </c>
      <c r="F1278" s="28">
        <v>7455.7</v>
      </c>
      <c r="G1278" s="14">
        <v>45761</v>
      </c>
      <c r="H1278" s="13" t="s">
        <v>31</v>
      </c>
      <c r="I1278" s="15" t="str">
        <f t="shared" si="505"/>
        <v>Investment Account</v>
      </c>
      <c r="J1278" s="13" t="str">
        <f t="shared" si="506"/>
        <v>Voluntary</v>
      </c>
      <c r="K1278" s="13" t="s">
        <v>15</v>
      </c>
      <c r="M1278" t="str">
        <f t="shared" si="490"/>
        <v>a</v>
      </c>
      <c r="N1278" t="str">
        <f t="shared" si="491"/>
        <v/>
      </c>
      <c r="O1278" t="str">
        <f t="shared" si="492"/>
        <v/>
      </c>
    </row>
    <row r="1279" spans="1:15" x14ac:dyDescent="0.3">
      <c r="A1279">
        <v>100596689</v>
      </c>
      <c r="B1279" t="s">
        <v>1082</v>
      </c>
      <c r="C1279">
        <v>180</v>
      </c>
      <c r="D1279" t="s">
        <v>149</v>
      </c>
      <c r="E1279" t="s">
        <v>1234</v>
      </c>
      <c r="F1279" s="26">
        <v>2689.19</v>
      </c>
      <c r="G1279" s="3">
        <v>45761</v>
      </c>
      <c r="H1279" t="s">
        <v>31</v>
      </c>
      <c r="I1279" s="4" t="str">
        <f t="shared" si="505"/>
        <v>Investment Account</v>
      </c>
      <c r="J1279" t="str">
        <f t="shared" si="506"/>
        <v>Voluntary</v>
      </c>
      <c r="K1279" t="s">
        <v>15</v>
      </c>
      <c r="M1279" t="str">
        <f t="shared" si="490"/>
        <v>a</v>
      </c>
      <c r="N1279" t="str">
        <f t="shared" si="491"/>
        <v/>
      </c>
      <c r="O1279" t="str">
        <f t="shared" si="492"/>
        <v/>
      </c>
    </row>
    <row r="1280" spans="1:15" x14ac:dyDescent="0.3">
      <c r="A1280">
        <v>100628018</v>
      </c>
      <c r="B1280" t="s">
        <v>1226</v>
      </c>
      <c r="C1280">
        <v>448</v>
      </c>
      <c r="D1280" t="s">
        <v>706</v>
      </c>
      <c r="E1280" t="s">
        <v>1234</v>
      </c>
      <c r="F1280" s="26">
        <v>58776.68</v>
      </c>
      <c r="G1280" s="3">
        <v>45761</v>
      </c>
      <c r="H1280" t="s">
        <v>31</v>
      </c>
      <c r="I1280" s="4" t="str">
        <f t="shared" si="505"/>
        <v>Investment Account</v>
      </c>
      <c r="J1280" t="str">
        <f t="shared" si="506"/>
        <v>Voluntary</v>
      </c>
      <c r="K1280" t="s">
        <v>15</v>
      </c>
      <c r="M1280" t="str">
        <f t="shared" si="490"/>
        <v>a</v>
      </c>
      <c r="N1280" t="str">
        <f t="shared" si="491"/>
        <v/>
      </c>
      <c r="O1280" t="str">
        <f t="shared" si="492"/>
        <v/>
      </c>
    </row>
    <row r="1281" spans="1:15" x14ac:dyDescent="0.3">
      <c r="A1281">
        <v>100628990</v>
      </c>
      <c r="B1281" t="s">
        <v>985</v>
      </c>
      <c r="C1281">
        <v>36</v>
      </c>
      <c r="D1281" t="s">
        <v>710</v>
      </c>
      <c r="E1281" t="s">
        <v>1234</v>
      </c>
      <c r="F1281" s="26">
        <v>789.36</v>
      </c>
      <c r="G1281" s="3">
        <v>45761</v>
      </c>
      <c r="H1281" t="s">
        <v>14</v>
      </c>
      <c r="I1281" s="4" t="str">
        <f t="shared" si="505"/>
        <v>Living Annuity</v>
      </c>
      <c r="J1281" t="str">
        <f t="shared" si="506"/>
        <v>Compulsory, LA</v>
      </c>
      <c r="K1281" t="s">
        <v>15</v>
      </c>
      <c r="M1281" t="str">
        <f t="shared" si="490"/>
        <v>a</v>
      </c>
      <c r="N1281" t="str">
        <f t="shared" si="491"/>
        <v/>
      </c>
      <c r="O1281" t="str">
        <f t="shared" si="492"/>
        <v/>
      </c>
    </row>
    <row r="1282" spans="1:15" x14ac:dyDescent="0.3">
      <c r="A1282">
        <v>100630705</v>
      </c>
      <c r="B1282" t="s">
        <v>767</v>
      </c>
      <c r="C1282">
        <v>248</v>
      </c>
      <c r="D1282" t="s">
        <v>721</v>
      </c>
      <c r="E1282" t="s">
        <v>1234</v>
      </c>
      <c r="F1282" s="26">
        <v>5111.3599999999997</v>
      </c>
      <c r="G1282" s="3">
        <v>45761</v>
      </c>
      <c r="H1282" t="s">
        <v>31</v>
      </c>
      <c r="I1282" s="4" t="str">
        <f t="shared" si="505"/>
        <v>Investment Account</v>
      </c>
      <c r="J1282" t="str">
        <f t="shared" si="506"/>
        <v>Voluntary</v>
      </c>
      <c r="K1282" t="s">
        <v>15</v>
      </c>
      <c r="M1282" t="str">
        <f t="shared" si="490"/>
        <v>a</v>
      </c>
      <c r="N1282" t="str">
        <f t="shared" si="491"/>
        <v/>
      </c>
      <c r="O1282" t="str">
        <f t="shared" si="492"/>
        <v/>
      </c>
    </row>
    <row r="1283" spans="1:15" x14ac:dyDescent="0.3">
      <c r="A1283">
        <v>100630706</v>
      </c>
      <c r="B1283" t="s">
        <v>986</v>
      </c>
      <c r="C1283">
        <v>361</v>
      </c>
      <c r="D1283" t="s">
        <v>847</v>
      </c>
      <c r="E1283" t="s">
        <v>1234</v>
      </c>
      <c r="F1283" s="26">
        <v>956.17</v>
      </c>
      <c r="G1283" s="3">
        <v>45761</v>
      </c>
      <c r="H1283" t="s">
        <v>31</v>
      </c>
      <c r="I1283" s="4" t="str">
        <f t="shared" si="505"/>
        <v>Investment Account</v>
      </c>
      <c r="J1283" t="str">
        <f t="shared" si="506"/>
        <v>Voluntary</v>
      </c>
      <c r="K1283" t="s">
        <v>15</v>
      </c>
      <c r="M1283" t="str">
        <f t="shared" si="490"/>
        <v>a</v>
      </c>
      <c r="N1283" t="str">
        <f t="shared" si="491"/>
        <v/>
      </c>
      <c r="O1283" t="str">
        <f t="shared" si="492"/>
        <v/>
      </c>
    </row>
    <row r="1284" spans="1:15" s="13" customFormat="1" x14ac:dyDescent="0.3">
      <c r="A1284" s="13">
        <v>100633203</v>
      </c>
      <c r="B1284" s="13" t="s">
        <v>728</v>
      </c>
      <c r="C1284" s="13">
        <v>447</v>
      </c>
      <c r="D1284" s="13" t="s">
        <v>712</v>
      </c>
      <c r="E1284" s="13" t="s">
        <v>1234</v>
      </c>
      <c r="F1284" s="28">
        <v>59579.96</v>
      </c>
      <c r="G1284" s="14">
        <v>45761</v>
      </c>
      <c r="H1284" s="13" t="s">
        <v>31</v>
      </c>
      <c r="I1284" s="15" t="str">
        <f t="shared" si="505"/>
        <v>Investment Account</v>
      </c>
      <c r="J1284" s="13" t="str">
        <f t="shared" si="506"/>
        <v>Voluntary</v>
      </c>
      <c r="K1284" s="13" t="s">
        <v>15</v>
      </c>
      <c r="M1284" t="str">
        <f t="shared" si="490"/>
        <v>a</v>
      </c>
      <c r="N1284" t="str">
        <f t="shared" si="491"/>
        <v/>
      </c>
      <c r="O1284" t="str">
        <f t="shared" si="492"/>
        <v/>
      </c>
    </row>
    <row r="1285" spans="1:15" x14ac:dyDescent="0.3">
      <c r="A1285">
        <v>100641153</v>
      </c>
      <c r="B1285" t="s">
        <v>768</v>
      </c>
      <c r="C1285">
        <v>455</v>
      </c>
      <c r="D1285" t="s">
        <v>725</v>
      </c>
      <c r="E1285" t="s">
        <v>1234</v>
      </c>
      <c r="F1285" s="26">
        <v>9515.2199999999993</v>
      </c>
      <c r="G1285" s="3">
        <v>45761</v>
      </c>
      <c r="H1285" t="s">
        <v>14</v>
      </c>
      <c r="I1285" s="4" t="str">
        <f t="shared" si="505"/>
        <v>Living Annuity</v>
      </c>
      <c r="J1285" t="str">
        <f t="shared" si="506"/>
        <v>Compulsory, LA</v>
      </c>
      <c r="K1285" t="s">
        <v>15</v>
      </c>
      <c r="M1285" t="str">
        <f t="shared" si="490"/>
        <v>a</v>
      </c>
      <c r="N1285" t="str">
        <f t="shared" si="491"/>
        <v/>
      </c>
      <c r="O1285" t="str">
        <f t="shared" si="492"/>
        <v/>
      </c>
    </row>
    <row r="1286" spans="1:15" x14ac:dyDescent="0.3">
      <c r="A1286">
        <v>100651305</v>
      </c>
      <c r="B1286" t="s">
        <v>769</v>
      </c>
      <c r="C1286">
        <v>82</v>
      </c>
      <c r="D1286" t="s">
        <v>727</v>
      </c>
      <c r="E1286" t="s">
        <v>1234</v>
      </c>
      <c r="F1286" s="26">
        <v>5202.8</v>
      </c>
      <c r="G1286" s="3">
        <v>45761</v>
      </c>
      <c r="H1286" s="12" t="s">
        <v>31</v>
      </c>
      <c r="I1286" s="4" t="str">
        <f t="shared" si="505"/>
        <v>Investment Account</v>
      </c>
      <c r="J1286" t="str">
        <f t="shared" si="506"/>
        <v>Voluntary</v>
      </c>
      <c r="K1286" t="s">
        <v>15</v>
      </c>
      <c r="M1286" t="str">
        <f t="shared" si="490"/>
        <v>a</v>
      </c>
      <c r="N1286" t="str">
        <f t="shared" si="491"/>
        <v/>
      </c>
      <c r="O1286" t="str">
        <f t="shared" si="492"/>
        <v/>
      </c>
    </row>
    <row r="1287" spans="1:15" x14ac:dyDescent="0.3">
      <c r="A1287">
        <v>100651921</v>
      </c>
      <c r="B1287" t="s">
        <v>987</v>
      </c>
      <c r="C1287">
        <v>13</v>
      </c>
      <c r="D1287" t="s">
        <v>732</v>
      </c>
      <c r="E1287" t="s">
        <v>1234</v>
      </c>
      <c r="F1287" s="26">
        <v>31539.72</v>
      </c>
      <c r="G1287" s="3">
        <v>45761</v>
      </c>
      <c r="H1287" t="s">
        <v>31</v>
      </c>
      <c r="I1287" s="4" t="str">
        <f t="shared" si="505"/>
        <v>Investment Account</v>
      </c>
      <c r="J1287" t="str">
        <f t="shared" si="506"/>
        <v>Voluntary</v>
      </c>
      <c r="K1287" t="s">
        <v>15</v>
      </c>
      <c r="M1287" t="str">
        <f t="shared" si="490"/>
        <v>a</v>
      </c>
      <c r="N1287" t="str">
        <f t="shared" si="491"/>
        <v/>
      </c>
      <c r="O1287" t="str">
        <f t="shared" si="492"/>
        <v/>
      </c>
    </row>
    <row r="1288" spans="1:15" x14ac:dyDescent="0.3">
      <c r="A1288">
        <v>100651921</v>
      </c>
      <c r="B1288" t="s">
        <v>988</v>
      </c>
      <c r="C1288">
        <v>13</v>
      </c>
      <c r="D1288" t="s">
        <v>732</v>
      </c>
      <c r="E1288" t="s">
        <v>1234</v>
      </c>
      <c r="F1288" s="26">
        <v>4175.5600000000004</v>
      </c>
      <c r="G1288" s="3">
        <v>45761</v>
      </c>
      <c r="H1288" t="s">
        <v>31</v>
      </c>
      <c r="I1288" s="4" t="str">
        <f t="shared" si="505"/>
        <v>Investment Account</v>
      </c>
      <c r="J1288" t="str">
        <f t="shared" si="506"/>
        <v>Voluntary</v>
      </c>
      <c r="K1288" t="s">
        <v>15</v>
      </c>
      <c r="M1288" t="str">
        <f t="shared" si="490"/>
        <v>a</v>
      </c>
      <c r="N1288" t="str">
        <f t="shared" si="491"/>
        <v/>
      </c>
      <c r="O1288" t="str">
        <f t="shared" si="492"/>
        <v/>
      </c>
    </row>
    <row r="1289" spans="1:15" x14ac:dyDescent="0.3">
      <c r="A1289">
        <v>100655835</v>
      </c>
      <c r="B1289" t="s">
        <v>770</v>
      </c>
      <c r="C1289">
        <v>456</v>
      </c>
      <c r="D1289" t="s">
        <v>731</v>
      </c>
      <c r="E1289" t="s">
        <v>1234</v>
      </c>
      <c r="F1289" s="26">
        <v>633454.41</v>
      </c>
      <c r="G1289" s="3">
        <v>45761</v>
      </c>
      <c r="H1289" t="s">
        <v>14</v>
      </c>
      <c r="I1289" s="4" t="str">
        <f t="shared" si="505"/>
        <v>Living Annuity</v>
      </c>
      <c r="J1289" t="str">
        <f t="shared" si="506"/>
        <v>Compulsory, LA</v>
      </c>
      <c r="K1289" t="s">
        <v>15</v>
      </c>
      <c r="M1289" t="str">
        <f t="shared" si="490"/>
        <v>a</v>
      </c>
      <c r="N1289" t="str">
        <f t="shared" si="491"/>
        <v/>
      </c>
      <c r="O1289" t="str">
        <f t="shared" si="492"/>
        <v/>
      </c>
    </row>
    <row r="1290" spans="1:15" x14ac:dyDescent="0.3">
      <c r="A1290">
        <v>100663638</v>
      </c>
      <c r="B1290" t="s">
        <v>804</v>
      </c>
      <c r="C1290">
        <v>58</v>
      </c>
      <c r="D1290" t="s">
        <v>802</v>
      </c>
      <c r="E1290" t="s">
        <v>1234</v>
      </c>
      <c r="F1290" s="26">
        <v>118460.34</v>
      </c>
      <c r="G1290" s="3">
        <v>45761</v>
      </c>
      <c r="H1290" t="s">
        <v>14</v>
      </c>
      <c r="I1290" s="4" t="str">
        <f t="shared" si="505"/>
        <v>Living Annuity</v>
      </c>
      <c r="J1290" t="str">
        <f t="shared" si="506"/>
        <v>Compulsory, LA</v>
      </c>
      <c r="K1290" t="s">
        <v>15</v>
      </c>
      <c r="M1290" t="str">
        <f t="shared" si="490"/>
        <v>a</v>
      </c>
      <c r="N1290" t="str">
        <f t="shared" si="491"/>
        <v/>
      </c>
      <c r="O1290" t="str">
        <f t="shared" si="492"/>
        <v/>
      </c>
    </row>
    <row r="1291" spans="1:15" x14ac:dyDescent="0.3">
      <c r="A1291">
        <v>100663638</v>
      </c>
      <c r="B1291" t="s">
        <v>863</v>
      </c>
      <c r="C1291">
        <v>58</v>
      </c>
      <c r="D1291" t="s">
        <v>802</v>
      </c>
      <c r="E1291" t="s">
        <v>1234</v>
      </c>
      <c r="F1291" s="26">
        <v>5113.5200000000004</v>
      </c>
      <c r="G1291" s="3">
        <v>45761</v>
      </c>
      <c r="H1291" t="s">
        <v>14</v>
      </c>
      <c r="I1291" s="4" t="str">
        <f t="shared" si="505"/>
        <v>Living Annuity</v>
      </c>
      <c r="J1291" t="str">
        <f t="shared" si="506"/>
        <v>Compulsory, LA</v>
      </c>
      <c r="K1291" t="s">
        <v>15</v>
      </c>
      <c r="M1291" t="str">
        <f t="shared" si="490"/>
        <v>a</v>
      </c>
      <c r="N1291" t="str">
        <f t="shared" si="491"/>
        <v/>
      </c>
      <c r="O1291" t="str">
        <f t="shared" si="492"/>
        <v/>
      </c>
    </row>
    <row r="1292" spans="1:15" x14ac:dyDescent="0.3">
      <c r="A1292">
        <v>100663638</v>
      </c>
      <c r="B1292" t="s">
        <v>1161</v>
      </c>
      <c r="C1292">
        <v>58</v>
      </c>
      <c r="D1292" t="s">
        <v>802</v>
      </c>
      <c r="E1292" t="s">
        <v>1234</v>
      </c>
      <c r="F1292" s="26">
        <v>125784.28</v>
      </c>
      <c r="G1292" s="3">
        <v>45761</v>
      </c>
      <c r="H1292" t="s">
        <v>1147</v>
      </c>
      <c r="I1292" s="4" t="str">
        <f t="shared" si="505"/>
        <v>Investment Account</v>
      </c>
      <c r="J1292" t="str">
        <f t="shared" si="506"/>
        <v>Voluntary</v>
      </c>
      <c r="K1292" t="s">
        <v>15</v>
      </c>
      <c r="M1292" t="str">
        <f t="shared" ref="M1292:M1317" si="507">RIGHT(B1292,1)</f>
        <v>a</v>
      </c>
      <c r="N1292" t="str">
        <f t="shared" ref="N1292:N1317" si="508">IF(M1292="f","FFFF","")</f>
        <v/>
      </c>
      <c r="O1292" t="str">
        <f t="shared" ref="O1292:O1317" si="509">IF(M1292="I","IIII","")</f>
        <v/>
      </c>
    </row>
    <row r="1293" spans="1:15" x14ac:dyDescent="0.3">
      <c r="A1293">
        <v>100664029</v>
      </c>
      <c r="B1293" t="s">
        <v>866</v>
      </c>
      <c r="C1293">
        <v>5</v>
      </c>
      <c r="D1293" t="s">
        <v>864</v>
      </c>
      <c r="E1293" t="s">
        <v>1234</v>
      </c>
      <c r="F1293" s="26">
        <v>20436.71</v>
      </c>
      <c r="G1293" s="3">
        <v>45761</v>
      </c>
      <c r="H1293" t="s">
        <v>14</v>
      </c>
      <c r="I1293" s="4" t="str">
        <f t="shared" si="505"/>
        <v>Living Annuity</v>
      </c>
      <c r="J1293" t="str">
        <f t="shared" si="506"/>
        <v>Compulsory, LA</v>
      </c>
      <c r="K1293" t="s">
        <v>15</v>
      </c>
      <c r="M1293" t="str">
        <f t="shared" si="507"/>
        <v>a</v>
      </c>
      <c r="N1293" t="str">
        <f t="shared" si="508"/>
        <v/>
      </c>
      <c r="O1293" t="str">
        <f t="shared" si="509"/>
        <v/>
      </c>
    </row>
    <row r="1294" spans="1:15" x14ac:dyDescent="0.3">
      <c r="A1294">
        <v>100664029</v>
      </c>
      <c r="B1294" t="s">
        <v>868</v>
      </c>
      <c r="C1294">
        <v>5</v>
      </c>
      <c r="D1294" t="s">
        <v>864</v>
      </c>
      <c r="E1294" t="s">
        <v>1234</v>
      </c>
      <c r="F1294" s="26">
        <v>15075.75</v>
      </c>
      <c r="G1294" s="3">
        <v>45761</v>
      </c>
      <c r="H1294" t="s">
        <v>14</v>
      </c>
      <c r="I1294" s="4" t="str">
        <f t="shared" si="505"/>
        <v>Living Annuity</v>
      </c>
      <c r="J1294" t="str">
        <f t="shared" si="506"/>
        <v>Compulsory, LA</v>
      </c>
      <c r="K1294" t="s">
        <v>15</v>
      </c>
      <c r="M1294" t="str">
        <f t="shared" si="507"/>
        <v>a</v>
      </c>
      <c r="N1294" t="str">
        <f t="shared" si="508"/>
        <v/>
      </c>
      <c r="O1294" t="str">
        <f t="shared" si="509"/>
        <v/>
      </c>
    </row>
    <row r="1295" spans="1:15" x14ac:dyDescent="0.3">
      <c r="A1295">
        <v>100664292</v>
      </c>
      <c r="B1295" t="s">
        <v>989</v>
      </c>
      <c r="C1295">
        <v>21</v>
      </c>
      <c r="D1295" t="s">
        <v>849</v>
      </c>
      <c r="E1295" t="s">
        <v>1234</v>
      </c>
      <c r="F1295" s="25">
        <v>25655.040000000001</v>
      </c>
      <c r="G1295" s="3">
        <v>45761</v>
      </c>
      <c r="H1295" t="s">
        <v>31</v>
      </c>
      <c r="I1295" s="4" t="str">
        <f t="shared" si="505"/>
        <v>Investment Account</v>
      </c>
      <c r="J1295" t="str">
        <f t="shared" si="506"/>
        <v>Voluntary</v>
      </c>
      <c r="K1295" t="s">
        <v>15</v>
      </c>
      <c r="M1295" t="str">
        <f t="shared" si="507"/>
        <v>a</v>
      </c>
      <c r="N1295" t="str">
        <f t="shared" si="508"/>
        <v/>
      </c>
      <c r="O1295" t="str">
        <f t="shared" si="509"/>
        <v/>
      </c>
    </row>
    <row r="1296" spans="1:15" x14ac:dyDescent="0.3">
      <c r="A1296">
        <v>100664292</v>
      </c>
      <c r="B1296" t="s">
        <v>870</v>
      </c>
      <c r="C1296">
        <v>21</v>
      </c>
      <c r="D1296" t="s">
        <v>849</v>
      </c>
      <c r="E1296" t="s">
        <v>1234</v>
      </c>
      <c r="F1296" s="25">
        <v>45826.35</v>
      </c>
      <c r="G1296" s="3">
        <v>45761</v>
      </c>
      <c r="H1296" t="s">
        <v>14</v>
      </c>
      <c r="I1296" s="4" t="str">
        <f t="shared" si="505"/>
        <v>Living Annuity</v>
      </c>
      <c r="J1296" t="str">
        <f t="shared" si="506"/>
        <v>Compulsory, LA</v>
      </c>
      <c r="K1296" t="s">
        <v>15</v>
      </c>
      <c r="M1296" t="str">
        <f t="shared" si="507"/>
        <v>a</v>
      </c>
      <c r="N1296" t="str">
        <f t="shared" si="508"/>
        <v/>
      </c>
      <c r="O1296" t="str">
        <f t="shared" si="509"/>
        <v/>
      </c>
    </row>
    <row r="1297" spans="1:15" x14ac:dyDescent="0.3">
      <c r="A1297">
        <v>100664348</v>
      </c>
      <c r="B1297" t="s">
        <v>878</v>
      </c>
      <c r="C1297">
        <v>257</v>
      </c>
      <c r="D1297" t="s">
        <v>871</v>
      </c>
      <c r="E1297" t="s">
        <v>1234</v>
      </c>
      <c r="F1297" s="25">
        <v>54937.86</v>
      </c>
      <c r="G1297" s="3">
        <v>45761</v>
      </c>
      <c r="H1297" t="s">
        <v>14</v>
      </c>
      <c r="I1297" s="4" t="str">
        <f t="shared" si="505"/>
        <v>Living Annuity</v>
      </c>
      <c r="J1297" t="str">
        <f t="shared" si="506"/>
        <v>Compulsory, LA</v>
      </c>
      <c r="K1297" t="s">
        <v>15</v>
      </c>
      <c r="M1297" t="str">
        <f t="shared" si="507"/>
        <v>a</v>
      </c>
      <c r="N1297" t="str">
        <f t="shared" si="508"/>
        <v/>
      </c>
      <c r="O1297" t="str">
        <f t="shared" si="509"/>
        <v/>
      </c>
    </row>
    <row r="1298" spans="1:15" x14ac:dyDescent="0.3">
      <c r="A1298">
        <v>100664351</v>
      </c>
      <c r="B1298" t="s">
        <v>879</v>
      </c>
      <c r="C1298">
        <v>196</v>
      </c>
      <c r="D1298" t="s">
        <v>873</v>
      </c>
      <c r="E1298" t="s">
        <v>1234</v>
      </c>
      <c r="F1298" s="25">
        <v>481.55</v>
      </c>
      <c r="G1298" s="3">
        <v>45761</v>
      </c>
      <c r="H1298" t="s">
        <v>14</v>
      </c>
      <c r="I1298" s="4" t="str">
        <f t="shared" si="505"/>
        <v>Living Annuity</v>
      </c>
      <c r="J1298" t="str">
        <f t="shared" si="506"/>
        <v>Compulsory, LA</v>
      </c>
      <c r="K1298" t="s">
        <v>15</v>
      </c>
      <c r="M1298" t="str">
        <f t="shared" si="507"/>
        <v>a</v>
      </c>
      <c r="N1298" t="str">
        <f t="shared" si="508"/>
        <v/>
      </c>
      <c r="O1298" t="str">
        <f t="shared" si="509"/>
        <v/>
      </c>
    </row>
    <row r="1299" spans="1:15" x14ac:dyDescent="0.3">
      <c r="A1299">
        <v>100664737</v>
      </c>
      <c r="B1299" t="s">
        <v>1116</v>
      </c>
      <c r="C1299">
        <v>57</v>
      </c>
      <c r="D1299" t="s">
        <v>882</v>
      </c>
      <c r="E1299" t="s">
        <v>1234</v>
      </c>
      <c r="F1299" s="25">
        <v>26798.9</v>
      </c>
      <c r="G1299" s="3">
        <v>45761</v>
      </c>
      <c r="H1299" t="s">
        <v>14</v>
      </c>
      <c r="I1299" s="4" t="str">
        <f t="shared" si="505"/>
        <v>Living Annuity</v>
      </c>
      <c r="J1299" t="str">
        <f t="shared" si="506"/>
        <v>Compulsory, LA</v>
      </c>
      <c r="K1299" t="s">
        <v>15</v>
      </c>
      <c r="M1299" t="str">
        <f t="shared" si="507"/>
        <v>a</v>
      </c>
      <c r="N1299" t="str">
        <f t="shared" si="508"/>
        <v/>
      </c>
      <c r="O1299" t="str">
        <f t="shared" si="509"/>
        <v/>
      </c>
    </row>
    <row r="1300" spans="1:15" x14ac:dyDescent="0.3">
      <c r="A1300">
        <v>100664737</v>
      </c>
      <c r="B1300" t="s">
        <v>1122</v>
      </c>
      <c r="C1300">
        <v>57</v>
      </c>
      <c r="D1300" t="s">
        <v>882</v>
      </c>
      <c r="E1300" t="s">
        <v>1234</v>
      </c>
      <c r="F1300" s="25">
        <v>8295.19</v>
      </c>
      <c r="G1300" s="3">
        <v>45761</v>
      </c>
      <c r="H1300" t="s">
        <v>14</v>
      </c>
      <c r="I1300" s="4" t="str">
        <f t="shared" si="505"/>
        <v>Living Annuity</v>
      </c>
      <c r="J1300" t="str">
        <f t="shared" si="506"/>
        <v>Compulsory, LA</v>
      </c>
      <c r="K1300" t="s">
        <v>15</v>
      </c>
      <c r="M1300" t="str">
        <f t="shared" si="507"/>
        <v>a</v>
      </c>
      <c r="N1300" t="str">
        <f t="shared" si="508"/>
        <v/>
      </c>
      <c r="O1300" t="str">
        <f t="shared" si="509"/>
        <v/>
      </c>
    </row>
    <row r="1301" spans="1:15" x14ac:dyDescent="0.3">
      <c r="A1301">
        <v>100665510</v>
      </c>
      <c r="B1301" t="s">
        <v>885</v>
      </c>
      <c r="C1301">
        <v>6</v>
      </c>
      <c r="D1301" t="s">
        <v>850</v>
      </c>
      <c r="E1301" t="s">
        <v>1234</v>
      </c>
      <c r="F1301" s="25">
        <v>4938.1099999999997</v>
      </c>
      <c r="G1301" s="3">
        <v>45761</v>
      </c>
      <c r="H1301" t="s">
        <v>14</v>
      </c>
      <c r="I1301" s="4" t="str">
        <f t="shared" si="505"/>
        <v>Living Annuity</v>
      </c>
      <c r="J1301" t="str">
        <f t="shared" si="506"/>
        <v>Compulsory, LA</v>
      </c>
      <c r="K1301" t="s">
        <v>15</v>
      </c>
      <c r="M1301" t="str">
        <f t="shared" si="507"/>
        <v>a</v>
      </c>
      <c r="N1301" t="str">
        <f t="shared" si="508"/>
        <v/>
      </c>
      <c r="O1301" t="str">
        <f t="shared" si="509"/>
        <v/>
      </c>
    </row>
    <row r="1302" spans="1:15" x14ac:dyDescent="0.3">
      <c r="A1302">
        <v>100665581</v>
      </c>
      <c r="B1302" t="s">
        <v>1227</v>
      </c>
      <c r="C1302">
        <v>113</v>
      </c>
      <c r="D1302" t="s">
        <v>884</v>
      </c>
      <c r="E1302" t="s">
        <v>1234</v>
      </c>
      <c r="F1302" s="25">
        <v>140010.53</v>
      </c>
      <c r="G1302" s="3">
        <v>45761</v>
      </c>
      <c r="H1302" t="s">
        <v>1147</v>
      </c>
      <c r="I1302" s="4" t="str">
        <f t="shared" si="505"/>
        <v>Investment Account</v>
      </c>
      <c r="J1302" t="str">
        <f t="shared" si="506"/>
        <v>Voluntary</v>
      </c>
      <c r="K1302" t="s">
        <v>15</v>
      </c>
      <c r="M1302" t="str">
        <f t="shared" si="507"/>
        <v>a</v>
      </c>
      <c r="N1302" t="str">
        <f t="shared" si="508"/>
        <v/>
      </c>
      <c r="O1302" t="str">
        <f t="shared" si="509"/>
        <v/>
      </c>
    </row>
    <row r="1303" spans="1:15" x14ac:dyDescent="0.3">
      <c r="A1303">
        <v>100665581</v>
      </c>
      <c r="B1303" t="s">
        <v>1235</v>
      </c>
      <c r="C1303">
        <v>113</v>
      </c>
      <c r="D1303" t="s">
        <v>884</v>
      </c>
      <c r="E1303" t="s">
        <v>1234</v>
      </c>
      <c r="F1303" s="25">
        <v>91407.19</v>
      </c>
      <c r="G1303" s="3">
        <v>45761</v>
      </c>
      <c r="H1303" t="s">
        <v>14</v>
      </c>
      <c r="I1303" s="4" t="str">
        <f t="shared" si="505"/>
        <v>Living Annuity</v>
      </c>
      <c r="J1303" t="str">
        <f t="shared" si="506"/>
        <v>Compulsory, LA</v>
      </c>
      <c r="K1303" t="s">
        <v>15</v>
      </c>
      <c r="M1303" t="str">
        <f t="shared" si="507"/>
        <v>a</v>
      </c>
      <c r="N1303" t="str">
        <f t="shared" si="508"/>
        <v/>
      </c>
      <c r="O1303" t="str">
        <f t="shared" si="509"/>
        <v/>
      </c>
    </row>
    <row r="1304" spans="1:15" x14ac:dyDescent="0.3">
      <c r="A1304">
        <v>100666150</v>
      </c>
      <c r="B1304" t="s">
        <v>805</v>
      </c>
      <c r="C1304">
        <v>163</v>
      </c>
      <c r="D1304" t="s">
        <v>803</v>
      </c>
      <c r="E1304" t="s">
        <v>1234</v>
      </c>
      <c r="F1304" s="26">
        <v>79658.25</v>
      </c>
      <c r="G1304" s="3">
        <v>45761</v>
      </c>
      <c r="H1304" t="s">
        <v>14</v>
      </c>
      <c r="I1304" s="4" t="str">
        <f t="shared" si="505"/>
        <v>Living Annuity</v>
      </c>
      <c r="J1304" t="str">
        <f t="shared" si="506"/>
        <v>Compulsory, LA</v>
      </c>
      <c r="K1304" t="s">
        <v>15</v>
      </c>
      <c r="M1304" t="str">
        <f t="shared" si="507"/>
        <v>a</v>
      </c>
      <c r="N1304" t="str">
        <f t="shared" si="508"/>
        <v/>
      </c>
      <c r="O1304" t="str">
        <f t="shared" si="509"/>
        <v/>
      </c>
    </row>
    <row r="1305" spans="1:15" x14ac:dyDescent="0.3">
      <c r="A1305">
        <v>100668409</v>
      </c>
      <c r="B1305" t="s">
        <v>990</v>
      </c>
      <c r="C1305">
        <v>178</v>
      </c>
      <c r="D1305" t="s">
        <v>852</v>
      </c>
      <c r="E1305" t="s">
        <v>1234</v>
      </c>
      <c r="F1305" s="26">
        <v>4351.3</v>
      </c>
      <c r="G1305" s="3">
        <v>45761</v>
      </c>
      <c r="H1305" t="s">
        <v>31</v>
      </c>
      <c r="I1305" s="4" t="str">
        <f t="shared" si="505"/>
        <v>Investment Account</v>
      </c>
      <c r="J1305" t="str">
        <f t="shared" si="506"/>
        <v>Voluntary</v>
      </c>
      <c r="K1305" t="s">
        <v>15</v>
      </c>
      <c r="M1305" t="str">
        <f t="shared" si="507"/>
        <v>a</v>
      </c>
      <c r="N1305" t="str">
        <f t="shared" si="508"/>
        <v/>
      </c>
      <c r="O1305" t="str">
        <f t="shared" si="509"/>
        <v/>
      </c>
    </row>
    <row r="1306" spans="1:15" x14ac:dyDescent="0.3">
      <c r="A1306">
        <v>100668534</v>
      </c>
      <c r="B1306" t="s">
        <v>991</v>
      </c>
      <c r="C1306">
        <v>23</v>
      </c>
      <c r="D1306" t="s">
        <v>194</v>
      </c>
      <c r="E1306" t="s">
        <v>1234</v>
      </c>
      <c r="F1306" s="26">
        <v>4045.68</v>
      </c>
      <c r="G1306" s="3">
        <v>45761</v>
      </c>
      <c r="H1306" t="s">
        <v>31</v>
      </c>
      <c r="I1306" s="4" t="str">
        <f t="shared" si="505"/>
        <v>Investment Account</v>
      </c>
      <c r="J1306" t="str">
        <f t="shared" si="506"/>
        <v>Voluntary</v>
      </c>
      <c r="K1306" t="s">
        <v>15</v>
      </c>
      <c r="M1306" t="str">
        <f t="shared" si="507"/>
        <v>a</v>
      </c>
      <c r="N1306" t="str">
        <f t="shared" si="508"/>
        <v/>
      </c>
      <c r="O1306" t="str">
        <f t="shared" si="509"/>
        <v/>
      </c>
    </row>
    <row r="1307" spans="1:15" x14ac:dyDescent="0.3">
      <c r="A1307">
        <v>100669580</v>
      </c>
      <c r="B1307" t="s">
        <v>889</v>
      </c>
      <c r="C1307">
        <v>321</v>
      </c>
      <c r="D1307" t="s">
        <v>887</v>
      </c>
      <c r="E1307" t="s">
        <v>1234</v>
      </c>
      <c r="F1307" s="26">
        <v>13674.02</v>
      </c>
      <c r="G1307" s="3">
        <v>45761</v>
      </c>
      <c r="H1307" t="s">
        <v>14</v>
      </c>
      <c r="I1307" s="4" t="str">
        <f t="shared" si="505"/>
        <v>Living Annuity</v>
      </c>
      <c r="J1307" t="str">
        <f t="shared" si="506"/>
        <v>Compulsory, LA</v>
      </c>
      <c r="K1307" t="s">
        <v>15</v>
      </c>
      <c r="M1307" t="str">
        <f t="shared" si="507"/>
        <v>a</v>
      </c>
      <c r="N1307" t="str">
        <f t="shared" si="508"/>
        <v/>
      </c>
      <c r="O1307" t="str">
        <f t="shared" si="509"/>
        <v/>
      </c>
    </row>
    <row r="1308" spans="1:15" x14ac:dyDescent="0.3">
      <c r="A1308">
        <v>100670671</v>
      </c>
      <c r="B1308" t="s">
        <v>892</v>
      </c>
      <c r="C1308">
        <v>150</v>
      </c>
      <c r="D1308" t="s">
        <v>890</v>
      </c>
      <c r="E1308" t="s">
        <v>1234</v>
      </c>
      <c r="F1308" s="26">
        <v>61515.92</v>
      </c>
      <c r="G1308" s="3">
        <v>45761</v>
      </c>
      <c r="H1308" t="s">
        <v>31</v>
      </c>
      <c r="I1308" s="4" t="str">
        <f t="shared" si="505"/>
        <v>Investment Account</v>
      </c>
      <c r="J1308" t="str">
        <f t="shared" si="506"/>
        <v>Voluntary</v>
      </c>
      <c r="K1308" t="s">
        <v>15</v>
      </c>
      <c r="M1308" t="str">
        <f t="shared" si="507"/>
        <v>a</v>
      </c>
      <c r="N1308" t="str">
        <f t="shared" si="508"/>
        <v/>
      </c>
      <c r="O1308" t="str">
        <f t="shared" si="509"/>
        <v/>
      </c>
    </row>
    <row r="1309" spans="1:15" s="13" customFormat="1" x14ac:dyDescent="0.3">
      <c r="A1309" s="13">
        <v>100672294</v>
      </c>
      <c r="B1309" s="13" t="s">
        <v>897</v>
      </c>
      <c r="C1309" s="13">
        <v>458</v>
      </c>
      <c r="D1309" s="13" t="s">
        <v>893</v>
      </c>
      <c r="E1309" s="13" t="s">
        <v>1234</v>
      </c>
      <c r="F1309" s="27">
        <v>16381.42</v>
      </c>
      <c r="G1309" s="14">
        <v>45761</v>
      </c>
      <c r="H1309" s="13" t="s">
        <v>31</v>
      </c>
      <c r="I1309" s="15" t="str">
        <f t="shared" si="505"/>
        <v>Investment Account</v>
      </c>
      <c r="J1309" s="13" t="str">
        <f t="shared" si="506"/>
        <v>Voluntary</v>
      </c>
      <c r="K1309" s="13" t="s">
        <v>15</v>
      </c>
      <c r="M1309" t="str">
        <f t="shared" si="507"/>
        <v>a</v>
      </c>
      <c r="N1309" t="str">
        <f t="shared" si="508"/>
        <v/>
      </c>
      <c r="O1309" t="str">
        <f t="shared" si="509"/>
        <v/>
      </c>
    </row>
    <row r="1310" spans="1:15" x14ac:dyDescent="0.3">
      <c r="A1310">
        <v>100672395</v>
      </c>
      <c r="B1310" t="s">
        <v>900</v>
      </c>
      <c r="C1310">
        <v>125</v>
      </c>
      <c r="D1310" t="s">
        <v>899</v>
      </c>
      <c r="E1310" t="s">
        <v>1234</v>
      </c>
      <c r="F1310" s="25">
        <v>967.57</v>
      </c>
      <c r="G1310" s="3">
        <v>45761</v>
      </c>
      <c r="H1310" t="s">
        <v>31</v>
      </c>
      <c r="I1310" s="4" t="str">
        <f t="shared" si="505"/>
        <v>Investment Account</v>
      </c>
      <c r="J1310" t="str">
        <f t="shared" si="506"/>
        <v>Voluntary</v>
      </c>
      <c r="K1310" t="s">
        <v>15</v>
      </c>
      <c r="M1310" t="str">
        <f t="shared" si="507"/>
        <v>a</v>
      </c>
      <c r="N1310" t="str">
        <f t="shared" si="508"/>
        <v/>
      </c>
      <c r="O1310" t="str">
        <f t="shared" si="509"/>
        <v/>
      </c>
    </row>
    <row r="1311" spans="1:15" x14ac:dyDescent="0.3">
      <c r="A1311">
        <v>100675336</v>
      </c>
      <c r="B1311" t="s">
        <v>1096</v>
      </c>
      <c r="C1311">
        <v>245</v>
      </c>
      <c r="D1311" t="s">
        <v>1094</v>
      </c>
      <c r="E1311" t="s">
        <v>1234</v>
      </c>
      <c r="F1311" s="25">
        <v>703.07</v>
      </c>
      <c r="G1311" s="3">
        <v>45761</v>
      </c>
      <c r="H1311" t="s">
        <v>14</v>
      </c>
      <c r="I1311" s="4" t="str">
        <f t="shared" si="505"/>
        <v>Living Annuity</v>
      </c>
      <c r="J1311" t="str">
        <f t="shared" si="506"/>
        <v>Compulsory, LA</v>
      </c>
      <c r="K1311" t="s">
        <v>15</v>
      </c>
      <c r="M1311" t="str">
        <f t="shared" si="507"/>
        <v>a</v>
      </c>
      <c r="N1311" t="str">
        <f t="shared" si="508"/>
        <v/>
      </c>
      <c r="O1311" t="str">
        <f t="shared" si="509"/>
        <v/>
      </c>
    </row>
    <row r="1312" spans="1:15" x14ac:dyDescent="0.3">
      <c r="A1312">
        <v>100677278</v>
      </c>
      <c r="B1312" t="s">
        <v>994</v>
      </c>
      <c r="C1312">
        <v>460</v>
      </c>
      <c r="D1312" t="s">
        <v>993</v>
      </c>
      <c r="E1312" t="s">
        <v>1234</v>
      </c>
      <c r="F1312" s="25">
        <v>42572.37</v>
      </c>
      <c r="G1312" s="3">
        <v>45761</v>
      </c>
      <c r="H1312" t="s">
        <v>14</v>
      </c>
      <c r="I1312" s="4" t="str">
        <f t="shared" si="505"/>
        <v>Living Annuity</v>
      </c>
      <c r="J1312" t="str">
        <f t="shared" si="506"/>
        <v>Compulsory, LA</v>
      </c>
      <c r="K1312" t="s">
        <v>15</v>
      </c>
      <c r="M1312" t="str">
        <f t="shared" si="507"/>
        <v>a</v>
      </c>
      <c r="N1312" t="str">
        <f t="shared" si="508"/>
        <v/>
      </c>
      <c r="O1312" t="str">
        <f t="shared" si="509"/>
        <v/>
      </c>
    </row>
    <row r="1313" spans="1:15" x14ac:dyDescent="0.3">
      <c r="A1313">
        <v>100677585</v>
      </c>
      <c r="B1313" t="s">
        <v>1103</v>
      </c>
      <c r="C1313">
        <v>175</v>
      </c>
      <c r="D1313" t="s">
        <v>1104</v>
      </c>
      <c r="E1313" t="s">
        <v>1234</v>
      </c>
      <c r="F1313" s="25">
        <v>4117.57</v>
      </c>
      <c r="G1313" s="3">
        <v>45761</v>
      </c>
      <c r="H1313" t="s">
        <v>14</v>
      </c>
      <c r="I1313" s="4" t="str">
        <f>MID(H1313,6,30)</f>
        <v>Living Annuity</v>
      </c>
      <c r="J1313" t="str">
        <f>IF(LEFT(I1313)="L","Compulsory, LA",IF(LEFT(I1313)="R","Compulsory, RA",IF(LEFT(I1313,2)="Pe","Compulsory, Pens","Voluntary")))</f>
        <v>Compulsory, LA</v>
      </c>
      <c r="K1313" t="s">
        <v>15</v>
      </c>
      <c r="M1313" t="str">
        <f t="shared" si="507"/>
        <v>a</v>
      </c>
      <c r="N1313" t="str">
        <f t="shared" si="508"/>
        <v/>
      </c>
      <c r="O1313" t="str">
        <f t="shared" si="509"/>
        <v/>
      </c>
    </row>
    <row r="1314" spans="1:15" x14ac:dyDescent="0.3">
      <c r="A1314">
        <v>100706842</v>
      </c>
      <c r="B1314" t="s">
        <v>1127</v>
      </c>
      <c r="C1314">
        <v>83</v>
      </c>
      <c r="D1314" t="s">
        <v>1129</v>
      </c>
      <c r="E1314" t="s">
        <v>1234</v>
      </c>
      <c r="F1314" s="26">
        <v>52155.839999999997</v>
      </c>
      <c r="G1314" s="3">
        <v>45761</v>
      </c>
      <c r="H1314" t="s">
        <v>14</v>
      </c>
      <c r="I1314" s="4" t="str">
        <f t="shared" ref="I1314:I1315" si="510">MID(H1314,6,30)</f>
        <v>Living Annuity</v>
      </c>
      <c r="J1314" t="str">
        <f t="shared" ref="J1314:J1315" si="511">IF(LEFT(I1314)="L","Compulsory, LA",IF(LEFT(I1314)="R","Compulsory, RA",IF(LEFT(I1314,2)="Pe","Compulsory, Pens","Voluntary")))</f>
        <v>Compulsory, LA</v>
      </c>
      <c r="K1314" t="s">
        <v>15</v>
      </c>
      <c r="M1314" t="str">
        <f t="shared" si="507"/>
        <v>a</v>
      </c>
      <c r="N1314" t="str">
        <f t="shared" si="508"/>
        <v/>
      </c>
      <c r="O1314" t="str">
        <f t="shared" si="509"/>
        <v/>
      </c>
    </row>
    <row r="1315" spans="1:15" x14ac:dyDescent="0.3">
      <c r="A1315">
        <v>100711105</v>
      </c>
      <c r="B1315" t="s">
        <v>1128</v>
      </c>
      <c r="C1315">
        <v>470</v>
      </c>
      <c r="D1315" t="s">
        <v>1130</v>
      </c>
      <c r="E1315" t="s">
        <v>1234</v>
      </c>
      <c r="F1315" s="26">
        <v>176.08</v>
      </c>
      <c r="G1315" s="3">
        <v>45761</v>
      </c>
      <c r="H1315" t="s">
        <v>31</v>
      </c>
      <c r="I1315" s="4" t="str">
        <f t="shared" si="510"/>
        <v>Investment Account</v>
      </c>
      <c r="J1315" t="str">
        <f t="shared" si="511"/>
        <v>Voluntary</v>
      </c>
      <c r="K1315" t="s">
        <v>15</v>
      </c>
      <c r="M1315" t="str">
        <f t="shared" si="507"/>
        <v>a</v>
      </c>
      <c r="N1315" t="str">
        <f t="shared" si="508"/>
        <v/>
      </c>
      <c r="O1315" t="str">
        <f t="shared" si="509"/>
        <v/>
      </c>
    </row>
    <row r="1316" spans="1:15" x14ac:dyDescent="0.3">
      <c r="A1316">
        <v>100786852</v>
      </c>
      <c r="B1316" t="s">
        <v>1221</v>
      </c>
      <c r="C1316">
        <v>209</v>
      </c>
      <c r="D1316" t="s">
        <v>1201</v>
      </c>
      <c r="E1316" t="s">
        <v>1234</v>
      </c>
      <c r="F1316" s="26">
        <v>71378.460000000006</v>
      </c>
      <c r="G1316" s="3">
        <v>45761</v>
      </c>
      <c r="H1316" t="s">
        <v>14</v>
      </c>
      <c r="I1316" s="4" t="str">
        <f>MID(H1316,6,30)</f>
        <v>Living Annuity</v>
      </c>
      <c r="J1316" t="str">
        <f>IF(LEFT(I1316)="L","Compulsory, LA",IF(LEFT(I1316)="R","Compulsory, RA",IF(LEFT(I1316,2)="Pe","Compulsory, Pens","Voluntary")))</f>
        <v>Compulsory, LA</v>
      </c>
      <c r="K1316" t="s">
        <v>15</v>
      </c>
      <c r="M1316" t="str">
        <f t="shared" si="507"/>
        <v>a</v>
      </c>
      <c r="N1316" t="str">
        <f t="shared" si="508"/>
        <v/>
      </c>
      <c r="O1316" t="str">
        <f t="shared" si="509"/>
        <v/>
      </c>
    </row>
    <row r="1317" spans="1:15" s="6" customFormat="1" x14ac:dyDescent="0.3">
      <c r="A1317" s="6">
        <v>100799345</v>
      </c>
      <c r="B1317" s="6" t="s">
        <v>1229</v>
      </c>
      <c r="C1317" s="6">
        <v>478</v>
      </c>
      <c r="D1317" s="6" t="s">
        <v>1228</v>
      </c>
      <c r="E1317" s="6" t="s">
        <v>1234</v>
      </c>
      <c r="F1317" s="32">
        <v>221223.66</v>
      </c>
      <c r="G1317" s="22">
        <v>45761</v>
      </c>
      <c r="H1317" s="6" t="s">
        <v>1147</v>
      </c>
      <c r="I1317" s="23" t="str">
        <f>MID(H1317,6,30)</f>
        <v>Investment Account</v>
      </c>
      <c r="J1317" s="6" t="str">
        <f>IF(LEFT(I1317)="L","Compulsory, LA",IF(LEFT(I1317)="R","Compulsory, RA",IF(LEFT(I1317,2)="Pe","Compulsory, Pens","Voluntary")))</f>
        <v>Voluntary</v>
      </c>
      <c r="K1317" s="6" t="s">
        <v>15</v>
      </c>
      <c r="M1317" t="str">
        <f t="shared" si="507"/>
        <v>a</v>
      </c>
      <c r="N1317" t="str">
        <f t="shared" si="508"/>
        <v/>
      </c>
      <c r="O1317" t="str">
        <f t="shared" si="509"/>
        <v/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747E3-78E1-4AA9-9F9D-B4B9C4FD68FE}">
  <sheetPr codeName="Sheet1"/>
  <dimension ref="A1:N441"/>
  <sheetViews>
    <sheetView tabSelected="1" topLeftCell="A408" workbookViewId="0">
      <selection activeCell="D424" sqref="D424"/>
    </sheetView>
  </sheetViews>
  <sheetFormatPr defaultRowHeight="14.4" x14ac:dyDescent="0.3"/>
  <cols>
    <col min="1" max="1" width="10" bestFit="1" customWidth="1"/>
    <col min="2" max="2" width="12.33203125" customWidth="1"/>
    <col min="3" max="3" width="7.5546875" bestFit="1" customWidth="1"/>
    <col min="4" max="4" width="18.109375" bestFit="1" customWidth="1"/>
    <col min="5" max="5" width="37.88671875" bestFit="1" customWidth="1"/>
    <col min="6" max="6" width="13.44140625" bestFit="1" customWidth="1"/>
    <col min="7" max="7" width="12" customWidth="1"/>
    <col min="8" max="8" width="31.6640625" bestFit="1" customWidth="1"/>
    <col min="9" max="9" width="26.88671875" bestFit="1" customWidth="1"/>
    <col min="10" max="10" width="17" bestFit="1" customWidth="1"/>
    <col min="11" max="11" width="11.33203125" bestFit="1" customWidth="1"/>
  </cols>
  <sheetData>
    <row r="1" spans="1:11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9</v>
      </c>
      <c r="K1" s="2" t="s">
        <v>10</v>
      </c>
    </row>
    <row r="2" spans="1:11" x14ac:dyDescent="0.3">
      <c r="A2">
        <v>32490</v>
      </c>
      <c r="B2" t="s">
        <v>822</v>
      </c>
      <c r="C2">
        <v>126</v>
      </c>
      <c r="D2" t="s">
        <v>12</v>
      </c>
      <c r="E2" t="s">
        <v>1239</v>
      </c>
      <c r="F2" s="25">
        <v>365.02</v>
      </c>
      <c r="G2" s="3">
        <v>46073</v>
      </c>
      <c r="H2" s="12" t="s">
        <v>31</v>
      </c>
      <c r="I2" s="4" t="str">
        <f t="shared" ref="I2:I35" si="0">MID(H2,6,30)</f>
        <v>Investment Account</v>
      </c>
      <c r="J2" t="str">
        <f t="shared" ref="J2:J24" si="1">IF(LEFT(I2)="L","Compulsory, LA",IF(LEFT(I2)="R","Compulsory, RA",IF(LEFT(I2,2)="Pe","Compulsory, Pens",IF(LEFT(I2,2)="Pr","Compulsory, Prov","Voluntary"))))</f>
        <v>Voluntary</v>
      </c>
      <c r="K2" t="s">
        <v>15</v>
      </c>
    </row>
    <row r="3" spans="1:11" x14ac:dyDescent="0.3">
      <c r="A3">
        <v>32490</v>
      </c>
      <c r="B3" t="s">
        <v>822</v>
      </c>
      <c r="C3">
        <v>126</v>
      </c>
      <c r="D3" t="s">
        <v>12</v>
      </c>
      <c r="E3" t="s">
        <v>730</v>
      </c>
      <c r="F3" s="25">
        <v>36960.97</v>
      </c>
      <c r="G3" s="3">
        <v>46073</v>
      </c>
      <c r="H3" s="12" t="s">
        <v>31</v>
      </c>
      <c r="I3" s="4" t="str">
        <f t="shared" si="0"/>
        <v>Investment Account</v>
      </c>
      <c r="J3" t="str">
        <f t="shared" si="1"/>
        <v>Voluntary</v>
      </c>
      <c r="K3" t="s">
        <v>15</v>
      </c>
    </row>
    <row r="4" spans="1:11" x14ac:dyDescent="0.3">
      <c r="A4">
        <v>32490</v>
      </c>
      <c r="B4" t="s">
        <v>822</v>
      </c>
      <c r="C4">
        <v>126</v>
      </c>
      <c r="D4" t="s">
        <v>12</v>
      </c>
      <c r="E4" t="s">
        <v>729</v>
      </c>
      <c r="F4" s="25">
        <v>44281.58</v>
      </c>
      <c r="G4" s="3">
        <v>46073</v>
      </c>
      <c r="H4" s="12" t="s">
        <v>31</v>
      </c>
      <c r="I4" s="4" t="str">
        <f t="shared" si="0"/>
        <v>Investment Account</v>
      </c>
      <c r="J4" t="str">
        <f t="shared" si="1"/>
        <v>Voluntary</v>
      </c>
      <c r="K4" t="s">
        <v>15</v>
      </c>
    </row>
    <row r="5" spans="1:11" x14ac:dyDescent="0.3">
      <c r="A5">
        <v>32490</v>
      </c>
      <c r="B5" t="s">
        <v>11</v>
      </c>
      <c r="C5">
        <v>126</v>
      </c>
      <c r="D5" t="s">
        <v>12</v>
      </c>
      <c r="E5" t="s">
        <v>1240</v>
      </c>
      <c r="F5" s="25">
        <v>21222.12</v>
      </c>
      <c r="G5" s="3">
        <v>46073</v>
      </c>
      <c r="H5" t="s">
        <v>14</v>
      </c>
      <c r="I5" s="4" t="str">
        <f t="shared" si="0"/>
        <v>Living Annuity</v>
      </c>
      <c r="J5" t="str">
        <f t="shared" si="1"/>
        <v>Compulsory, LA</v>
      </c>
      <c r="K5" t="s">
        <v>15</v>
      </c>
    </row>
    <row r="6" spans="1:11" x14ac:dyDescent="0.3">
      <c r="A6">
        <v>32490</v>
      </c>
      <c r="B6" t="s">
        <v>11</v>
      </c>
      <c r="C6">
        <v>126</v>
      </c>
      <c r="D6" t="s">
        <v>12</v>
      </c>
      <c r="E6" t="s">
        <v>730</v>
      </c>
      <c r="F6" s="25">
        <v>22920.400000000001</v>
      </c>
      <c r="G6" s="3">
        <v>46073</v>
      </c>
      <c r="H6" t="s">
        <v>14</v>
      </c>
      <c r="I6" s="4" t="str">
        <f t="shared" si="0"/>
        <v>Living Annuity</v>
      </c>
      <c r="J6" t="str">
        <f t="shared" si="1"/>
        <v>Compulsory, LA</v>
      </c>
      <c r="K6" t="s">
        <v>15</v>
      </c>
    </row>
    <row r="7" spans="1:11" x14ac:dyDescent="0.3">
      <c r="A7">
        <v>32490</v>
      </c>
      <c r="B7" t="s">
        <v>11</v>
      </c>
      <c r="C7">
        <v>126</v>
      </c>
      <c r="D7" t="s">
        <v>12</v>
      </c>
      <c r="E7" t="s">
        <v>729</v>
      </c>
      <c r="F7" s="25">
        <v>521.05999999999995</v>
      </c>
      <c r="G7" s="3">
        <v>46073</v>
      </c>
      <c r="H7" t="s">
        <v>14</v>
      </c>
      <c r="I7" s="4" t="str">
        <f t="shared" si="0"/>
        <v>Living Annuity</v>
      </c>
      <c r="J7" t="str">
        <f t="shared" si="1"/>
        <v>Compulsory, LA</v>
      </c>
      <c r="K7" t="s">
        <v>15</v>
      </c>
    </row>
    <row r="8" spans="1:11" x14ac:dyDescent="0.3">
      <c r="A8">
        <v>32490</v>
      </c>
      <c r="B8" t="s">
        <v>16</v>
      </c>
      <c r="C8">
        <v>126</v>
      </c>
      <c r="D8" t="s">
        <v>12</v>
      </c>
      <c r="E8" t="s">
        <v>1240</v>
      </c>
      <c r="F8" s="25">
        <v>74459.759999999995</v>
      </c>
      <c r="G8" s="3">
        <v>46073</v>
      </c>
      <c r="H8" t="s">
        <v>14</v>
      </c>
      <c r="I8" s="4" t="str">
        <f t="shared" si="0"/>
        <v>Living Annuity</v>
      </c>
      <c r="J8" t="str">
        <f t="shared" si="1"/>
        <v>Compulsory, LA</v>
      </c>
      <c r="K8" t="s">
        <v>15</v>
      </c>
    </row>
    <row r="9" spans="1:11" x14ac:dyDescent="0.3">
      <c r="A9">
        <v>32490</v>
      </c>
      <c r="B9" t="s">
        <v>16</v>
      </c>
      <c r="C9">
        <v>126</v>
      </c>
      <c r="D9" t="s">
        <v>12</v>
      </c>
      <c r="E9" t="s">
        <v>730</v>
      </c>
      <c r="F9" s="25">
        <v>92130.11</v>
      </c>
      <c r="G9" s="3">
        <v>46073</v>
      </c>
      <c r="H9" t="s">
        <v>14</v>
      </c>
      <c r="I9" s="4" t="str">
        <f t="shared" si="0"/>
        <v>Living Annuity</v>
      </c>
      <c r="J9" t="str">
        <f t="shared" si="1"/>
        <v>Compulsory, LA</v>
      </c>
      <c r="K9" t="s">
        <v>15</v>
      </c>
    </row>
    <row r="10" spans="1:11" x14ac:dyDescent="0.3">
      <c r="A10">
        <v>32490</v>
      </c>
      <c r="B10" t="s">
        <v>16</v>
      </c>
      <c r="C10">
        <v>126</v>
      </c>
      <c r="D10" t="s">
        <v>12</v>
      </c>
      <c r="E10" t="s">
        <v>729</v>
      </c>
      <c r="F10" s="25">
        <v>446.17</v>
      </c>
      <c r="G10" s="3">
        <v>46073</v>
      </c>
      <c r="H10" t="s">
        <v>14</v>
      </c>
      <c r="I10" s="4" t="str">
        <f t="shared" si="0"/>
        <v>Living Annuity</v>
      </c>
      <c r="J10" t="str">
        <f t="shared" si="1"/>
        <v>Compulsory, LA</v>
      </c>
      <c r="K10" t="s">
        <v>15</v>
      </c>
    </row>
    <row r="11" spans="1:11" x14ac:dyDescent="0.3">
      <c r="A11">
        <v>33672</v>
      </c>
      <c r="B11" t="s">
        <v>17</v>
      </c>
      <c r="C11">
        <v>87</v>
      </c>
      <c r="D11" t="s">
        <v>18</v>
      </c>
      <c r="E11" t="s">
        <v>1240</v>
      </c>
      <c r="F11" s="25">
        <v>201963.55</v>
      </c>
      <c r="G11" s="3">
        <v>46073</v>
      </c>
      <c r="H11" t="s">
        <v>14</v>
      </c>
      <c r="I11" s="4" t="str">
        <f t="shared" si="0"/>
        <v>Living Annuity</v>
      </c>
      <c r="J11" t="str">
        <f t="shared" si="1"/>
        <v>Compulsory, LA</v>
      </c>
      <c r="K11" t="s">
        <v>15</v>
      </c>
    </row>
    <row r="12" spans="1:11" x14ac:dyDescent="0.3">
      <c r="A12">
        <v>33672</v>
      </c>
      <c r="B12" t="s">
        <v>17</v>
      </c>
      <c r="C12">
        <v>87</v>
      </c>
      <c r="D12" t="s">
        <v>18</v>
      </c>
      <c r="E12" t="s">
        <v>1239</v>
      </c>
      <c r="F12" s="25">
        <v>687.05</v>
      </c>
      <c r="G12" s="3">
        <v>46073</v>
      </c>
      <c r="H12" t="s">
        <v>14</v>
      </c>
      <c r="I12" s="4" t="str">
        <f t="shared" si="0"/>
        <v>Living Annuity</v>
      </c>
      <c r="J12" t="str">
        <f t="shared" si="1"/>
        <v>Compulsory, LA</v>
      </c>
      <c r="K12" t="s">
        <v>15</v>
      </c>
    </row>
    <row r="13" spans="1:11" x14ac:dyDescent="0.3">
      <c r="A13">
        <v>33672</v>
      </c>
      <c r="B13" t="s">
        <v>17</v>
      </c>
      <c r="C13">
        <v>87</v>
      </c>
      <c r="D13" t="s">
        <v>18</v>
      </c>
      <c r="E13" t="s">
        <v>730</v>
      </c>
      <c r="F13" s="25">
        <v>533137.87</v>
      </c>
      <c r="G13" s="3">
        <v>46073</v>
      </c>
      <c r="H13" t="s">
        <v>14</v>
      </c>
      <c r="I13" s="4" t="str">
        <f t="shared" si="0"/>
        <v>Living Annuity</v>
      </c>
      <c r="J13" t="str">
        <f t="shared" si="1"/>
        <v>Compulsory, LA</v>
      </c>
      <c r="K13" t="s">
        <v>15</v>
      </c>
    </row>
    <row r="14" spans="1:11" x14ac:dyDescent="0.3">
      <c r="A14">
        <v>33672</v>
      </c>
      <c r="B14" t="s">
        <v>17</v>
      </c>
      <c r="C14">
        <v>87</v>
      </c>
      <c r="D14" t="s">
        <v>18</v>
      </c>
      <c r="E14" t="s">
        <v>729</v>
      </c>
      <c r="F14" s="25">
        <v>51152.29</v>
      </c>
      <c r="G14" s="3">
        <v>46073</v>
      </c>
      <c r="H14" t="s">
        <v>14</v>
      </c>
      <c r="I14" s="4" t="str">
        <f t="shared" si="0"/>
        <v>Living Annuity</v>
      </c>
      <c r="J14" t="str">
        <f t="shared" si="1"/>
        <v>Compulsory, LA</v>
      </c>
      <c r="K14" t="s">
        <v>15</v>
      </c>
    </row>
    <row r="15" spans="1:11" x14ac:dyDescent="0.3">
      <c r="A15">
        <v>34171</v>
      </c>
      <c r="B15" t="s">
        <v>19</v>
      </c>
      <c r="C15">
        <v>268</v>
      </c>
      <c r="D15" t="s">
        <v>20</v>
      </c>
      <c r="E15" t="s">
        <v>1240</v>
      </c>
      <c r="F15" s="25">
        <v>12425.650000000001</v>
      </c>
      <c r="G15" s="3">
        <v>46073</v>
      </c>
      <c r="H15" t="s">
        <v>14</v>
      </c>
      <c r="I15" s="4" t="str">
        <f t="shared" si="0"/>
        <v>Living Annuity</v>
      </c>
      <c r="J15" t="str">
        <f t="shared" si="1"/>
        <v>Compulsory, LA</v>
      </c>
      <c r="K15" t="s">
        <v>15</v>
      </c>
    </row>
    <row r="16" spans="1:11" x14ac:dyDescent="0.3">
      <c r="A16">
        <v>34171</v>
      </c>
      <c r="B16" t="s">
        <v>19</v>
      </c>
      <c r="C16">
        <v>268</v>
      </c>
      <c r="D16" t="s">
        <v>20</v>
      </c>
      <c r="E16" t="s">
        <v>1239</v>
      </c>
      <c r="F16" s="25">
        <v>142.58000000000001</v>
      </c>
      <c r="G16" s="3">
        <v>46073</v>
      </c>
      <c r="H16" t="s">
        <v>14</v>
      </c>
      <c r="I16" s="4" t="str">
        <f t="shared" si="0"/>
        <v>Living Annuity</v>
      </c>
      <c r="J16" t="str">
        <f t="shared" si="1"/>
        <v>Compulsory, LA</v>
      </c>
      <c r="K16" t="s">
        <v>15</v>
      </c>
    </row>
    <row r="17" spans="1:11" x14ac:dyDescent="0.3">
      <c r="A17">
        <v>34171</v>
      </c>
      <c r="B17" t="s">
        <v>19</v>
      </c>
      <c r="C17">
        <v>268</v>
      </c>
      <c r="D17" t="s">
        <v>20</v>
      </c>
      <c r="E17" t="s">
        <v>730</v>
      </c>
      <c r="F17" s="25">
        <v>76856.81</v>
      </c>
      <c r="G17" s="3">
        <v>46073</v>
      </c>
      <c r="H17" t="s">
        <v>14</v>
      </c>
      <c r="I17" s="4" t="str">
        <f t="shared" si="0"/>
        <v>Living Annuity</v>
      </c>
      <c r="J17" t="str">
        <f t="shared" si="1"/>
        <v>Compulsory, LA</v>
      </c>
      <c r="K17" t="s">
        <v>15</v>
      </c>
    </row>
    <row r="18" spans="1:11" x14ac:dyDescent="0.3">
      <c r="A18">
        <v>34171</v>
      </c>
      <c r="B18" t="s">
        <v>19</v>
      </c>
      <c r="C18">
        <v>268</v>
      </c>
      <c r="D18" t="s">
        <v>20</v>
      </c>
      <c r="E18" t="s">
        <v>729</v>
      </c>
      <c r="F18" s="25">
        <v>22520.57</v>
      </c>
      <c r="G18" s="3">
        <v>46073</v>
      </c>
      <c r="H18" t="s">
        <v>14</v>
      </c>
      <c r="I18" s="4" t="str">
        <f t="shared" si="0"/>
        <v>Living Annuity</v>
      </c>
      <c r="J18" t="str">
        <f t="shared" si="1"/>
        <v>Compulsory, LA</v>
      </c>
      <c r="K18" t="s">
        <v>15</v>
      </c>
    </row>
    <row r="19" spans="1:11" x14ac:dyDescent="0.3">
      <c r="A19">
        <v>34173</v>
      </c>
      <c r="B19" t="s">
        <v>21</v>
      </c>
      <c r="C19">
        <v>96</v>
      </c>
      <c r="D19" t="s">
        <v>22</v>
      </c>
      <c r="E19" t="s">
        <v>1240</v>
      </c>
      <c r="F19" s="25">
        <v>73111.12</v>
      </c>
      <c r="G19" s="3">
        <v>46073</v>
      </c>
      <c r="H19" t="s">
        <v>14</v>
      </c>
      <c r="I19" s="4" t="str">
        <f t="shared" si="0"/>
        <v>Living Annuity</v>
      </c>
      <c r="J19" t="str">
        <f t="shared" si="1"/>
        <v>Compulsory, LA</v>
      </c>
      <c r="K19" t="s">
        <v>15</v>
      </c>
    </row>
    <row r="20" spans="1:11" x14ac:dyDescent="0.3">
      <c r="A20">
        <v>34173</v>
      </c>
      <c r="B20" t="s">
        <v>21</v>
      </c>
      <c r="C20">
        <v>96</v>
      </c>
      <c r="D20" t="s">
        <v>22</v>
      </c>
      <c r="E20" t="s">
        <v>730</v>
      </c>
      <c r="F20" s="25">
        <v>317065.45999999996</v>
      </c>
      <c r="G20" s="3">
        <v>46073</v>
      </c>
      <c r="H20" t="s">
        <v>14</v>
      </c>
      <c r="I20" s="4" t="str">
        <f t="shared" si="0"/>
        <v>Living Annuity</v>
      </c>
      <c r="J20" t="str">
        <f t="shared" si="1"/>
        <v>Compulsory, LA</v>
      </c>
      <c r="K20" t="s">
        <v>15</v>
      </c>
    </row>
    <row r="21" spans="1:11" x14ac:dyDescent="0.3">
      <c r="A21">
        <v>34173</v>
      </c>
      <c r="B21" t="s">
        <v>21</v>
      </c>
      <c r="C21">
        <v>96</v>
      </c>
      <c r="D21" t="s">
        <v>22</v>
      </c>
      <c r="E21" t="s">
        <v>729</v>
      </c>
      <c r="F21" s="25">
        <v>3228.21</v>
      </c>
      <c r="G21" s="3">
        <v>46073</v>
      </c>
      <c r="H21" t="s">
        <v>14</v>
      </c>
      <c r="I21" s="4" t="str">
        <f t="shared" si="0"/>
        <v>Living Annuity</v>
      </c>
      <c r="J21" t="str">
        <f t="shared" si="1"/>
        <v>Compulsory, LA</v>
      </c>
      <c r="K21" t="s">
        <v>15</v>
      </c>
    </row>
    <row r="22" spans="1:11" x14ac:dyDescent="0.3">
      <c r="A22">
        <v>34196</v>
      </c>
      <c r="B22" t="s">
        <v>615</v>
      </c>
      <c r="C22">
        <v>169</v>
      </c>
      <c r="D22" t="s">
        <v>614</v>
      </c>
      <c r="E22" t="s">
        <v>1239</v>
      </c>
      <c r="F22" s="26">
        <v>3867.97</v>
      </c>
      <c r="G22" s="3">
        <v>46073</v>
      </c>
      <c r="H22" t="s">
        <v>31</v>
      </c>
      <c r="I22" s="4" t="str">
        <f t="shared" si="0"/>
        <v>Investment Account</v>
      </c>
      <c r="J22" t="str">
        <f t="shared" si="1"/>
        <v>Voluntary</v>
      </c>
      <c r="K22" t="s">
        <v>15</v>
      </c>
    </row>
    <row r="23" spans="1:11" x14ac:dyDescent="0.3">
      <c r="A23">
        <v>34196</v>
      </c>
      <c r="B23" t="s">
        <v>615</v>
      </c>
      <c r="C23">
        <v>169</v>
      </c>
      <c r="D23" t="s">
        <v>614</v>
      </c>
      <c r="E23" t="s">
        <v>1256</v>
      </c>
      <c r="F23" s="26">
        <v>480.53</v>
      </c>
      <c r="G23" s="3">
        <v>46073</v>
      </c>
      <c r="H23" t="s">
        <v>31</v>
      </c>
      <c r="I23" s="4" t="str">
        <f t="shared" ref="I23" si="2">MID(H23,6,30)</f>
        <v>Investment Account</v>
      </c>
      <c r="J23" t="str">
        <f t="shared" ref="J23" si="3">IF(LEFT(I23)="L","Compulsory, LA",IF(LEFT(I23)="R","Compulsory, RA",IF(LEFT(I23,2)="Pe","Compulsory, Pens",IF(LEFT(I23,2)="Pr","Compulsory, Prov","Voluntary"))))</f>
        <v>Voluntary</v>
      </c>
      <c r="K23" t="s">
        <v>15</v>
      </c>
    </row>
    <row r="24" spans="1:11" x14ac:dyDescent="0.3">
      <c r="A24">
        <v>34196</v>
      </c>
      <c r="B24" t="s">
        <v>615</v>
      </c>
      <c r="C24">
        <v>169</v>
      </c>
      <c r="D24" t="s">
        <v>614</v>
      </c>
      <c r="E24" t="s">
        <v>729</v>
      </c>
      <c r="F24" s="26">
        <v>604774.51</v>
      </c>
      <c r="G24" s="3">
        <v>46073</v>
      </c>
      <c r="H24" t="s">
        <v>31</v>
      </c>
      <c r="I24" s="4" t="str">
        <f t="shared" si="0"/>
        <v>Investment Account</v>
      </c>
      <c r="J24" t="str">
        <f t="shared" si="1"/>
        <v>Voluntary</v>
      </c>
      <c r="K24" t="s">
        <v>15</v>
      </c>
    </row>
    <row r="25" spans="1:11" x14ac:dyDescent="0.3">
      <c r="A25">
        <v>34199</v>
      </c>
      <c r="B25" t="s">
        <v>855</v>
      </c>
      <c r="C25">
        <v>240</v>
      </c>
      <c r="D25" t="s">
        <v>24</v>
      </c>
      <c r="E25" t="s">
        <v>1239</v>
      </c>
      <c r="F25" s="25">
        <v>271.89</v>
      </c>
      <c r="G25" s="3">
        <v>46073</v>
      </c>
      <c r="H25" t="s">
        <v>31</v>
      </c>
      <c r="I25" s="4" t="str">
        <f t="shared" si="0"/>
        <v>Investment Account</v>
      </c>
      <c r="J25" t="str">
        <f>IF(LEFT(I25)="L","Compulsory, LA",IF(LEFT(I25)="R","Compulsory, RA",IF(LEFT(I25,2)="Pe","Compulsory, Pens","Voluntary")))</f>
        <v>Voluntary</v>
      </c>
      <c r="K25" t="s">
        <v>15</v>
      </c>
    </row>
    <row r="26" spans="1:11" x14ac:dyDescent="0.3">
      <c r="A26">
        <v>34199</v>
      </c>
      <c r="B26" t="s">
        <v>855</v>
      </c>
      <c r="C26">
        <v>240</v>
      </c>
      <c r="D26" t="s">
        <v>24</v>
      </c>
      <c r="E26" t="s">
        <v>729</v>
      </c>
      <c r="F26" s="25">
        <v>9108.5499999999993</v>
      </c>
      <c r="G26" s="3">
        <v>46073</v>
      </c>
      <c r="H26" t="s">
        <v>31</v>
      </c>
      <c r="I26" s="4" t="str">
        <f t="shared" si="0"/>
        <v>Investment Account</v>
      </c>
      <c r="J26" t="str">
        <f>IF(LEFT(I26)="L","Compulsory, LA",IF(LEFT(I26)="R","Compulsory, RA",IF(LEFT(I26,2)="Pe","Compulsory, Pens","Voluntary")))</f>
        <v>Voluntary</v>
      </c>
      <c r="K26" t="s">
        <v>15</v>
      </c>
    </row>
    <row r="27" spans="1:11" x14ac:dyDescent="0.3">
      <c r="A27">
        <v>34199</v>
      </c>
      <c r="B27" t="s">
        <v>23</v>
      </c>
      <c r="C27">
        <v>240</v>
      </c>
      <c r="D27" t="s">
        <v>24</v>
      </c>
      <c r="E27" t="s">
        <v>1240</v>
      </c>
      <c r="F27" s="25">
        <v>11319.4</v>
      </c>
      <c r="G27" s="3">
        <v>46073</v>
      </c>
      <c r="H27" t="s">
        <v>14</v>
      </c>
      <c r="I27" s="4" t="str">
        <f t="shared" si="0"/>
        <v>Living Annuity</v>
      </c>
      <c r="J27" t="str">
        <f>IF(LEFT(I27)="L","Compulsory, LA",IF(LEFT(I27)="R","Compulsory, RA",IF(LEFT(I27,2)="Pe","Compulsory, Pens",IF(LEFT(I27,2)="Pr","Compulsory, Prov","Voluntary"))))</f>
        <v>Compulsory, LA</v>
      </c>
      <c r="K27" t="s">
        <v>15</v>
      </c>
    </row>
    <row r="28" spans="1:11" x14ac:dyDescent="0.3">
      <c r="A28">
        <v>34199</v>
      </c>
      <c r="B28" t="s">
        <v>23</v>
      </c>
      <c r="C28">
        <v>240</v>
      </c>
      <c r="D28" t="s">
        <v>24</v>
      </c>
      <c r="E28" t="s">
        <v>1239</v>
      </c>
      <c r="F28" s="25">
        <v>133.12</v>
      </c>
      <c r="G28" s="3">
        <v>46073</v>
      </c>
      <c r="H28" t="s">
        <v>14</v>
      </c>
      <c r="I28" s="4" t="str">
        <f t="shared" si="0"/>
        <v>Living Annuity</v>
      </c>
      <c r="J28" t="str">
        <f>IF(LEFT(I28)="L","Compulsory, LA",IF(LEFT(I28)="R","Compulsory, RA",IF(LEFT(I28,2)="Pe","Compulsory, Pens",IF(LEFT(I28,2)="Pr","Compulsory, Prov","Voluntary"))))</f>
        <v>Compulsory, LA</v>
      </c>
      <c r="K28" t="s">
        <v>15</v>
      </c>
    </row>
    <row r="29" spans="1:11" x14ac:dyDescent="0.3">
      <c r="A29">
        <v>34199</v>
      </c>
      <c r="B29" t="s">
        <v>23</v>
      </c>
      <c r="C29">
        <v>240</v>
      </c>
      <c r="D29" t="s">
        <v>24</v>
      </c>
      <c r="E29" t="s">
        <v>730</v>
      </c>
      <c r="F29" s="25">
        <v>66771.990000000005</v>
      </c>
      <c r="G29" s="3">
        <v>46073</v>
      </c>
      <c r="H29" t="s">
        <v>14</v>
      </c>
      <c r="I29" s="4" t="str">
        <f t="shared" si="0"/>
        <v>Living Annuity</v>
      </c>
      <c r="J29" t="str">
        <f>IF(LEFT(I29)="L","Compulsory, LA",IF(LEFT(I29)="R","Compulsory, RA",IF(LEFT(I29,2)="Pe","Compulsory, Pens",IF(LEFT(I29,2)="Pr","Compulsory, Prov","Voluntary"))))</f>
        <v>Compulsory, LA</v>
      </c>
      <c r="K29" t="s">
        <v>15</v>
      </c>
    </row>
    <row r="30" spans="1:11" x14ac:dyDescent="0.3">
      <c r="A30">
        <v>34199</v>
      </c>
      <c r="B30" t="s">
        <v>23</v>
      </c>
      <c r="C30">
        <v>240</v>
      </c>
      <c r="D30" t="s">
        <v>24</v>
      </c>
      <c r="E30" t="s">
        <v>729</v>
      </c>
      <c r="F30" s="25">
        <v>20962.739999999998</v>
      </c>
      <c r="G30" s="3">
        <v>46073</v>
      </c>
      <c r="H30" t="s">
        <v>14</v>
      </c>
      <c r="I30" s="4" t="str">
        <f t="shared" si="0"/>
        <v>Living Annuity</v>
      </c>
      <c r="J30" t="str">
        <f>IF(LEFT(I30)="L","Compulsory, LA",IF(LEFT(I30)="R","Compulsory, RA",IF(LEFT(I30,2)="Pe","Compulsory, Pens",IF(LEFT(I30,2)="Pr","Compulsory, Prov","Voluntary"))))</f>
        <v>Compulsory, LA</v>
      </c>
      <c r="K30" t="s">
        <v>15</v>
      </c>
    </row>
    <row r="31" spans="1:11" x14ac:dyDescent="0.3">
      <c r="A31">
        <v>34200</v>
      </c>
      <c r="B31" t="s">
        <v>1257</v>
      </c>
      <c r="C31">
        <v>99</v>
      </c>
      <c r="D31" t="s">
        <v>25</v>
      </c>
      <c r="E31" t="s">
        <v>1240</v>
      </c>
      <c r="F31" s="25">
        <v>266252.08999999997</v>
      </c>
      <c r="G31" s="3">
        <v>46073</v>
      </c>
      <c r="H31" t="s">
        <v>1147</v>
      </c>
      <c r="I31" s="4" t="str">
        <f t="shared" ref="I31" si="4">MID(H31,6,30)</f>
        <v>Investment Account</v>
      </c>
      <c r="J31" t="str">
        <f>IF(LEFT(I31)="L","Compulsory, LA",IF(LEFT(I31)="R","Compulsory, RA",IF(LEFT(I31,2)="Pe","Compulsory, Pens",IF(LEFT(I31,2)="Pr","Compulsory, Prov","Voluntary"))))</f>
        <v>Voluntary</v>
      </c>
      <c r="K31" t="s">
        <v>15</v>
      </c>
    </row>
    <row r="32" spans="1:11" x14ac:dyDescent="0.3">
      <c r="A32">
        <v>34200</v>
      </c>
      <c r="B32" t="s">
        <v>1257</v>
      </c>
      <c r="C32">
        <v>99</v>
      </c>
      <c r="D32" t="s">
        <v>25</v>
      </c>
      <c r="E32" t="s">
        <v>730</v>
      </c>
      <c r="F32" s="25">
        <v>358771.38</v>
      </c>
      <c r="G32" s="3">
        <v>46073</v>
      </c>
      <c r="H32" t="s">
        <v>1147</v>
      </c>
      <c r="I32" s="4" t="str">
        <f t="shared" ref="I32:I33" si="5">MID(H32,6,30)</f>
        <v>Investment Account</v>
      </c>
      <c r="J32" t="str">
        <f t="shared" ref="J32:J33" si="6">IF(LEFT(I32)="L","Compulsory, LA",IF(LEFT(I32)="R","Compulsory, RA",IF(LEFT(I32,2)="Pe","Compulsory, Pens",IF(LEFT(I32,2)="Pr","Compulsory, Prov","Voluntary"))))</f>
        <v>Voluntary</v>
      </c>
      <c r="K32" t="s">
        <v>15</v>
      </c>
    </row>
    <row r="33" spans="1:11" x14ac:dyDescent="0.3">
      <c r="A33">
        <v>34200</v>
      </c>
      <c r="B33" t="s">
        <v>1257</v>
      </c>
      <c r="C33">
        <v>99</v>
      </c>
      <c r="D33" t="s">
        <v>25</v>
      </c>
      <c r="E33" t="s">
        <v>729</v>
      </c>
      <c r="F33" s="25">
        <v>684059.39</v>
      </c>
      <c r="G33" s="3">
        <v>46073</v>
      </c>
      <c r="H33" t="s">
        <v>1147</v>
      </c>
      <c r="I33" s="4" t="str">
        <f t="shared" si="5"/>
        <v>Investment Account</v>
      </c>
      <c r="J33" t="str">
        <f t="shared" si="6"/>
        <v>Voluntary</v>
      </c>
      <c r="K33" t="s">
        <v>15</v>
      </c>
    </row>
    <row r="34" spans="1:11" x14ac:dyDescent="0.3">
      <c r="A34">
        <v>34200</v>
      </c>
      <c r="B34" t="s">
        <v>1250</v>
      </c>
      <c r="C34">
        <v>99</v>
      </c>
      <c r="D34" t="s">
        <v>25</v>
      </c>
      <c r="E34" t="s">
        <v>1240</v>
      </c>
      <c r="F34" s="25">
        <v>152611.18</v>
      </c>
      <c r="G34" s="3">
        <v>46073</v>
      </c>
      <c r="H34" t="s">
        <v>14</v>
      </c>
      <c r="I34" s="4" t="str">
        <f t="shared" si="0"/>
        <v>Living Annuity</v>
      </c>
      <c r="J34" t="str">
        <f>IF(LEFT(I34)="L","Compulsory, LA",IF(LEFT(I34)="R","Compulsory, RA",IF(LEFT(I34,2)="Pe","Compulsory, Pens",IF(LEFT(I34,2)="Pr","Compulsory, Prov","Voluntary"))))</f>
        <v>Compulsory, LA</v>
      </c>
      <c r="K34" t="s">
        <v>15</v>
      </c>
    </row>
    <row r="35" spans="1:11" x14ac:dyDescent="0.3">
      <c r="A35">
        <v>34200</v>
      </c>
      <c r="B35" t="s">
        <v>1250</v>
      </c>
      <c r="C35">
        <v>99</v>
      </c>
      <c r="D35" t="s">
        <v>25</v>
      </c>
      <c r="E35" t="s">
        <v>730</v>
      </c>
      <c r="F35" s="25">
        <v>318127.95999999996</v>
      </c>
      <c r="G35" s="3">
        <v>46073</v>
      </c>
      <c r="H35" t="s">
        <v>14</v>
      </c>
      <c r="I35" s="4" t="str">
        <f t="shared" si="0"/>
        <v>Living Annuity</v>
      </c>
      <c r="J35" t="str">
        <f>IF(LEFT(I35)="L","Compulsory, LA",IF(LEFT(I35)="R","Compulsory, RA",IF(LEFT(I35,2)="Pe","Compulsory, Pens",IF(LEFT(I35,2)="Pr","Compulsory, Prov","Voluntary"))))</f>
        <v>Compulsory, LA</v>
      </c>
      <c r="K35" t="s">
        <v>15</v>
      </c>
    </row>
    <row r="36" spans="1:11" x14ac:dyDescent="0.3">
      <c r="A36">
        <v>34200</v>
      </c>
      <c r="B36" t="s">
        <v>1250</v>
      </c>
      <c r="C36">
        <v>99</v>
      </c>
      <c r="D36" t="s">
        <v>25</v>
      </c>
      <c r="E36" t="s">
        <v>729</v>
      </c>
      <c r="F36" s="26">
        <v>206557.19</v>
      </c>
      <c r="G36" s="3">
        <v>46073</v>
      </c>
      <c r="H36" t="s">
        <v>14</v>
      </c>
      <c r="I36" s="4" t="str">
        <f t="shared" ref="I36:I65" si="7">MID(H36,6,30)</f>
        <v>Living Annuity</v>
      </c>
      <c r="J36" t="str">
        <f t="shared" ref="J36:J48" si="8">IF(LEFT(I36)="L","Compulsory, LA",IF(LEFT(I36)="R","Compulsory, RA",IF(LEFT(I36,2)="Pe","Compulsory, Pens","Voluntary")))</f>
        <v>Compulsory, LA</v>
      </c>
      <c r="K36" t="s">
        <v>15</v>
      </c>
    </row>
    <row r="37" spans="1:11" x14ac:dyDescent="0.3">
      <c r="A37">
        <v>34202</v>
      </c>
      <c r="B37" t="s">
        <v>841</v>
      </c>
      <c r="C37">
        <v>104</v>
      </c>
      <c r="D37" t="s">
        <v>797</v>
      </c>
      <c r="E37" t="s">
        <v>1240</v>
      </c>
      <c r="F37" s="26">
        <v>384495.86</v>
      </c>
      <c r="G37" s="3">
        <v>46073</v>
      </c>
      <c r="H37" t="s">
        <v>14</v>
      </c>
      <c r="I37" s="4" t="str">
        <f t="shared" si="7"/>
        <v>Living Annuity</v>
      </c>
      <c r="J37" t="str">
        <f t="shared" si="8"/>
        <v>Compulsory, LA</v>
      </c>
      <c r="K37" t="s">
        <v>15</v>
      </c>
    </row>
    <row r="38" spans="1:11" x14ac:dyDescent="0.3">
      <c r="A38">
        <v>34202</v>
      </c>
      <c r="B38" t="s">
        <v>841</v>
      </c>
      <c r="C38">
        <v>104</v>
      </c>
      <c r="D38" t="s">
        <v>797</v>
      </c>
      <c r="E38" t="s">
        <v>1239</v>
      </c>
      <c r="F38" s="26">
        <v>1234.72</v>
      </c>
      <c r="G38" s="3">
        <v>46073</v>
      </c>
      <c r="H38" t="s">
        <v>14</v>
      </c>
      <c r="I38" s="4" t="str">
        <f t="shared" si="7"/>
        <v>Living Annuity</v>
      </c>
      <c r="J38" t="str">
        <f t="shared" si="8"/>
        <v>Compulsory, LA</v>
      </c>
      <c r="K38" t="s">
        <v>15</v>
      </c>
    </row>
    <row r="39" spans="1:11" x14ac:dyDescent="0.3">
      <c r="A39">
        <v>34202</v>
      </c>
      <c r="B39" t="s">
        <v>841</v>
      </c>
      <c r="C39">
        <v>104</v>
      </c>
      <c r="D39" t="s">
        <v>797</v>
      </c>
      <c r="E39" t="s">
        <v>730</v>
      </c>
      <c r="F39" s="26">
        <v>1382198.1600000001</v>
      </c>
      <c r="G39" s="3">
        <v>46073</v>
      </c>
      <c r="H39" t="s">
        <v>14</v>
      </c>
      <c r="I39" s="4" t="str">
        <f t="shared" si="7"/>
        <v>Living Annuity</v>
      </c>
      <c r="J39" t="str">
        <f t="shared" si="8"/>
        <v>Compulsory, LA</v>
      </c>
      <c r="K39" t="s">
        <v>15</v>
      </c>
    </row>
    <row r="40" spans="1:11" x14ac:dyDescent="0.3">
      <c r="A40">
        <v>34202</v>
      </c>
      <c r="B40" t="s">
        <v>841</v>
      </c>
      <c r="C40">
        <v>104</v>
      </c>
      <c r="D40" t="s">
        <v>797</v>
      </c>
      <c r="E40" t="s">
        <v>729</v>
      </c>
      <c r="F40" s="26">
        <v>14178.57</v>
      </c>
      <c r="G40" s="3">
        <v>46073</v>
      </c>
      <c r="H40" t="s">
        <v>14</v>
      </c>
      <c r="I40" s="4" t="str">
        <f t="shared" si="7"/>
        <v>Living Annuity</v>
      </c>
      <c r="J40" t="str">
        <f t="shared" si="8"/>
        <v>Compulsory, LA</v>
      </c>
      <c r="K40" t="s">
        <v>15</v>
      </c>
    </row>
    <row r="41" spans="1:11" x14ac:dyDescent="0.3">
      <c r="A41">
        <v>34202</v>
      </c>
      <c r="B41" t="s">
        <v>840</v>
      </c>
      <c r="C41">
        <v>104</v>
      </c>
      <c r="D41" t="s">
        <v>797</v>
      </c>
      <c r="E41" t="s">
        <v>1240</v>
      </c>
      <c r="F41" s="26">
        <v>73136.990000000005</v>
      </c>
      <c r="G41" s="3">
        <v>46073</v>
      </c>
      <c r="H41" t="s">
        <v>14</v>
      </c>
      <c r="I41" s="4" t="str">
        <f t="shared" si="7"/>
        <v>Living Annuity</v>
      </c>
      <c r="J41" t="str">
        <f t="shared" si="8"/>
        <v>Compulsory, LA</v>
      </c>
      <c r="K41" t="s">
        <v>15</v>
      </c>
    </row>
    <row r="42" spans="1:11" x14ac:dyDescent="0.3">
      <c r="A42">
        <v>34202</v>
      </c>
      <c r="B42" t="s">
        <v>840</v>
      </c>
      <c r="C42">
        <v>104</v>
      </c>
      <c r="D42" t="s">
        <v>797</v>
      </c>
      <c r="E42" t="s">
        <v>1239</v>
      </c>
      <c r="F42" s="26">
        <v>258.33</v>
      </c>
      <c r="G42" s="3">
        <v>46073</v>
      </c>
      <c r="H42" t="s">
        <v>14</v>
      </c>
      <c r="I42" s="4" t="str">
        <f t="shared" si="7"/>
        <v>Living Annuity</v>
      </c>
      <c r="J42" t="str">
        <f t="shared" si="8"/>
        <v>Compulsory, LA</v>
      </c>
      <c r="K42" t="s">
        <v>15</v>
      </c>
    </row>
    <row r="43" spans="1:11" x14ac:dyDescent="0.3">
      <c r="A43">
        <v>34202</v>
      </c>
      <c r="B43" t="s">
        <v>840</v>
      </c>
      <c r="C43">
        <v>104</v>
      </c>
      <c r="D43" t="s">
        <v>797</v>
      </c>
      <c r="E43" t="s">
        <v>730</v>
      </c>
      <c r="F43" s="26">
        <v>258813.99</v>
      </c>
      <c r="G43" s="3">
        <v>46073</v>
      </c>
      <c r="H43" t="s">
        <v>14</v>
      </c>
      <c r="I43" s="4" t="str">
        <f t="shared" si="7"/>
        <v>Living Annuity</v>
      </c>
      <c r="J43" t="str">
        <f t="shared" si="8"/>
        <v>Compulsory, LA</v>
      </c>
      <c r="K43" t="s">
        <v>15</v>
      </c>
    </row>
    <row r="44" spans="1:11" x14ac:dyDescent="0.3">
      <c r="A44">
        <v>34202</v>
      </c>
      <c r="B44" t="s">
        <v>840</v>
      </c>
      <c r="C44">
        <v>104</v>
      </c>
      <c r="D44" t="s">
        <v>797</v>
      </c>
      <c r="E44" t="s">
        <v>1258</v>
      </c>
      <c r="F44" s="26">
        <v>1059.1500000000001</v>
      </c>
      <c r="G44" s="3">
        <v>46073</v>
      </c>
      <c r="H44" t="s">
        <v>14</v>
      </c>
      <c r="I44" s="4" t="str">
        <f t="shared" ref="I44:I46" si="9">MID(H44,6,30)</f>
        <v>Living Annuity</v>
      </c>
      <c r="J44" t="str">
        <f t="shared" ref="J44:J46" si="10">IF(LEFT(I44)="L","Compulsory, LA",IF(LEFT(I44)="R","Compulsory, RA",IF(LEFT(I44,2)="Pe","Compulsory, Pens","Voluntary")))</f>
        <v>Compulsory, LA</v>
      </c>
      <c r="K44" t="s">
        <v>15</v>
      </c>
    </row>
    <row r="45" spans="1:11" x14ac:dyDescent="0.3">
      <c r="A45">
        <v>34202</v>
      </c>
      <c r="B45" t="s">
        <v>840</v>
      </c>
      <c r="C45">
        <v>104</v>
      </c>
      <c r="D45" t="s">
        <v>797</v>
      </c>
      <c r="E45" t="s">
        <v>1256</v>
      </c>
      <c r="F45" s="26">
        <v>116.65</v>
      </c>
      <c r="G45" s="3">
        <v>46073</v>
      </c>
      <c r="H45" t="s">
        <v>14</v>
      </c>
      <c r="I45" s="4" t="str">
        <f t="shared" ref="I45" si="11">MID(H45,6,30)</f>
        <v>Living Annuity</v>
      </c>
      <c r="J45" t="str">
        <f t="shared" ref="J45" si="12">IF(LEFT(I45)="L","Compulsory, LA",IF(LEFT(I45)="R","Compulsory, RA",IF(LEFT(I45,2)="Pe","Compulsory, Pens","Voluntary")))</f>
        <v>Compulsory, LA</v>
      </c>
      <c r="K45" t="s">
        <v>15</v>
      </c>
    </row>
    <row r="46" spans="1:11" x14ac:dyDescent="0.3">
      <c r="A46">
        <v>34202</v>
      </c>
      <c r="B46" t="s">
        <v>840</v>
      </c>
      <c r="C46">
        <v>104</v>
      </c>
      <c r="D46" t="s">
        <v>797</v>
      </c>
      <c r="E46" t="s">
        <v>1242</v>
      </c>
      <c r="F46" s="26">
        <v>1145.1300000000001</v>
      </c>
      <c r="G46" s="3">
        <v>46073</v>
      </c>
      <c r="H46" t="s">
        <v>14</v>
      </c>
      <c r="I46" s="4" t="str">
        <f t="shared" si="9"/>
        <v>Living Annuity</v>
      </c>
      <c r="J46" t="str">
        <f t="shared" si="10"/>
        <v>Compulsory, LA</v>
      </c>
      <c r="K46" t="s">
        <v>15</v>
      </c>
    </row>
    <row r="47" spans="1:11" x14ac:dyDescent="0.3">
      <c r="A47">
        <v>34202</v>
      </c>
      <c r="B47" t="s">
        <v>840</v>
      </c>
      <c r="C47">
        <v>104</v>
      </c>
      <c r="D47" t="s">
        <v>797</v>
      </c>
      <c r="E47" t="s">
        <v>1241</v>
      </c>
      <c r="F47" s="26">
        <v>824.79</v>
      </c>
      <c r="G47" s="3">
        <v>46073</v>
      </c>
      <c r="H47" t="s">
        <v>14</v>
      </c>
      <c r="I47" s="4" t="str">
        <f t="shared" si="7"/>
        <v>Living Annuity</v>
      </c>
      <c r="J47" t="str">
        <f t="shared" si="8"/>
        <v>Compulsory, LA</v>
      </c>
      <c r="K47" t="s">
        <v>15</v>
      </c>
    </row>
    <row r="48" spans="1:11" x14ac:dyDescent="0.3">
      <c r="A48">
        <v>34202</v>
      </c>
      <c r="B48" t="s">
        <v>840</v>
      </c>
      <c r="C48">
        <v>104</v>
      </c>
      <c r="D48" t="s">
        <v>797</v>
      </c>
      <c r="E48" t="s">
        <v>729</v>
      </c>
      <c r="F48" s="26">
        <v>4465.95</v>
      </c>
      <c r="G48" s="3">
        <v>46073</v>
      </c>
      <c r="H48" t="s">
        <v>14</v>
      </c>
      <c r="I48" s="4" t="str">
        <f t="shared" si="7"/>
        <v>Living Annuity</v>
      </c>
      <c r="J48" t="str">
        <f t="shared" si="8"/>
        <v>Compulsory, LA</v>
      </c>
      <c r="K48" t="s">
        <v>15</v>
      </c>
    </row>
    <row r="49" spans="1:11" x14ac:dyDescent="0.3">
      <c r="A49">
        <v>34209</v>
      </c>
      <c r="B49" t="s">
        <v>825</v>
      </c>
      <c r="C49">
        <v>25</v>
      </c>
      <c r="D49" t="s">
        <v>28</v>
      </c>
      <c r="E49" t="s">
        <v>730</v>
      </c>
      <c r="F49" s="25">
        <v>331907.27</v>
      </c>
      <c r="G49" s="3">
        <v>46073</v>
      </c>
      <c r="H49" t="s">
        <v>31</v>
      </c>
      <c r="I49" s="4" t="str">
        <f t="shared" si="7"/>
        <v>Investment Account</v>
      </c>
      <c r="J49" t="str">
        <f t="shared" ref="J49:J75" si="13">IF(LEFT(I49)="L","Compulsory, LA",IF(LEFT(I49)="R","Compulsory, RA",IF(LEFT(I49,2)="Pe","Compulsory, Pens",IF(LEFT(I49,2)="Pr","Compulsory, Prov","Voluntary"))))</f>
        <v>Voluntary</v>
      </c>
      <c r="K49" t="s">
        <v>15</v>
      </c>
    </row>
    <row r="50" spans="1:11" x14ac:dyDescent="0.3">
      <c r="A50">
        <v>34209</v>
      </c>
      <c r="B50" t="s">
        <v>823</v>
      </c>
      <c r="C50">
        <v>25</v>
      </c>
      <c r="D50" t="s">
        <v>28</v>
      </c>
      <c r="E50" t="s">
        <v>1240</v>
      </c>
      <c r="F50" s="25">
        <v>148903.96</v>
      </c>
      <c r="G50" s="3">
        <v>46073</v>
      </c>
      <c r="H50" t="s">
        <v>14</v>
      </c>
      <c r="I50" s="4" t="str">
        <f t="shared" si="7"/>
        <v>Living Annuity</v>
      </c>
      <c r="J50" t="str">
        <f t="shared" si="13"/>
        <v>Compulsory, LA</v>
      </c>
      <c r="K50" t="s">
        <v>15</v>
      </c>
    </row>
    <row r="51" spans="1:11" x14ac:dyDescent="0.3">
      <c r="A51">
        <v>34209</v>
      </c>
      <c r="B51" t="s">
        <v>823</v>
      </c>
      <c r="C51">
        <v>25</v>
      </c>
      <c r="D51" t="s">
        <v>28</v>
      </c>
      <c r="E51" t="s">
        <v>730</v>
      </c>
      <c r="F51" s="25">
        <v>359031.77999999997</v>
      </c>
      <c r="G51" s="3">
        <v>46073</v>
      </c>
      <c r="H51" t="s">
        <v>14</v>
      </c>
      <c r="I51" s="4" t="str">
        <f t="shared" si="7"/>
        <v>Living Annuity</v>
      </c>
      <c r="J51" t="str">
        <f t="shared" si="13"/>
        <v>Compulsory, LA</v>
      </c>
      <c r="K51" t="s">
        <v>15</v>
      </c>
    </row>
    <row r="52" spans="1:11" x14ac:dyDescent="0.3">
      <c r="A52">
        <v>34209</v>
      </c>
      <c r="B52" t="s">
        <v>823</v>
      </c>
      <c r="C52">
        <v>25</v>
      </c>
      <c r="D52" t="s">
        <v>28</v>
      </c>
      <c r="E52" t="s">
        <v>729</v>
      </c>
      <c r="F52" s="25">
        <v>165509.71999999997</v>
      </c>
      <c r="G52" s="3">
        <v>46073</v>
      </c>
      <c r="H52" t="s">
        <v>14</v>
      </c>
      <c r="I52" s="4" t="str">
        <f t="shared" si="7"/>
        <v>Living Annuity</v>
      </c>
      <c r="J52" t="str">
        <f t="shared" si="13"/>
        <v>Compulsory, LA</v>
      </c>
      <c r="K52" t="s">
        <v>15</v>
      </c>
    </row>
    <row r="53" spans="1:11" x14ac:dyDescent="0.3">
      <c r="A53">
        <v>34209</v>
      </c>
      <c r="B53" t="s">
        <v>824</v>
      </c>
      <c r="C53">
        <v>25</v>
      </c>
      <c r="D53" t="s">
        <v>28</v>
      </c>
      <c r="E53" t="s">
        <v>1240</v>
      </c>
      <c r="F53" s="25">
        <v>191897.52000000002</v>
      </c>
      <c r="G53" s="3">
        <v>46073</v>
      </c>
      <c r="H53" t="s">
        <v>14</v>
      </c>
      <c r="I53" s="4" t="str">
        <f t="shared" si="7"/>
        <v>Living Annuity</v>
      </c>
      <c r="J53" t="str">
        <f t="shared" si="13"/>
        <v>Compulsory, LA</v>
      </c>
      <c r="K53" t="s">
        <v>15</v>
      </c>
    </row>
    <row r="54" spans="1:11" x14ac:dyDescent="0.3">
      <c r="A54">
        <v>34209</v>
      </c>
      <c r="B54" t="s">
        <v>824</v>
      </c>
      <c r="C54">
        <v>25</v>
      </c>
      <c r="D54" t="s">
        <v>28</v>
      </c>
      <c r="E54" t="s">
        <v>730</v>
      </c>
      <c r="F54" s="25">
        <v>463591.14999999997</v>
      </c>
      <c r="G54" s="3">
        <v>46073</v>
      </c>
      <c r="H54" t="s">
        <v>14</v>
      </c>
      <c r="I54" s="4" t="str">
        <f t="shared" si="7"/>
        <v>Living Annuity</v>
      </c>
      <c r="J54" t="str">
        <f t="shared" si="13"/>
        <v>Compulsory, LA</v>
      </c>
      <c r="K54" t="s">
        <v>15</v>
      </c>
    </row>
    <row r="55" spans="1:11" x14ac:dyDescent="0.3">
      <c r="A55">
        <v>34209</v>
      </c>
      <c r="B55" t="s">
        <v>824</v>
      </c>
      <c r="C55">
        <v>25</v>
      </c>
      <c r="D55" t="s">
        <v>28</v>
      </c>
      <c r="E55" t="s">
        <v>729</v>
      </c>
      <c r="F55" s="25">
        <v>208235.54</v>
      </c>
      <c r="G55" s="3">
        <v>46073</v>
      </c>
      <c r="H55" t="s">
        <v>14</v>
      </c>
      <c r="I55" s="4" t="str">
        <f t="shared" si="7"/>
        <v>Living Annuity</v>
      </c>
      <c r="J55" t="str">
        <f t="shared" si="13"/>
        <v>Compulsory, LA</v>
      </c>
      <c r="K55" t="s">
        <v>15</v>
      </c>
    </row>
    <row r="56" spans="1:11" x14ac:dyDescent="0.3">
      <c r="A56">
        <v>34209</v>
      </c>
      <c r="B56" t="s">
        <v>27</v>
      </c>
      <c r="C56">
        <v>25</v>
      </c>
      <c r="D56" t="s">
        <v>28</v>
      </c>
      <c r="E56" t="s">
        <v>1108</v>
      </c>
      <c r="F56" s="25">
        <v>132976.51999999999</v>
      </c>
      <c r="G56" s="3">
        <v>46073</v>
      </c>
      <c r="H56" t="s">
        <v>29</v>
      </c>
      <c r="I56" s="4" t="str">
        <f t="shared" si="7"/>
        <v>Provident Preservation Fund</v>
      </c>
      <c r="J56" t="str">
        <f t="shared" si="13"/>
        <v>Compulsory, Prov</v>
      </c>
      <c r="K56" t="s">
        <v>15</v>
      </c>
    </row>
    <row r="57" spans="1:11" x14ac:dyDescent="0.3">
      <c r="A57">
        <v>34216</v>
      </c>
      <c r="B57" t="s">
        <v>821</v>
      </c>
      <c r="C57">
        <v>95</v>
      </c>
      <c r="D57" t="s">
        <v>30</v>
      </c>
      <c r="E57" t="s">
        <v>1239</v>
      </c>
      <c r="F57" s="25">
        <v>266.77</v>
      </c>
      <c r="G57" s="3">
        <v>46073</v>
      </c>
      <c r="H57" t="s">
        <v>31</v>
      </c>
      <c r="I57" s="4" t="str">
        <f t="shared" si="7"/>
        <v>Investment Account</v>
      </c>
      <c r="J57" t="str">
        <f t="shared" si="13"/>
        <v>Voluntary</v>
      </c>
      <c r="K57" t="s">
        <v>15</v>
      </c>
    </row>
    <row r="58" spans="1:11" x14ac:dyDescent="0.3">
      <c r="A58">
        <v>34216</v>
      </c>
      <c r="B58" t="s">
        <v>821</v>
      </c>
      <c r="C58">
        <v>95</v>
      </c>
      <c r="D58" t="s">
        <v>30</v>
      </c>
      <c r="E58" t="s">
        <v>729</v>
      </c>
      <c r="F58" s="25">
        <v>41704.839999999997</v>
      </c>
      <c r="G58" s="3">
        <v>46073</v>
      </c>
      <c r="H58" t="s">
        <v>31</v>
      </c>
      <c r="I58" s="4" t="str">
        <f t="shared" si="7"/>
        <v>Investment Account</v>
      </c>
      <c r="J58" t="str">
        <f t="shared" si="13"/>
        <v>Voluntary</v>
      </c>
      <c r="K58" t="s">
        <v>15</v>
      </c>
    </row>
    <row r="59" spans="1:11" x14ac:dyDescent="0.3">
      <c r="A59">
        <v>34216</v>
      </c>
      <c r="B59" t="s">
        <v>639</v>
      </c>
      <c r="C59">
        <v>95</v>
      </c>
      <c r="D59" t="s">
        <v>30</v>
      </c>
      <c r="E59" t="s">
        <v>1240</v>
      </c>
      <c r="F59" s="25">
        <v>82165.58</v>
      </c>
      <c r="G59" s="3">
        <v>46073</v>
      </c>
      <c r="H59" t="s">
        <v>14</v>
      </c>
      <c r="I59" s="4" t="str">
        <f t="shared" si="7"/>
        <v>Living Annuity</v>
      </c>
      <c r="J59" t="str">
        <f t="shared" si="13"/>
        <v>Compulsory, LA</v>
      </c>
      <c r="K59" t="s">
        <v>15</v>
      </c>
    </row>
    <row r="60" spans="1:11" x14ac:dyDescent="0.3">
      <c r="A60">
        <v>34216</v>
      </c>
      <c r="B60" t="s">
        <v>639</v>
      </c>
      <c r="C60">
        <v>95</v>
      </c>
      <c r="D60" t="s">
        <v>30</v>
      </c>
      <c r="E60" t="s">
        <v>730</v>
      </c>
      <c r="F60" s="25">
        <v>166433.07</v>
      </c>
      <c r="G60" s="3">
        <v>46073</v>
      </c>
      <c r="H60" t="s">
        <v>14</v>
      </c>
      <c r="I60" s="4" t="str">
        <f t="shared" si="7"/>
        <v>Living Annuity</v>
      </c>
      <c r="J60" t="str">
        <f t="shared" si="13"/>
        <v>Compulsory, LA</v>
      </c>
      <c r="K60" t="s">
        <v>15</v>
      </c>
    </row>
    <row r="61" spans="1:11" x14ac:dyDescent="0.3">
      <c r="A61">
        <v>34216</v>
      </c>
      <c r="B61" t="s">
        <v>639</v>
      </c>
      <c r="C61">
        <v>95</v>
      </c>
      <c r="D61" t="s">
        <v>30</v>
      </c>
      <c r="E61" t="s">
        <v>729</v>
      </c>
      <c r="F61" s="25">
        <v>11982.419999999998</v>
      </c>
      <c r="G61" s="3">
        <v>46073</v>
      </c>
      <c r="H61" t="s">
        <v>14</v>
      </c>
      <c r="I61" s="4" t="str">
        <f t="shared" si="7"/>
        <v>Living Annuity</v>
      </c>
      <c r="J61" t="str">
        <f t="shared" si="13"/>
        <v>Compulsory, LA</v>
      </c>
      <c r="K61" t="s">
        <v>15</v>
      </c>
    </row>
    <row r="62" spans="1:11" x14ac:dyDescent="0.3">
      <c r="A62">
        <v>34337</v>
      </c>
      <c r="B62" t="s">
        <v>831</v>
      </c>
      <c r="C62">
        <v>243</v>
      </c>
      <c r="D62" t="s">
        <v>717</v>
      </c>
      <c r="E62" t="s">
        <v>1239</v>
      </c>
      <c r="F62" s="25">
        <v>128.54</v>
      </c>
      <c r="G62" s="3">
        <v>46073</v>
      </c>
      <c r="H62" t="s">
        <v>31</v>
      </c>
      <c r="I62" s="4" t="str">
        <f t="shared" si="7"/>
        <v>Investment Account</v>
      </c>
      <c r="J62" t="str">
        <f t="shared" si="13"/>
        <v>Voluntary</v>
      </c>
      <c r="K62" t="s">
        <v>15</v>
      </c>
    </row>
    <row r="63" spans="1:11" x14ac:dyDescent="0.3">
      <c r="A63">
        <v>34337</v>
      </c>
      <c r="B63" t="s">
        <v>831</v>
      </c>
      <c r="C63">
        <v>243</v>
      </c>
      <c r="D63" t="s">
        <v>717</v>
      </c>
      <c r="E63" t="s">
        <v>730</v>
      </c>
      <c r="F63" s="25">
        <v>4661.7700000000004</v>
      </c>
      <c r="G63" s="3">
        <v>46073</v>
      </c>
      <c r="H63" t="s">
        <v>31</v>
      </c>
      <c r="I63" s="4" t="str">
        <f t="shared" si="7"/>
        <v>Investment Account</v>
      </c>
      <c r="J63" t="str">
        <f t="shared" si="13"/>
        <v>Voluntary</v>
      </c>
      <c r="K63" t="s">
        <v>15</v>
      </c>
    </row>
    <row r="64" spans="1:11" x14ac:dyDescent="0.3">
      <c r="A64">
        <v>34337</v>
      </c>
      <c r="B64" t="s">
        <v>831</v>
      </c>
      <c r="C64">
        <v>243</v>
      </c>
      <c r="D64" t="s">
        <v>717</v>
      </c>
      <c r="E64" t="s">
        <v>729</v>
      </c>
      <c r="F64" s="25">
        <v>15853.31</v>
      </c>
      <c r="G64" s="3">
        <v>46073</v>
      </c>
      <c r="H64" t="s">
        <v>31</v>
      </c>
      <c r="I64" s="4" t="str">
        <f t="shared" si="7"/>
        <v>Investment Account</v>
      </c>
      <c r="J64" t="str">
        <f t="shared" si="13"/>
        <v>Voluntary</v>
      </c>
      <c r="K64" t="s">
        <v>15</v>
      </c>
    </row>
    <row r="65" spans="1:11" x14ac:dyDescent="0.3">
      <c r="A65">
        <v>34337</v>
      </c>
      <c r="B65" t="s">
        <v>832</v>
      </c>
      <c r="C65">
        <v>243</v>
      </c>
      <c r="D65" t="s">
        <v>717</v>
      </c>
      <c r="E65" t="s">
        <v>1239</v>
      </c>
      <c r="F65" s="25">
        <v>1257.26</v>
      </c>
      <c r="G65" s="3">
        <v>46073</v>
      </c>
      <c r="H65" t="s">
        <v>14</v>
      </c>
      <c r="I65" s="4" t="str">
        <f t="shared" si="7"/>
        <v>Living Annuity</v>
      </c>
      <c r="J65" t="str">
        <f t="shared" si="13"/>
        <v>Compulsory, LA</v>
      </c>
      <c r="K65" t="s">
        <v>15</v>
      </c>
    </row>
    <row r="66" spans="1:11" x14ac:dyDescent="0.3">
      <c r="A66">
        <v>34337</v>
      </c>
      <c r="B66" t="s">
        <v>832</v>
      </c>
      <c r="C66">
        <v>243</v>
      </c>
      <c r="D66" t="s">
        <v>717</v>
      </c>
      <c r="E66" t="s">
        <v>730</v>
      </c>
      <c r="F66" s="25">
        <v>114462.02</v>
      </c>
      <c r="G66" s="3">
        <v>46073</v>
      </c>
      <c r="H66" t="s">
        <v>14</v>
      </c>
      <c r="I66" s="4" t="str">
        <f t="shared" ref="I66:I97" si="14">MID(H66,6,30)</f>
        <v>Living Annuity</v>
      </c>
      <c r="J66" t="str">
        <f t="shared" si="13"/>
        <v>Compulsory, LA</v>
      </c>
      <c r="K66" t="s">
        <v>15</v>
      </c>
    </row>
    <row r="67" spans="1:11" x14ac:dyDescent="0.3">
      <c r="A67">
        <v>34337</v>
      </c>
      <c r="B67" t="s">
        <v>832</v>
      </c>
      <c r="C67">
        <v>243</v>
      </c>
      <c r="D67" t="s">
        <v>717</v>
      </c>
      <c r="E67" t="s">
        <v>729</v>
      </c>
      <c r="F67" s="25">
        <v>127567.01999999999</v>
      </c>
      <c r="G67" s="3">
        <v>46073</v>
      </c>
      <c r="H67" t="s">
        <v>14</v>
      </c>
      <c r="I67" s="4" t="str">
        <f t="shared" si="14"/>
        <v>Living Annuity</v>
      </c>
      <c r="J67" t="str">
        <f t="shared" si="13"/>
        <v>Compulsory, LA</v>
      </c>
      <c r="K67" t="s">
        <v>15</v>
      </c>
    </row>
    <row r="68" spans="1:11" x14ac:dyDescent="0.3">
      <c r="A68">
        <v>34395</v>
      </c>
      <c r="B68" t="s">
        <v>629</v>
      </c>
      <c r="C68">
        <v>168</v>
      </c>
      <c r="D68" t="s">
        <v>111</v>
      </c>
      <c r="E68" t="s">
        <v>730</v>
      </c>
      <c r="F68" s="26">
        <v>53590.299999999996</v>
      </c>
      <c r="G68" s="3">
        <v>46073</v>
      </c>
      <c r="H68" t="s">
        <v>31</v>
      </c>
      <c r="I68" s="4" t="str">
        <f t="shared" si="14"/>
        <v>Investment Account</v>
      </c>
      <c r="J68" t="str">
        <f t="shared" si="13"/>
        <v>Voluntary</v>
      </c>
      <c r="K68" t="s">
        <v>15</v>
      </c>
    </row>
    <row r="69" spans="1:11" x14ac:dyDescent="0.3">
      <c r="A69">
        <v>34395</v>
      </c>
      <c r="B69" t="s">
        <v>112</v>
      </c>
      <c r="C69">
        <v>168</v>
      </c>
      <c r="D69" t="s">
        <v>111</v>
      </c>
      <c r="E69" t="s">
        <v>1240</v>
      </c>
      <c r="F69" s="26">
        <v>307424.78000000003</v>
      </c>
      <c r="G69" s="3">
        <v>46073</v>
      </c>
      <c r="H69" t="s">
        <v>14</v>
      </c>
      <c r="I69" s="4" t="str">
        <f t="shared" si="14"/>
        <v>Living Annuity</v>
      </c>
      <c r="J69" t="str">
        <f t="shared" si="13"/>
        <v>Compulsory, LA</v>
      </c>
      <c r="K69" t="s">
        <v>15</v>
      </c>
    </row>
    <row r="70" spans="1:11" x14ac:dyDescent="0.3">
      <c r="A70">
        <v>34395</v>
      </c>
      <c r="B70" t="s">
        <v>112</v>
      </c>
      <c r="C70">
        <v>168</v>
      </c>
      <c r="D70" t="s">
        <v>111</v>
      </c>
      <c r="E70" t="s">
        <v>730</v>
      </c>
      <c r="F70" s="26">
        <v>446605.91000000003</v>
      </c>
      <c r="G70" s="3">
        <v>46073</v>
      </c>
      <c r="H70" t="s">
        <v>14</v>
      </c>
      <c r="I70" s="4" t="str">
        <f t="shared" si="14"/>
        <v>Living Annuity</v>
      </c>
      <c r="J70" t="str">
        <f t="shared" si="13"/>
        <v>Compulsory, LA</v>
      </c>
      <c r="K70" t="s">
        <v>15</v>
      </c>
    </row>
    <row r="71" spans="1:11" x14ac:dyDescent="0.3">
      <c r="A71">
        <v>34395</v>
      </c>
      <c r="B71" t="s">
        <v>112</v>
      </c>
      <c r="C71">
        <v>168</v>
      </c>
      <c r="D71" t="s">
        <v>111</v>
      </c>
      <c r="E71" t="s">
        <v>729</v>
      </c>
      <c r="F71" s="26">
        <v>263277.03000000003</v>
      </c>
      <c r="G71" s="3">
        <v>46073</v>
      </c>
      <c r="H71" t="s">
        <v>14</v>
      </c>
      <c r="I71" s="4" t="str">
        <f t="shared" si="14"/>
        <v>Living Annuity</v>
      </c>
      <c r="J71" t="str">
        <f t="shared" si="13"/>
        <v>Compulsory, LA</v>
      </c>
      <c r="K71" t="s">
        <v>15</v>
      </c>
    </row>
    <row r="72" spans="1:11" x14ac:dyDescent="0.3">
      <c r="A72">
        <v>34395</v>
      </c>
      <c r="B72" t="s">
        <v>702</v>
      </c>
      <c r="C72">
        <v>168</v>
      </c>
      <c r="D72" t="s">
        <v>111</v>
      </c>
      <c r="E72" t="s">
        <v>1240</v>
      </c>
      <c r="F72" s="26">
        <v>33140</v>
      </c>
      <c r="G72" s="3">
        <v>46073</v>
      </c>
      <c r="H72" t="s">
        <v>14</v>
      </c>
      <c r="I72" s="4" t="str">
        <f t="shared" si="14"/>
        <v>Living Annuity</v>
      </c>
      <c r="J72" t="str">
        <f t="shared" si="13"/>
        <v>Compulsory, LA</v>
      </c>
      <c r="K72" t="s">
        <v>15</v>
      </c>
    </row>
    <row r="73" spans="1:11" x14ac:dyDescent="0.3">
      <c r="A73">
        <v>34395</v>
      </c>
      <c r="B73" t="s">
        <v>702</v>
      </c>
      <c r="C73">
        <v>168</v>
      </c>
      <c r="D73" t="s">
        <v>111</v>
      </c>
      <c r="E73" t="s">
        <v>1239</v>
      </c>
      <c r="F73" s="26">
        <v>314.7</v>
      </c>
      <c r="G73" s="3">
        <v>46073</v>
      </c>
      <c r="H73" t="s">
        <v>14</v>
      </c>
      <c r="I73" s="4" t="str">
        <f t="shared" si="14"/>
        <v>Living Annuity</v>
      </c>
      <c r="J73" t="str">
        <f t="shared" si="13"/>
        <v>Compulsory, LA</v>
      </c>
      <c r="K73" t="s">
        <v>15</v>
      </c>
    </row>
    <row r="74" spans="1:11" x14ac:dyDescent="0.3">
      <c r="A74">
        <v>34395</v>
      </c>
      <c r="B74" t="s">
        <v>702</v>
      </c>
      <c r="C74">
        <v>168</v>
      </c>
      <c r="D74" t="s">
        <v>111</v>
      </c>
      <c r="E74" t="s">
        <v>730</v>
      </c>
      <c r="F74" s="26">
        <v>42228.58</v>
      </c>
      <c r="G74" s="3">
        <v>46073</v>
      </c>
      <c r="H74" t="s">
        <v>14</v>
      </c>
      <c r="I74" s="4" t="str">
        <f t="shared" si="14"/>
        <v>Living Annuity</v>
      </c>
      <c r="J74" t="str">
        <f t="shared" si="13"/>
        <v>Compulsory, LA</v>
      </c>
      <c r="K74" t="s">
        <v>15</v>
      </c>
    </row>
    <row r="75" spans="1:11" x14ac:dyDescent="0.3">
      <c r="A75">
        <v>34395</v>
      </c>
      <c r="B75" t="s">
        <v>702</v>
      </c>
      <c r="C75">
        <v>168</v>
      </c>
      <c r="D75" t="s">
        <v>111</v>
      </c>
      <c r="E75" t="s">
        <v>729</v>
      </c>
      <c r="F75" s="26">
        <v>20765.919999999998</v>
      </c>
      <c r="G75" s="3">
        <v>46073</v>
      </c>
      <c r="H75" t="s">
        <v>14</v>
      </c>
      <c r="I75" s="4" t="str">
        <f t="shared" si="14"/>
        <v>Living Annuity</v>
      </c>
      <c r="J75" t="str">
        <f t="shared" si="13"/>
        <v>Compulsory, LA</v>
      </c>
      <c r="K75" t="s">
        <v>15</v>
      </c>
    </row>
    <row r="76" spans="1:11" x14ac:dyDescent="0.3">
      <c r="A76">
        <v>34395</v>
      </c>
      <c r="B76" t="s">
        <v>857</v>
      </c>
      <c r="C76">
        <v>168</v>
      </c>
      <c r="D76" t="s">
        <v>111</v>
      </c>
      <c r="E76" t="s">
        <v>1240</v>
      </c>
      <c r="F76" s="26">
        <v>20008.47</v>
      </c>
      <c r="G76" s="3">
        <v>46073</v>
      </c>
      <c r="H76" t="s">
        <v>14</v>
      </c>
      <c r="I76" s="4" t="str">
        <f t="shared" si="14"/>
        <v>Living Annuity</v>
      </c>
      <c r="J76" t="str">
        <f>IF(LEFT(I76)="L","Compulsory, LA",IF(LEFT(I76)="R","Compulsory, RA",IF(LEFT(I76,2)="Pe","Compulsory, Pens","Voluntary")))</f>
        <v>Compulsory, LA</v>
      </c>
      <c r="K76" t="s">
        <v>15</v>
      </c>
    </row>
    <row r="77" spans="1:11" x14ac:dyDescent="0.3">
      <c r="A77">
        <v>34395</v>
      </c>
      <c r="B77" t="s">
        <v>857</v>
      </c>
      <c r="C77">
        <v>168</v>
      </c>
      <c r="D77" t="s">
        <v>111</v>
      </c>
      <c r="E77" t="s">
        <v>1239</v>
      </c>
      <c r="F77" s="26">
        <v>200.36</v>
      </c>
      <c r="G77" s="3">
        <v>46073</v>
      </c>
      <c r="H77" t="s">
        <v>14</v>
      </c>
      <c r="I77" s="4" t="str">
        <f t="shared" si="14"/>
        <v>Living Annuity</v>
      </c>
      <c r="J77" t="str">
        <f>IF(LEFT(I77)="L","Compulsory, LA",IF(LEFT(I77)="R","Compulsory, RA",IF(LEFT(I77,2)="Pe","Compulsory, Pens","Voluntary")))</f>
        <v>Compulsory, LA</v>
      </c>
      <c r="K77" t="s">
        <v>15</v>
      </c>
    </row>
    <row r="78" spans="1:11" x14ac:dyDescent="0.3">
      <c r="A78">
        <v>34395</v>
      </c>
      <c r="B78" t="s">
        <v>857</v>
      </c>
      <c r="C78">
        <v>168</v>
      </c>
      <c r="D78" t="s">
        <v>111</v>
      </c>
      <c r="E78" t="s">
        <v>730</v>
      </c>
      <c r="F78" s="26">
        <v>24363.780000000002</v>
      </c>
      <c r="G78" s="3">
        <v>46073</v>
      </c>
      <c r="H78" t="s">
        <v>14</v>
      </c>
      <c r="I78" s="4" t="str">
        <f t="shared" si="14"/>
        <v>Living Annuity</v>
      </c>
      <c r="J78" t="str">
        <f>IF(LEFT(I78)="L","Compulsory, LA",IF(LEFT(I78)="R","Compulsory, RA",IF(LEFT(I78,2)="Pe","Compulsory, Pens","Voluntary")))</f>
        <v>Compulsory, LA</v>
      </c>
      <c r="K78" t="s">
        <v>15</v>
      </c>
    </row>
    <row r="79" spans="1:11" x14ac:dyDescent="0.3">
      <c r="A79">
        <v>34395</v>
      </c>
      <c r="B79" t="s">
        <v>857</v>
      </c>
      <c r="C79">
        <v>168</v>
      </c>
      <c r="D79" t="s">
        <v>111</v>
      </c>
      <c r="E79" t="s">
        <v>729</v>
      </c>
      <c r="F79" s="26">
        <v>13903.98</v>
      </c>
      <c r="G79" s="3">
        <v>46073</v>
      </c>
      <c r="H79" t="s">
        <v>14</v>
      </c>
      <c r="I79" s="4" t="str">
        <f t="shared" si="14"/>
        <v>Living Annuity</v>
      </c>
      <c r="J79" t="str">
        <f>IF(LEFT(I79)="L","Compulsory, LA",IF(LEFT(I79)="R","Compulsory, RA",IF(LEFT(I79,2)="Pe","Compulsory, Pens","Voluntary")))</f>
        <v>Compulsory, LA</v>
      </c>
      <c r="K79" t="s">
        <v>15</v>
      </c>
    </row>
    <row r="80" spans="1:11" x14ac:dyDescent="0.3">
      <c r="A80">
        <v>36048</v>
      </c>
      <c r="B80" t="s">
        <v>720</v>
      </c>
      <c r="C80">
        <v>34</v>
      </c>
      <c r="D80" t="s">
        <v>32</v>
      </c>
      <c r="E80" t="s">
        <v>1240</v>
      </c>
      <c r="F80" s="25">
        <v>19704.45</v>
      </c>
      <c r="G80" s="3">
        <v>46073</v>
      </c>
      <c r="H80" t="s">
        <v>14</v>
      </c>
      <c r="I80" s="4" t="str">
        <f t="shared" si="14"/>
        <v>Living Annuity</v>
      </c>
      <c r="J80" t="str">
        <f t="shared" ref="J80:J100" si="15">IF(LEFT(I80)="L","Compulsory, LA",IF(LEFT(I80)="R","Compulsory, RA",IF(LEFT(I80,2)="Pe","Compulsory, Pens",IF(LEFT(I80,2)="Pr","Compulsory, Prov","Voluntary"))))</f>
        <v>Compulsory, LA</v>
      </c>
      <c r="K80" t="s">
        <v>15</v>
      </c>
    </row>
    <row r="81" spans="1:14" x14ac:dyDescent="0.3">
      <c r="A81">
        <v>36048</v>
      </c>
      <c r="B81" t="s">
        <v>720</v>
      </c>
      <c r="C81">
        <v>34</v>
      </c>
      <c r="D81" t="s">
        <v>32</v>
      </c>
      <c r="E81" t="s">
        <v>730</v>
      </c>
      <c r="F81" s="25">
        <v>20460.37</v>
      </c>
      <c r="G81" s="3">
        <v>46073</v>
      </c>
      <c r="H81" t="s">
        <v>14</v>
      </c>
      <c r="I81" s="4" t="str">
        <f t="shared" si="14"/>
        <v>Living Annuity</v>
      </c>
      <c r="J81" t="str">
        <f t="shared" si="15"/>
        <v>Compulsory, LA</v>
      </c>
      <c r="K81" t="s">
        <v>15</v>
      </c>
    </row>
    <row r="82" spans="1:14" x14ac:dyDescent="0.3">
      <c r="A82">
        <v>36048</v>
      </c>
      <c r="B82" t="s">
        <v>720</v>
      </c>
      <c r="C82">
        <v>34</v>
      </c>
      <c r="D82" t="s">
        <v>32</v>
      </c>
      <c r="E82" t="s">
        <v>729</v>
      </c>
      <c r="F82" s="25">
        <v>276.73</v>
      </c>
      <c r="G82" s="3">
        <v>46073</v>
      </c>
      <c r="H82" t="s">
        <v>14</v>
      </c>
      <c r="I82" s="4" t="str">
        <f t="shared" si="14"/>
        <v>Living Annuity</v>
      </c>
      <c r="J82" t="str">
        <f t="shared" si="15"/>
        <v>Compulsory, LA</v>
      </c>
      <c r="K82" t="s">
        <v>15</v>
      </c>
    </row>
    <row r="83" spans="1:14" x14ac:dyDescent="0.3">
      <c r="A83">
        <v>36048</v>
      </c>
      <c r="B83" t="s">
        <v>33</v>
      </c>
      <c r="C83">
        <v>34</v>
      </c>
      <c r="D83" t="s">
        <v>32</v>
      </c>
      <c r="E83" t="s">
        <v>1240</v>
      </c>
      <c r="F83" s="25">
        <v>54345.210000000006</v>
      </c>
      <c r="G83" s="3">
        <v>46073</v>
      </c>
      <c r="H83" t="s">
        <v>14</v>
      </c>
      <c r="I83" s="4" t="str">
        <f t="shared" si="14"/>
        <v>Living Annuity</v>
      </c>
      <c r="J83" t="str">
        <f t="shared" si="15"/>
        <v>Compulsory, LA</v>
      </c>
      <c r="K83" t="s">
        <v>15</v>
      </c>
    </row>
    <row r="84" spans="1:14" x14ac:dyDescent="0.3">
      <c r="A84">
        <v>36048</v>
      </c>
      <c r="B84" t="s">
        <v>33</v>
      </c>
      <c r="C84">
        <v>34</v>
      </c>
      <c r="D84" t="s">
        <v>32</v>
      </c>
      <c r="E84" t="s">
        <v>730</v>
      </c>
      <c r="F84" s="25">
        <v>65473.9</v>
      </c>
      <c r="G84" s="3">
        <v>46073</v>
      </c>
      <c r="H84" t="s">
        <v>14</v>
      </c>
      <c r="I84" s="4" t="str">
        <f t="shared" si="14"/>
        <v>Living Annuity</v>
      </c>
      <c r="J84" t="str">
        <f t="shared" si="15"/>
        <v>Compulsory, LA</v>
      </c>
      <c r="K84" t="s">
        <v>15</v>
      </c>
    </row>
    <row r="85" spans="1:14" x14ac:dyDescent="0.3">
      <c r="A85">
        <v>36048</v>
      </c>
      <c r="B85" t="s">
        <v>33</v>
      </c>
      <c r="C85">
        <v>34</v>
      </c>
      <c r="D85" t="s">
        <v>32</v>
      </c>
      <c r="E85" t="s">
        <v>729</v>
      </c>
      <c r="F85" s="25">
        <v>1562.29</v>
      </c>
      <c r="G85" s="3">
        <v>46073</v>
      </c>
      <c r="H85" t="s">
        <v>14</v>
      </c>
      <c r="I85" s="4" t="str">
        <f t="shared" si="14"/>
        <v>Living Annuity</v>
      </c>
      <c r="J85" t="str">
        <f t="shared" si="15"/>
        <v>Compulsory, LA</v>
      </c>
      <c r="K85" t="s">
        <v>15</v>
      </c>
    </row>
    <row r="86" spans="1:14" x14ac:dyDescent="0.3">
      <c r="A86">
        <v>36059</v>
      </c>
      <c r="B86" t="s">
        <v>36</v>
      </c>
      <c r="C86">
        <v>4</v>
      </c>
      <c r="D86" t="s">
        <v>35</v>
      </c>
      <c r="E86" t="s">
        <v>1240</v>
      </c>
      <c r="F86" s="25">
        <v>120478.89000000001</v>
      </c>
      <c r="G86" s="3">
        <v>46073</v>
      </c>
      <c r="H86" t="s">
        <v>14</v>
      </c>
      <c r="I86" s="4" t="str">
        <f t="shared" si="14"/>
        <v>Living Annuity</v>
      </c>
      <c r="J86" t="str">
        <f t="shared" si="15"/>
        <v>Compulsory, LA</v>
      </c>
      <c r="K86" t="s">
        <v>15</v>
      </c>
    </row>
    <row r="87" spans="1:14" x14ac:dyDescent="0.3">
      <c r="A87">
        <v>36059</v>
      </c>
      <c r="B87" t="s">
        <v>36</v>
      </c>
      <c r="C87">
        <v>4</v>
      </c>
      <c r="D87" t="s">
        <v>35</v>
      </c>
      <c r="E87" t="s">
        <v>1239</v>
      </c>
      <c r="F87" s="25">
        <v>568.29</v>
      </c>
      <c r="G87" s="3">
        <v>46073</v>
      </c>
      <c r="H87" t="s">
        <v>14</v>
      </c>
      <c r="I87" s="4" t="str">
        <f t="shared" si="14"/>
        <v>Living Annuity</v>
      </c>
      <c r="J87" t="str">
        <f t="shared" si="15"/>
        <v>Compulsory, LA</v>
      </c>
      <c r="K87" t="s">
        <v>15</v>
      </c>
    </row>
    <row r="88" spans="1:14" x14ac:dyDescent="0.3">
      <c r="A88">
        <v>36059</v>
      </c>
      <c r="B88" t="s">
        <v>36</v>
      </c>
      <c r="C88">
        <v>4</v>
      </c>
      <c r="D88" t="s">
        <v>35</v>
      </c>
      <c r="E88" t="s">
        <v>730</v>
      </c>
      <c r="F88" s="25">
        <v>106352.84</v>
      </c>
      <c r="G88" s="3">
        <v>46073</v>
      </c>
      <c r="H88" t="s">
        <v>14</v>
      </c>
      <c r="I88" s="4" t="str">
        <f t="shared" si="14"/>
        <v>Living Annuity</v>
      </c>
      <c r="J88" t="str">
        <f t="shared" si="15"/>
        <v>Compulsory, LA</v>
      </c>
      <c r="K88" t="s">
        <v>15</v>
      </c>
    </row>
    <row r="89" spans="1:14" x14ac:dyDescent="0.3">
      <c r="A89">
        <v>36059</v>
      </c>
      <c r="B89" t="s">
        <v>36</v>
      </c>
      <c r="C89">
        <v>4</v>
      </c>
      <c r="D89" t="s">
        <v>35</v>
      </c>
      <c r="E89" t="s">
        <v>729</v>
      </c>
      <c r="F89" s="25">
        <v>18851.55</v>
      </c>
      <c r="G89" s="3">
        <v>46073</v>
      </c>
      <c r="H89" t="s">
        <v>14</v>
      </c>
      <c r="I89" s="4" t="str">
        <f t="shared" si="14"/>
        <v>Living Annuity</v>
      </c>
      <c r="J89" t="str">
        <f t="shared" si="15"/>
        <v>Compulsory, LA</v>
      </c>
      <c r="K89" t="s">
        <v>15</v>
      </c>
    </row>
    <row r="90" spans="1:14" x14ac:dyDescent="0.3">
      <c r="A90">
        <v>36059</v>
      </c>
      <c r="B90" t="s">
        <v>34</v>
      </c>
      <c r="C90">
        <v>4</v>
      </c>
      <c r="D90" t="s">
        <v>35</v>
      </c>
      <c r="E90" t="s">
        <v>1240</v>
      </c>
      <c r="F90" s="25">
        <v>77888.290000000008</v>
      </c>
      <c r="G90" s="3">
        <v>46073</v>
      </c>
      <c r="H90" t="s">
        <v>14</v>
      </c>
      <c r="I90" s="4" t="str">
        <f t="shared" si="14"/>
        <v>Living Annuity</v>
      </c>
      <c r="J90" t="str">
        <f t="shared" si="15"/>
        <v>Compulsory, LA</v>
      </c>
      <c r="K90" t="s">
        <v>15</v>
      </c>
    </row>
    <row r="91" spans="1:14" x14ac:dyDescent="0.3">
      <c r="A91">
        <v>36059</v>
      </c>
      <c r="B91" t="s">
        <v>34</v>
      </c>
      <c r="C91">
        <v>4</v>
      </c>
      <c r="D91" t="s">
        <v>35</v>
      </c>
      <c r="E91" t="s">
        <v>1239</v>
      </c>
      <c r="F91" s="25">
        <v>361.85</v>
      </c>
      <c r="G91" s="3">
        <v>46073</v>
      </c>
      <c r="H91" t="s">
        <v>14</v>
      </c>
      <c r="I91" s="4" t="str">
        <f t="shared" si="14"/>
        <v>Living Annuity</v>
      </c>
      <c r="J91" t="str">
        <f t="shared" si="15"/>
        <v>Compulsory, LA</v>
      </c>
      <c r="K91" t="s">
        <v>15</v>
      </c>
    </row>
    <row r="92" spans="1:14" x14ac:dyDescent="0.3">
      <c r="A92">
        <v>36059</v>
      </c>
      <c r="B92" t="s">
        <v>34</v>
      </c>
      <c r="C92">
        <v>4</v>
      </c>
      <c r="D92" t="s">
        <v>35</v>
      </c>
      <c r="E92" t="s">
        <v>730</v>
      </c>
      <c r="F92" s="25">
        <v>67647.899999999994</v>
      </c>
      <c r="G92" s="3">
        <v>46073</v>
      </c>
      <c r="H92" t="s">
        <v>14</v>
      </c>
      <c r="I92" s="4" t="str">
        <f t="shared" si="14"/>
        <v>Living Annuity</v>
      </c>
      <c r="J92" t="str">
        <f t="shared" si="15"/>
        <v>Compulsory, LA</v>
      </c>
      <c r="K92" t="s">
        <v>15</v>
      </c>
    </row>
    <row r="93" spans="1:14" x14ac:dyDescent="0.3">
      <c r="A93">
        <v>36059</v>
      </c>
      <c r="B93" t="s">
        <v>34</v>
      </c>
      <c r="C93">
        <v>4</v>
      </c>
      <c r="D93" t="s">
        <v>35</v>
      </c>
      <c r="E93" t="s">
        <v>729</v>
      </c>
      <c r="F93" s="25">
        <v>13830.900000000001</v>
      </c>
      <c r="G93" s="3">
        <v>46073</v>
      </c>
      <c r="H93" t="s">
        <v>14</v>
      </c>
      <c r="I93" s="4" t="str">
        <f t="shared" si="14"/>
        <v>Living Annuity</v>
      </c>
      <c r="J93" t="str">
        <f t="shared" si="15"/>
        <v>Compulsory, LA</v>
      </c>
      <c r="K93" t="s">
        <v>15</v>
      </c>
    </row>
    <row r="94" spans="1:14" s="6" customFormat="1" x14ac:dyDescent="0.3">
      <c r="A94">
        <v>36060</v>
      </c>
      <c r="B94" t="s">
        <v>37</v>
      </c>
      <c r="C94">
        <v>2</v>
      </c>
      <c r="D94" t="s">
        <v>38</v>
      </c>
      <c r="E94" t="s">
        <v>1240</v>
      </c>
      <c r="F94" s="25">
        <v>143638.57</v>
      </c>
      <c r="G94" s="3">
        <v>46073</v>
      </c>
      <c r="H94" t="s">
        <v>14</v>
      </c>
      <c r="I94" s="4" t="str">
        <f t="shared" si="14"/>
        <v>Living Annuity</v>
      </c>
      <c r="J94" t="str">
        <f t="shared" si="15"/>
        <v>Compulsory, LA</v>
      </c>
      <c r="K94" t="s">
        <v>15</v>
      </c>
      <c r="L94"/>
      <c r="M94"/>
      <c r="N94"/>
    </row>
    <row r="95" spans="1:14" s="6" customFormat="1" x14ac:dyDescent="0.3">
      <c r="A95">
        <v>36060</v>
      </c>
      <c r="B95" t="s">
        <v>37</v>
      </c>
      <c r="C95">
        <v>2</v>
      </c>
      <c r="D95" t="s">
        <v>38</v>
      </c>
      <c r="E95" t="s">
        <v>1239</v>
      </c>
      <c r="F95" s="25">
        <v>204.07</v>
      </c>
      <c r="G95" s="3">
        <v>46073</v>
      </c>
      <c r="H95" t="s">
        <v>14</v>
      </c>
      <c r="I95" s="4" t="str">
        <f t="shared" si="14"/>
        <v>Living Annuity</v>
      </c>
      <c r="J95" t="str">
        <f t="shared" si="15"/>
        <v>Compulsory, LA</v>
      </c>
      <c r="K95" t="s">
        <v>15</v>
      </c>
      <c r="L95"/>
      <c r="M95"/>
      <c r="N95"/>
    </row>
    <row r="96" spans="1:14" s="6" customFormat="1" x14ac:dyDescent="0.3">
      <c r="A96">
        <v>36060</v>
      </c>
      <c r="B96" t="s">
        <v>37</v>
      </c>
      <c r="C96">
        <v>2</v>
      </c>
      <c r="D96" t="s">
        <v>38</v>
      </c>
      <c r="E96" t="s">
        <v>730</v>
      </c>
      <c r="F96" s="25">
        <v>144736.32000000001</v>
      </c>
      <c r="G96" s="3">
        <v>46073</v>
      </c>
      <c r="H96" t="s">
        <v>14</v>
      </c>
      <c r="I96" s="4" t="str">
        <f t="shared" si="14"/>
        <v>Living Annuity</v>
      </c>
      <c r="J96" t="str">
        <f t="shared" si="15"/>
        <v>Compulsory, LA</v>
      </c>
      <c r="K96" t="s">
        <v>15</v>
      </c>
      <c r="L96"/>
      <c r="M96"/>
      <c r="N96"/>
    </row>
    <row r="97" spans="1:14" s="6" customFormat="1" x14ac:dyDescent="0.3">
      <c r="A97">
        <v>36060</v>
      </c>
      <c r="B97" t="s">
        <v>37</v>
      </c>
      <c r="C97">
        <v>2</v>
      </c>
      <c r="D97" t="s">
        <v>38</v>
      </c>
      <c r="E97" t="s">
        <v>729</v>
      </c>
      <c r="F97" s="25">
        <v>2062.7399999999998</v>
      </c>
      <c r="G97" s="3">
        <v>46073</v>
      </c>
      <c r="H97" t="s">
        <v>14</v>
      </c>
      <c r="I97" s="4" t="str">
        <f t="shared" si="14"/>
        <v>Living Annuity</v>
      </c>
      <c r="J97" t="str">
        <f t="shared" si="15"/>
        <v>Compulsory, LA</v>
      </c>
      <c r="K97" t="s">
        <v>15</v>
      </c>
      <c r="L97"/>
      <c r="M97"/>
      <c r="N97"/>
    </row>
    <row r="98" spans="1:14" x14ac:dyDescent="0.3">
      <c r="A98">
        <v>36060</v>
      </c>
      <c r="B98" t="s">
        <v>39</v>
      </c>
      <c r="C98">
        <v>2</v>
      </c>
      <c r="D98" t="s">
        <v>38</v>
      </c>
      <c r="E98" t="s">
        <v>1240</v>
      </c>
      <c r="F98" s="25">
        <v>24156.03</v>
      </c>
      <c r="G98" s="3">
        <v>46073</v>
      </c>
      <c r="H98" t="s">
        <v>14</v>
      </c>
      <c r="I98" s="4" t="str">
        <f t="shared" ref="I98:I128" si="16">MID(H98,6,30)</f>
        <v>Living Annuity</v>
      </c>
      <c r="J98" t="str">
        <f t="shared" si="15"/>
        <v>Compulsory, LA</v>
      </c>
      <c r="K98" t="s">
        <v>15</v>
      </c>
    </row>
    <row r="99" spans="1:14" x14ac:dyDescent="0.3">
      <c r="A99">
        <v>36060</v>
      </c>
      <c r="B99" t="s">
        <v>39</v>
      </c>
      <c r="C99">
        <v>2</v>
      </c>
      <c r="D99" t="s">
        <v>38</v>
      </c>
      <c r="E99" t="s">
        <v>730</v>
      </c>
      <c r="F99" s="25">
        <v>21480.33</v>
      </c>
      <c r="G99" s="3">
        <v>46073</v>
      </c>
      <c r="H99" t="s">
        <v>14</v>
      </c>
      <c r="I99" s="4" t="str">
        <f t="shared" si="16"/>
        <v>Living Annuity</v>
      </c>
      <c r="J99" t="str">
        <f t="shared" si="15"/>
        <v>Compulsory, LA</v>
      </c>
      <c r="K99" t="s">
        <v>15</v>
      </c>
    </row>
    <row r="100" spans="1:14" x14ac:dyDescent="0.3">
      <c r="A100">
        <v>36060</v>
      </c>
      <c r="B100" t="s">
        <v>39</v>
      </c>
      <c r="C100">
        <v>2</v>
      </c>
      <c r="D100" t="s">
        <v>38</v>
      </c>
      <c r="E100" t="s">
        <v>729</v>
      </c>
      <c r="F100" s="25">
        <v>4823.6000000000004</v>
      </c>
      <c r="G100" s="3">
        <v>46073</v>
      </c>
      <c r="H100" t="s">
        <v>14</v>
      </c>
      <c r="I100" s="4" t="str">
        <f t="shared" si="16"/>
        <v>Living Annuity</v>
      </c>
      <c r="J100" t="str">
        <f t="shared" si="15"/>
        <v>Compulsory, LA</v>
      </c>
      <c r="K100" t="s">
        <v>15</v>
      </c>
    </row>
    <row r="101" spans="1:14" x14ac:dyDescent="0.3">
      <c r="A101">
        <v>36062</v>
      </c>
      <c r="B101" t="s">
        <v>1138</v>
      </c>
      <c r="C101">
        <v>224</v>
      </c>
      <c r="D101" t="s">
        <v>938</v>
      </c>
      <c r="E101" t="s">
        <v>730</v>
      </c>
      <c r="F101" s="26">
        <v>12742.359999999999</v>
      </c>
      <c r="G101" s="3">
        <v>46073</v>
      </c>
      <c r="H101" t="s">
        <v>31</v>
      </c>
      <c r="I101" s="4" t="str">
        <f t="shared" si="16"/>
        <v>Investment Account</v>
      </c>
      <c r="J101" t="str">
        <f>IF(LEFT(I101)="L","Compulsory, LA",IF(LEFT(I101)="R","Compulsory, RA",IF(LEFT(I101,2)="Pe","Compulsory, Pens","Voluntary")))</f>
        <v>Voluntary</v>
      </c>
      <c r="K101" t="s">
        <v>15</v>
      </c>
    </row>
    <row r="102" spans="1:14" x14ac:dyDescent="0.3">
      <c r="A102">
        <v>36062</v>
      </c>
      <c r="B102" t="s">
        <v>40</v>
      </c>
      <c r="C102">
        <v>224</v>
      </c>
      <c r="D102" t="s">
        <v>938</v>
      </c>
      <c r="E102" t="s">
        <v>1108</v>
      </c>
      <c r="F102" s="25">
        <v>194913.26000000004</v>
      </c>
      <c r="G102" s="3">
        <v>46073</v>
      </c>
      <c r="H102" t="s">
        <v>26</v>
      </c>
      <c r="I102" s="4" t="str">
        <f t="shared" si="16"/>
        <v>Retirement Annuity</v>
      </c>
      <c r="J102" t="str">
        <f>IF(LEFT(I102)="L","Compulsory, LA",IF(LEFT(I102)="R","Compulsory, RA",IF(LEFT(I102,2)="Pe","Compulsory, Pens",IF(LEFT(I102,2)="Pr","Compulsory, Prov","Voluntary"))))</f>
        <v>Compulsory, RA</v>
      </c>
      <c r="K102" t="s">
        <v>15</v>
      </c>
    </row>
    <row r="103" spans="1:14" s="13" customFormat="1" x14ac:dyDescent="0.3">
      <c r="A103">
        <v>36062</v>
      </c>
      <c r="B103" t="s">
        <v>1204</v>
      </c>
      <c r="C103">
        <v>224</v>
      </c>
      <c r="D103" t="s">
        <v>938</v>
      </c>
      <c r="E103" t="s">
        <v>1108</v>
      </c>
      <c r="F103" s="26">
        <v>21544.670000000002</v>
      </c>
      <c r="G103" s="3">
        <v>46073</v>
      </c>
      <c r="H103" t="s">
        <v>1174</v>
      </c>
      <c r="I103" s="4" t="str">
        <f t="shared" si="16"/>
        <v>Retirement Annuity - Savings C</v>
      </c>
      <c r="J103" t="str">
        <f>IF(LEFT(I103)="L","Compulsory, LA",IF(LEFT(I103)="R","Compulsory, RA",IF(LEFT(I103,2)="Pe","Compulsory, Pens","Voluntary")))</f>
        <v>Compulsory, RA</v>
      </c>
      <c r="K103" t="s">
        <v>15</v>
      </c>
      <c r="L103"/>
      <c r="M103"/>
      <c r="N103"/>
    </row>
    <row r="104" spans="1:14" s="13" customFormat="1" x14ac:dyDescent="0.3">
      <c r="A104">
        <v>36062</v>
      </c>
      <c r="B104" t="s">
        <v>1204</v>
      </c>
      <c r="C104">
        <v>224</v>
      </c>
      <c r="D104" t="s">
        <v>938</v>
      </c>
      <c r="E104" t="s">
        <v>1239</v>
      </c>
      <c r="F104" s="26">
        <v>117.12</v>
      </c>
      <c r="G104" s="3">
        <v>46073</v>
      </c>
      <c r="H104" t="s">
        <v>1174</v>
      </c>
      <c r="I104" s="4" t="str">
        <f t="shared" si="16"/>
        <v>Retirement Annuity - Savings C</v>
      </c>
      <c r="J104" t="str">
        <f>IF(LEFT(I104)="L","Compulsory, LA",IF(LEFT(I104)="R","Compulsory, RA",IF(LEFT(I104,2)="Pe","Compulsory, Pens","Voluntary")))</f>
        <v>Compulsory, RA</v>
      </c>
      <c r="K104" t="s">
        <v>15</v>
      </c>
      <c r="L104"/>
      <c r="M104"/>
      <c r="N104"/>
    </row>
    <row r="105" spans="1:14" s="13" customFormat="1" x14ac:dyDescent="0.3">
      <c r="A105">
        <v>36355</v>
      </c>
      <c r="B105" t="s">
        <v>41</v>
      </c>
      <c r="C105">
        <v>53</v>
      </c>
      <c r="D105" t="s">
        <v>42</v>
      </c>
      <c r="E105" t="s">
        <v>1240</v>
      </c>
      <c r="F105" s="25">
        <v>1647.6799999999998</v>
      </c>
      <c r="G105" s="3">
        <v>46073</v>
      </c>
      <c r="H105" t="s">
        <v>14</v>
      </c>
      <c r="I105" s="4" t="str">
        <f t="shared" si="16"/>
        <v>Living Annuity</v>
      </c>
      <c r="J105" t="str">
        <f t="shared" ref="J105:J118" si="17">IF(LEFT(I105)="L","Compulsory, LA",IF(LEFT(I105)="R","Compulsory, RA",IF(LEFT(I105,2)="Pe","Compulsory, Pens",IF(LEFT(I105,2)="Pr","Compulsory, Prov","Voluntary"))))</f>
        <v>Compulsory, LA</v>
      </c>
      <c r="K105" t="s">
        <v>15</v>
      </c>
      <c r="L105"/>
      <c r="M105"/>
      <c r="N105"/>
    </row>
    <row r="106" spans="1:14" s="13" customFormat="1" x14ac:dyDescent="0.3">
      <c r="A106">
        <v>36355</v>
      </c>
      <c r="B106" t="s">
        <v>41</v>
      </c>
      <c r="C106">
        <v>53</v>
      </c>
      <c r="D106" t="s">
        <v>42</v>
      </c>
      <c r="E106" t="s">
        <v>730</v>
      </c>
      <c r="F106" s="25">
        <v>1477.53</v>
      </c>
      <c r="G106" s="3">
        <v>46073</v>
      </c>
      <c r="H106" t="s">
        <v>14</v>
      </c>
      <c r="I106" s="4" t="str">
        <f t="shared" si="16"/>
        <v>Living Annuity</v>
      </c>
      <c r="J106" t="str">
        <f t="shared" si="17"/>
        <v>Compulsory, LA</v>
      </c>
      <c r="K106" t="s">
        <v>15</v>
      </c>
      <c r="L106"/>
      <c r="M106"/>
      <c r="N106"/>
    </row>
    <row r="107" spans="1:14" x14ac:dyDescent="0.3">
      <c r="A107">
        <v>36355</v>
      </c>
      <c r="B107" t="s">
        <v>41</v>
      </c>
      <c r="C107">
        <v>53</v>
      </c>
      <c r="D107" t="s">
        <v>42</v>
      </c>
      <c r="E107" t="s">
        <v>729</v>
      </c>
      <c r="F107" s="25">
        <v>1574.73</v>
      </c>
      <c r="G107" s="3">
        <v>46073</v>
      </c>
      <c r="H107" t="s">
        <v>14</v>
      </c>
      <c r="I107" s="4" t="str">
        <f t="shared" si="16"/>
        <v>Living Annuity</v>
      </c>
      <c r="J107" t="str">
        <f t="shared" si="17"/>
        <v>Compulsory, LA</v>
      </c>
      <c r="K107" t="s">
        <v>15</v>
      </c>
    </row>
    <row r="108" spans="1:14" x14ac:dyDescent="0.3">
      <c r="A108">
        <v>37040</v>
      </c>
      <c r="B108" t="s">
        <v>43</v>
      </c>
      <c r="C108">
        <v>263</v>
      </c>
      <c r="D108" t="s">
        <v>44</v>
      </c>
      <c r="E108" t="s">
        <v>1240</v>
      </c>
      <c r="F108" s="25">
        <v>76276.06</v>
      </c>
      <c r="G108" s="3">
        <v>46073</v>
      </c>
      <c r="H108" t="s">
        <v>14</v>
      </c>
      <c r="I108" s="4" t="str">
        <f t="shared" si="16"/>
        <v>Living Annuity</v>
      </c>
      <c r="J108" t="str">
        <f t="shared" si="17"/>
        <v>Compulsory, LA</v>
      </c>
      <c r="K108" t="s">
        <v>15</v>
      </c>
    </row>
    <row r="109" spans="1:14" x14ac:dyDescent="0.3">
      <c r="A109">
        <v>37040</v>
      </c>
      <c r="B109" t="s">
        <v>43</v>
      </c>
      <c r="C109">
        <v>263</v>
      </c>
      <c r="D109" t="s">
        <v>44</v>
      </c>
      <c r="E109" t="s">
        <v>1239</v>
      </c>
      <c r="F109" s="25">
        <v>126.2</v>
      </c>
      <c r="G109" s="3">
        <v>46073</v>
      </c>
      <c r="H109" t="s">
        <v>14</v>
      </c>
      <c r="I109" s="4" t="str">
        <f t="shared" si="16"/>
        <v>Living Annuity</v>
      </c>
      <c r="J109" t="str">
        <f t="shared" si="17"/>
        <v>Compulsory, LA</v>
      </c>
      <c r="K109" t="s">
        <v>15</v>
      </c>
    </row>
    <row r="110" spans="1:14" x14ac:dyDescent="0.3">
      <c r="A110">
        <v>37040</v>
      </c>
      <c r="B110" t="s">
        <v>43</v>
      </c>
      <c r="C110">
        <v>263</v>
      </c>
      <c r="D110" t="s">
        <v>44</v>
      </c>
      <c r="E110" t="s">
        <v>730</v>
      </c>
      <c r="F110" s="25">
        <v>74817.87000000001</v>
      </c>
      <c r="G110" s="3">
        <v>46073</v>
      </c>
      <c r="H110" t="s">
        <v>14</v>
      </c>
      <c r="I110" s="4" t="str">
        <f t="shared" si="16"/>
        <v>Living Annuity</v>
      </c>
      <c r="J110" t="str">
        <f t="shared" si="17"/>
        <v>Compulsory, LA</v>
      </c>
      <c r="K110" t="s">
        <v>15</v>
      </c>
    </row>
    <row r="111" spans="1:14" x14ac:dyDescent="0.3">
      <c r="A111">
        <v>37040</v>
      </c>
      <c r="B111" t="s">
        <v>43</v>
      </c>
      <c r="C111">
        <v>263</v>
      </c>
      <c r="D111" t="s">
        <v>44</v>
      </c>
      <c r="E111" t="s">
        <v>729</v>
      </c>
      <c r="F111" s="25">
        <v>1460.91</v>
      </c>
      <c r="G111" s="3">
        <v>46073</v>
      </c>
      <c r="H111" t="s">
        <v>14</v>
      </c>
      <c r="I111" s="4" t="str">
        <f t="shared" si="16"/>
        <v>Living Annuity</v>
      </c>
      <c r="J111" t="str">
        <f t="shared" si="17"/>
        <v>Compulsory, LA</v>
      </c>
      <c r="K111" t="s">
        <v>15</v>
      </c>
    </row>
    <row r="112" spans="1:14" x14ac:dyDescent="0.3">
      <c r="A112">
        <v>37041</v>
      </c>
      <c r="B112" t="s">
        <v>45</v>
      </c>
      <c r="C112">
        <v>84</v>
      </c>
      <c r="D112" t="s">
        <v>46</v>
      </c>
      <c r="E112" t="s">
        <v>1240</v>
      </c>
      <c r="F112" s="25">
        <v>16398.48</v>
      </c>
      <c r="G112" s="3">
        <v>46073</v>
      </c>
      <c r="H112" t="s">
        <v>14</v>
      </c>
      <c r="I112" s="4" t="str">
        <f t="shared" si="16"/>
        <v>Living Annuity</v>
      </c>
      <c r="J112" t="str">
        <f t="shared" si="17"/>
        <v>Compulsory, LA</v>
      </c>
      <c r="K112" t="s">
        <v>15</v>
      </c>
    </row>
    <row r="113" spans="1:11" x14ac:dyDescent="0.3">
      <c r="A113">
        <v>37041</v>
      </c>
      <c r="B113" t="s">
        <v>45</v>
      </c>
      <c r="C113">
        <v>84</v>
      </c>
      <c r="D113" t="s">
        <v>46</v>
      </c>
      <c r="E113" t="s">
        <v>1239</v>
      </c>
      <c r="F113" s="25">
        <v>148.44</v>
      </c>
      <c r="G113" s="3">
        <v>46073</v>
      </c>
      <c r="H113" t="s">
        <v>14</v>
      </c>
      <c r="I113" s="4" t="str">
        <f t="shared" ref="I113" si="18">MID(H113,6,30)</f>
        <v>Living Annuity</v>
      </c>
      <c r="J113" t="str">
        <f t="shared" ref="J113" si="19">IF(LEFT(I113)="L","Compulsory, LA",IF(LEFT(I113)="R","Compulsory, RA",IF(LEFT(I113,2)="Pe","Compulsory, Pens",IF(LEFT(I113,2)="Pr","Compulsory, Prov","Voluntary"))))</f>
        <v>Compulsory, LA</v>
      </c>
      <c r="K113" t="s">
        <v>15</v>
      </c>
    </row>
    <row r="114" spans="1:11" x14ac:dyDescent="0.3">
      <c r="A114">
        <v>37041</v>
      </c>
      <c r="B114" t="s">
        <v>45</v>
      </c>
      <c r="C114">
        <v>84</v>
      </c>
      <c r="D114" t="s">
        <v>46</v>
      </c>
      <c r="E114" t="s">
        <v>730</v>
      </c>
      <c r="F114" s="25">
        <v>16533.420000000002</v>
      </c>
      <c r="G114" s="3">
        <v>46073</v>
      </c>
      <c r="H114" t="s">
        <v>14</v>
      </c>
      <c r="I114" s="4" t="str">
        <f t="shared" si="16"/>
        <v>Living Annuity</v>
      </c>
      <c r="J114" t="str">
        <f t="shared" si="17"/>
        <v>Compulsory, LA</v>
      </c>
      <c r="K114" t="s">
        <v>15</v>
      </c>
    </row>
    <row r="115" spans="1:11" x14ac:dyDescent="0.3">
      <c r="A115">
        <v>37041</v>
      </c>
      <c r="B115" t="s">
        <v>45</v>
      </c>
      <c r="C115">
        <v>84</v>
      </c>
      <c r="D115" t="s">
        <v>46</v>
      </c>
      <c r="E115" t="s">
        <v>729</v>
      </c>
      <c r="F115" s="25">
        <v>6486.8099999999995</v>
      </c>
      <c r="G115" s="3">
        <v>46073</v>
      </c>
      <c r="H115" t="s">
        <v>14</v>
      </c>
      <c r="I115" s="4" t="str">
        <f t="shared" si="16"/>
        <v>Living Annuity</v>
      </c>
      <c r="J115" t="str">
        <f t="shared" si="17"/>
        <v>Compulsory, LA</v>
      </c>
      <c r="K115" t="s">
        <v>15</v>
      </c>
    </row>
    <row r="116" spans="1:11" x14ac:dyDescent="0.3">
      <c r="A116">
        <v>38586</v>
      </c>
      <c r="B116" t="s">
        <v>47</v>
      </c>
      <c r="C116">
        <v>181</v>
      </c>
      <c r="D116" t="s">
        <v>48</v>
      </c>
      <c r="E116" t="s">
        <v>1240</v>
      </c>
      <c r="F116" s="25">
        <v>11419.49</v>
      </c>
      <c r="G116" s="3">
        <v>46073</v>
      </c>
      <c r="H116" t="s">
        <v>14</v>
      </c>
      <c r="I116" s="4" t="str">
        <f t="shared" si="16"/>
        <v>Living Annuity</v>
      </c>
      <c r="J116" t="str">
        <f t="shared" si="17"/>
        <v>Compulsory, LA</v>
      </c>
      <c r="K116" t="s">
        <v>15</v>
      </c>
    </row>
    <row r="117" spans="1:11" x14ac:dyDescent="0.3">
      <c r="A117">
        <v>38586</v>
      </c>
      <c r="B117" t="s">
        <v>47</v>
      </c>
      <c r="C117">
        <v>181</v>
      </c>
      <c r="D117" t="s">
        <v>48</v>
      </c>
      <c r="E117" t="s">
        <v>730</v>
      </c>
      <c r="F117" s="25">
        <v>10548.71</v>
      </c>
      <c r="G117" s="3">
        <v>46073</v>
      </c>
      <c r="H117" t="s">
        <v>14</v>
      </c>
      <c r="I117" s="4" t="str">
        <f t="shared" si="16"/>
        <v>Living Annuity</v>
      </c>
      <c r="J117" t="str">
        <f t="shared" si="17"/>
        <v>Compulsory, LA</v>
      </c>
      <c r="K117" t="s">
        <v>15</v>
      </c>
    </row>
    <row r="118" spans="1:11" x14ac:dyDescent="0.3">
      <c r="A118">
        <v>38586</v>
      </c>
      <c r="B118" t="s">
        <v>47</v>
      </c>
      <c r="C118">
        <v>181</v>
      </c>
      <c r="D118" t="s">
        <v>48</v>
      </c>
      <c r="E118" t="s">
        <v>729</v>
      </c>
      <c r="F118" s="25">
        <v>6578.81</v>
      </c>
      <c r="G118" s="3">
        <v>46073</v>
      </c>
      <c r="H118" t="s">
        <v>14</v>
      </c>
      <c r="I118" s="4" t="str">
        <f t="shared" si="16"/>
        <v>Living Annuity</v>
      </c>
      <c r="J118" t="str">
        <f t="shared" si="17"/>
        <v>Compulsory, LA</v>
      </c>
      <c r="K118" t="s">
        <v>15</v>
      </c>
    </row>
    <row r="119" spans="1:11" x14ac:dyDescent="0.3">
      <c r="A119">
        <v>38842</v>
      </c>
      <c r="B119" t="s">
        <v>49</v>
      </c>
      <c r="C119">
        <v>79</v>
      </c>
      <c r="D119" t="s">
        <v>50</v>
      </c>
      <c r="E119" t="s">
        <v>1240</v>
      </c>
      <c r="F119" s="25">
        <v>7997.84</v>
      </c>
      <c r="G119" s="3">
        <v>46073</v>
      </c>
      <c r="H119" t="s">
        <v>14</v>
      </c>
      <c r="I119" s="4" t="str">
        <f t="shared" si="16"/>
        <v>Living Annuity</v>
      </c>
      <c r="J119" t="str">
        <f>IF(LEFT(I119)="L","Compulsory, LA",IF(LEFT(I119)="R","Compulsory, RA",IF(LEFT(I119,2)="Pe","Compulsory, Pens","Voluntary")))</f>
        <v>Compulsory, LA</v>
      </c>
      <c r="K119" t="s">
        <v>15</v>
      </c>
    </row>
    <row r="120" spans="1:11" x14ac:dyDescent="0.3">
      <c r="A120">
        <v>38842</v>
      </c>
      <c r="B120" t="s">
        <v>49</v>
      </c>
      <c r="C120">
        <v>79</v>
      </c>
      <c r="D120" t="s">
        <v>50</v>
      </c>
      <c r="E120" t="s">
        <v>730</v>
      </c>
      <c r="F120" s="25">
        <v>19726.62</v>
      </c>
      <c r="G120" s="3">
        <v>46073</v>
      </c>
      <c r="H120" t="s">
        <v>14</v>
      </c>
      <c r="I120" s="4" t="str">
        <f t="shared" si="16"/>
        <v>Living Annuity</v>
      </c>
      <c r="J120" t="str">
        <f>IF(LEFT(I120)="L","Compulsory, LA",IF(LEFT(I120)="R","Compulsory, RA",IF(LEFT(I120,2)="Pe","Compulsory, Pens","Voluntary")))</f>
        <v>Compulsory, LA</v>
      </c>
      <c r="K120" t="s">
        <v>15</v>
      </c>
    </row>
    <row r="121" spans="1:11" x14ac:dyDescent="0.3">
      <c r="A121">
        <v>38842</v>
      </c>
      <c r="B121" t="s">
        <v>49</v>
      </c>
      <c r="C121">
        <v>79</v>
      </c>
      <c r="D121" t="s">
        <v>50</v>
      </c>
      <c r="E121" t="s">
        <v>729</v>
      </c>
      <c r="F121" s="25">
        <v>7025.5599999999995</v>
      </c>
      <c r="G121" s="3">
        <v>46073</v>
      </c>
      <c r="H121" t="s">
        <v>14</v>
      </c>
      <c r="I121" s="4" t="str">
        <f t="shared" si="16"/>
        <v>Living Annuity</v>
      </c>
      <c r="J121" t="str">
        <f>IF(LEFT(I121)="L","Compulsory, LA",IF(LEFT(I121)="R","Compulsory, RA",IF(LEFT(I121,2)="Pe","Compulsory, Pens","Voluntary")))</f>
        <v>Compulsory, LA</v>
      </c>
      <c r="K121" t="s">
        <v>15</v>
      </c>
    </row>
    <row r="122" spans="1:11" x14ac:dyDescent="0.3">
      <c r="A122">
        <v>38851</v>
      </c>
      <c r="B122" t="s">
        <v>51</v>
      </c>
      <c r="C122">
        <v>172</v>
      </c>
      <c r="D122" t="s">
        <v>52</v>
      </c>
      <c r="E122" t="s">
        <v>1240</v>
      </c>
      <c r="F122" s="25">
        <v>573.24</v>
      </c>
      <c r="G122" s="3">
        <v>46073</v>
      </c>
      <c r="H122" t="s">
        <v>14</v>
      </c>
      <c r="I122" s="4" t="str">
        <f t="shared" si="16"/>
        <v>Living Annuity</v>
      </c>
      <c r="J122" t="str">
        <f t="shared" ref="J122:J136" si="20">IF(LEFT(I122)="L","Compulsory, LA",IF(LEFT(I122)="R","Compulsory, RA",IF(LEFT(I122,2)="Pe","Compulsory, Pens",IF(LEFT(I122,2)="Pr","Compulsory, Prov","Voluntary"))))</f>
        <v>Compulsory, LA</v>
      </c>
      <c r="K122" t="s">
        <v>15</v>
      </c>
    </row>
    <row r="123" spans="1:11" x14ac:dyDescent="0.3">
      <c r="A123">
        <v>38851</v>
      </c>
      <c r="B123" t="s">
        <v>51</v>
      </c>
      <c r="C123">
        <v>172</v>
      </c>
      <c r="D123" t="s">
        <v>52</v>
      </c>
      <c r="E123" t="s">
        <v>730</v>
      </c>
      <c r="F123" s="25">
        <v>504.09000000000003</v>
      </c>
      <c r="G123" s="3">
        <v>46073</v>
      </c>
      <c r="H123" t="s">
        <v>14</v>
      </c>
      <c r="I123" s="4" t="str">
        <f t="shared" si="16"/>
        <v>Living Annuity</v>
      </c>
      <c r="J123" t="str">
        <f t="shared" si="20"/>
        <v>Compulsory, LA</v>
      </c>
      <c r="K123" t="s">
        <v>15</v>
      </c>
    </row>
    <row r="124" spans="1:11" x14ac:dyDescent="0.3">
      <c r="A124">
        <v>38851</v>
      </c>
      <c r="B124" t="s">
        <v>51</v>
      </c>
      <c r="C124">
        <v>172</v>
      </c>
      <c r="D124" t="s">
        <v>52</v>
      </c>
      <c r="E124" t="s">
        <v>729</v>
      </c>
      <c r="F124" s="25">
        <v>480.78999999999996</v>
      </c>
      <c r="G124" s="3">
        <v>46073</v>
      </c>
      <c r="H124" t="s">
        <v>14</v>
      </c>
      <c r="I124" s="4" t="str">
        <f t="shared" si="16"/>
        <v>Living Annuity</v>
      </c>
      <c r="J124" t="str">
        <f t="shared" si="20"/>
        <v>Compulsory, LA</v>
      </c>
      <c r="K124" t="s">
        <v>15</v>
      </c>
    </row>
    <row r="125" spans="1:11" x14ac:dyDescent="0.3">
      <c r="A125">
        <v>38887</v>
      </c>
      <c r="B125" t="s">
        <v>53</v>
      </c>
      <c r="C125">
        <v>29</v>
      </c>
      <c r="D125" t="s">
        <v>54</v>
      </c>
      <c r="E125" t="s">
        <v>1240</v>
      </c>
      <c r="F125" s="25">
        <v>4162.6399999999994</v>
      </c>
      <c r="G125" s="3">
        <v>46073</v>
      </c>
      <c r="H125" t="s">
        <v>14</v>
      </c>
      <c r="I125" s="4" t="str">
        <f t="shared" si="16"/>
        <v>Living Annuity</v>
      </c>
      <c r="J125" t="str">
        <f t="shared" si="20"/>
        <v>Compulsory, LA</v>
      </c>
      <c r="K125" t="s">
        <v>15</v>
      </c>
    </row>
    <row r="126" spans="1:11" x14ac:dyDescent="0.3">
      <c r="A126">
        <v>38887</v>
      </c>
      <c r="B126" t="s">
        <v>53</v>
      </c>
      <c r="C126">
        <v>29</v>
      </c>
      <c r="D126" t="s">
        <v>54</v>
      </c>
      <c r="E126" t="s">
        <v>730</v>
      </c>
      <c r="F126" s="25">
        <v>3618.67</v>
      </c>
      <c r="G126" s="3">
        <v>46073</v>
      </c>
      <c r="H126" t="s">
        <v>14</v>
      </c>
      <c r="I126" s="4" t="str">
        <f t="shared" si="16"/>
        <v>Living Annuity</v>
      </c>
      <c r="J126" t="str">
        <f t="shared" si="20"/>
        <v>Compulsory, LA</v>
      </c>
      <c r="K126" t="s">
        <v>15</v>
      </c>
    </row>
    <row r="127" spans="1:11" x14ac:dyDescent="0.3">
      <c r="A127">
        <v>38887</v>
      </c>
      <c r="B127" t="s">
        <v>53</v>
      </c>
      <c r="C127">
        <v>29</v>
      </c>
      <c r="D127" t="s">
        <v>54</v>
      </c>
      <c r="E127" t="s">
        <v>729</v>
      </c>
      <c r="F127" s="25">
        <v>316.02</v>
      </c>
      <c r="G127" s="3">
        <v>46073</v>
      </c>
      <c r="H127" t="s">
        <v>14</v>
      </c>
      <c r="I127" s="4" t="str">
        <f t="shared" si="16"/>
        <v>Living Annuity</v>
      </c>
      <c r="J127" t="str">
        <f t="shared" si="20"/>
        <v>Compulsory, LA</v>
      </c>
      <c r="K127" t="s">
        <v>15</v>
      </c>
    </row>
    <row r="128" spans="1:11" x14ac:dyDescent="0.3">
      <c r="A128">
        <v>38888</v>
      </c>
      <c r="B128" t="s">
        <v>124</v>
      </c>
      <c r="C128">
        <v>247</v>
      </c>
      <c r="D128" t="s">
        <v>125</v>
      </c>
      <c r="E128" t="s">
        <v>1243</v>
      </c>
      <c r="F128" s="26">
        <v>54187.53</v>
      </c>
      <c r="G128" s="3">
        <v>46073</v>
      </c>
      <c r="H128" t="s">
        <v>14</v>
      </c>
      <c r="I128" s="4" t="str">
        <f t="shared" si="16"/>
        <v>Living Annuity</v>
      </c>
      <c r="J128" t="str">
        <f t="shared" si="20"/>
        <v>Compulsory, LA</v>
      </c>
      <c r="K128" t="s">
        <v>15</v>
      </c>
    </row>
    <row r="129" spans="1:11" x14ac:dyDescent="0.3">
      <c r="A129">
        <v>41695</v>
      </c>
      <c r="B129" t="s">
        <v>127</v>
      </c>
      <c r="C129">
        <v>278</v>
      </c>
      <c r="D129" t="s">
        <v>56</v>
      </c>
      <c r="E129" t="s">
        <v>1264</v>
      </c>
      <c r="F129" s="26">
        <v>62684.54</v>
      </c>
      <c r="G129" s="3">
        <v>46073</v>
      </c>
      <c r="H129" t="s">
        <v>31</v>
      </c>
      <c r="I129" s="4" t="str">
        <f t="shared" ref="I129:I135" si="21">MID(H129,6,30)</f>
        <v>Investment Account</v>
      </c>
      <c r="J129" t="str">
        <f t="shared" ref="J129:J135" si="22">IF(LEFT(I129)="L","Compulsory, LA",IF(LEFT(I129)="R","Compulsory, RA",IF(LEFT(I129,2)="Pe","Compulsory, Pens",IF(LEFT(I129,2)="Pr","Compulsory, Prov","Voluntary"))))</f>
        <v>Voluntary</v>
      </c>
      <c r="K129" t="s">
        <v>15</v>
      </c>
    </row>
    <row r="130" spans="1:11" x14ac:dyDescent="0.3">
      <c r="A130">
        <v>41695</v>
      </c>
      <c r="B130" t="s">
        <v>127</v>
      </c>
      <c r="C130">
        <v>278</v>
      </c>
      <c r="D130" t="s">
        <v>56</v>
      </c>
      <c r="E130" t="s">
        <v>1265</v>
      </c>
      <c r="F130" s="26">
        <v>36601.01</v>
      </c>
      <c r="G130" s="3">
        <v>46073</v>
      </c>
      <c r="H130" t="s">
        <v>31</v>
      </c>
      <c r="I130" s="4" t="str">
        <f t="shared" si="21"/>
        <v>Investment Account</v>
      </c>
      <c r="J130" t="str">
        <f t="shared" si="22"/>
        <v>Voluntary</v>
      </c>
      <c r="K130" t="s">
        <v>15</v>
      </c>
    </row>
    <row r="131" spans="1:11" x14ac:dyDescent="0.3">
      <c r="A131">
        <v>41695</v>
      </c>
      <c r="B131" t="s">
        <v>127</v>
      </c>
      <c r="C131">
        <v>278</v>
      </c>
      <c r="D131" t="s">
        <v>56</v>
      </c>
      <c r="E131" t="s">
        <v>1266</v>
      </c>
      <c r="F131" s="26">
        <v>59366.97</v>
      </c>
      <c r="G131" s="3">
        <v>46073</v>
      </c>
      <c r="H131" t="s">
        <v>31</v>
      </c>
      <c r="I131" s="4" t="str">
        <f t="shared" si="21"/>
        <v>Investment Account</v>
      </c>
      <c r="J131" t="str">
        <f t="shared" si="22"/>
        <v>Voluntary</v>
      </c>
      <c r="K131" t="s">
        <v>15</v>
      </c>
    </row>
    <row r="132" spans="1:11" x14ac:dyDescent="0.3">
      <c r="A132">
        <v>41695</v>
      </c>
      <c r="B132" t="s">
        <v>127</v>
      </c>
      <c r="C132">
        <v>278</v>
      </c>
      <c r="D132" t="s">
        <v>56</v>
      </c>
      <c r="E132" t="s">
        <v>1267</v>
      </c>
      <c r="F132" s="26">
        <v>66231.44</v>
      </c>
      <c r="G132" s="3">
        <v>46073</v>
      </c>
      <c r="H132" t="s">
        <v>31</v>
      </c>
      <c r="I132" s="4" t="str">
        <f t="shared" si="21"/>
        <v>Investment Account</v>
      </c>
      <c r="J132" t="str">
        <f t="shared" si="22"/>
        <v>Voluntary</v>
      </c>
      <c r="K132" t="s">
        <v>15</v>
      </c>
    </row>
    <row r="133" spans="1:11" x14ac:dyDescent="0.3">
      <c r="A133">
        <v>41695</v>
      </c>
      <c r="B133" t="s">
        <v>127</v>
      </c>
      <c r="C133">
        <v>278</v>
      </c>
      <c r="D133" t="s">
        <v>56</v>
      </c>
      <c r="E133" t="s">
        <v>1246</v>
      </c>
      <c r="F133" s="26">
        <v>43956.14</v>
      </c>
      <c r="G133" s="3">
        <v>46073</v>
      </c>
      <c r="H133" t="s">
        <v>31</v>
      </c>
      <c r="I133" s="4" t="str">
        <f t="shared" si="21"/>
        <v>Investment Account</v>
      </c>
      <c r="J133" t="str">
        <f t="shared" si="22"/>
        <v>Voluntary</v>
      </c>
      <c r="K133" t="s">
        <v>15</v>
      </c>
    </row>
    <row r="134" spans="1:11" x14ac:dyDescent="0.3">
      <c r="A134">
        <v>41695</v>
      </c>
      <c r="B134" t="s">
        <v>127</v>
      </c>
      <c r="C134">
        <v>278</v>
      </c>
      <c r="D134" t="s">
        <v>56</v>
      </c>
      <c r="E134" t="s">
        <v>1166</v>
      </c>
      <c r="F134" s="26">
        <v>40813.75</v>
      </c>
      <c r="G134" s="3">
        <v>46073</v>
      </c>
      <c r="H134" t="s">
        <v>31</v>
      </c>
      <c r="I134" s="4" t="str">
        <f t="shared" si="21"/>
        <v>Investment Account</v>
      </c>
      <c r="J134" t="str">
        <f t="shared" si="22"/>
        <v>Voluntary</v>
      </c>
      <c r="K134" t="s">
        <v>15</v>
      </c>
    </row>
    <row r="135" spans="1:11" x14ac:dyDescent="0.3">
      <c r="A135">
        <v>41695</v>
      </c>
      <c r="B135" t="s">
        <v>127</v>
      </c>
      <c r="C135">
        <v>278</v>
      </c>
      <c r="D135" t="s">
        <v>56</v>
      </c>
      <c r="E135" t="s">
        <v>1259</v>
      </c>
      <c r="F135" s="26">
        <v>63135.32</v>
      </c>
      <c r="G135" s="3">
        <v>46073</v>
      </c>
      <c r="H135" t="s">
        <v>31</v>
      </c>
      <c r="I135" s="4" t="str">
        <f t="shared" si="21"/>
        <v>Investment Account</v>
      </c>
      <c r="J135" t="str">
        <f t="shared" si="22"/>
        <v>Voluntary</v>
      </c>
      <c r="K135" t="s">
        <v>15</v>
      </c>
    </row>
    <row r="136" spans="1:11" x14ac:dyDescent="0.3">
      <c r="A136">
        <v>41695</v>
      </c>
      <c r="B136" t="s">
        <v>55</v>
      </c>
      <c r="C136">
        <v>278</v>
      </c>
      <c r="D136" t="s">
        <v>56</v>
      </c>
      <c r="E136" t="s">
        <v>1108</v>
      </c>
      <c r="F136" s="26">
        <v>51071.18</v>
      </c>
      <c r="G136" s="3">
        <v>46073</v>
      </c>
      <c r="H136" t="s">
        <v>26</v>
      </c>
      <c r="I136" s="4" t="str">
        <f t="shared" ref="I136:I161" si="23">MID(H136,6,30)</f>
        <v>Retirement Annuity</v>
      </c>
      <c r="J136" t="str">
        <f t="shared" si="20"/>
        <v>Compulsory, RA</v>
      </c>
      <c r="K136" t="s">
        <v>15</v>
      </c>
    </row>
    <row r="137" spans="1:11" x14ac:dyDescent="0.3">
      <c r="A137">
        <v>41695</v>
      </c>
      <c r="B137" t="s">
        <v>1205</v>
      </c>
      <c r="C137">
        <v>278</v>
      </c>
      <c r="D137" t="s">
        <v>56</v>
      </c>
      <c r="E137" t="s">
        <v>1108</v>
      </c>
      <c r="F137" s="25">
        <v>5460.7899999999991</v>
      </c>
      <c r="G137" s="3">
        <v>46073</v>
      </c>
      <c r="H137" t="s">
        <v>1174</v>
      </c>
      <c r="I137" s="4" t="str">
        <f t="shared" si="23"/>
        <v>Retirement Annuity - Savings C</v>
      </c>
      <c r="J137" t="str">
        <f>IF(LEFT(I137)="L","Compulsory, LA",IF(LEFT(I137)="R","Compulsory, RA",IF(LEFT(I137,2)="Pe","Compulsory, Pens","Voluntary")))</f>
        <v>Compulsory, RA</v>
      </c>
      <c r="K137" t="s">
        <v>15</v>
      </c>
    </row>
    <row r="138" spans="1:11" x14ac:dyDescent="0.3">
      <c r="A138">
        <v>46589</v>
      </c>
      <c r="B138" t="s">
        <v>57</v>
      </c>
      <c r="C138">
        <v>80</v>
      </c>
      <c r="D138" t="s">
        <v>58</v>
      </c>
      <c r="E138" t="s">
        <v>1240</v>
      </c>
      <c r="F138" s="25">
        <v>9851.9500000000007</v>
      </c>
      <c r="G138" s="3">
        <v>46073</v>
      </c>
      <c r="H138" t="s">
        <v>14</v>
      </c>
      <c r="I138" s="4" t="str">
        <f t="shared" si="23"/>
        <v>Living Annuity</v>
      </c>
      <c r="J138" t="str">
        <f t="shared" ref="J138:J162" si="24">IF(LEFT(I138)="L","Compulsory, LA",IF(LEFT(I138)="R","Compulsory, RA",IF(LEFT(I138,2)="Pe","Compulsory, Pens",IF(LEFT(I138,2)="Pr","Compulsory, Prov","Voluntary"))))</f>
        <v>Compulsory, LA</v>
      </c>
      <c r="K138" t="s">
        <v>15</v>
      </c>
    </row>
    <row r="139" spans="1:11" x14ac:dyDescent="0.3">
      <c r="A139">
        <v>46589</v>
      </c>
      <c r="B139" t="s">
        <v>57</v>
      </c>
      <c r="C139">
        <v>80</v>
      </c>
      <c r="D139" t="s">
        <v>58</v>
      </c>
      <c r="E139" t="s">
        <v>730</v>
      </c>
      <c r="F139" s="25">
        <v>8581.24</v>
      </c>
      <c r="G139" s="3">
        <v>46073</v>
      </c>
      <c r="H139" t="s">
        <v>14</v>
      </c>
      <c r="I139" s="4" t="str">
        <f t="shared" si="23"/>
        <v>Living Annuity</v>
      </c>
      <c r="J139" t="str">
        <f t="shared" si="24"/>
        <v>Compulsory, LA</v>
      </c>
      <c r="K139" t="s">
        <v>15</v>
      </c>
    </row>
    <row r="140" spans="1:11" x14ac:dyDescent="0.3">
      <c r="A140">
        <v>46589</v>
      </c>
      <c r="B140" t="s">
        <v>57</v>
      </c>
      <c r="C140">
        <v>80</v>
      </c>
      <c r="D140" t="s">
        <v>58</v>
      </c>
      <c r="E140" t="s">
        <v>729</v>
      </c>
      <c r="F140" s="25">
        <v>7615.42</v>
      </c>
      <c r="G140" s="3">
        <v>46073</v>
      </c>
      <c r="H140" t="s">
        <v>14</v>
      </c>
      <c r="I140" s="4" t="str">
        <f t="shared" si="23"/>
        <v>Living Annuity</v>
      </c>
      <c r="J140" t="str">
        <f t="shared" si="24"/>
        <v>Compulsory, LA</v>
      </c>
      <c r="K140" t="s">
        <v>15</v>
      </c>
    </row>
    <row r="141" spans="1:11" x14ac:dyDescent="0.3">
      <c r="A141">
        <v>46589</v>
      </c>
      <c r="B141" t="s">
        <v>59</v>
      </c>
      <c r="C141">
        <v>80</v>
      </c>
      <c r="D141" t="s">
        <v>58</v>
      </c>
      <c r="E141" t="s">
        <v>1240</v>
      </c>
      <c r="F141" s="25">
        <v>194334.94</v>
      </c>
      <c r="G141" s="3">
        <v>46073</v>
      </c>
      <c r="H141" t="s">
        <v>14</v>
      </c>
      <c r="I141" s="4" t="str">
        <f t="shared" si="23"/>
        <v>Living Annuity</v>
      </c>
      <c r="J141" t="str">
        <f t="shared" si="24"/>
        <v>Compulsory, LA</v>
      </c>
      <c r="K141" t="s">
        <v>15</v>
      </c>
    </row>
    <row r="142" spans="1:11" x14ac:dyDescent="0.3">
      <c r="A142">
        <v>46589</v>
      </c>
      <c r="B142" t="s">
        <v>59</v>
      </c>
      <c r="C142">
        <v>80</v>
      </c>
      <c r="D142" t="s">
        <v>58</v>
      </c>
      <c r="E142" t="s">
        <v>730</v>
      </c>
      <c r="F142" s="25">
        <v>241768.08</v>
      </c>
      <c r="G142" s="3">
        <v>46073</v>
      </c>
      <c r="H142" t="s">
        <v>14</v>
      </c>
      <c r="I142" s="4" t="str">
        <f t="shared" si="23"/>
        <v>Living Annuity</v>
      </c>
      <c r="J142" t="str">
        <f t="shared" si="24"/>
        <v>Compulsory, LA</v>
      </c>
      <c r="K142" t="s">
        <v>15</v>
      </c>
    </row>
    <row r="143" spans="1:11" x14ac:dyDescent="0.3">
      <c r="A143">
        <v>46589</v>
      </c>
      <c r="B143" t="s">
        <v>59</v>
      </c>
      <c r="C143">
        <v>80</v>
      </c>
      <c r="D143" t="s">
        <v>58</v>
      </c>
      <c r="E143" t="s">
        <v>729</v>
      </c>
      <c r="F143" s="25">
        <v>181200.16999999998</v>
      </c>
      <c r="G143" s="3">
        <v>46073</v>
      </c>
      <c r="H143" t="s">
        <v>14</v>
      </c>
      <c r="I143" s="4" t="str">
        <f t="shared" si="23"/>
        <v>Living Annuity</v>
      </c>
      <c r="J143" t="str">
        <f t="shared" si="24"/>
        <v>Compulsory, LA</v>
      </c>
      <c r="K143" t="s">
        <v>15</v>
      </c>
    </row>
    <row r="144" spans="1:11" x14ac:dyDescent="0.3">
      <c r="A144">
        <v>61172</v>
      </c>
      <c r="B144" t="s">
        <v>61</v>
      </c>
      <c r="C144">
        <v>272</v>
      </c>
      <c r="D144" t="s">
        <v>62</v>
      </c>
      <c r="E144" t="s">
        <v>1108</v>
      </c>
      <c r="F144" s="25">
        <v>403077.94</v>
      </c>
      <c r="G144" s="3">
        <v>46073</v>
      </c>
      <c r="H144" t="s">
        <v>26</v>
      </c>
      <c r="I144" s="4" t="str">
        <f t="shared" si="23"/>
        <v>Retirement Annuity</v>
      </c>
      <c r="J144" t="str">
        <f t="shared" si="24"/>
        <v>Compulsory, RA</v>
      </c>
      <c r="K144" t="s">
        <v>15</v>
      </c>
    </row>
    <row r="145" spans="1:14" x14ac:dyDescent="0.3">
      <c r="A145">
        <v>61172</v>
      </c>
      <c r="B145" t="s">
        <v>1206</v>
      </c>
      <c r="C145">
        <v>272</v>
      </c>
      <c r="D145" t="s">
        <v>62</v>
      </c>
      <c r="E145" t="s">
        <v>1108</v>
      </c>
      <c r="F145" s="25">
        <v>33772.729999999996</v>
      </c>
      <c r="G145" s="3">
        <v>46073</v>
      </c>
      <c r="H145" t="s">
        <v>1174</v>
      </c>
      <c r="I145" s="4" t="str">
        <f t="shared" si="23"/>
        <v>Retirement Annuity - Savings C</v>
      </c>
      <c r="J145" t="str">
        <f t="shared" si="24"/>
        <v>Compulsory, RA</v>
      </c>
      <c r="K145" t="s">
        <v>15</v>
      </c>
    </row>
    <row r="146" spans="1:14" x14ac:dyDescent="0.3">
      <c r="A146">
        <v>61172</v>
      </c>
      <c r="B146" t="s">
        <v>1206</v>
      </c>
      <c r="C146">
        <v>272</v>
      </c>
      <c r="D146" t="s">
        <v>62</v>
      </c>
      <c r="E146" t="s">
        <v>1239</v>
      </c>
      <c r="F146" s="25">
        <v>183.27</v>
      </c>
      <c r="G146" s="3">
        <v>46073</v>
      </c>
      <c r="H146" t="s">
        <v>1174</v>
      </c>
      <c r="I146" s="4" t="str">
        <f t="shared" si="23"/>
        <v>Retirement Annuity - Savings C</v>
      </c>
      <c r="J146" t="str">
        <f t="shared" si="24"/>
        <v>Compulsory, RA</v>
      </c>
      <c r="K146" t="s">
        <v>15</v>
      </c>
    </row>
    <row r="147" spans="1:14" x14ac:dyDescent="0.3">
      <c r="A147">
        <v>62166</v>
      </c>
      <c r="B147" t="s">
        <v>63</v>
      </c>
      <c r="C147">
        <v>153</v>
      </c>
      <c r="D147" t="s">
        <v>64</v>
      </c>
      <c r="E147" t="s">
        <v>1108</v>
      </c>
      <c r="F147" s="25">
        <v>350932.97</v>
      </c>
      <c r="G147" s="3">
        <v>46073</v>
      </c>
      <c r="H147" t="s">
        <v>26</v>
      </c>
      <c r="I147" s="4" t="str">
        <f t="shared" si="23"/>
        <v>Retirement Annuity</v>
      </c>
      <c r="J147" t="str">
        <f t="shared" si="24"/>
        <v>Compulsory, RA</v>
      </c>
      <c r="K147" t="s">
        <v>15</v>
      </c>
    </row>
    <row r="148" spans="1:14" x14ac:dyDescent="0.3">
      <c r="A148">
        <v>62166</v>
      </c>
      <c r="B148" t="s">
        <v>1207</v>
      </c>
      <c r="C148">
        <v>153</v>
      </c>
      <c r="D148" t="s">
        <v>64</v>
      </c>
      <c r="E148" t="s">
        <v>1108</v>
      </c>
      <c r="F148" s="25">
        <v>33219.699999999997</v>
      </c>
      <c r="G148" s="3">
        <v>46073</v>
      </c>
      <c r="H148" t="s">
        <v>1174</v>
      </c>
      <c r="I148" s="4" t="str">
        <f t="shared" si="23"/>
        <v>Retirement Annuity - Savings C</v>
      </c>
      <c r="J148" t="str">
        <f t="shared" si="24"/>
        <v>Compulsory, RA</v>
      </c>
      <c r="K148" t="s">
        <v>15</v>
      </c>
    </row>
    <row r="149" spans="1:14" x14ac:dyDescent="0.3">
      <c r="A149">
        <v>62166</v>
      </c>
      <c r="B149" t="s">
        <v>1207</v>
      </c>
      <c r="C149">
        <v>153</v>
      </c>
      <c r="D149" t="s">
        <v>64</v>
      </c>
      <c r="E149" t="s">
        <v>1239</v>
      </c>
      <c r="F149" s="25">
        <v>183.57</v>
      </c>
      <c r="G149" s="3">
        <v>46073</v>
      </c>
      <c r="H149" t="s">
        <v>1174</v>
      </c>
      <c r="I149" s="4" t="str">
        <f t="shared" si="23"/>
        <v>Retirement Annuity - Savings C</v>
      </c>
      <c r="J149" t="str">
        <f t="shared" si="24"/>
        <v>Compulsory, RA</v>
      </c>
      <c r="K149" t="s">
        <v>15</v>
      </c>
    </row>
    <row r="150" spans="1:14" x14ac:dyDescent="0.3">
      <c r="A150">
        <v>69046</v>
      </c>
      <c r="B150" t="s">
        <v>1251</v>
      </c>
      <c r="C150">
        <v>167</v>
      </c>
      <c r="D150" t="s">
        <v>703</v>
      </c>
      <c r="E150" t="s">
        <v>730</v>
      </c>
      <c r="F150" s="25">
        <v>41875.759999999995</v>
      </c>
      <c r="G150" s="3">
        <v>46073</v>
      </c>
      <c r="H150" t="s">
        <v>1147</v>
      </c>
      <c r="I150" s="4" t="str">
        <f t="shared" si="23"/>
        <v>Investment Account</v>
      </c>
      <c r="J150" t="str">
        <f t="shared" si="24"/>
        <v>Voluntary</v>
      </c>
      <c r="K150" t="s">
        <v>15</v>
      </c>
      <c r="L150" s="6"/>
      <c r="M150" s="6"/>
      <c r="N150" s="6"/>
    </row>
    <row r="151" spans="1:14" x14ac:dyDescent="0.3">
      <c r="A151">
        <v>69046</v>
      </c>
      <c r="B151" t="s">
        <v>1251</v>
      </c>
      <c r="C151">
        <v>167</v>
      </c>
      <c r="D151" t="s">
        <v>703</v>
      </c>
      <c r="E151" t="s">
        <v>729</v>
      </c>
      <c r="F151" s="25">
        <v>119392.94999999998</v>
      </c>
      <c r="G151" s="3">
        <v>46073</v>
      </c>
      <c r="H151" t="s">
        <v>1147</v>
      </c>
      <c r="I151" s="4" t="str">
        <f t="shared" ref="I151" si="25">MID(H151,6,30)</f>
        <v>Investment Account</v>
      </c>
      <c r="J151" t="str">
        <f t="shared" ref="J151" si="26">IF(LEFT(I151)="L","Compulsory, LA",IF(LEFT(I151)="R","Compulsory, RA",IF(LEFT(I151,2)="Pe","Compulsory, Pens",IF(LEFT(I151,2)="Pr","Compulsory, Prov","Voluntary"))))</f>
        <v>Voluntary</v>
      </c>
      <c r="K151" t="s">
        <v>15</v>
      </c>
      <c r="L151" s="6"/>
      <c r="M151" s="6"/>
      <c r="N151" s="6"/>
    </row>
    <row r="152" spans="1:14" x14ac:dyDescent="0.3">
      <c r="A152">
        <v>69046</v>
      </c>
      <c r="B152" t="s">
        <v>704</v>
      </c>
      <c r="C152">
        <v>167</v>
      </c>
      <c r="D152" t="s">
        <v>703</v>
      </c>
      <c r="E152" t="s">
        <v>1240</v>
      </c>
      <c r="F152" s="25">
        <v>154029.35999999999</v>
      </c>
      <c r="G152" s="3">
        <v>46073</v>
      </c>
      <c r="H152" t="s">
        <v>14</v>
      </c>
      <c r="I152" s="4" t="str">
        <f t="shared" si="23"/>
        <v>Living Annuity</v>
      </c>
      <c r="J152" t="str">
        <f t="shared" si="24"/>
        <v>Compulsory, LA</v>
      </c>
      <c r="K152" t="s">
        <v>15</v>
      </c>
      <c r="L152" s="6"/>
      <c r="M152" s="6"/>
      <c r="N152" s="6"/>
    </row>
    <row r="153" spans="1:14" x14ac:dyDescent="0.3">
      <c r="A153">
        <v>69046</v>
      </c>
      <c r="B153" t="s">
        <v>704</v>
      </c>
      <c r="C153">
        <v>167</v>
      </c>
      <c r="D153" t="s">
        <v>703</v>
      </c>
      <c r="E153" t="s">
        <v>1239</v>
      </c>
      <c r="F153" s="25">
        <v>350.97</v>
      </c>
      <c r="G153" s="3">
        <v>46073</v>
      </c>
      <c r="H153" t="s">
        <v>14</v>
      </c>
      <c r="I153" s="4" t="str">
        <f t="shared" si="23"/>
        <v>Living Annuity</v>
      </c>
      <c r="J153" t="str">
        <f t="shared" si="24"/>
        <v>Compulsory, LA</v>
      </c>
      <c r="K153" t="s">
        <v>15</v>
      </c>
      <c r="L153" s="6"/>
      <c r="M153" s="6"/>
      <c r="N153" s="6"/>
    </row>
    <row r="154" spans="1:14" s="13" customFormat="1" x14ac:dyDescent="0.3">
      <c r="A154">
        <v>69046</v>
      </c>
      <c r="B154" t="s">
        <v>704</v>
      </c>
      <c r="C154">
        <v>167</v>
      </c>
      <c r="D154" t="s">
        <v>703</v>
      </c>
      <c r="E154" t="s">
        <v>730</v>
      </c>
      <c r="F154" s="25">
        <v>333068.75</v>
      </c>
      <c r="G154" s="3">
        <v>46073</v>
      </c>
      <c r="H154" t="s">
        <v>14</v>
      </c>
      <c r="I154" s="4" t="str">
        <f t="shared" si="23"/>
        <v>Living Annuity</v>
      </c>
      <c r="J154" t="str">
        <f t="shared" si="24"/>
        <v>Compulsory, LA</v>
      </c>
      <c r="K154" t="s">
        <v>15</v>
      </c>
      <c r="L154" s="6"/>
      <c r="M154" s="6"/>
      <c r="N154" s="6"/>
    </row>
    <row r="155" spans="1:14" s="13" customFormat="1" x14ac:dyDescent="0.3">
      <c r="A155">
        <v>69046</v>
      </c>
      <c r="B155" t="s">
        <v>704</v>
      </c>
      <c r="C155">
        <v>167</v>
      </c>
      <c r="D155" t="s">
        <v>703</v>
      </c>
      <c r="E155" t="s">
        <v>729</v>
      </c>
      <c r="F155" s="25">
        <v>6347.83</v>
      </c>
      <c r="G155" s="3">
        <v>46073</v>
      </c>
      <c r="H155" t="s">
        <v>14</v>
      </c>
      <c r="I155" s="4" t="str">
        <f t="shared" si="23"/>
        <v>Living Annuity</v>
      </c>
      <c r="J155" t="str">
        <f t="shared" si="24"/>
        <v>Compulsory, LA</v>
      </c>
      <c r="K155" t="s">
        <v>15</v>
      </c>
      <c r="L155" s="6"/>
      <c r="M155" s="6"/>
      <c r="N155" s="6"/>
    </row>
    <row r="156" spans="1:14" s="13" customFormat="1" x14ac:dyDescent="0.3">
      <c r="A156">
        <v>72002</v>
      </c>
      <c r="B156" t="s">
        <v>630</v>
      </c>
      <c r="C156">
        <v>67</v>
      </c>
      <c r="D156" t="s">
        <v>66</v>
      </c>
      <c r="E156" t="s">
        <v>1239</v>
      </c>
      <c r="F156" s="25">
        <v>191.69</v>
      </c>
      <c r="G156" s="3">
        <v>46073</v>
      </c>
      <c r="H156" t="s">
        <v>31</v>
      </c>
      <c r="I156" s="4" t="str">
        <f t="shared" si="23"/>
        <v>Investment Account</v>
      </c>
      <c r="J156" t="str">
        <f t="shared" si="24"/>
        <v>Voluntary</v>
      </c>
      <c r="K156" t="s">
        <v>15</v>
      </c>
      <c r="L156"/>
      <c r="M156"/>
      <c r="N156"/>
    </row>
    <row r="157" spans="1:14" s="13" customFormat="1" x14ac:dyDescent="0.3">
      <c r="A157">
        <v>72002</v>
      </c>
      <c r="B157" t="s">
        <v>630</v>
      </c>
      <c r="C157">
        <v>67</v>
      </c>
      <c r="D157" t="s">
        <v>66</v>
      </c>
      <c r="E157" t="s">
        <v>730</v>
      </c>
      <c r="F157" s="25">
        <v>19805.45</v>
      </c>
      <c r="G157" s="3">
        <v>46073</v>
      </c>
      <c r="H157" t="s">
        <v>31</v>
      </c>
      <c r="I157" s="4" t="str">
        <f t="shared" si="23"/>
        <v>Investment Account</v>
      </c>
      <c r="J157" t="str">
        <f t="shared" si="24"/>
        <v>Voluntary</v>
      </c>
      <c r="K157" t="s">
        <v>15</v>
      </c>
      <c r="L157"/>
      <c r="M157"/>
      <c r="N157"/>
    </row>
    <row r="158" spans="1:14" x14ac:dyDescent="0.3">
      <c r="A158">
        <v>72002</v>
      </c>
      <c r="B158" t="s">
        <v>630</v>
      </c>
      <c r="C158">
        <v>67</v>
      </c>
      <c r="D158" t="s">
        <v>66</v>
      </c>
      <c r="E158" t="s">
        <v>729</v>
      </c>
      <c r="F158" s="25">
        <v>103817.95999999999</v>
      </c>
      <c r="G158" s="3">
        <v>46073</v>
      </c>
      <c r="H158" t="s">
        <v>31</v>
      </c>
      <c r="I158" s="4" t="str">
        <f t="shared" si="23"/>
        <v>Investment Account</v>
      </c>
      <c r="J158" t="str">
        <f t="shared" si="24"/>
        <v>Voluntary</v>
      </c>
      <c r="K158" t="s">
        <v>15</v>
      </c>
    </row>
    <row r="159" spans="1:14" x14ac:dyDescent="0.3">
      <c r="A159">
        <v>72002</v>
      </c>
      <c r="B159" t="s">
        <v>65</v>
      </c>
      <c r="C159">
        <v>67</v>
      </c>
      <c r="D159" t="s">
        <v>66</v>
      </c>
      <c r="E159" t="s">
        <v>1240</v>
      </c>
      <c r="F159" s="25">
        <v>160875.53</v>
      </c>
      <c r="G159" s="3">
        <v>46073</v>
      </c>
      <c r="H159" t="s">
        <v>14</v>
      </c>
      <c r="I159" s="4" t="str">
        <f t="shared" si="23"/>
        <v>Living Annuity</v>
      </c>
      <c r="J159" t="str">
        <f t="shared" si="24"/>
        <v>Compulsory, LA</v>
      </c>
      <c r="K159" t="s">
        <v>15</v>
      </c>
    </row>
    <row r="160" spans="1:14" x14ac:dyDescent="0.3">
      <c r="A160">
        <v>72002</v>
      </c>
      <c r="B160" t="s">
        <v>65</v>
      </c>
      <c r="C160">
        <v>67</v>
      </c>
      <c r="D160" t="s">
        <v>66</v>
      </c>
      <c r="E160" t="s">
        <v>1239</v>
      </c>
      <c r="F160" s="25">
        <v>463.09</v>
      </c>
      <c r="G160" s="3">
        <v>46073</v>
      </c>
      <c r="H160" t="s">
        <v>14</v>
      </c>
      <c r="I160" s="4" t="str">
        <f t="shared" si="23"/>
        <v>Living Annuity</v>
      </c>
      <c r="J160" t="str">
        <f t="shared" si="24"/>
        <v>Compulsory, LA</v>
      </c>
      <c r="K160" t="s">
        <v>15</v>
      </c>
    </row>
    <row r="161" spans="1:14" x14ac:dyDescent="0.3">
      <c r="A161">
        <v>72002</v>
      </c>
      <c r="B161" t="s">
        <v>65</v>
      </c>
      <c r="C161">
        <v>67</v>
      </c>
      <c r="D161" t="s">
        <v>66</v>
      </c>
      <c r="E161" t="s">
        <v>730</v>
      </c>
      <c r="F161" s="25">
        <v>146129.34</v>
      </c>
      <c r="G161" s="3">
        <v>46073</v>
      </c>
      <c r="H161" t="s">
        <v>14</v>
      </c>
      <c r="I161" s="4" t="str">
        <f t="shared" si="23"/>
        <v>Living Annuity</v>
      </c>
      <c r="J161" t="str">
        <f t="shared" si="24"/>
        <v>Compulsory, LA</v>
      </c>
      <c r="K161" t="s">
        <v>15</v>
      </c>
    </row>
    <row r="162" spans="1:14" x14ac:dyDescent="0.3">
      <c r="A162">
        <v>72002</v>
      </c>
      <c r="B162" t="s">
        <v>65</v>
      </c>
      <c r="C162">
        <v>67</v>
      </c>
      <c r="D162" t="s">
        <v>66</v>
      </c>
      <c r="E162" t="s">
        <v>729</v>
      </c>
      <c r="F162" s="25">
        <v>4063.2799999999997</v>
      </c>
      <c r="G162" s="3">
        <v>46073</v>
      </c>
      <c r="H162" t="s">
        <v>14</v>
      </c>
      <c r="I162" s="4" t="str">
        <f t="shared" ref="I162:I193" si="27">MID(H162,6,30)</f>
        <v>Living Annuity</v>
      </c>
      <c r="J162" t="str">
        <f t="shared" si="24"/>
        <v>Compulsory, LA</v>
      </c>
      <c r="K162" t="s">
        <v>15</v>
      </c>
    </row>
    <row r="163" spans="1:14" x14ac:dyDescent="0.3">
      <c r="A163">
        <v>72002</v>
      </c>
      <c r="B163" t="s">
        <v>859</v>
      </c>
      <c r="C163">
        <v>67</v>
      </c>
      <c r="D163" t="s">
        <v>66</v>
      </c>
      <c r="E163" t="s">
        <v>1240</v>
      </c>
      <c r="F163" s="26">
        <v>25129.46</v>
      </c>
      <c r="G163" s="3">
        <v>46073</v>
      </c>
      <c r="H163" t="s">
        <v>14</v>
      </c>
      <c r="I163" s="4" t="str">
        <f t="shared" si="27"/>
        <v>Living Annuity</v>
      </c>
      <c r="J163" t="str">
        <f>IF(LEFT(I163)="L","Compulsory, LA",IF(LEFT(I163)="R","Compulsory, RA",IF(LEFT(I163,2)="Pe","Compulsory, Pens","Voluntary")))</f>
        <v>Compulsory, LA</v>
      </c>
      <c r="K163" t="s">
        <v>15</v>
      </c>
    </row>
    <row r="164" spans="1:14" x14ac:dyDescent="0.3">
      <c r="A164">
        <v>72002</v>
      </c>
      <c r="B164" t="s">
        <v>859</v>
      </c>
      <c r="C164">
        <v>67</v>
      </c>
      <c r="D164" t="s">
        <v>66</v>
      </c>
      <c r="E164" t="s">
        <v>1239</v>
      </c>
      <c r="F164" s="26">
        <v>172.23</v>
      </c>
      <c r="G164" s="3">
        <v>46073</v>
      </c>
      <c r="H164" t="s">
        <v>14</v>
      </c>
      <c r="I164" s="4" t="str">
        <f t="shared" si="27"/>
        <v>Living Annuity</v>
      </c>
      <c r="J164" t="str">
        <f>IF(LEFT(I164)="L","Compulsory, LA",IF(LEFT(I164)="R","Compulsory, RA",IF(LEFT(I164,2)="Pe","Compulsory, Pens","Voluntary")))</f>
        <v>Compulsory, LA</v>
      </c>
      <c r="K164" t="s">
        <v>15</v>
      </c>
    </row>
    <row r="165" spans="1:14" x14ac:dyDescent="0.3">
      <c r="A165">
        <v>72002</v>
      </c>
      <c r="B165" t="s">
        <v>859</v>
      </c>
      <c r="C165">
        <v>67</v>
      </c>
      <c r="D165" t="s">
        <v>66</v>
      </c>
      <c r="E165" t="s">
        <v>730</v>
      </c>
      <c r="F165" s="26">
        <v>20162.09</v>
      </c>
      <c r="G165" s="3">
        <v>46073</v>
      </c>
      <c r="H165" t="s">
        <v>14</v>
      </c>
      <c r="I165" s="4" t="str">
        <f t="shared" si="27"/>
        <v>Living Annuity</v>
      </c>
      <c r="J165" t="str">
        <f>IF(LEFT(I165)="L","Compulsory, LA",IF(LEFT(I165)="R","Compulsory, RA",IF(LEFT(I165,2)="Pe","Compulsory, Pens","Voluntary")))</f>
        <v>Compulsory, LA</v>
      </c>
      <c r="K165" t="s">
        <v>15</v>
      </c>
    </row>
    <row r="166" spans="1:14" x14ac:dyDescent="0.3">
      <c r="A166">
        <v>72002</v>
      </c>
      <c r="B166" t="s">
        <v>859</v>
      </c>
      <c r="C166">
        <v>67</v>
      </c>
      <c r="D166" t="s">
        <v>66</v>
      </c>
      <c r="E166" t="s">
        <v>729</v>
      </c>
      <c r="F166" s="26">
        <v>14028.240000000002</v>
      </c>
      <c r="G166" s="3">
        <v>46073</v>
      </c>
      <c r="H166" t="s">
        <v>14</v>
      </c>
      <c r="I166" s="4" t="str">
        <f t="shared" si="27"/>
        <v>Living Annuity</v>
      </c>
      <c r="J166" t="str">
        <f>IF(LEFT(I166)="L","Compulsory, LA",IF(LEFT(I166)="R","Compulsory, RA",IF(LEFT(I166,2)="Pe","Compulsory, Pens","Voluntary")))</f>
        <v>Compulsory, LA</v>
      </c>
      <c r="K166" t="s">
        <v>15</v>
      </c>
    </row>
    <row r="167" spans="1:14" x14ac:dyDescent="0.3">
      <c r="A167" s="13">
        <v>80212</v>
      </c>
      <c r="B167" s="13" t="s">
        <v>69</v>
      </c>
      <c r="C167" s="13">
        <v>372</v>
      </c>
      <c r="D167" s="13" t="s">
        <v>68</v>
      </c>
      <c r="E167" s="13" t="s">
        <v>1240</v>
      </c>
      <c r="F167" s="27">
        <v>1281.8400000000001</v>
      </c>
      <c r="G167" s="3">
        <v>46073</v>
      </c>
      <c r="H167" s="13" t="s">
        <v>31</v>
      </c>
      <c r="I167" s="15" t="str">
        <f t="shared" si="27"/>
        <v>Investment Account</v>
      </c>
      <c r="J167" s="13" t="str">
        <f>IF(LEFT(I167)="L","Compulsory, LA",IF(LEFT(I167)="R","Compulsory, RA",IF(LEFT(I167,2)="Pe","Compulsory, Pens",IF(LEFT(I167,2)="Pr","Compulsory, Prov","Voluntary"))))</f>
        <v>Voluntary</v>
      </c>
      <c r="K167" s="13" t="s">
        <v>15</v>
      </c>
      <c r="L167" s="13"/>
      <c r="M167" s="13"/>
      <c r="N167" s="13"/>
    </row>
    <row r="168" spans="1:14" x14ac:dyDescent="0.3">
      <c r="A168" s="13">
        <v>80212</v>
      </c>
      <c r="B168" s="13" t="s">
        <v>69</v>
      </c>
      <c r="C168" s="13">
        <v>372</v>
      </c>
      <c r="D168" s="13" t="s">
        <v>68</v>
      </c>
      <c r="E168" s="13" t="s">
        <v>730</v>
      </c>
      <c r="F168" s="27">
        <v>24974.66</v>
      </c>
      <c r="G168" s="3">
        <v>46073</v>
      </c>
      <c r="H168" s="13" t="s">
        <v>31</v>
      </c>
      <c r="I168" s="15" t="str">
        <f t="shared" si="27"/>
        <v>Investment Account</v>
      </c>
      <c r="J168" s="13" t="str">
        <f>IF(LEFT(I168)="L","Compulsory, LA",IF(LEFT(I168)="R","Compulsory, RA",IF(LEFT(I168,2)="Pe","Compulsory, Pens",IF(LEFT(I168,2)="Pr","Compulsory, Prov","Voluntary"))))</f>
        <v>Voluntary</v>
      </c>
      <c r="K168" s="13" t="s">
        <v>15</v>
      </c>
      <c r="L168" s="13"/>
      <c r="M168" s="13"/>
      <c r="N168" s="13"/>
    </row>
    <row r="169" spans="1:14" x14ac:dyDescent="0.3">
      <c r="A169" s="13">
        <v>80212</v>
      </c>
      <c r="B169" s="13" t="s">
        <v>69</v>
      </c>
      <c r="C169" s="13">
        <v>372</v>
      </c>
      <c r="D169" s="13" t="s">
        <v>68</v>
      </c>
      <c r="E169" s="13" t="s">
        <v>729</v>
      </c>
      <c r="F169" s="27">
        <v>1655.0800000000002</v>
      </c>
      <c r="G169" s="3">
        <v>46073</v>
      </c>
      <c r="H169" s="13" t="s">
        <v>31</v>
      </c>
      <c r="I169" s="15" t="str">
        <f t="shared" si="27"/>
        <v>Investment Account</v>
      </c>
      <c r="J169" s="13" t="str">
        <f>IF(LEFT(I169)="L","Compulsory, LA",IF(LEFT(I169)="R","Compulsory, RA",IF(LEFT(I169,2)="Pe","Compulsory, Pens",IF(LEFT(I169,2)="Pr","Compulsory, Prov","Voluntary"))))</f>
        <v>Voluntary</v>
      </c>
      <c r="K169" s="13" t="s">
        <v>15</v>
      </c>
      <c r="L169" s="13"/>
      <c r="M169" s="13"/>
      <c r="N169" s="13"/>
    </row>
    <row r="170" spans="1:14" x14ac:dyDescent="0.3">
      <c r="A170">
        <v>80212</v>
      </c>
      <c r="B170" t="s">
        <v>67</v>
      </c>
      <c r="C170">
        <v>372</v>
      </c>
      <c r="D170" t="s">
        <v>68</v>
      </c>
      <c r="E170" t="s">
        <v>1108</v>
      </c>
      <c r="F170" s="25">
        <v>144921.18</v>
      </c>
      <c r="G170" s="3">
        <v>46073</v>
      </c>
      <c r="H170" t="s">
        <v>26</v>
      </c>
      <c r="I170" s="4" t="str">
        <f t="shared" si="27"/>
        <v>Retirement Annuity</v>
      </c>
      <c r="J170" t="str">
        <f>IF(LEFT(I170)="L","Compulsory, LA",IF(LEFT(I170)="R","Compulsory, RA",IF(LEFT(I170,2)="Pe","Compulsory, Pens",IF(LEFT(I170,2)="Pr","Compulsory, Prov","Voluntary"))))</f>
        <v>Compulsory, RA</v>
      </c>
      <c r="K170" t="s">
        <v>15</v>
      </c>
    </row>
    <row r="171" spans="1:14" x14ac:dyDescent="0.3">
      <c r="A171">
        <v>80212</v>
      </c>
      <c r="B171" t="s">
        <v>1208</v>
      </c>
      <c r="C171">
        <v>372</v>
      </c>
      <c r="D171" t="s">
        <v>68</v>
      </c>
      <c r="E171" t="s">
        <v>1108</v>
      </c>
      <c r="F171" s="26">
        <v>16033.980000000001</v>
      </c>
      <c r="G171" s="3">
        <v>46073</v>
      </c>
      <c r="H171" t="s">
        <v>1174</v>
      </c>
      <c r="I171" s="4" t="str">
        <f t="shared" si="27"/>
        <v>Retirement Annuity - Savings C</v>
      </c>
      <c r="J171" t="str">
        <f>IF(LEFT(I171)="L","Compulsory, LA",IF(LEFT(I171)="R","Compulsory, RA",IF(LEFT(I171,2)="Pe","Compulsory, Pens","Voluntary")))</f>
        <v>Compulsory, RA</v>
      </c>
      <c r="K171" t="s">
        <v>15</v>
      </c>
    </row>
    <row r="172" spans="1:14" x14ac:dyDescent="0.3">
      <c r="A172">
        <v>81381</v>
      </c>
      <c r="B172" t="s">
        <v>70</v>
      </c>
      <c r="C172">
        <v>183</v>
      </c>
      <c r="D172" t="s">
        <v>71</v>
      </c>
      <c r="E172" t="s">
        <v>1240</v>
      </c>
      <c r="F172" s="25">
        <v>11785.9</v>
      </c>
      <c r="G172" s="3">
        <v>46073</v>
      </c>
      <c r="H172" t="s">
        <v>14</v>
      </c>
      <c r="I172" s="4" t="str">
        <f t="shared" si="27"/>
        <v>Living Annuity</v>
      </c>
      <c r="J172" t="str">
        <f t="shared" ref="J172:J183" si="28">IF(LEFT(I172)="L","Compulsory, LA",IF(LEFT(I172)="R","Compulsory, RA",IF(LEFT(I172,2)="Pe","Compulsory, Pens",IF(LEFT(I172,2)="Pr","Compulsory, Prov","Voluntary"))))</f>
        <v>Compulsory, LA</v>
      </c>
      <c r="K172" t="s">
        <v>15</v>
      </c>
    </row>
    <row r="173" spans="1:14" x14ac:dyDescent="0.3">
      <c r="A173">
        <v>81381</v>
      </c>
      <c r="B173" t="s">
        <v>70</v>
      </c>
      <c r="C173">
        <v>183</v>
      </c>
      <c r="D173" t="s">
        <v>71</v>
      </c>
      <c r="E173" t="s">
        <v>1239</v>
      </c>
      <c r="F173" s="25">
        <v>209.48</v>
      </c>
      <c r="G173" s="3">
        <v>46073</v>
      </c>
      <c r="H173" t="s">
        <v>14</v>
      </c>
      <c r="I173" s="4" t="str">
        <f t="shared" si="27"/>
        <v>Living Annuity</v>
      </c>
      <c r="J173" t="str">
        <f t="shared" si="28"/>
        <v>Compulsory, LA</v>
      </c>
      <c r="K173" t="s">
        <v>15</v>
      </c>
    </row>
    <row r="174" spans="1:14" x14ac:dyDescent="0.3">
      <c r="A174">
        <v>81381</v>
      </c>
      <c r="B174" t="s">
        <v>70</v>
      </c>
      <c r="C174">
        <v>183</v>
      </c>
      <c r="D174" t="s">
        <v>71</v>
      </c>
      <c r="E174" t="s">
        <v>730</v>
      </c>
      <c r="F174" s="25">
        <v>53864.5</v>
      </c>
      <c r="G174" s="3">
        <v>46073</v>
      </c>
      <c r="H174" t="s">
        <v>14</v>
      </c>
      <c r="I174" s="4" t="str">
        <f t="shared" si="27"/>
        <v>Living Annuity</v>
      </c>
      <c r="J174" t="str">
        <f t="shared" si="28"/>
        <v>Compulsory, LA</v>
      </c>
      <c r="K174" t="s">
        <v>15</v>
      </c>
    </row>
    <row r="175" spans="1:14" x14ac:dyDescent="0.3">
      <c r="A175">
        <v>81381</v>
      </c>
      <c r="B175" t="s">
        <v>70</v>
      </c>
      <c r="C175">
        <v>183</v>
      </c>
      <c r="D175" t="s">
        <v>71</v>
      </c>
      <c r="E175" t="s">
        <v>729</v>
      </c>
      <c r="F175" s="25">
        <v>2604.23</v>
      </c>
      <c r="G175" s="3">
        <v>46073</v>
      </c>
      <c r="H175" t="s">
        <v>14</v>
      </c>
      <c r="I175" s="4" t="str">
        <f t="shared" si="27"/>
        <v>Living Annuity</v>
      </c>
      <c r="J175" t="str">
        <f t="shared" si="28"/>
        <v>Compulsory, LA</v>
      </c>
      <c r="K175" t="s">
        <v>15</v>
      </c>
    </row>
    <row r="176" spans="1:14" x14ac:dyDescent="0.3">
      <c r="A176">
        <v>81381</v>
      </c>
      <c r="B176" t="s">
        <v>72</v>
      </c>
      <c r="C176">
        <v>183</v>
      </c>
      <c r="D176" t="s">
        <v>71</v>
      </c>
      <c r="E176" t="s">
        <v>1240</v>
      </c>
      <c r="F176" s="25">
        <v>389189.20999999996</v>
      </c>
      <c r="G176" s="3">
        <v>46073</v>
      </c>
      <c r="H176" t="s">
        <v>14</v>
      </c>
      <c r="I176" s="4" t="str">
        <f t="shared" si="27"/>
        <v>Living Annuity</v>
      </c>
      <c r="J176" t="str">
        <f t="shared" si="28"/>
        <v>Compulsory, LA</v>
      </c>
      <c r="K176" t="s">
        <v>15</v>
      </c>
    </row>
    <row r="177" spans="1:11" x14ac:dyDescent="0.3">
      <c r="A177">
        <v>81381</v>
      </c>
      <c r="B177" t="s">
        <v>72</v>
      </c>
      <c r="C177">
        <v>183</v>
      </c>
      <c r="D177" t="s">
        <v>71</v>
      </c>
      <c r="E177" t="s">
        <v>1239</v>
      </c>
      <c r="F177" s="25">
        <v>6116.63</v>
      </c>
      <c r="G177" s="3">
        <v>46073</v>
      </c>
      <c r="H177" t="s">
        <v>14</v>
      </c>
      <c r="I177" s="4" t="str">
        <f t="shared" si="27"/>
        <v>Living Annuity</v>
      </c>
      <c r="J177" t="str">
        <f t="shared" si="28"/>
        <v>Compulsory, LA</v>
      </c>
      <c r="K177" t="s">
        <v>15</v>
      </c>
    </row>
    <row r="178" spans="1:11" x14ac:dyDescent="0.3">
      <c r="A178">
        <v>81381</v>
      </c>
      <c r="B178" t="s">
        <v>72</v>
      </c>
      <c r="C178">
        <v>183</v>
      </c>
      <c r="D178" t="s">
        <v>71</v>
      </c>
      <c r="E178" t="s">
        <v>730</v>
      </c>
      <c r="F178" s="25">
        <v>1899615.5799999998</v>
      </c>
      <c r="G178" s="3">
        <v>46073</v>
      </c>
      <c r="H178" t="s">
        <v>14</v>
      </c>
      <c r="I178" s="4" t="str">
        <f t="shared" si="27"/>
        <v>Living Annuity</v>
      </c>
      <c r="J178" t="str">
        <f t="shared" si="28"/>
        <v>Compulsory, LA</v>
      </c>
      <c r="K178" t="s">
        <v>15</v>
      </c>
    </row>
    <row r="179" spans="1:11" x14ac:dyDescent="0.3">
      <c r="A179">
        <v>81381</v>
      </c>
      <c r="B179" t="s">
        <v>72</v>
      </c>
      <c r="C179">
        <v>183</v>
      </c>
      <c r="D179" t="s">
        <v>71</v>
      </c>
      <c r="E179" t="s">
        <v>729</v>
      </c>
      <c r="F179" s="25">
        <v>832421.33</v>
      </c>
      <c r="G179" s="3">
        <v>46073</v>
      </c>
      <c r="H179" t="s">
        <v>14</v>
      </c>
      <c r="I179" s="4" t="str">
        <f t="shared" si="27"/>
        <v>Living Annuity</v>
      </c>
      <c r="J179" t="str">
        <f t="shared" si="28"/>
        <v>Compulsory, LA</v>
      </c>
      <c r="K179" t="s">
        <v>15</v>
      </c>
    </row>
    <row r="180" spans="1:11" x14ac:dyDescent="0.3">
      <c r="A180">
        <v>113590</v>
      </c>
      <c r="B180" t="s">
        <v>74</v>
      </c>
      <c r="C180">
        <v>44</v>
      </c>
      <c r="D180" t="s">
        <v>73</v>
      </c>
      <c r="E180" t="s">
        <v>1240</v>
      </c>
      <c r="F180" s="25">
        <v>45790.229999999996</v>
      </c>
      <c r="G180" s="3">
        <v>46073</v>
      </c>
      <c r="H180" t="s">
        <v>14</v>
      </c>
      <c r="I180" s="4" t="str">
        <f t="shared" si="27"/>
        <v>Living Annuity</v>
      </c>
      <c r="J180" t="str">
        <f t="shared" si="28"/>
        <v>Compulsory, LA</v>
      </c>
      <c r="K180" t="s">
        <v>15</v>
      </c>
    </row>
    <row r="181" spans="1:11" x14ac:dyDescent="0.3">
      <c r="A181">
        <v>113590</v>
      </c>
      <c r="B181" t="s">
        <v>74</v>
      </c>
      <c r="C181">
        <v>44</v>
      </c>
      <c r="D181" t="s">
        <v>73</v>
      </c>
      <c r="E181" t="s">
        <v>1239</v>
      </c>
      <c r="F181" s="25">
        <v>190.92</v>
      </c>
      <c r="G181" s="3">
        <v>46073</v>
      </c>
      <c r="H181" t="s">
        <v>14</v>
      </c>
      <c r="I181" s="4" t="str">
        <f t="shared" si="27"/>
        <v>Living Annuity</v>
      </c>
      <c r="J181" t="str">
        <f t="shared" si="28"/>
        <v>Compulsory, LA</v>
      </c>
      <c r="K181" t="s">
        <v>15</v>
      </c>
    </row>
    <row r="182" spans="1:11" x14ac:dyDescent="0.3">
      <c r="A182">
        <v>113590</v>
      </c>
      <c r="B182" t="s">
        <v>74</v>
      </c>
      <c r="C182">
        <v>44</v>
      </c>
      <c r="D182" t="s">
        <v>73</v>
      </c>
      <c r="E182" t="s">
        <v>730</v>
      </c>
      <c r="F182" s="25">
        <v>332592.02</v>
      </c>
      <c r="G182" s="3">
        <v>46073</v>
      </c>
      <c r="H182" t="s">
        <v>14</v>
      </c>
      <c r="I182" s="4" t="str">
        <f t="shared" si="27"/>
        <v>Living Annuity</v>
      </c>
      <c r="J182" t="str">
        <f t="shared" si="28"/>
        <v>Compulsory, LA</v>
      </c>
      <c r="K182" t="s">
        <v>15</v>
      </c>
    </row>
    <row r="183" spans="1:11" x14ac:dyDescent="0.3">
      <c r="A183">
        <v>113590</v>
      </c>
      <c r="B183" t="s">
        <v>74</v>
      </c>
      <c r="C183">
        <v>44</v>
      </c>
      <c r="D183" t="s">
        <v>73</v>
      </c>
      <c r="E183" t="s">
        <v>729</v>
      </c>
      <c r="F183" s="25">
        <v>16420.7</v>
      </c>
      <c r="G183" s="3">
        <v>46073</v>
      </c>
      <c r="H183" t="s">
        <v>14</v>
      </c>
      <c r="I183" s="4" t="str">
        <f t="shared" si="27"/>
        <v>Living Annuity</v>
      </c>
      <c r="J183" t="str">
        <f t="shared" si="28"/>
        <v>Compulsory, LA</v>
      </c>
      <c r="K183" t="s">
        <v>15</v>
      </c>
    </row>
    <row r="184" spans="1:11" x14ac:dyDescent="0.3">
      <c r="A184">
        <v>113590</v>
      </c>
      <c r="B184" t="s">
        <v>1111</v>
      </c>
      <c r="C184">
        <v>44</v>
      </c>
      <c r="D184" t="s">
        <v>958</v>
      </c>
      <c r="E184" t="s">
        <v>1240</v>
      </c>
      <c r="F184" s="26">
        <v>12106.63</v>
      </c>
      <c r="G184" s="3">
        <v>46073</v>
      </c>
      <c r="H184" t="s">
        <v>14</v>
      </c>
      <c r="I184" s="4" t="str">
        <f t="shared" si="27"/>
        <v>Living Annuity</v>
      </c>
      <c r="J184" t="str">
        <f t="shared" ref="J184:J190" si="29">IF(LEFT(I184)="L","Compulsory, LA",IF(LEFT(I184)="R","Compulsory, RA",IF(LEFT(I184,2)="Pe","Compulsory, Pens","Voluntary")))</f>
        <v>Compulsory, LA</v>
      </c>
      <c r="K184" t="s">
        <v>15</v>
      </c>
    </row>
    <row r="185" spans="1:11" x14ac:dyDescent="0.3">
      <c r="A185">
        <v>113590</v>
      </c>
      <c r="B185" t="s">
        <v>1111</v>
      </c>
      <c r="C185">
        <v>44</v>
      </c>
      <c r="D185" t="s">
        <v>958</v>
      </c>
      <c r="E185" t="s">
        <v>730</v>
      </c>
      <c r="F185" s="26">
        <v>84911.35</v>
      </c>
      <c r="G185" s="3">
        <v>46073</v>
      </c>
      <c r="H185" t="s">
        <v>14</v>
      </c>
      <c r="I185" s="4" t="str">
        <f t="shared" si="27"/>
        <v>Living Annuity</v>
      </c>
      <c r="J185" t="str">
        <f t="shared" si="29"/>
        <v>Compulsory, LA</v>
      </c>
      <c r="K185" t="s">
        <v>15</v>
      </c>
    </row>
    <row r="186" spans="1:11" x14ac:dyDescent="0.3">
      <c r="A186">
        <v>113590</v>
      </c>
      <c r="B186" t="s">
        <v>1111</v>
      </c>
      <c r="C186">
        <v>44</v>
      </c>
      <c r="D186" t="s">
        <v>958</v>
      </c>
      <c r="E186" t="s">
        <v>729</v>
      </c>
      <c r="F186" s="26">
        <v>5059.82</v>
      </c>
      <c r="G186" s="3">
        <v>46073</v>
      </c>
      <c r="H186" t="s">
        <v>14</v>
      </c>
      <c r="I186" s="4" t="str">
        <f t="shared" si="27"/>
        <v>Living Annuity</v>
      </c>
      <c r="J186" t="str">
        <f t="shared" si="29"/>
        <v>Compulsory, LA</v>
      </c>
      <c r="K186" t="s">
        <v>15</v>
      </c>
    </row>
    <row r="187" spans="1:11" x14ac:dyDescent="0.3">
      <c r="A187">
        <v>130912</v>
      </c>
      <c r="B187" t="s">
        <v>1168</v>
      </c>
      <c r="C187">
        <v>35</v>
      </c>
      <c r="D187" t="s">
        <v>1169</v>
      </c>
      <c r="E187" t="s">
        <v>1240</v>
      </c>
      <c r="F187" s="26">
        <v>42382.41</v>
      </c>
      <c r="G187" s="3">
        <v>46073</v>
      </c>
      <c r="H187" t="s">
        <v>1147</v>
      </c>
      <c r="I187" s="4" t="str">
        <f t="shared" si="27"/>
        <v>Investment Account</v>
      </c>
      <c r="J187" t="str">
        <f t="shared" si="29"/>
        <v>Voluntary</v>
      </c>
      <c r="K187" t="s">
        <v>15</v>
      </c>
    </row>
    <row r="188" spans="1:11" x14ac:dyDescent="0.3">
      <c r="A188">
        <v>130912</v>
      </c>
      <c r="B188" t="s">
        <v>1168</v>
      </c>
      <c r="C188">
        <v>35</v>
      </c>
      <c r="D188" t="s">
        <v>1169</v>
      </c>
      <c r="E188" t="s">
        <v>1239</v>
      </c>
      <c r="F188" s="26">
        <v>172.82</v>
      </c>
      <c r="G188" s="3">
        <v>46073</v>
      </c>
      <c r="H188" t="s">
        <v>1147</v>
      </c>
      <c r="I188" s="4" t="str">
        <f t="shared" si="27"/>
        <v>Investment Account</v>
      </c>
      <c r="J188" t="str">
        <f t="shared" si="29"/>
        <v>Voluntary</v>
      </c>
      <c r="K188" t="s">
        <v>15</v>
      </c>
    </row>
    <row r="189" spans="1:11" x14ac:dyDescent="0.3">
      <c r="A189">
        <v>130912</v>
      </c>
      <c r="B189" t="s">
        <v>1168</v>
      </c>
      <c r="C189">
        <v>35</v>
      </c>
      <c r="D189" t="s">
        <v>1169</v>
      </c>
      <c r="E189" t="s">
        <v>730</v>
      </c>
      <c r="F189" s="26">
        <v>56357.36</v>
      </c>
      <c r="G189" s="3">
        <v>46073</v>
      </c>
      <c r="H189" t="s">
        <v>1147</v>
      </c>
      <c r="I189" s="4" t="str">
        <f t="shared" si="27"/>
        <v>Investment Account</v>
      </c>
      <c r="J189" t="str">
        <f t="shared" si="29"/>
        <v>Voluntary</v>
      </c>
      <c r="K189" t="s">
        <v>15</v>
      </c>
    </row>
    <row r="190" spans="1:11" x14ac:dyDescent="0.3">
      <c r="A190">
        <v>130912</v>
      </c>
      <c r="B190" t="s">
        <v>1168</v>
      </c>
      <c r="C190">
        <v>35</v>
      </c>
      <c r="D190" t="s">
        <v>1169</v>
      </c>
      <c r="E190" t="s">
        <v>729</v>
      </c>
      <c r="F190" s="26">
        <v>27004.03</v>
      </c>
      <c r="G190" s="3">
        <v>46073</v>
      </c>
      <c r="H190" t="s">
        <v>1147</v>
      </c>
      <c r="I190" s="4" t="str">
        <f t="shared" si="27"/>
        <v>Investment Account</v>
      </c>
      <c r="J190" t="str">
        <f t="shared" si="29"/>
        <v>Voluntary</v>
      </c>
      <c r="K190" t="s">
        <v>15</v>
      </c>
    </row>
    <row r="191" spans="1:11" x14ac:dyDescent="0.3">
      <c r="A191">
        <v>133380</v>
      </c>
      <c r="B191" t="s">
        <v>75</v>
      </c>
      <c r="C191">
        <v>298</v>
      </c>
      <c r="D191" t="s">
        <v>76</v>
      </c>
      <c r="E191" t="s">
        <v>1108</v>
      </c>
      <c r="F191" s="25">
        <v>88326.83</v>
      </c>
      <c r="G191" s="3">
        <v>46073</v>
      </c>
      <c r="H191" t="s">
        <v>26</v>
      </c>
      <c r="I191" s="4" t="str">
        <f t="shared" si="27"/>
        <v>Retirement Annuity</v>
      </c>
      <c r="J191" t="str">
        <f>IF(LEFT(I191)="L","Compulsory, LA",IF(LEFT(I191)="R","Compulsory, RA",IF(LEFT(I191,2)="Pe","Compulsory, Pens",IF(LEFT(I191,2)="Pr","Compulsory, Prov","Voluntary"))))</f>
        <v>Compulsory, RA</v>
      </c>
      <c r="K191" t="s">
        <v>15</v>
      </c>
    </row>
    <row r="192" spans="1:11" x14ac:dyDescent="0.3">
      <c r="A192">
        <v>133380</v>
      </c>
      <c r="B192" t="s">
        <v>1209</v>
      </c>
      <c r="C192">
        <v>298</v>
      </c>
      <c r="D192" t="s">
        <v>959</v>
      </c>
      <c r="E192" t="s">
        <v>1108</v>
      </c>
      <c r="F192" s="26">
        <v>9698.26</v>
      </c>
      <c r="G192" s="3">
        <v>46073</v>
      </c>
      <c r="H192" t="s">
        <v>1174</v>
      </c>
      <c r="I192" s="4" t="str">
        <f t="shared" si="27"/>
        <v>Retirement Annuity - Savings C</v>
      </c>
      <c r="J192" t="str">
        <f>IF(LEFT(I192)="L","Compulsory, LA",IF(LEFT(I192)="R","Compulsory, RA",IF(LEFT(I192,2)="Pe","Compulsory, Pens","Voluntary")))</f>
        <v>Compulsory, RA</v>
      </c>
      <c r="K192" t="s">
        <v>15</v>
      </c>
    </row>
    <row r="193" spans="1:11" x14ac:dyDescent="0.3">
      <c r="A193">
        <v>133382</v>
      </c>
      <c r="B193" t="s">
        <v>77</v>
      </c>
      <c r="C193">
        <v>202</v>
      </c>
      <c r="D193" t="s">
        <v>78</v>
      </c>
      <c r="E193" t="s">
        <v>1108</v>
      </c>
      <c r="F193" s="25">
        <v>9917.24</v>
      </c>
      <c r="G193" s="3">
        <v>46073</v>
      </c>
      <c r="H193" t="s">
        <v>26</v>
      </c>
      <c r="I193" s="4" t="str">
        <f t="shared" si="27"/>
        <v>Retirement Annuity</v>
      </c>
      <c r="J193" t="str">
        <f>IF(LEFT(I193)="L","Compulsory, LA",IF(LEFT(I193)="R","Compulsory, RA",IF(LEFT(I193,2)="Pe","Compulsory, Pens",IF(LEFT(I193,2)="Pr","Compulsory, Prov","Voluntary"))))</f>
        <v>Compulsory, RA</v>
      </c>
      <c r="K193" t="s">
        <v>15</v>
      </c>
    </row>
    <row r="194" spans="1:11" x14ac:dyDescent="0.3">
      <c r="A194">
        <v>133382</v>
      </c>
      <c r="B194" t="s">
        <v>1210</v>
      </c>
      <c r="C194">
        <v>202</v>
      </c>
      <c r="D194" t="s">
        <v>78</v>
      </c>
      <c r="E194" t="s">
        <v>1108</v>
      </c>
      <c r="F194" s="26">
        <v>1046.8900000000001</v>
      </c>
      <c r="G194" s="3">
        <v>46073</v>
      </c>
      <c r="H194" t="s">
        <v>1174</v>
      </c>
      <c r="I194" s="4" t="str">
        <f t="shared" ref="I194:I195" si="30">MID(H194,6,30)</f>
        <v>Retirement Annuity - Savings C</v>
      </c>
      <c r="J194" t="str">
        <f>IF(LEFT(I194)="L","Compulsory, LA",IF(LEFT(I194)="R","Compulsory, RA",IF(LEFT(I194,2)="Pe","Compulsory, Pens","Voluntary")))</f>
        <v>Compulsory, RA</v>
      </c>
      <c r="K194" t="s">
        <v>15</v>
      </c>
    </row>
    <row r="195" spans="1:11" x14ac:dyDescent="0.3">
      <c r="A195">
        <v>135931</v>
      </c>
      <c r="B195" t="s">
        <v>616</v>
      </c>
      <c r="C195">
        <v>45</v>
      </c>
      <c r="D195" t="s">
        <v>617</v>
      </c>
      <c r="E195" t="s">
        <v>729</v>
      </c>
      <c r="F195" s="26">
        <v>3906.79</v>
      </c>
      <c r="G195" s="3">
        <v>46073</v>
      </c>
      <c r="H195" t="s">
        <v>31</v>
      </c>
      <c r="I195" s="4" t="str">
        <f t="shared" si="30"/>
        <v>Investment Account</v>
      </c>
      <c r="J195" t="str">
        <f>IF(LEFT(I195)="L","Compulsory, LA",IF(LEFT(I195)="R","Compulsory, RA",IF(LEFT(I195,2)="Pe","Compulsory, Pens",IF(LEFT(I195,2)="Pr","Compulsory, Prov","Voluntary"))))</f>
        <v>Voluntary</v>
      </c>
      <c r="K195" t="s">
        <v>15</v>
      </c>
    </row>
    <row r="196" spans="1:11" x14ac:dyDescent="0.3">
      <c r="A196">
        <v>100202693</v>
      </c>
      <c r="B196" t="s">
        <v>1157</v>
      </c>
      <c r="C196">
        <v>92</v>
      </c>
      <c r="D196" t="s">
        <v>79</v>
      </c>
      <c r="E196" t="s">
        <v>1240</v>
      </c>
      <c r="F196" s="34">
        <v>136127.76</v>
      </c>
      <c r="G196" s="3">
        <v>46073</v>
      </c>
      <c r="H196" t="s">
        <v>1147</v>
      </c>
      <c r="I196" t="s">
        <v>1162</v>
      </c>
      <c r="J196" t="s">
        <v>1163</v>
      </c>
      <c r="K196" t="s">
        <v>15</v>
      </c>
    </row>
    <row r="197" spans="1:11" x14ac:dyDescent="0.3">
      <c r="A197">
        <v>100202693</v>
      </c>
      <c r="B197" t="s">
        <v>1157</v>
      </c>
      <c r="C197">
        <v>92</v>
      </c>
      <c r="D197" t="s">
        <v>79</v>
      </c>
      <c r="E197" t="s">
        <v>1239</v>
      </c>
      <c r="F197" s="34">
        <v>1217.67</v>
      </c>
      <c r="G197" s="3">
        <v>46073</v>
      </c>
      <c r="H197" t="s">
        <v>1147</v>
      </c>
      <c r="I197" t="s">
        <v>1162</v>
      </c>
      <c r="J197" t="s">
        <v>1163</v>
      </c>
      <c r="K197" t="s">
        <v>15</v>
      </c>
    </row>
    <row r="198" spans="1:11" x14ac:dyDescent="0.3">
      <c r="A198">
        <v>100202693</v>
      </c>
      <c r="B198" t="s">
        <v>1157</v>
      </c>
      <c r="C198">
        <v>92</v>
      </c>
      <c r="D198" t="s">
        <v>79</v>
      </c>
      <c r="E198" t="s">
        <v>730</v>
      </c>
      <c r="F198" s="34">
        <v>613871.80000000005</v>
      </c>
      <c r="G198" s="3">
        <v>46073</v>
      </c>
      <c r="H198" t="s">
        <v>1147</v>
      </c>
      <c r="I198" t="s">
        <v>1162</v>
      </c>
      <c r="J198" t="s">
        <v>1163</v>
      </c>
      <c r="K198" t="s">
        <v>15</v>
      </c>
    </row>
    <row r="199" spans="1:11" x14ac:dyDescent="0.3">
      <c r="A199">
        <v>100202693</v>
      </c>
      <c r="B199" t="s">
        <v>1157</v>
      </c>
      <c r="C199">
        <v>92</v>
      </c>
      <c r="D199" t="s">
        <v>79</v>
      </c>
      <c r="E199" t="s">
        <v>729</v>
      </c>
      <c r="F199" s="34">
        <v>182923.53999999998</v>
      </c>
      <c r="G199" s="3">
        <v>46073</v>
      </c>
      <c r="H199" t="s">
        <v>1147</v>
      </c>
      <c r="I199" t="s">
        <v>1162</v>
      </c>
      <c r="J199" t="s">
        <v>1163</v>
      </c>
      <c r="K199" t="s">
        <v>15</v>
      </c>
    </row>
    <row r="200" spans="1:11" x14ac:dyDescent="0.3">
      <c r="A200">
        <v>100202693</v>
      </c>
      <c r="B200" t="s">
        <v>1149</v>
      </c>
      <c r="C200">
        <v>92</v>
      </c>
      <c r="D200" t="s">
        <v>79</v>
      </c>
      <c r="E200" t="s">
        <v>1240</v>
      </c>
      <c r="F200" s="26">
        <v>418989.72</v>
      </c>
      <c r="G200" s="3">
        <v>46073</v>
      </c>
      <c r="H200" t="s">
        <v>14</v>
      </c>
      <c r="I200" s="4" t="str">
        <f t="shared" ref="I200:I231" si="31">MID(H200,6,30)</f>
        <v>Living Annuity</v>
      </c>
      <c r="J200" t="str">
        <f t="shared" ref="J200:J209" si="32">IF(LEFT(I200)="L","Compulsory, LA",IF(LEFT(I200)="R","Compulsory, RA",IF(LEFT(I200,2)="Pe","Compulsory, Pens","Voluntary")))</f>
        <v>Compulsory, LA</v>
      </c>
      <c r="K200" t="s">
        <v>15</v>
      </c>
    </row>
    <row r="201" spans="1:11" x14ac:dyDescent="0.3">
      <c r="A201">
        <v>100202693</v>
      </c>
      <c r="B201" t="s">
        <v>1149</v>
      </c>
      <c r="C201">
        <v>92</v>
      </c>
      <c r="D201" t="s">
        <v>79</v>
      </c>
      <c r="E201" t="s">
        <v>1239</v>
      </c>
      <c r="F201" s="26">
        <v>3220.62</v>
      </c>
      <c r="G201" s="3">
        <v>46073</v>
      </c>
      <c r="H201" t="s">
        <v>14</v>
      </c>
      <c r="I201" s="4" t="str">
        <f t="shared" si="31"/>
        <v>Living Annuity</v>
      </c>
      <c r="J201" t="str">
        <f t="shared" si="32"/>
        <v>Compulsory, LA</v>
      </c>
      <c r="K201" t="s">
        <v>15</v>
      </c>
    </row>
    <row r="202" spans="1:11" x14ac:dyDescent="0.3">
      <c r="A202">
        <v>100202693</v>
      </c>
      <c r="B202" t="s">
        <v>1149</v>
      </c>
      <c r="C202">
        <v>92</v>
      </c>
      <c r="D202" t="s">
        <v>79</v>
      </c>
      <c r="E202" t="s">
        <v>730</v>
      </c>
      <c r="F202" s="26">
        <v>852496.98</v>
      </c>
      <c r="G202" s="3">
        <v>46073</v>
      </c>
      <c r="H202" t="s">
        <v>14</v>
      </c>
      <c r="I202" s="4" t="str">
        <f t="shared" si="31"/>
        <v>Living Annuity</v>
      </c>
      <c r="J202" t="str">
        <f t="shared" si="32"/>
        <v>Compulsory, LA</v>
      </c>
      <c r="K202" t="s">
        <v>15</v>
      </c>
    </row>
    <row r="203" spans="1:11" x14ac:dyDescent="0.3">
      <c r="A203">
        <v>100202693</v>
      </c>
      <c r="B203" t="s">
        <v>1149</v>
      </c>
      <c r="C203">
        <v>92</v>
      </c>
      <c r="D203" t="s">
        <v>79</v>
      </c>
      <c r="E203" t="s">
        <v>729</v>
      </c>
      <c r="F203" s="26">
        <v>459750.58999999997</v>
      </c>
      <c r="G203" s="3">
        <v>46073</v>
      </c>
      <c r="H203" t="s">
        <v>14</v>
      </c>
      <c r="I203" s="4" t="str">
        <f t="shared" si="31"/>
        <v>Living Annuity</v>
      </c>
      <c r="J203" t="str">
        <f t="shared" si="32"/>
        <v>Compulsory, LA</v>
      </c>
      <c r="K203" t="s">
        <v>15</v>
      </c>
    </row>
    <row r="204" spans="1:11" x14ac:dyDescent="0.3">
      <c r="A204">
        <v>100202693</v>
      </c>
      <c r="B204" t="s">
        <v>1150</v>
      </c>
      <c r="C204">
        <v>92</v>
      </c>
      <c r="D204" t="s">
        <v>79</v>
      </c>
      <c r="E204" t="s">
        <v>1240</v>
      </c>
      <c r="F204" s="26">
        <v>107184.28</v>
      </c>
      <c r="G204" s="3">
        <v>46073</v>
      </c>
      <c r="H204" t="s">
        <v>14</v>
      </c>
      <c r="I204" s="4" t="str">
        <f t="shared" si="31"/>
        <v>Living Annuity</v>
      </c>
      <c r="J204" t="str">
        <f t="shared" si="32"/>
        <v>Compulsory, LA</v>
      </c>
      <c r="K204" t="s">
        <v>15</v>
      </c>
    </row>
    <row r="205" spans="1:11" x14ac:dyDescent="0.3">
      <c r="A205">
        <v>100202693</v>
      </c>
      <c r="B205" t="s">
        <v>1150</v>
      </c>
      <c r="C205">
        <v>92</v>
      </c>
      <c r="D205" t="s">
        <v>79</v>
      </c>
      <c r="E205" t="s">
        <v>1239</v>
      </c>
      <c r="F205" s="26">
        <v>824.01</v>
      </c>
      <c r="G205" s="3">
        <v>46073</v>
      </c>
      <c r="H205" t="s">
        <v>14</v>
      </c>
      <c r="I205" s="4" t="str">
        <f t="shared" si="31"/>
        <v>Living Annuity</v>
      </c>
      <c r="J205" t="str">
        <f t="shared" si="32"/>
        <v>Compulsory, LA</v>
      </c>
      <c r="K205" t="s">
        <v>15</v>
      </c>
    </row>
    <row r="206" spans="1:11" x14ac:dyDescent="0.3">
      <c r="A206">
        <v>100202693</v>
      </c>
      <c r="B206" t="s">
        <v>1150</v>
      </c>
      <c r="C206">
        <v>92</v>
      </c>
      <c r="D206" t="s">
        <v>79</v>
      </c>
      <c r="E206" t="s">
        <v>730</v>
      </c>
      <c r="F206" s="26">
        <v>217454.59</v>
      </c>
      <c r="G206" s="3">
        <v>46073</v>
      </c>
      <c r="H206" t="s">
        <v>14</v>
      </c>
      <c r="I206" s="4" t="str">
        <f t="shared" si="31"/>
        <v>Living Annuity</v>
      </c>
      <c r="J206" t="str">
        <f t="shared" si="32"/>
        <v>Compulsory, LA</v>
      </c>
      <c r="K206" t="s">
        <v>15</v>
      </c>
    </row>
    <row r="207" spans="1:11" x14ac:dyDescent="0.3">
      <c r="A207">
        <v>100202693</v>
      </c>
      <c r="B207" t="s">
        <v>1150</v>
      </c>
      <c r="C207">
        <v>92</v>
      </c>
      <c r="D207" t="s">
        <v>79</v>
      </c>
      <c r="E207" t="s">
        <v>729</v>
      </c>
      <c r="F207" s="26">
        <v>117805.93</v>
      </c>
      <c r="G207" s="3">
        <v>46073</v>
      </c>
      <c r="H207" t="s">
        <v>14</v>
      </c>
      <c r="I207" s="4" t="str">
        <f t="shared" si="31"/>
        <v>Living Annuity</v>
      </c>
      <c r="J207" t="str">
        <f t="shared" si="32"/>
        <v>Compulsory, LA</v>
      </c>
      <c r="K207" t="s">
        <v>15</v>
      </c>
    </row>
    <row r="208" spans="1:11" x14ac:dyDescent="0.3">
      <c r="A208">
        <v>100205932</v>
      </c>
      <c r="B208" t="s">
        <v>1142</v>
      </c>
      <c r="C208">
        <v>117</v>
      </c>
      <c r="D208" t="s">
        <v>81</v>
      </c>
      <c r="E208" t="s">
        <v>730</v>
      </c>
      <c r="F208" s="26">
        <v>75279.759999999995</v>
      </c>
      <c r="G208" s="3">
        <v>46073</v>
      </c>
      <c r="H208" t="s">
        <v>14</v>
      </c>
      <c r="I208" s="4" t="str">
        <f t="shared" si="31"/>
        <v>Living Annuity</v>
      </c>
      <c r="J208" t="str">
        <f t="shared" si="32"/>
        <v>Compulsory, LA</v>
      </c>
      <c r="K208" t="s">
        <v>15</v>
      </c>
    </row>
    <row r="209" spans="1:11" x14ac:dyDescent="0.3">
      <c r="A209">
        <v>100205932</v>
      </c>
      <c r="B209" t="s">
        <v>1142</v>
      </c>
      <c r="C209">
        <v>117</v>
      </c>
      <c r="D209" t="s">
        <v>81</v>
      </c>
      <c r="E209" t="s">
        <v>729</v>
      </c>
      <c r="F209" s="26">
        <v>185869.28999999998</v>
      </c>
      <c r="G209" s="3">
        <v>46073</v>
      </c>
      <c r="H209" t="s">
        <v>14</v>
      </c>
      <c r="I209" s="4" t="str">
        <f t="shared" si="31"/>
        <v>Living Annuity</v>
      </c>
      <c r="J209" t="str">
        <f t="shared" si="32"/>
        <v>Compulsory, LA</v>
      </c>
      <c r="K209" t="s">
        <v>15</v>
      </c>
    </row>
    <row r="210" spans="1:11" x14ac:dyDescent="0.3">
      <c r="A210">
        <v>100220898</v>
      </c>
      <c r="B210" t="s">
        <v>82</v>
      </c>
      <c r="C210">
        <v>115</v>
      </c>
      <c r="D210" t="s">
        <v>83</v>
      </c>
      <c r="E210" t="s">
        <v>1240</v>
      </c>
      <c r="F210" s="25">
        <v>126073.35</v>
      </c>
      <c r="G210" s="3">
        <v>46073</v>
      </c>
      <c r="H210" t="s">
        <v>14</v>
      </c>
      <c r="I210" s="4" t="str">
        <f t="shared" si="31"/>
        <v>Living Annuity</v>
      </c>
      <c r="J210" t="str">
        <f t="shared" ref="J210:J228" si="33">IF(LEFT(I210)="L","Compulsory, LA",IF(LEFT(I210)="R","Compulsory, RA",IF(LEFT(I210,2)="Pe","Compulsory, Pens",IF(LEFT(I210,2)="Pr","Compulsory, Prov","Voluntary"))))</f>
        <v>Compulsory, LA</v>
      </c>
      <c r="K210" t="s">
        <v>15</v>
      </c>
    </row>
    <row r="211" spans="1:11" x14ac:dyDescent="0.3">
      <c r="A211">
        <v>100220898</v>
      </c>
      <c r="B211" t="s">
        <v>82</v>
      </c>
      <c r="C211">
        <v>115</v>
      </c>
      <c r="D211" t="s">
        <v>83</v>
      </c>
      <c r="E211" t="s">
        <v>1239</v>
      </c>
      <c r="F211" s="25">
        <v>1287.81</v>
      </c>
      <c r="G211" s="3">
        <v>46073</v>
      </c>
      <c r="H211" t="s">
        <v>14</v>
      </c>
      <c r="I211" s="4" t="str">
        <f t="shared" si="31"/>
        <v>Living Annuity</v>
      </c>
      <c r="J211" t="str">
        <f t="shared" si="33"/>
        <v>Compulsory, LA</v>
      </c>
      <c r="K211" t="s">
        <v>15</v>
      </c>
    </row>
    <row r="212" spans="1:11" x14ac:dyDescent="0.3">
      <c r="A212">
        <v>100220898</v>
      </c>
      <c r="B212" t="s">
        <v>82</v>
      </c>
      <c r="C212">
        <v>115</v>
      </c>
      <c r="D212" t="s">
        <v>83</v>
      </c>
      <c r="E212" t="s">
        <v>730</v>
      </c>
      <c r="F212" s="25">
        <v>220102.96999999997</v>
      </c>
      <c r="G212" s="3">
        <v>46073</v>
      </c>
      <c r="H212" t="s">
        <v>14</v>
      </c>
      <c r="I212" s="4" t="str">
        <f t="shared" si="31"/>
        <v>Living Annuity</v>
      </c>
      <c r="J212" t="str">
        <f t="shared" si="33"/>
        <v>Compulsory, LA</v>
      </c>
      <c r="K212" t="s">
        <v>15</v>
      </c>
    </row>
    <row r="213" spans="1:11" x14ac:dyDescent="0.3">
      <c r="A213">
        <v>100220898</v>
      </c>
      <c r="B213" t="s">
        <v>82</v>
      </c>
      <c r="C213">
        <v>115</v>
      </c>
      <c r="D213" t="s">
        <v>83</v>
      </c>
      <c r="E213" t="s">
        <v>729</v>
      </c>
      <c r="F213" s="25">
        <v>187785.90999999997</v>
      </c>
      <c r="G213" s="3">
        <v>46073</v>
      </c>
      <c r="H213" t="s">
        <v>14</v>
      </c>
      <c r="I213" s="4" t="str">
        <f t="shared" si="31"/>
        <v>Living Annuity</v>
      </c>
      <c r="J213" t="str">
        <f t="shared" si="33"/>
        <v>Compulsory, LA</v>
      </c>
      <c r="K213" t="s">
        <v>15</v>
      </c>
    </row>
    <row r="214" spans="1:11" x14ac:dyDescent="0.3">
      <c r="A214">
        <v>100220898</v>
      </c>
      <c r="B214" t="s">
        <v>826</v>
      </c>
      <c r="C214">
        <v>115</v>
      </c>
      <c r="D214" t="s">
        <v>83</v>
      </c>
      <c r="E214" t="s">
        <v>1240</v>
      </c>
      <c r="F214" s="25">
        <v>91938.540000000008</v>
      </c>
      <c r="G214" s="3">
        <v>46073</v>
      </c>
      <c r="H214" t="s">
        <v>14</v>
      </c>
      <c r="I214" s="4" t="str">
        <f t="shared" si="31"/>
        <v>Living Annuity</v>
      </c>
      <c r="J214" t="str">
        <f t="shared" si="33"/>
        <v>Compulsory, LA</v>
      </c>
      <c r="K214" t="s">
        <v>15</v>
      </c>
    </row>
    <row r="215" spans="1:11" x14ac:dyDescent="0.3">
      <c r="A215">
        <v>100220898</v>
      </c>
      <c r="B215" t="s">
        <v>826</v>
      </c>
      <c r="C215">
        <v>115</v>
      </c>
      <c r="D215" t="s">
        <v>83</v>
      </c>
      <c r="E215" t="s">
        <v>730</v>
      </c>
      <c r="F215" s="25">
        <v>174060.49</v>
      </c>
      <c r="G215" s="3">
        <v>46073</v>
      </c>
      <c r="H215" t="s">
        <v>14</v>
      </c>
      <c r="I215" s="4" t="str">
        <f t="shared" si="31"/>
        <v>Living Annuity</v>
      </c>
      <c r="J215" t="str">
        <f t="shared" si="33"/>
        <v>Compulsory, LA</v>
      </c>
      <c r="K215" t="s">
        <v>15</v>
      </c>
    </row>
    <row r="216" spans="1:11" x14ac:dyDescent="0.3">
      <c r="A216">
        <v>100220898</v>
      </c>
      <c r="B216" t="s">
        <v>826</v>
      </c>
      <c r="C216">
        <v>115</v>
      </c>
      <c r="D216" t="s">
        <v>83</v>
      </c>
      <c r="E216" t="s">
        <v>729</v>
      </c>
      <c r="F216" s="25">
        <v>149663.75</v>
      </c>
      <c r="G216" s="3">
        <v>46073</v>
      </c>
      <c r="H216" t="s">
        <v>14</v>
      </c>
      <c r="I216" s="4" t="str">
        <f t="shared" si="31"/>
        <v>Living Annuity</v>
      </c>
      <c r="J216" t="str">
        <f t="shared" si="33"/>
        <v>Compulsory, LA</v>
      </c>
      <c r="K216" t="s">
        <v>15</v>
      </c>
    </row>
    <row r="217" spans="1:11" x14ac:dyDescent="0.3">
      <c r="A217">
        <v>100247003</v>
      </c>
      <c r="B217" t="s">
        <v>84</v>
      </c>
      <c r="C217">
        <v>79</v>
      </c>
      <c r="D217" t="s">
        <v>50</v>
      </c>
      <c r="E217" t="s">
        <v>1240</v>
      </c>
      <c r="F217" s="25">
        <v>46902.17</v>
      </c>
      <c r="G217" s="3">
        <v>46073</v>
      </c>
      <c r="H217" t="s">
        <v>14</v>
      </c>
      <c r="I217" s="4" t="str">
        <f t="shared" si="31"/>
        <v>Living Annuity</v>
      </c>
      <c r="J217" t="str">
        <f t="shared" si="33"/>
        <v>Compulsory, LA</v>
      </c>
      <c r="K217" t="s">
        <v>15</v>
      </c>
    </row>
    <row r="218" spans="1:11" x14ac:dyDescent="0.3">
      <c r="A218">
        <v>100247003</v>
      </c>
      <c r="B218" t="s">
        <v>84</v>
      </c>
      <c r="C218">
        <v>79</v>
      </c>
      <c r="D218" t="s">
        <v>50</v>
      </c>
      <c r="E218" t="s">
        <v>730</v>
      </c>
      <c r="F218" s="25">
        <v>138482.15</v>
      </c>
      <c r="G218" s="3">
        <v>46073</v>
      </c>
      <c r="H218" t="s">
        <v>14</v>
      </c>
      <c r="I218" s="4" t="str">
        <f t="shared" si="31"/>
        <v>Living Annuity</v>
      </c>
      <c r="J218" t="str">
        <f t="shared" si="33"/>
        <v>Compulsory, LA</v>
      </c>
      <c r="K218" t="s">
        <v>15</v>
      </c>
    </row>
    <row r="219" spans="1:11" x14ac:dyDescent="0.3">
      <c r="A219">
        <v>100247003</v>
      </c>
      <c r="B219" t="s">
        <v>84</v>
      </c>
      <c r="C219">
        <v>79</v>
      </c>
      <c r="D219" t="s">
        <v>50</v>
      </c>
      <c r="E219" t="s">
        <v>729</v>
      </c>
      <c r="F219" s="25">
        <v>10781.04</v>
      </c>
      <c r="G219" s="3">
        <v>46073</v>
      </c>
      <c r="H219" t="s">
        <v>14</v>
      </c>
      <c r="I219" s="4" t="str">
        <f t="shared" si="31"/>
        <v>Living Annuity</v>
      </c>
      <c r="J219" t="str">
        <f t="shared" si="33"/>
        <v>Compulsory, LA</v>
      </c>
      <c r="K219" t="s">
        <v>15</v>
      </c>
    </row>
    <row r="220" spans="1:11" x14ac:dyDescent="0.3">
      <c r="A220">
        <v>100249944</v>
      </c>
      <c r="B220" t="s">
        <v>85</v>
      </c>
      <c r="C220">
        <v>56</v>
      </c>
      <c r="D220" t="s">
        <v>86</v>
      </c>
      <c r="E220" t="s">
        <v>1240</v>
      </c>
      <c r="F220" s="25">
        <v>100386.15</v>
      </c>
      <c r="G220" s="3">
        <v>46073</v>
      </c>
      <c r="H220" t="s">
        <v>14</v>
      </c>
      <c r="I220" s="4" t="str">
        <f t="shared" si="31"/>
        <v>Living Annuity</v>
      </c>
      <c r="J220" t="str">
        <f t="shared" si="33"/>
        <v>Compulsory, LA</v>
      </c>
      <c r="K220" t="s">
        <v>15</v>
      </c>
    </row>
    <row r="221" spans="1:11" x14ac:dyDescent="0.3">
      <c r="A221">
        <v>100249944</v>
      </c>
      <c r="B221" t="s">
        <v>85</v>
      </c>
      <c r="C221">
        <v>56</v>
      </c>
      <c r="D221" t="s">
        <v>86</v>
      </c>
      <c r="E221" t="s">
        <v>1239</v>
      </c>
      <c r="F221" s="25">
        <v>222.15</v>
      </c>
      <c r="G221" s="3">
        <v>46073</v>
      </c>
      <c r="H221" t="s">
        <v>14</v>
      </c>
      <c r="I221" s="4" t="str">
        <f t="shared" si="31"/>
        <v>Living Annuity</v>
      </c>
      <c r="J221" t="str">
        <f t="shared" si="33"/>
        <v>Compulsory, LA</v>
      </c>
      <c r="K221" t="s">
        <v>15</v>
      </c>
    </row>
    <row r="222" spans="1:11" x14ac:dyDescent="0.3">
      <c r="A222">
        <v>100249944</v>
      </c>
      <c r="B222" t="s">
        <v>85</v>
      </c>
      <c r="C222">
        <v>56</v>
      </c>
      <c r="D222" t="s">
        <v>86</v>
      </c>
      <c r="E222" t="s">
        <v>730</v>
      </c>
      <c r="F222" s="25">
        <v>290501.78000000003</v>
      </c>
      <c r="G222" s="3">
        <v>46073</v>
      </c>
      <c r="H222" t="s">
        <v>14</v>
      </c>
      <c r="I222" s="4" t="str">
        <f t="shared" si="31"/>
        <v>Living Annuity</v>
      </c>
      <c r="J222" t="str">
        <f t="shared" si="33"/>
        <v>Compulsory, LA</v>
      </c>
      <c r="K222" t="s">
        <v>15</v>
      </c>
    </row>
    <row r="223" spans="1:11" x14ac:dyDescent="0.3">
      <c r="A223">
        <v>100249944</v>
      </c>
      <c r="B223" t="s">
        <v>85</v>
      </c>
      <c r="C223">
        <v>56</v>
      </c>
      <c r="D223" t="s">
        <v>86</v>
      </c>
      <c r="E223" t="s">
        <v>729</v>
      </c>
      <c r="F223" s="25">
        <v>217.76999999999998</v>
      </c>
      <c r="G223" s="3">
        <v>46073</v>
      </c>
      <c r="H223" t="s">
        <v>14</v>
      </c>
      <c r="I223" s="4" t="str">
        <f t="shared" si="31"/>
        <v>Living Annuity</v>
      </c>
      <c r="J223" t="str">
        <f t="shared" si="33"/>
        <v>Compulsory, LA</v>
      </c>
      <c r="K223" t="s">
        <v>15</v>
      </c>
    </row>
    <row r="224" spans="1:11" x14ac:dyDescent="0.3">
      <c r="A224">
        <v>100250182</v>
      </c>
      <c r="B224" t="s">
        <v>87</v>
      </c>
      <c r="C224">
        <v>193</v>
      </c>
      <c r="D224" t="s">
        <v>88</v>
      </c>
      <c r="E224" t="s">
        <v>1240</v>
      </c>
      <c r="F224" s="25">
        <v>198324.65000000002</v>
      </c>
      <c r="G224" s="3">
        <v>46073</v>
      </c>
      <c r="H224" t="s">
        <v>14</v>
      </c>
      <c r="I224" s="4" t="str">
        <f t="shared" si="31"/>
        <v>Living Annuity</v>
      </c>
      <c r="J224" t="str">
        <f t="shared" si="33"/>
        <v>Compulsory, LA</v>
      </c>
      <c r="K224" t="s">
        <v>15</v>
      </c>
    </row>
    <row r="225" spans="1:14" x14ac:dyDescent="0.3">
      <c r="A225">
        <v>100250182</v>
      </c>
      <c r="B225" t="s">
        <v>87</v>
      </c>
      <c r="C225">
        <v>193</v>
      </c>
      <c r="D225" t="s">
        <v>88</v>
      </c>
      <c r="E225" t="s">
        <v>1239</v>
      </c>
      <c r="F225" s="25">
        <v>1977.37</v>
      </c>
      <c r="G225" s="3">
        <v>46073</v>
      </c>
      <c r="H225" t="s">
        <v>14</v>
      </c>
      <c r="I225" s="4" t="str">
        <f t="shared" si="31"/>
        <v>Living Annuity</v>
      </c>
      <c r="J225" t="str">
        <f t="shared" si="33"/>
        <v>Compulsory, LA</v>
      </c>
      <c r="K225" t="s">
        <v>15</v>
      </c>
    </row>
    <row r="226" spans="1:14" x14ac:dyDescent="0.3">
      <c r="A226">
        <v>100250182</v>
      </c>
      <c r="B226" t="s">
        <v>87</v>
      </c>
      <c r="C226">
        <v>193</v>
      </c>
      <c r="D226" t="s">
        <v>88</v>
      </c>
      <c r="E226" t="s">
        <v>730</v>
      </c>
      <c r="F226" s="25">
        <v>642553.35</v>
      </c>
      <c r="G226" s="3">
        <v>46073</v>
      </c>
      <c r="H226" t="s">
        <v>14</v>
      </c>
      <c r="I226" s="4" t="str">
        <f t="shared" si="31"/>
        <v>Living Annuity</v>
      </c>
      <c r="J226" t="str">
        <f t="shared" si="33"/>
        <v>Compulsory, LA</v>
      </c>
      <c r="K226" t="s">
        <v>15</v>
      </c>
    </row>
    <row r="227" spans="1:14" x14ac:dyDescent="0.3">
      <c r="A227">
        <v>100250182</v>
      </c>
      <c r="B227" t="s">
        <v>87</v>
      </c>
      <c r="C227">
        <v>193</v>
      </c>
      <c r="D227" t="s">
        <v>88</v>
      </c>
      <c r="E227" t="s">
        <v>729</v>
      </c>
      <c r="F227" s="25">
        <v>223576.81</v>
      </c>
      <c r="G227" s="3">
        <v>46073</v>
      </c>
      <c r="H227" t="s">
        <v>14</v>
      </c>
      <c r="I227" s="4" t="str">
        <f t="shared" si="31"/>
        <v>Living Annuity</v>
      </c>
      <c r="J227" t="str">
        <f t="shared" si="33"/>
        <v>Compulsory, LA</v>
      </c>
      <c r="K227" t="s">
        <v>15</v>
      </c>
    </row>
    <row r="228" spans="1:14" x14ac:dyDescent="0.3">
      <c r="A228">
        <v>100271808</v>
      </c>
      <c r="B228" t="s">
        <v>89</v>
      </c>
      <c r="C228">
        <v>144</v>
      </c>
      <c r="D228" t="s">
        <v>90</v>
      </c>
      <c r="E228" t="s">
        <v>1108</v>
      </c>
      <c r="F228" s="25">
        <v>67244.91</v>
      </c>
      <c r="G228" s="3">
        <v>46073</v>
      </c>
      <c r="H228" t="s">
        <v>26</v>
      </c>
      <c r="I228" s="4" t="str">
        <f t="shared" si="31"/>
        <v>Retirement Annuity</v>
      </c>
      <c r="J228" t="str">
        <f t="shared" si="33"/>
        <v>Compulsory, RA</v>
      </c>
      <c r="K228" t="s">
        <v>15</v>
      </c>
    </row>
    <row r="229" spans="1:14" x14ac:dyDescent="0.3">
      <c r="A229">
        <v>100273792</v>
      </c>
      <c r="B229" t="s">
        <v>1145</v>
      </c>
      <c r="C229">
        <v>299</v>
      </c>
      <c r="D229" t="s">
        <v>114</v>
      </c>
      <c r="E229" t="s">
        <v>730</v>
      </c>
      <c r="F229" s="26">
        <v>49016.29</v>
      </c>
      <c r="G229" s="3">
        <v>46073</v>
      </c>
      <c r="H229" t="s">
        <v>31</v>
      </c>
      <c r="I229" s="4" t="str">
        <f t="shared" si="31"/>
        <v>Investment Account</v>
      </c>
      <c r="J229" t="str">
        <f>IF(LEFT(I229)="L","Compulsory, LA",IF(LEFT(I229)="R","Compulsory, RA",IF(LEFT(I229,2)="Pe","Compulsory, Pens","Voluntary")))</f>
        <v>Voluntary</v>
      </c>
      <c r="K229" t="s">
        <v>15</v>
      </c>
    </row>
    <row r="230" spans="1:14" x14ac:dyDescent="0.3">
      <c r="A230">
        <v>100273792</v>
      </c>
      <c r="B230" t="s">
        <v>113</v>
      </c>
      <c r="C230">
        <v>299</v>
      </c>
      <c r="D230" t="s">
        <v>114</v>
      </c>
      <c r="E230" t="s">
        <v>1240</v>
      </c>
      <c r="F230" s="26">
        <v>88029.73000000001</v>
      </c>
      <c r="G230" s="3">
        <v>46073</v>
      </c>
      <c r="H230" t="s">
        <v>14</v>
      </c>
      <c r="I230" s="4" t="str">
        <f t="shared" si="31"/>
        <v>Living Annuity</v>
      </c>
      <c r="J230" t="str">
        <f t="shared" ref="J230:J245" si="34">IF(LEFT(I230)="L","Compulsory, LA",IF(LEFT(I230)="R","Compulsory, RA",IF(LEFT(I230,2)="Pe","Compulsory, Pens",IF(LEFT(I230,2)="Pr","Compulsory, Prov","Voluntary"))))</f>
        <v>Compulsory, LA</v>
      </c>
      <c r="K230" t="s">
        <v>15</v>
      </c>
    </row>
    <row r="231" spans="1:14" x14ac:dyDescent="0.3">
      <c r="A231">
        <v>100273792</v>
      </c>
      <c r="B231" t="s">
        <v>113</v>
      </c>
      <c r="C231">
        <v>299</v>
      </c>
      <c r="D231" t="s">
        <v>114</v>
      </c>
      <c r="E231" t="s">
        <v>730</v>
      </c>
      <c r="F231" s="26">
        <v>238957.24</v>
      </c>
      <c r="G231" s="3">
        <v>46073</v>
      </c>
      <c r="H231" t="s">
        <v>14</v>
      </c>
      <c r="I231" s="4" t="str">
        <f t="shared" si="31"/>
        <v>Living Annuity</v>
      </c>
      <c r="J231" t="str">
        <f t="shared" si="34"/>
        <v>Compulsory, LA</v>
      </c>
      <c r="K231" t="s">
        <v>15</v>
      </c>
    </row>
    <row r="232" spans="1:14" x14ac:dyDescent="0.3">
      <c r="A232">
        <v>100273792</v>
      </c>
      <c r="B232" t="s">
        <v>113</v>
      </c>
      <c r="C232">
        <v>299</v>
      </c>
      <c r="D232" t="s">
        <v>114</v>
      </c>
      <c r="E232" t="s">
        <v>729</v>
      </c>
      <c r="F232" s="26">
        <v>16881.04</v>
      </c>
      <c r="G232" s="3">
        <v>46073</v>
      </c>
      <c r="H232" t="s">
        <v>14</v>
      </c>
      <c r="I232" s="4" t="str">
        <f t="shared" ref="I232:I260" si="35">MID(H232,6,30)</f>
        <v>Living Annuity</v>
      </c>
      <c r="J232" t="str">
        <f t="shared" si="34"/>
        <v>Compulsory, LA</v>
      </c>
      <c r="K232" t="s">
        <v>15</v>
      </c>
    </row>
    <row r="233" spans="1:14" x14ac:dyDescent="0.3">
      <c r="A233">
        <v>100273792</v>
      </c>
      <c r="B233" t="s">
        <v>115</v>
      </c>
      <c r="C233">
        <v>299</v>
      </c>
      <c r="D233" t="s">
        <v>114</v>
      </c>
      <c r="E233" t="s">
        <v>1240</v>
      </c>
      <c r="F233" s="26">
        <v>120800.39</v>
      </c>
      <c r="G233" s="3">
        <v>46073</v>
      </c>
      <c r="H233" t="s">
        <v>14</v>
      </c>
      <c r="I233" s="4" t="str">
        <f t="shared" si="35"/>
        <v>Living Annuity</v>
      </c>
      <c r="J233" t="str">
        <f t="shared" si="34"/>
        <v>Compulsory, LA</v>
      </c>
      <c r="K233" t="s">
        <v>15</v>
      </c>
    </row>
    <row r="234" spans="1:14" x14ac:dyDescent="0.3">
      <c r="A234">
        <v>100273792</v>
      </c>
      <c r="B234" t="s">
        <v>115</v>
      </c>
      <c r="C234">
        <v>299</v>
      </c>
      <c r="D234" t="s">
        <v>114</v>
      </c>
      <c r="E234" t="s">
        <v>730</v>
      </c>
      <c r="F234" s="26">
        <v>342222.48</v>
      </c>
      <c r="G234" s="3">
        <v>46073</v>
      </c>
      <c r="H234" t="s">
        <v>14</v>
      </c>
      <c r="I234" s="4" t="str">
        <f t="shared" si="35"/>
        <v>Living Annuity</v>
      </c>
      <c r="J234" t="str">
        <f t="shared" si="34"/>
        <v>Compulsory, LA</v>
      </c>
      <c r="K234" t="s">
        <v>15</v>
      </c>
    </row>
    <row r="235" spans="1:14" x14ac:dyDescent="0.3">
      <c r="A235">
        <v>100273792</v>
      </c>
      <c r="B235" t="s">
        <v>115</v>
      </c>
      <c r="C235">
        <v>299</v>
      </c>
      <c r="D235" t="s">
        <v>114</v>
      </c>
      <c r="E235" t="s">
        <v>729</v>
      </c>
      <c r="F235" s="26">
        <v>14458.789999999999</v>
      </c>
      <c r="G235" s="3">
        <v>46073</v>
      </c>
      <c r="H235" t="s">
        <v>14</v>
      </c>
      <c r="I235" s="4" t="str">
        <f t="shared" si="35"/>
        <v>Living Annuity</v>
      </c>
      <c r="J235" t="str">
        <f t="shared" si="34"/>
        <v>Compulsory, LA</v>
      </c>
      <c r="K235" t="s">
        <v>15</v>
      </c>
    </row>
    <row r="236" spans="1:14" x14ac:dyDescent="0.3">
      <c r="A236">
        <v>100278188</v>
      </c>
      <c r="B236" t="s">
        <v>638</v>
      </c>
      <c r="C236">
        <v>300</v>
      </c>
      <c r="D236" t="s">
        <v>92</v>
      </c>
      <c r="E236" t="s">
        <v>1239</v>
      </c>
      <c r="F236" s="25">
        <v>171.65</v>
      </c>
      <c r="G236" s="3">
        <v>46073</v>
      </c>
      <c r="H236" t="s">
        <v>31</v>
      </c>
      <c r="I236" s="4" t="str">
        <f t="shared" si="35"/>
        <v>Investment Account</v>
      </c>
      <c r="J236" t="str">
        <f t="shared" si="34"/>
        <v>Voluntary</v>
      </c>
      <c r="K236" t="s">
        <v>15</v>
      </c>
    </row>
    <row r="237" spans="1:14" x14ac:dyDescent="0.3">
      <c r="A237">
        <v>100278188</v>
      </c>
      <c r="B237" t="s">
        <v>638</v>
      </c>
      <c r="C237">
        <v>300</v>
      </c>
      <c r="D237" t="s">
        <v>92</v>
      </c>
      <c r="E237" t="s">
        <v>729</v>
      </c>
      <c r="F237" s="25">
        <v>30797.56</v>
      </c>
      <c r="G237" s="3">
        <v>46073</v>
      </c>
      <c r="H237" t="s">
        <v>31</v>
      </c>
      <c r="I237" s="4" t="str">
        <f t="shared" si="35"/>
        <v>Investment Account</v>
      </c>
      <c r="J237" t="str">
        <f t="shared" si="34"/>
        <v>Voluntary</v>
      </c>
      <c r="K237" t="s">
        <v>15</v>
      </c>
    </row>
    <row r="238" spans="1:14" x14ac:dyDescent="0.3">
      <c r="A238" s="13">
        <v>100278188</v>
      </c>
      <c r="B238" s="13" t="s">
        <v>91</v>
      </c>
      <c r="C238" s="13">
        <v>300</v>
      </c>
      <c r="D238" s="13" t="s">
        <v>92</v>
      </c>
      <c r="E238" s="13" t="s">
        <v>1240</v>
      </c>
      <c r="F238" s="27">
        <v>23308.02</v>
      </c>
      <c r="G238" s="3">
        <v>46073</v>
      </c>
      <c r="H238" s="13" t="s">
        <v>14</v>
      </c>
      <c r="I238" s="15" t="str">
        <f t="shared" si="35"/>
        <v>Living Annuity</v>
      </c>
      <c r="J238" s="13" t="str">
        <f t="shared" si="34"/>
        <v>Compulsory, LA</v>
      </c>
      <c r="K238" s="13" t="s">
        <v>15</v>
      </c>
      <c r="L238" s="13"/>
      <c r="M238" s="13"/>
      <c r="N238" s="13"/>
    </row>
    <row r="239" spans="1:14" x14ac:dyDescent="0.3">
      <c r="A239" s="13">
        <v>100278188</v>
      </c>
      <c r="B239" s="13" t="s">
        <v>91</v>
      </c>
      <c r="C239" s="13">
        <v>300</v>
      </c>
      <c r="D239" s="13" t="s">
        <v>92</v>
      </c>
      <c r="E239" s="13" t="s">
        <v>1239</v>
      </c>
      <c r="F239" s="27">
        <v>211.11</v>
      </c>
      <c r="G239" s="3">
        <v>46073</v>
      </c>
      <c r="H239" s="13" t="s">
        <v>14</v>
      </c>
      <c r="I239" s="15" t="str">
        <f t="shared" si="35"/>
        <v>Living Annuity</v>
      </c>
      <c r="J239" s="13" t="str">
        <f t="shared" si="34"/>
        <v>Compulsory, LA</v>
      </c>
      <c r="K239" s="13" t="s">
        <v>15</v>
      </c>
      <c r="L239" s="13"/>
      <c r="M239" s="13"/>
      <c r="N239" s="13"/>
    </row>
    <row r="240" spans="1:14" x14ac:dyDescent="0.3">
      <c r="A240" s="13">
        <v>100278188</v>
      </c>
      <c r="B240" s="13" t="s">
        <v>91</v>
      </c>
      <c r="C240" s="13">
        <v>300</v>
      </c>
      <c r="D240" s="13" t="s">
        <v>92</v>
      </c>
      <c r="E240" s="13" t="s">
        <v>730</v>
      </c>
      <c r="F240" s="27">
        <v>30495.649999999998</v>
      </c>
      <c r="G240" s="3">
        <v>46073</v>
      </c>
      <c r="H240" s="13" t="s">
        <v>14</v>
      </c>
      <c r="I240" s="15" t="str">
        <f t="shared" si="35"/>
        <v>Living Annuity</v>
      </c>
      <c r="J240" s="13" t="str">
        <f t="shared" si="34"/>
        <v>Compulsory, LA</v>
      </c>
      <c r="K240" s="13" t="s">
        <v>15</v>
      </c>
      <c r="L240" s="13"/>
      <c r="M240" s="13"/>
      <c r="N240" s="13"/>
    </row>
    <row r="241" spans="1:14" x14ac:dyDescent="0.3">
      <c r="A241" s="13">
        <v>100278188</v>
      </c>
      <c r="B241" s="13" t="s">
        <v>91</v>
      </c>
      <c r="C241" s="13">
        <v>300</v>
      </c>
      <c r="D241" s="13" t="s">
        <v>92</v>
      </c>
      <c r="E241" s="13" t="s">
        <v>729</v>
      </c>
      <c r="F241" s="27">
        <v>2460.15</v>
      </c>
      <c r="G241" s="3">
        <v>46073</v>
      </c>
      <c r="H241" s="13" t="s">
        <v>14</v>
      </c>
      <c r="I241" s="15" t="str">
        <f t="shared" si="35"/>
        <v>Living Annuity</v>
      </c>
      <c r="J241" s="13" t="str">
        <f t="shared" si="34"/>
        <v>Compulsory, LA</v>
      </c>
      <c r="K241" s="13" t="s">
        <v>15</v>
      </c>
      <c r="L241" s="13"/>
      <c r="M241" s="13"/>
      <c r="N241" s="13"/>
    </row>
    <row r="242" spans="1:14" x14ac:dyDescent="0.3">
      <c r="A242">
        <v>100278188</v>
      </c>
      <c r="B242" t="s">
        <v>93</v>
      </c>
      <c r="C242">
        <v>300</v>
      </c>
      <c r="D242" t="s">
        <v>92</v>
      </c>
      <c r="E242" t="s">
        <v>1240</v>
      </c>
      <c r="F242" s="25">
        <v>41681.86</v>
      </c>
      <c r="G242" s="3">
        <v>46073</v>
      </c>
      <c r="H242" t="s">
        <v>14</v>
      </c>
      <c r="I242" s="4" t="str">
        <f t="shared" si="35"/>
        <v>Living Annuity</v>
      </c>
      <c r="J242" t="str">
        <f t="shared" si="34"/>
        <v>Compulsory, LA</v>
      </c>
      <c r="K242" t="s">
        <v>15</v>
      </c>
    </row>
    <row r="243" spans="1:14" x14ac:dyDescent="0.3">
      <c r="A243">
        <v>100278188</v>
      </c>
      <c r="B243" t="s">
        <v>93</v>
      </c>
      <c r="C243">
        <v>300</v>
      </c>
      <c r="D243" t="s">
        <v>92</v>
      </c>
      <c r="E243" t="s">
        <v>1239</v>
      </c>
      <c r="F243" s="25">
        <v>306.93</v>
      </c>
      <c r="G243" s="3">
        <v>46073</v>
      </c>
      <c r="H243" t="s">
        <v>14</v>
      </c>
      <c r="I243" s="4" t="str">
        <f t="shared" si="35"/>
        <v>Living Annuity</v>
      </c>
      <c r="J243" t="str">
        <f t="shared" si="34"/>
        <v>Compulsory, LA</v>
      </c>
      <c r="K243" t="s">
        <v>15</v>
      </c>
    </row>
    <row r="244" spans="1:14" x14ac:dyDescent="0.3">
      <c r="A244">
        <v>100278188</v>
      </c>
      <c r="B244" t="s">
        <v>93</v>
      </c>
      <c r="C244">
        <v>300</v>
      </c>
      <c r="D244" t="s">
        <v>92</v>
      </c>
      <c r="E244" t="s">
        <v>730</v>
      </c>
      <c r="F244" s="25">
        <v>56938.17</v>
      </c>
      <c r="G244" s="3">
        <v>46073</v>
      </c>
      <c r="H244" t="s">
        <v>14</v>
      </c>
      <c r="I244" s="4" t="str">
        <f t="shared" si="35"/>
        <v>Living Annuity</v>
      </c>
      <c r="J244" t="str">
        <f t="shared" si="34"/>
        <v>Compulsory, LA</v>
      </c>
      <c r="K244" t="s">
        <v>15</v>
      </c>
    </row>
    <row r="245" spans="1:14" x14ac:dyDescent="0.3">
      <c r="A245">
        <v>100278188</v>
      </c>
      <c r="B245" t="s">
        <v>93</v>
      </c>
      <c r="C245">
        <v>300</v>
      </c>
      <c r="D245" t="s">
        <v>92</v>
      </c>
      <c r="E245" t="s">
        <v>729</v>
      </c>
      <c r="F245" s="25">
        <v>43119.9</v>
      </c>
      <c r="G245" s="3">
        <v>46073</v>
      </c>
      <c r="H245" t="s">
        <v>14</v>
      </c>
      <c r="I245" s="4" t="str">
        <f t="shared" si="35"/>
        <v>Living Annuity</v>
      </c>
      <c r="J245" t="str">
        <f t="shared" si="34"/>
        <v>Compulsory, LA</v>
      </c>
      <c r="K245" t="s">
        <v>15</v>
      </c>
    </row>
    <row r="246" spans="1:14" x14ac:dyDescent="0.3">
      <c r="A246">
        <v>100278188</v>
      </c>
      <c r="B246" t="s">
        <v>861</v>
      </c>
      <c r="C246">
        <v>300</v>
      </c>
      <c r="D246" t="s">
        <v>92</v>
      </c>
      <c r="E246" t="s">
        <v>1240</v>
      </c>
      <c r="F246" s="25">
        <v>62519.11</v>
      </c>
      <c r="G246" s="3">
        <v>46073</v>
      </c>
      <c r="H246" t="s">
        <v>14</v>
      </c>
      <c r="I246" s="4" t="str">
        <f t="shared" si="35"/>
        <v>Living Annuity</v>
      </c>
      <c r="J246" t="str">
        <f>IF(LEFT(I246)="L","Compulsory, LA",IF(LEFT(I246)="R","Compulsory, RA",IF(LEFT(I246,2)="Pe","Compulsory, Pens","Voluntary")))</f>
        <v>Compulsory, LA</v>
      </c>
      <c r="K246" t="s">
        <v>15</v>
      </c>
    </row>
    <row r="247" spans="1:14" x14ac:dyDescent="0.3">
      <c r="A247">
        <v>100278188</v>
      </c>
      <c r="B247" t="s">
        <v>861</v>
      </c>
      <c r="C247">
        <v>300</v>
      </c>
      <c r="D247" t="s">
        <v>92</v>
      </c>
      <c r="E247" t="s">
        <v>1239</v>
      </c>
      <c r="F247" s="25">
        <v>253.83</v>
      </c>
      <c r="G247" s="3">
        <v>46073</v>
      </c>
      <c r="H247" t="s">
        <v>14</v>
      </c>
      <c r="I247" s="4" t="str">
        <f t="shared" si="35"/>
        <v>Living Annuity</v>
      </c>
      <c r="J247" t="str">
        <f>IF(LEFT(I247)="L","Compulsory, LA",IF(LEFT(I247)="R","Compulsory, RA",IF(LEFT(I247,2)="Pe","Compulsory, Pens","Voluntary")))</f>
        <v>Compulsory, LA</v>
      </c>
      <c r="K247" t="s">
        <v>15</v>
      </c>
    </row>
    <row r="248" spans="1:14" x14ac:dyDescent="0.3">
      <c r="A248">
        <v>100278188</v>
      </c>
      <c r="B248" t="s">
        <v>861</v>
      </c>
      <c r="C248">
        <v>300</v>
      </c>
      <c r="D248" t="s">
        <v>92</v>
      </c>
      <c r="E248" t="s">
        <v>730</v>
      </c>
      <c r="F248" s="25">
        <v>87835.83</v>
      </c>
      <c r="G248" s="3">
        <v>46073</v>
      </c>
      <c r="H248" t="s">
        <v>14</v>
      </c>
      <c r="I248" s="4" t="str">
        <f t="shared" si="35"/>
        <v>Living Annuity</v>
      </c>
      <c r="J248" t="str">
        <f>IF(LEFT(I248)="L","Compulsory, LA",IF(LEFT(I248)="R","Compulsory, RA",IF(LEFT(I248,2)="Pe","Compulsory, Pens","Voluntary")))</f>
        <v>Compulsory, LA</v>
      </c>
      <c r="K248" t="s">
        <v>15</v>
      </c>
    </row>
    <row r="249" spans="1:14" x14ac:dyDescent="0.3">
      <c r="A249">
        <v>100278188</v>
      </c>
      <c r="B249" t="s">
        <v>861</v>
      </c>
      <c r="C249">
        <v>300</v>
      </c>
      <c r="D249" t="s">
        <v>92</v>
      </c>
      <c r="E249" t="s">
        <v>729</v>
      </c>
      <c r="F249" s="25">
        <v>4983.76</v>
      </c>
      <c r="G249" s="3">
        <v>46073</v>
      </c>
      <c r="H249" t="s">
        <v>14</v>
      </c>
      <c r="I249" s="4" t="str">
        <f t="shared" si="35"/>
        <v>Living Annuity</v>
      </c>
      <c r="J249" t="str">
        <f>IF(LEFT(I249)="L","Compulsory, LA",IF(LEFT(I249)="R","Compulsory, RA",IF(LEFT(I249,2)="Pe","Compulsory, Pens","Voluntary")))</f>
        <v>Compulsory, LA</v>
      </c>
      <c r="K249" t="s">
        <v>15</v>
      </c>
    </row>
    <row r="250" spans="1:14" x14ac:dyDescent="0.3">
      <c r="A250">
        <v>100309343</v>
      </c>
      <c r="B250" t="s">
        <v>128</v>
      </c>
      <c r="C250">
        <v>30</v>
      </c>
      <c r="D250" t="s">
        <v>94</v>
      </c>
      <c r="E250" t="s">
        <v>729</v>
      </c>
      <c r="F250" s="26">
        <v>85721.31</v>
      </c>
      <c r="G250" s="3">
        <v>46073</v>
      </c>
      <c r="H250" t="s">
        <v>31</v>
      </c>
      <c r="I250" s="4" t="str">
        <f t="shared" si="35"/>
        <v>Investment Account</v>
      </c>
      <c r="J250" t="str">
        <f>IF(LEFT(I250)="L","Compulsory, LA",IF(LEFT(I250)="R","Compulsory, RA",IF(LEFT(I250,2)="Pe","Compulsory, Pens",IF(LEFT(I250,2)="Pr","Compulsory, Prov","Voluntary"))))</f>
        <v>Voluntary</v>
      </c>
      <c r="K250" t="s">
        <v>15</v>
      </c>
    </row>
    <row r="251" spans="1:14" x14ac:dyDescent="0.3">
      <c r="A251">
        <v>100317997</v>
      </c>
      <c r="B251" t="s">
        <v>95</v>
      </c>
      <c r="C251">
        <v>32</v>
      </c>
      <c r="D251" t="s">
        <v>96</v>
      </c>
      <c r="E251" t="s">
        <v>1108</v>
      </c>
      <c r="F251" s="25">
        <v>13514.689999999999</v>
      </c>
      <c r="G251" s="3">
        <v>46073</v>
      </c>
      <c r="H251" t="s">
        <v>26</v>
      </c>
      <c r="I251" s="4" t="str">
        <f t="shared" si="35"/>
        <v>Retirement Annuity</v>
      </c>
      <c r="J251" t="str">
        <f>IF(LEFT(I251)="L","Compulsory, LA",IF(LEFT(I251)="R","Compulsory, RA",IF(LEFT(I251,2)="Pe","Compulsory, Pens",IF(LEFT(I251,2)="Pr","Compulsory, Prov","Voluntary"))))</f>
        <v>Compulsory, RA</v>
      </c>
      <c r="K251" t="s">
        <v>15</v>
      </c>
    </row>
    <row r="252" spans="1:14" x14ac:dyDescent="0.3">
      <c r="A252">
        <v>100317997</v>
      </c>
      <c r="B252" t="s">
        <v>1186</v>
      </c>
      <c r="C252">
        <v>32</v>
      </c>
      <c r="D252" t="s">
        <v>96</v>
      </c>
      <c r="E252" t="s">
        <v>1108</v>
      </c>
      <c r="F252" s="26">
        <v>1393.1799999999998</v>
      </c>
      <c r="G252" s="3">
        <v>46073</v>
      </c>
      <c r="H252" t="s">
        <v>1174</v>
      </c>
      <c r="I252" s="4" t="str">
        <f t="shared" si="35"/>
        <v>Retirement Annuity - Savings C</v>
      </c>
      <c r="J252" t="str">
        <f>IF(LEFT(I252)="L","Compulsory, LA",IF(LEFT(I252)="R","Compulsory, RA",IF(LEFT(I252,2)="Pe","Compulsory, Pens","Voluntary")))</f>
        <v>Compulsory, RA</v>
      </c>
      <c r="K252" t="s">
        <v>15</v>
      </c>
    </row>
    <row r="253" spans="1:14" x14ac:dyDescent="0.3">
      <c r="A253">
        <v>100325823</v>
      </c>
      <c r="B253" t="s">
        <v>705</v>
      </c>
      <c r="C253">
        <v>114</v>
      </c>
      <c r="D253" t="s">
        <v>97</v>
      </c>
      <c r="E253" t="s">
        <v>1240</v>
      </c>
      <c r="F253" s="25">
        <v>268332.84999999998</v>
      </c>
      <c r="G253" s="3">
        <v>46073</v>
      </c>
      <c r="H253" t="s">
        <v>14</v>
      </c>
      <c r="I253" s="4" t="str">
        <f t="shared" si="35"/>
        <v>Living Annuity</v>
      </c>
      <c r="J253" t="str">
        <f t="shared" ref="J253:J280" si="36">IF(LEFT(I253)="L","Compulsory, LA",IF(LEFT(I253)="R","Compulsory, RA",IF(LEFT(I253,2)="Pe","Compulsory, Pens",IF(LEFT(I253,2)="Pr","Compulsory, Prov","Voluntary"))))</f>
        <v>Compulsory, LA</v>
      </c>
      <c r="K253" t="s">
        <v>15</v>
      </c>
    </row>
    <row r="254" spans="1:14" x14ac:dyDescent="0.3">
      <c r="A254">
        <v>100325823</v>
      </c>
      <c r="B254" t="s">
        <v>705</v>
      </c>
      <c r="C254">
        <v>114</v>
      </c>
      <c r="D254" t="s">
        <v>97</v>
      </c>
      <c r="E254" t="s">
        <v>1239</v>
      </c>
      <c r="F254" s="25">
        <v>199.68</v>
      </c>
      <c r="G254" s="3">
        <v>46073</v>
      </c>
      <c r="H254" t="s">
        <v>14</v>
      </c>
      <c r="I254" s="4" t="str">
        <f t="shared" si="35"/>
        <v>Living Annuity</v>
      </c>
      <c r="J254" t="str">
        <f t="shared" si="36"/>
        <v>Compulsory, LA</v>
      </c>
      <c r="K254" t="s">
        <v>15</v>
      </c>
    </row>
    <row r="255" spans="1:14" x14ac:dyDescent="0.3">
      <c r="A255">
        <v>100325823</v>
      </c>
      <c r="B255" t="s">
        <v>705</v>
      </c>
      <c r="C255">
        <v>114</v>
      </c>
      <c r="D255" t="s">
        <v>97</v>
      </c>
      <c r="E255" t="s">
        <v>730</v>
      </c>
      <c r="F255" s="25">
        <v>732009.04</v>
      </c>
      <c r="G255" s="3">
        <v>46073</v>
      </c>
      <c r="H255" t="s">
        <v>14</v>
      </c>
      <c r="I255" s="4" t="str">
        <f t="shared" si="35"/>
        <v>Living Annuity</v>
      </c>
      <c r="J255" t="str">
        <f t="shared" si="36"/>
        <v>Compulsory, LA</v>
      </c>
      <c r="K255" t="s">
        <v>15</v>
      </c>
    </row>
    <row r="256" spans="1:14" x14ac:dyDescent="0.3">
      <c r="A256">
        <v>100325823</v>
      </c>
      <c r="B256" t="s">
        <v>705</v>
      </c>
      <c r="C256">
        <v>114</v>
      </c>
      <c r="D256" t="s">
        <v>97</v>
      </c>
      <c r="E256" t="s">
        <v>729</v>
      </c>
      <c r="F256" s="25">
        <v>156990.15000000002</v>
      </c>
      <c r="G256" s="3">
        <v>46073</v>
      </c>
      <c r="H256" t="s">
        <v>14</v>
      </c>
      <c r="I256" s="4" t="str">
        <f t="shared" si="35"/>
        <v>Living Annuity</v>
      </c>
      <c r="J256" t="str">
        <f t="shared" si="36"/>
        <v>Compulsory, LA</v>
      </c>
      <c r="K256" t="s">
        <v>15</v>
      </c>
    </row>
    <row r="257" spans="1:11" x14ac:dyDescent="0.3">
      <c r="A257">
        <v>100376880</v>
      </c>
      <c r="B257" t="s">
        <v>619</v>
      </c>
      <c r="C257">
        <v>97</v>
      </c>
      <c r="D257" t="s">
        <v>618</v>
      </c>
      <c r="E257" t="s">
        <v>729</v>
      </c>
      <c r="F257" s="26">
        <v>367185.35</v>
      </c>
      <c r="G257" s="3">
        <v>46073</v>
      </c>
      <c r="H257" t="s">
        <v>31</v>
      </c>
      <c r="I257" s="4" t="str">
        <f t="shared" si="35"/>
        <v>Investment Account</v>
      </c>
      <c r="J257" t="str">
        <f t="shared" si="36"/>
        <v>Voluntary</v>
      </c>
      <c r="K257" t="s">
        <v>15</v>
      </c>
    </row>
    <row r="258" spans="1:11" x14ac:dyDescent="0.3">
      <c r="A258" s="4">
        <v>100376880</v>
      </c>
      <c r="B258" t="s">
        <v>98</v>
      </c>
      <c r="C258">
        <v>97</v>
      </c>
      <c r="D258" s="4" t="s">
        <v>99</v>
      </c>
      <c r="E258" t="s">
        <v>1240</v>
      </c>
      <c r="F258" s="25">
        <v>6817.9</v>
      </c>
      <c r="G258" s="3">
        <v>46073</v>
      </c>
      <c r="H258" t="s">
        <v>14</v>
      </c>
      <c r="I258" s="4" t="str">
        <f t="shared" si="35"/>
        <v>Living Annuity</v>
      </c>
      <c r="J258" t="str">
        <f t="shared" si="36"/>
        <v>Compulsory, LA</v>
      </c>
      <c r="K258" t="s">
        <v>15</v>
      </c>
    </row>
    <row r="259" spans="1:11" x14ac:dyDescent="0.3">
      <c r="A259" s="4">
        <v>100376880</v>
      </c>
      <c r="B259" t="s">
        <v>98</v>
      </c>
      <c r="C259">
        <v>97</v>
      </c>
      <c r="D259" s="4" t="s">
        <v>99</v>
      </c>
      <c r="E259" t="s">
        <v>730</v>
      </c>
      <c r="F259" s="25">
        <v>22179.07</v>
      </c>
      <c r="G259" s="3">
        <v>46073</v>
      </c>
      <c r="H259" t="s">
        <v>14</v>
      </c>
      <c r="I259" s="4" t="str">
        <f t="shared" si="35"/>
        <v>Living Annuity</v>
      </c>
      <c r="J259" t="str">
        <f t="shared" si="36"/>
        <v>Compulsory, LA</v>
      </c>
      <c r="K259" t="s">
        <v>15</v>
      </c>
    </row>
    <row r="260" spans="1:11" x14ac:dyDescent="0.3">
      <c r="A260" s="4">
        <v>100376880</v>
      </c>
      <c r="B260" t="s">
        <v>98</v>
      </c>
      <c r="C260">
        <v>97</v>
      </c>
      <c r="D260" s="4" t="s">
        <v>99</v>
      </c>
      <c r="E260" t="s">
        <v>729</v>
      </c>
      <c r="F260" s="25">
        <v>494.11</v>
      </c>
      <c r="G260" s="3">
        <v>46073</v>
      </c>
      <c r="H260" t="s">
        <v>14</v>
      </c>
      <c r="I260" s="4" t="str">
        <f t="shared" si="35"/>
        <v>Living Annuity</v>
      </c>
      <c r="J260" t="str">
        <f t="shared" si="36"/>
        <v>Compulsory, LA</v>
      </c>
      <c r="K260" t="s">
        <v>15</v>
      </c>
    </row>
    <row r="261" spans="1:11" x14ac:dyDescent="0.3">
      <c r="A261" s="4">
        <v>100376880</v>
      </c>
      <c r="B261" t="s">
        <v>1244</v>
      </c>
      <c r="C261">
        <v>97</v>
      </c>
      <c r="D261" s="4" t="s">
        <v>99</v>
      </c>
      <c r="E261" t="s">
        <v>1256</v>
      </c>
      <c r="F261" s="25">
        <v>14381.45</v>
      </c>
      <c r="G261" s="3">
        <v>46073</v>
      </c>
      <c r="H261" t="s">
        <v>14</v>
      </c>
      <c r="I261" s="4" t="str">
        <f t="shared" ref="I261" si="37">MID(H261,6,30)</f>
        <v>Living Annuity</v>
      </c>
      <c r="J261" t="str">
        <f t="shared" ref="J261" si="38">IF(LEFT(I261)="L","Compulsory, LA",IF(LEFT(I261)="R","Compulsory, RA",IF(LEFT(I261,2)="Pe","Compulsory, Pens",IF(LEFT(I261,2)="Pr","Compulsory, Prov","Voluntary"))))</f>
        <v>Compulsory, LA</v>
      </c>
      <c r="K261" t="s">
        <v>15</v>
      </c>
    </row>
    <row r="262" spans="1:11" x14ac:dyDescent="0.3">
      <c r="A262">
        <v>100388471</v>
      </c>
      <c r="B262" t="s">
        <v>100</v>
      </c>
      <c r="C262">
        <v>3</v>
      </c>
      <c r="D262" t="s">
        <v>101</v>
      </c>
      <c r="E262" t="s">
        <v>1240</v>
      </c>
      <c r="F262" s="25">
        <v>105813.37</v>
      </c>
      <c r="G262" s="3">
        <v>46073</v>
      </c>
      <c r="H262" t="s">
        <v>14</v>
      </c>
      <c r="I262" s="4" t="str">
        <f t="shared" ref="I262:I293" si="39">MID(H262,6,30)</f>
        <v>Living Annuity</v>
      </c>
      <c r="J262" t="str">
        <f t="shared" si="36"/>
        <v>Compulsory, LA</v>
      </c>
      <c r="K262" t="s">
        <v>15</v>
      </c>
    </row>
    <row r="263" spans="1:11" x14ac:dyDescent="0.3">
      <c r="A263">
        <v>100388471</v>
      </c>
      <c r="B263" t="s">
        <v>100</v>
      </c>
      <c r="C263">
        <v>3</v>
      </c>
      <c r="D263" t="s">
        <v>101</v>
      </c>
      <c r="E263" t="s">
        <v>730</v>
      </c>
      <c r="F263" s="25">
        <v>735163.78</v>
      </c>
      <c r="G263" s="3">
        <v>46073</v>
      </c>
      <c r="H263" t="s">
        <v>14</v>
      </c>
      <c r="I263" s="4" t="str">
        <f t="shared" si="39"/>
        <v>Living Annuity</v>
      </c>
      <c r="J263" t="str">
        <f t="shared" si="36"/>
        <v>Compulsory, LA</v>
      </c>
      <c r="K263" t="s">
        <v>15</v>
      </c>
    </row>
    <row r="264" spans="1:11" x14ac:dyDescent="0.3">
      <c r="A264">
        <v>100388471</v>
      </c>
      <c r="B264" t="s">
        <v>100</v>
      </c>
      <c r="C264">
        <v>3</v>
      </c>
      <c r="D264" t="s">
        <v>101</v>
      </c>
      <c r="E264" t="s">
        <v>729</v>
      </c>
      <c r="F264" s="25">
        <v>149090.38</v>
      </c>
      <c r="G264" s="3">
        <v>46073</v>
      </c>
      <c r="H264" t="s">
        <v>14</v>
      </c>
      <c r="I264" s="4" t="str">
        <f t="shared" si="39"/>
        <v>Living Annuity</v>
      </c>
      <c r="J264" t="str">
        <f t="shared" si="36"/>
        <v>Compulsory, LA</v>
      </c>
      <c r="K264" t="s">
        <v>15</v>
      </c>
    </row>
    <row r="265" spans="1:11" x14ac:dyDescent="0.3">
      <c r="A265">
        <v>100388471</v>
      </c>
      <c r="B265" t="s">
        <v>827</v>
      </c>
      <c r="C265">
        <v>3</v>
      </c>
      <c r="D265" t="s">
        <v>101</v>
      </c>
      <c r="E265" t="s">
        <v>1240</v>
      </c>
      <c r="F265" s="25">
        <v>8566.42</v>
      </c>
      <c r="G265" s="3">
        <v>46073</v>
      </c>
      <c r="H265" t="s">
        <v>14</v>
      </c>
      <c r="I265" s="4" t="str">
        <f t="shared" si="39"/>
        <v>Living Annuity</v>
      </c>
      <c r="J265" t="str">
        <f t="shared" si="36"/>
        <v>Compulsory, LA</v>
      </c>
      <c r="K265" t="s">
        <v>15</v>
      </c>
    </row>
    <row r="266" spans="1:11" x14ac:dyDescent="0.3">
      <c r="A266">
        <v>100388471</v>
      </c>
      <c r="B266" t="s">
        <v>827</v>
      </c>
      <c r="C266">
        <v>3</v>
      </c>
      <c r="D266" t="s">
        <v>101</v>
      </c>
      <c r="E266" t="s">
        <v>730</v>
      </c>
      <c r="F266" s="25">
        <v>28442.07</v>
      </c>
      <c r="G266" s="3">
        <v>46073</v>
      </c>
      <c r="H266" t="s">
        <v>14</v>
      </c>
      <c r="I266" s="4" t="str">
        <f t="shared" si="39"/>
        <v>Living Annuity</v>
      </c>
      <c r="J266" t="str">
        <f t="shared" si="36"/>
        <v>Compulsory, LA</v>
      </c>
      <c r="K266" t="s">
        <v>15</v>
      </c>
    </row>
    <row r="267" spans="1:11" x14ac:dyDescent="0.3">
      <c r="A267">
        <v>100388471</v>
      </c>
      <c r="B267" t="s">
        <v>827</v>
      </c>
      <c r="C267">
        <v>3</v>
      </c>
      <c r="D267" t="s">
        <v>101</v>
      </c>
      <c r="E267" t="s">
        <v>729</v>
      </c>
      <c r="F267" s="25">
        <v>21487.67</v>
      </c>
      <c r="G267" s="3">
        <v>46073</v>
      </c>
      <c r="H267" t="s">
        <v>14</v>
      </c>
      <c r="I267" s="4" t="str">
        <f t="shared" si="39"/>
        <v>Living Annuity</v>
      </c>
      <c r="J267" t="str">
        <f t="shared" si="36"/>
        <v>Compulsory, LA</v>
      </c>
      <c r="K267" t="s">
        <v>15</v>
      </c>
    </row>
    <row r="268" spans="1:11" x14ac:dyDescent="0.3">
      <c r="A268">
        <v>100408912</v>
      </c>
      <c r="B268" t="s">
        <v>102</v>
      </c>
      <c r="C268">
        <v>297</v>
      </c>
      <c r="D268" t="s">
        <v>103</v>
      </c>
      <c r="E268" t="s">
        <v>1240</v>
      </c>
      <c r="F268" s="25">
        <v>332816.05</v>
      </c>
      <c r="G268" s="3">
        <v>46073</v>
      </c>
      <c r="H268" t="s">
        <v>14</v>
      </c>
      <c r="I268" s="4" t="str">
        <f t="shared" si="39"/>
        <v>Living Annuity</v>
      </c>
      <c r="J268" t="str">
        <f t="shared" si="36"/>
        <v>Compulsory, LA</v>
      </c>
      <c r="K268" t="s">
        <v>15</v>
      </c>
    </row>
    <row r="269" spans="1:11" x14ac:dyDescent="0.3">
      <c r="A269">
        <v>100408912</v>
      </c>
      <c r="B269" t="s">
        <v>102</v>
      </c>
      <c r="C269">
        <v>297</v>
      </c>
      <c r="D269" t="s">
        <v>103</v>
      </c>
      <c r="E269" t="s">
        <v>1239</v>
      </c>
      <c r="F269" s="25">
        <v>848.35</v>
      </c>
      <c r="G269" s="3">
        <v>46073</v>
      </c>
      <c r="H269" t="s">
        <v>14</v>
      </c>
      <c r="I269" s="4" t="str">
        <f t="shared" si="39"/>
        <v>Living Annuity</v>
      </c>
      <c r="J269" t="str">
        <f t="shared" si="36"/>
        <v>Compulsory, LA</v>
      </c>
      <c r="K269" t="s">
        <v>15</v>
      </c>
    </row>
    <row r="270" spans="1:11" x14ac:dyDescent="0.3">
      <c r="A270">
        <v>100408912</v>
      </c>
      <c r="B270" t="s">
        <v>102</v>
      </c>
      <c r="C270">
        <v>297</v>
      </c>
      <c r="D270" t="s">
        <v>103</v>
      </c>
      <c r="E270" t="s">
        <v>730</v>
      </c>
      <c r="F270" s="25">
        <v>395581.74</v>
      </c>
      <c r="G270" s="3">
        <v>46073</v>
      </c>
      <c r="H270" t="s">
        <v>14</v>
      </c>
      <c r="I270" s="4" t="str">
        <f t="shared" si="39"/>
        <v>Living Annuity</v>
      </c>
      <c r="J270" t="str">
        <f t="shared" si="36"/>
        <v>Compulsory, LA</v>
      </c>
      <c r="K270" t="s">
        <v>15</v>
      </c>
    </row>
    <row r="271" spans="1:11" x14ac:dyDescent="0.3">
      <c r="A271">
        <v>100408912</v>
      </c>
      <c r="B271" t="s">
        <v>102</v>
      </c>
      <c r="C271">
        <v>297</v>
      </c>
      <c r="D271" t="s">
        <v>103</v>
      </c>
      <c r="E271" t="s">
        <v>729</v>
      </c>
      <c r="F271" s="25">
        <v>5573.15</v>
      </c>
      <c r="G271" s="3">
        <v>46073</v>
      </c>
      <c r="H271" t="s">
        <v>14</v>
      </c>
      <c r="I271" s="4" t="str">
        <f t="shared" si="39"/>
        <v>Living Annuity</v>
      </c>
      <c r="J271" t="str">
        <f t="shared" si="36"/>
        <v>Compulsory, LA</v>
      </c>
      <c r="K271" t="s">
        <v>15</v>
      </c>
    </row>
    <row r="272" spans="1:11" x14ac:dyDescent="0.3">
      <c r="A272">
        <v>100421069</v>
      </c>
      <c r="B272" t="s">
        <v>129</v>
      </c>
      <c r="C272">
        <v>37</v>
      </c>
      <c r="D272" t="s">
        <v>105</v>
      </c>
      <c r="E272" t="s">
        <v>1239</v>
      </c>
      <c r="F272" s="26">
        <v>172753</v>
      </c>
      <c r="G272" s="3">
        <v>46073</v>
      </c>
      <c r="H272" t="s">
        <v>31</v>
      </c>
      <c r="I272" s="4" t="str">
        <f t="shared" si="39"/>
        <v>Investment Account</v>
      </c>
      <c r="J272" t="str">
        <f t="shared" si="36"/>
        <v>Voluntary</v>
      </c>
      <c r="K272" t="s">
        <v>15</v>
      </c>
    </row>
    <row r="273" spans="1:11" x14ac:dyDescent="0.3">
      <c r="A273">
        <v>100421069</v>
      </c>
      <c r="B273" t="s">
        <v>129</v>
      </c>
      <c r="C273">
        <v>37</v>
      </c>
      <c r="D273" t="s">
        <v>105</v>
      </c>
      <c r="E273" t="s">
        <v>1243</v>
      </c>
      <c r="F273" s="26">
        <v>44171.44</v>
      </c>
      <c r="G273" s="3">
        <v>46073</v>
      </c>
      <c r="H273" t="s">
        <v>31</v>
      </c>
      <c r="I273" s="4" t="str">
        <f t="shared" si="39"/>
        <v>Investment Account</v>
      </c>
      <c r="J273" t="str">
        <f t="shared" si="36"/>
        <v>Voluntary</v>
      </c>
      <c r="K273" t="s">
        <v>15</v>
      </c>
    </row>
    <row r="274" spans="1:11" x14ac:dyDescent="0.3">
      <c r="A274">
        <v>100421069</v>
      </c>
      <c r="B274" t="s">
        <v>104</v>
      </c>
      <c r="C274">
        <v>37</v>
      </c>
      <c r="D274" t="s">
        <v>105</v>
      </c>
      <c r="E274" t="s">
        <v>1240</v>
      </c>
      <c r="F274" s="25">
        <v>63611.500000000007</v>
      </c>
      <c r="G274" s="3">
        <v>46073</v>
      </c>
      <c r="H274" t="s">
        <v>14</v>
      </c>
      <c r="I274" s="4" t="str">
        <f t="shared" si="39"/>
        <v>Living Annuity</v>
      </c>
      <c r="J274" t="str">
        <f t="shared" si="36"/>
        <v>Compulsory, LA</v>
      </c>
      <c r="K274" t="s">
        <v>15</v>
      </c>
    </row>
    <row r="275" spans="1:11" x14ac:dyDescent="0.3">
      <c r="A275">
        <v>100421069</v>
      </c>
      <c r="B275" t="s">
        <v>104</v>
      </c>
      <c r="C275">
        <v>37</v>
      </c>
      <c r="D275" t="s">
        <v>105</v>
      </c>
      <c r="E275" t="s">
        <v>1239</v>
      </c>
      <c r="F275" s="25">
        <v>450.81</v>
      </c>
      <c r="G275" s="3">
        <v>46073</v>
      </c>
      <c r="H275" t="s">
        <v>14</v>
      </c>
      <c r="I275" s="4" t="str">
        <f t="shared" si="39"/>
        <v>Living Annuity</v>
      </c>
      <c r="J275" t="str">
        <f t="shared" si="36"/>
        <v>Compulsory, LA</v>
      </c>
      <c r="K275" t="s">
        <v>15</v>
      </c>
    </row>
    <row r="276" spans="1:11" x14ac:dyDescent="0.3">
      <c r="A276">
        <v>100421069</v>
      </c>
      <c r="B276" t="s">
        <v>104</v>
      </c>
      <c r="C276">
        <v>37</v>
      </c>
      <c r="D276" t="s">
        <v>105</v>
      </c>
      <c r="E276" t="s">
        <v>730</v>
      </c>
      <c r="F276" s="25">
        <v>231697.02000000002</v>
      </c>
      <c r="G276" s="3">
        <v>46073</v>
      </c>
      <c r="H276" t="s">
        <v>14</v>
      </c>
      <c r="I276" s="4" t="str">
        <f t="shared" si="39"/>
        <v>Living Annuity</v>
      </c>
      <c r="J276" t="str">
        <f t="shared" si="36"/>
        <v>Compulsory, LA</v>
      </c>
      <c r="K276" t="s">
        <v>15</v>
      </c>
    </row>
    <row r="277" spans="1:11" x14ac:dyDescent="0.3">
      <c r="A277">
        <v>100421069</v>
      </c>
      <c r="B277" t="s">
        <v>104</v>
      </c>
      <c r="C277">
        <v>37</v>
      </c>
      <c r="D277" t="s">
        <v>105</v>
      </c>
      <c r="E277" t="s">
        <v>729</v>
      </c>
      <c r="F277" s="25">
        <v>41555.97</v>
      </c>
      <c r="G277" s="3">
        <v>46073</v>
      </c>
      <c r="H277" t="s">
        <v>14</v>
      </c>
      <c r="I277" s="4" t="str">
        <f t="shared" si="39"/>
        <v>Living Annuity</v>
      </c>
      <c r="J277" t="str">
        <f t="shared" si="36"/>
        <v>Compulsory, LA</v>
      </c>
      <c r="K277" t="s">
        <v>15</v>
      </c>
    </row>
    <row r="278" spans="1:11" x14ac:dyDescent="0.3">
      <c r="A278">
        <v>100421069</v>
      </c>
      <c r="B278" t="s">
        <v>640</v>
      </c>
      <c r="C278">
        <v>37</v>
      </c>
      <c r="D278" t="s">
        <v>105</v>
      </c>
      <c r="E278" t="s">
        <v>1240</v>
      </c>
      <c r="F278" s="26">
        <v>27397.160000000003</v>
      </c>
      <c r="G278" s="3">
        <v>46073</v>
      </c>
      <c r="H278" t="s">
        <v>14</v>
      </c>
      <c r="I278" s="4" t="str">
        <f t="shared" si="39"/>
        <v>Living Annuity</v>
      </c>
      <c r="J278" t="str">
        <f t="shared" si="36"/>
        <v>Compulsory, LA</v>
      </c>
      <c r="K278" t="s">
        <v>15</v>
      </c>
    </row>
    <row r="279" spans="1:11" x14ac:dyDescent="0.3">
      <c r="A279">
        <v>100421069</v>
      </c>
      <c r="B279" t="s">
        <v>640</v>
      </c>
      <c r="C279">
        <v>37</v>
      </c>
      <c r="D279" t="s">
        <v>105</v>
      </c>
      <c r="E279" t="s">
        <v>730</v>
      </c>
      <c r="F279" s="26">
        <v>104399.88</v>
      </c>
      <c r="G279" s="3">
        <v>46073</v>
      </c>
      <c r="H279" t="s">
        <v>14</v>
      </c>
      <c r="I279" s="4" t="str">
        <f t="shared" si="39"/>
        <v>Living Annuity</v>
      </c>
      <c r="J279" t="str">
        <f t="shared" si="36"/>
        <v>Compulsory, LA</v>
      </c>
      <c r="K279" t="s">
        <v>15</v>
      </c>
    </row>
    <row r="280" spans="1:11" x14ac:dyDescent="0.3">
      <c r="A280">
        <v>100421069</v>
      </c>
      <c r="B280" t="s">
        <v>640</v>
      </c>
      <c r="C280">
        <v>37</v>
      </c>
      <c r="D280" t="s">
        <v>105</v>
      </c>
      <c r="E280" t="s">
        <v>729</v>
      </c>
      <c r="F280" s="26">
        <v>19812.77</v>
      </c>
      <c r="G280" s="3">
        <v>46073</v>
      </c>
      <c r="H280" t="s">
        <v>14</v>
      </c>
      <c r="I280" s="4" t="str">
        <f t="shared" si="39"/>
        <v>Living Annuity</v>
      </c>
      <c r="J280" t="str">
        <f t="shared" si="36"/>
        <v>Compulsory, LA</v>
      </c>
      <c r="K280" t="s">
        <v>15</v>
      </c>
    </row>
    <row r="281" spans="1:11" x14ac:dyDescent="0.3">
      <c r="A281">
        <v>100421069</v>
      </c>
      <c r="B281" t="s">
        <v>842</v>
      </c>
      <c r="C281">
        <v>37</v>
      </c>
      <c r="D281" t="s">
        <v>105</v>
      </c>
      <c r="E281" t="s">
        <v>1240</v>
      </c>
      <c r="F281" s="26">
        <v>34702.230000000003</v>
      </c>
      <c r="G281" s="3">
        <v>46073</v>
      </c>
      <c r="H281" t="s">
        <v>14</v>
      </c>
      <c r="I281" s="4" t="str">
        <f t="shared" si="39"/>
        <v>Living Annuity</v>
      </c>
      <c r="J281" t="str">
        <f t="shared" ref="J281:J286" si="40">IF(LEFT(I281)="L","Compulsory, LA",IF(LEFT(I281)="R","Compulsory, RA",IF(LEFT(I281,2)="Pe","Compulsory, Pens","Voluntary")))</f>
        <v>Compulsory, LA</v>
      </c>
      <c r="K281" t="s">
        <v>15</v>
      </c>
    </row>
    <row r="282" spans="1:11" x14ac:dyDescent="0.3">
      <c r="A282">
        <v>100421069</v>
      </c>
      <c r="B282" t="s">
        <v>842</v>
      </c>
      <c r="C282">
        <v>37</v>
      </c>
      <c r="D282" t="s">
        <v>105</v>
      </c>
      <c r="E282" t="s">
        <v>1239</v>
      </c>
      <c r="F282" s="26">
        <v>249.97</v>
      </c>
      <c r="G282" s="3">
        <v>46073</v>
      </c>
      <c r="H282" t="s">
        <v>14</v>
      </c>
      <c r="I282" s="4" t="str">
        <f t="shared" si="39"/>
        <v>Living Annuity</v>
      </c>
      <c r="J282" t="str">
        <f t="shared" si="40"/>
        <v>Compulsory, LA</v>
      </c>
      <c r="K282" t="s">
        <v>15</v>
      </c>
    </row>
    <row r="283" spans="1:11" x14ac:dyDescent="0.3">
      <c r="A283">
        <v>100421069</v>
      </c>
      <c r="B283" t="s">
        <v>842</v>
      </c>
      <c r="C283">
        <v>37</v>
      </c>
      <c r="D283" t="s">
        <v>105</v>
      </c>
      <c r="E283" t="s">
        <v>730</v>
      </c>
      <c r="F283" s="26">
        <v>124917.14</v>
      </c>
      <c r="G283" s="3">
        <v>46073</v>
      </c>
      <c r="H283" t="s">
        <v>14</v>
      </c>
      <c r="I283" s="4" t="str">
        <f t="shared" si="39"/>
        <v>Living Annuity</v>
      </c>
      <c r="J283" t="str">
        <f t="shared" si="40"/>
        <v>Compulsory, LA</v>
      </c>
      <c r="K283" t="s">
        <v>15</v>
      </c>
    </row>
    <row r="284" spans="1:11" x14ac:dyDescent="0.3">
      <c r="A284">
        <v>100421069</v>
      </c>
      <c r="B284" t="s">
        <v>842</v>
      </c>
      <c r="C284">
        <v>37</v>
      </c>
      <c r="D284" t="s">
        <v>105</v>
      </c>
      <c r="E284" t="s">
        <v>729</v>
      </c>
      <c r="F284" s="26">
        <v>23557.879999999997</v>
      </c>
      <c r="G284" s="3">
        <v>46073</v>
      </c>
      <c r="H284" t="s">
        <v>14</v>
      </c>
      <c r="I284" s="4" t="str">
        <f t="shared" si="39"/>
        <v>Living Annuity</v>
      </c>
      <c r="J284" t="str">
        <f t="shared" si="40"/>
        <v>Compulsory, LA</v>
      </c>
      <c r="K284" t="s">
        <v>15</v>
      </c>
    </row>
    <row r="285" spans="1:11" x14ac:dyDescent="0.3">
      <c r="A285">
        <v>100463771</v>
      </c>
      <c r="B285" t="s">
        <v>837</v>
      </c>
      <c r="C285">
        <v>42</v>
      </c>
      <c r="D285" t="s">
        <v>726</v>
      </c>
      <c r="E285" t="s">
        <v>1239</v>
      </c>
      <c r="F285" s="26">
        <v>1542.67</v>
      </c>
      <c r="G285" s="3">
        <v>46073</v>
      </c>
      <c r="H285" t="s">
        <v>31</v>
      </c>
      <c r="I285" s="4" t="str">
        <f t="shared" si="39"/>
        <v>Investment Account</v>
      </c>
      <c r="J285" t="str">
        <f t="shared" si="40"/>
        <v>Voluntary</v>
      </c>
      <c r="K285" t="s">
        <v>15</v>
      </c>
    </row>
    <row r="286" spans="1:11" x14ac:dyDescent="0.3">
      <c r="A286">
        <v>100463771</v>
      </c>
      <c r="B286" t="s">
        <v>837</v>
      </c>
      <c r="C286">
        <v>42</v>
      </c>
      <c r="D286" t="s">
        <v>726</v>
      </c>
      <c r="E286" t="s">
        <v>1243</v>
      </c>
      <c r="F286" s="26">
        <v>1565.7</v>
      </c>
      <c r="G286" s="3">
        <v>46073</v>
      </c>
      <c r="H286" t="s">
        <v>31</v>
      </c>
      <c r="I286" s="4" t="str">
        <f t="shared" si="39"/>
        <v>Investment Account</v>
      </c>
      <c r="J286" t="str">
        <f t="shared" si="40"/>
        <v>Voluntary</v>
      </c>
      <c r="K286" t="s">
        <v>15</v>
      </c>
    </row>
    <row r="287" spans="1:11" x14ac:dyDescent="0.3">
      <c r="A287" s="7">
        <v>100489695</v>
      </c>
      <c r="B287" t="s">
        <v>135</v>
      </c>
      <c r="C287">
        <v>294</v>
      </c>
      <c r="D287" t="s">
        <v>136</v>
      </c>
      <c r="E287" t="s">
        <v>1240</v>
      </c>
      <c r="F287" s="26">
        <v>550891.28</v>
      </c>
      <c r="G287" s="3">
        <v>46073</v>
      </c>
      <c r="H287" t="s">
        <v>31</v>
      </c>
      <c r="I287" s="4" t="str">
        <f t="shared" si="39"/>
        <v>Investment Account</v>
      </c>
      <c r="J287" t="str">
        <f t="shared" ref="J287:J297" si="41">IF(LEFT(I287)="L","Compulsory, LA",IF(LEFT(I287)="R","Compulsory, RA",IF(LEFT(I287,2)="Pe","Compulsory, Pens",IF(LEFT(I287,2)="Pr","Compulsory, Prov","Voluntary"))))</f>
        <v>Voluntary</v>
      </c>
      <c r="K287" t="s">
        <v>15</v>
      </c>
    </row>
    <row r="288" spans="1:11" x14ac:dyDescent="0.3">
      <c r="A288" s="7">
        <v>100489695</v>
      </c>
      <c r="B288" t="s">
        <v>135</v>
      </c>
      <c r="C288">
        <v>294</v>
      </c>
      <c r="D288" t="s">
        <v>136</v>
      </c>
      <c r="E288" t="s">
        <v>730</v>
      </c>
      <c r="F288" s="26">
        <v>839711.83000000007</v>
      </c>
      <c r="G288" s="3">
        <v>46073</v>
      </c>
      <c r="H288" t="s">
        <v>31</v>
      </c>
      <c r="I288" s="4" t="str">
        <f t="shared" si="39"/>
        <v>Investment Account</v>
      </c>
      <c r="J288" t="str">
        <f t="shared" si="41"/>
        <v>Voluntary</v>
      </c>
      <c r="K288" t="s">
        <v>15</v>
      </c>
    </row>
    <row r="289" spans="1:11" x14ac:dyDescent="0.3">
      <c r="A289" s="7">
        <v>100489695</v>
      </c>
      <c r="B289" t="s">
        <v>135</v>
      </c>
      <c r="C289">
        <v>294</v>
      </c>
      <c r="D289" t="s">
        <v>136</v>
      </c>
      <c r="E289" t="s">
        <v>729</v>
      </c>
      <c r="F289" s="26">
        <v>239928.48000000004</v>
      </c>
      <c r="G289" s="3">
        <v>46073</v>
      </c>
      <c r="H289" t="s">
        <v>31</v>
      </c>
      <c r="I289" s="4" t="str">
        <f t="shared" si="39"/>
        <v>Investment Account</v>
      </c>
      <c r="J289" t="str">
        <f t="shared" si="41"/>
        <v>Voluntary</v>
      </c>
      <c r="K289" t="s">
        <v>15</v>
      </c>
    </row>
    <row r="290" spans="1:11" x14ac:dyDescent="0.3">
      <c r="A290">
        <v>100492707</v>
      </c>
      <c r="B290" t="s">
        <v>106</v>
      </c>
      <c r="C290">
        <v>233</v>
      </c>
      <c r="D290" t="s">
        <v>107</v>
      </c>
      <c r="E290" t="s">
        <v>1240</v>
      </c>
      <c r="F290" s="25">
        <v>31813.43</v>
      </c>
      <c r="G290" s="3">
        <v>46073</v>
      </c>
      <c r="H290" t="s">
        <v>14</v>
      </c>
      <c r="I290" s="4" t="str">
        <f t="shared" si="39"/>
        <v>Living Annuity</v>
      </c>
      <c r="J290" t="str">
        <f t="shared" si="41"/>
        <v>Compulsory, LA</v>
      </c>
      <c r="K290" t="s">
        <v>15</v>
      </c>
    </row>
    <row r="291" spans="1:11" x14ac:dyDescent="0.3">
      <c r="A291">
        <v>100492707</v>
      </c>
      <c r="B291" t="s">
        <v>106</v>
      </c>
      <c r="C291">
        <v>233</v>
      </c>
      <c r="D291" t="s">
        <v>107</v>
      </c>
      <c r="E291" t="s">
        <v>1239</v>
      </c>
      <c r="F291" s="25">
        <v>309.89</v>
      </c>
      <c r="G291" s="3">
        <v>46073</v>
      </c>
      <c r="H291" t="s">
        <v>14</v>
      </c>
      <c r="I291" s="4" t="str">
        <f t="shared" si="39"/>
        <v>Living Annuity</v>
      </c>
      <c r="J291" t="str">
        <f t="shared" si="41"/>
        <v>Compulsory, LA</v>
      </c>
      <c r="K291" t="s">
        <v>15</v>
      </c>
    </row>
    <row r="292" spans="1:11" x14ac:dyDescent="0.3">
      <c r="A292">
        <v>100492707</v>
      </c>
      <c r="B292" t="s">
        <v>106</v>
      </c>
      <c r="C292">
        <v>233</v>
      </c>
      <c r="D292" t="s">
        <v>107</v>
      </c>
      <c r="E292" t="s">
        <v>730</v>
      </c>
      <c r="F292" s="25">
        <v>198134.83</v>
      </c>
      <c r="G292" s="3">
        <v>46073</v>
      </c>
      <c r="H292" t="s">
        <v>14</v>
      </c>
      <c r="I292" s="4" t="str">
        <f t="shared" si="39"/>
        <v>Living Annuity</v>
      </c>
      <c r="J292" t="str">
        <f t="shared" si="41"/>
        <v>Compulsory, LA</v>
      </c>
      <c r="K292" t="s">
        <v>15</v>
      </c>
    </row>
    <row r="293" spans="1:11" x14ac:dyDescent="0.3">
      <c r="A293">
        <v>100492707</v>
      </c>
      <c r="B293" t="s">
        <v>106</v>
      </c>
      <c r="C293">
        <v>233</v>
      </c>
      <c r="D293" t="s">
        <v>107</v>
      </c>
      <c r="E293" t="s">
        <v>729</v>
      </c>
      <c r="F293" s="25">
        <v>39372.33</v>
      </c>
      <c r="G293" s="3">
        <v>46073</v>
      </c>
      <c r="H293" t="s">
        <v>14</v>
      </c>
      <c r="I293" s="4" t="str">
        <f t="shared" si="39"/>
        <v>Living Annuity</v>
      </c>
      <c r="J293" t="str">
        <f t="shared" si="41"/>
        <v>Compulsory, LA</v>
      </c>
      <c r="K293" t="s">
        <v>15</v>
      </c>
    </row>
    <row r="294" spans="1:11" x14ac:dyDescent="0.3">
      <c r="A294">
        <v>100492707</v>
      </c>
      <c r="B294" t="s">
        <v>1173</v>
      </c>
      <c r="C294">
        <v>233</v>
      </c>
      <c r="D294" t="s">
        <v>107</v>
      </c>
      <c r="E294" t="s">
        <v>1240</v>
      </c>
      <c r="F294" s="25">
        <v>452596.24</v>
      </c>
      <c r="G294" s="3">
        <v>46073</v>
      </c>
      <c r="H294" t="s">
        <v>14</v>
      </c>
      <c r="I294" s="4" t="str">
        <f t="shared" ref="I294:I324" si="42">MID(H294,6,30)</f>
        <v>Living Annuity</v>
      </c>
      <c r="J294" t="str">
        <f t="shared" si="41"/>
        <v>Compulsory, LA</v>
      </c>
      <c r="K294" t="s">
        <v>15</v>
      </c>
    </row>
    <row r="295" spans="1:11" x14ac:dyDescent="0.3">
      <c r="A295">
        <v>100492707</v>
      </c>
      <c r="B295" t="s">
        <v>1173</v>
      </c>
      <c r="C295">
        <v>233</v>
      </c>
      <c r="D295" t="s">
        <v>107</v>
      </c>
      <c r="E295" t="s">
        <v>730</v>
      </c>
      <c r="F295" s="25">
        <v>1650301.5299999998</v>
      </c>
      <c r="G295" s="3">
        <v>46073</v>
      </c>
      <c r="H295" t="s">
        <v>14</v>
      </c>
      <c r="I295" s="4" t="str">
        <f t="shared" si="42"/>
        <v>Living Annuity</v>
      </c>
      <c r="J295" t="str">
        <f t="shared" si="41"/>
        <v>Compulsory, LA</v>
      </c>
      <c r="K295" t="s">
        <v>15</v>
      </c>
    </row>
    <row r="296" spans="1:11" x14ac:dyDescent="0.3">
      <c r="A296">
        <v>100492707</v>
      </c>
      <c r="B296" t="s">
        <v>1173</v>
      </c>
      <c r="C296">
        <v>233</v>
      </c>
      <c r="D296" t="s">
        <v>107</v>
      </c>
      <c r="E296" t="s">
        <v>729</v>
      </c>
      <c r="F296" s="25">
        <v>102609.13</v>
      </c>
      <c r="G296" s="3">
        <v>46073</v>
      </c>
      <c r="H296" t="s">
        <v>14</v>
      </c>
      <c r="I296" s="4" t="str">
        <f t="shared" si="42"/>
        <v>Living Annuity</v>
      </c>
      <c r="J296" t="str">
        <f t="shared" si="41"/>
        <v>Compulsory, LA</v>
      </c>
      <c r="K296" t="s">
        <v>15</v>
      </c>
    </row>
    <row r="297" spans="1:11" x14ac:dyDescent="0.3">
      <c r="A297">
        <v>100497270</v>
      </c>
      <c r="B297" t="s">
        <v>108</v>
      </c>
      <c r="C297">
        <v>364</v>
      </c>
      <c r="D297" t="s">
        <v>109</v>
      </c>
      <c r="E297" t="s">
        <v>1108</v>
      </c>
      <c r="F297" s="25">
        <v>110443.77</v>
      </c>
      <c r="G297" s="3">
        <v>46073</v>
      </c>
      <c r="H297" t="s">
        <v>26</v>
      </c>
      <c r="I297" s="4" t="str">
        <f t="shared" si="42"/>
        <v>Retirement Annuity</v>
      </c>
      <c r="J297" t="str">
        <f t="shared" si="41"/>
        <v>Compulsory, RA</v>
      </c>
      <c r="K297" t="s">
        <v>15</v>
      </c>
    </row>
    <row r="298" spans="1:11" x14ac:dyDescent="0.3">
      <c r="A298">
        <v>100497270</v>
      </c>
      <c r="B298" t="s">
        <v>1211</v>
      </c>
      <c r="C298">
        <v>364</v>
      </c>
      <c r="D298" t="s">
        <v>109</v>
      </c>
      <c r="E298" t="s">
        <v>1108</v>
      </c>
      <c r="F298" s="26">
        <v>12176.67</v>
      </c>
      <c r="G298" s="3">
        <v>46073</v>
      </c>
      <c r="H298" t="s">
        <v>1174</v>
      </c>
      <c r="I298" s="4" t="str">
        <f t="shared" si="42"/>
        <v>Retirement Annuity - Savings C</v>
      </c>
      <c r="J298" t="str">
        <f>IF(LEFT(I298)="L","Compulsory, LA",IF(LEFT(I298)="R","Compulsory, RA",IF(LEFT(I298,2)="Pe","Compulsory, Pens","Voluntary")))</f>
        <v>Compulsory, RA</v>
      </c>
      <c r="K298" t="s">
        <v>15</v>
      </c>
    </row>
    <row r="299" spans="1:11" x14ac:dyDescent="0.3">
      <c r="A299">
        <v>100528113</v>
      </c>
      <c r="B299" t="s">
        <v>117</v>
      </c>
      <c r="C299">
        <v>134</v>
      </c>
      <c r="D299" t="s">
        <v>118</v>
      </c>
      <c r="E299" t="s">
        <v>730</v>
      </c>
      <c r="F299" s="26">
        <v>99860.069999999992</v>
      </c>
      <c r="G299" s="3">
        <v>46073</v>
      </c>
      <c r="H299" t="s">
        <v>31</v>
      </c>
      <c r="I299" s="4" t="str">
        <f t="shared" si="42"/>
        <v>Investment Account</v>
      </c>
      <c r="J299" t="str">
        <f>IF(LEFT(I299)="L","Compulsory, LA",IF(LEFT(I299)="R","Compulsory, RA",IF(LEFT(I299,2)="Pe","Compulsory, Pens",IF(LEFT(I299,2)="Pr","Compulsory, Prov","Voluntary"))))</f>
        <v>Voluntary</v>
      </c>
      <c r="K299" t="s">
        <v>15</v>
      </c>
    </row>
    <row r="300" spans="1:11" x14ac:dyDescent="0.3">
      <c r="A300">
        <v>100562496</v>
      </c>
      <c r="B300" t="s">
        <v>110</v>
      </c>
      <c r="C300">
        <v>381</v>
      </c>
      <c r="D300" t="s">
        <v>981</v>
      </c>
      <c r="E300" t="s">
        <v>1108</v>
      </c>
      <c r="F300" s="25">
        <v>136762.86000000002</v>
      </c>
      <c r="G300" s="3">
        <v>46073</v>
      </c>
      <c r="H300" t="s">
        <v>26</v>
      </c>
      <c r="I300" s="4" t="str">
        <f t="shared" si="42"/>
        <v>Retirement Annuity</v>
      </c>
      <c r="J300" t="str">
        <f>IF(LEFT(I300)="L","Compulsory, LA",IF(LEFT(I300)="R","Compulsory, RA",IF(LEFT(I300,2)="Pe","Compulsory, Pens",IF(LEFT(I300,2)="Pr","Compulsory, Prov","Voluntary"))))</f>
        <v>Compulsory, RA</v>
      </c>
      <c r="K300" t="s">
        <v>15</v>
      </c>
    </row>
    <row r="301" spans="1:11" x14ac:dyDescent="0.3">
      <c r="A301">
        <v>100562496</v>
      </c>
      <c r="B301" t="s">
        <v>1213</v>
      </c>
      <c r="C301">
        <v>381</v>
      </c>
      <c r="D301" t="s">
        <v>981</v>
      </c>
      <c r="E301" t="s">
        <v>1108</v>
      </c>
      <c r="F301" s="26">
        <v>9713.14</v>
      </c>
      <c r="G301" s="3">
        <v>46073</v>
      </c>
      <c r="H301" t="s">
        <v>1175</v>
      </c>
      <c r="I301" s="4" t="str">
        <f t="shared" si="42"/>
        <v>Retirement Annuity - Retiremen</v>
      </c>
      <c r="J301" t="str">
        <f>IF(LEFT(I301)="L","Compulsory, LA",IF(LEFT(I301)="R","Compulsory, RA",IF(LEFT(I301,2)="Pe","Compulsory, Pens","Voluntary")))</f>
        <v>Compulsory, RA</v>
      </c>
      <c r="K301" t="s">
        <v>15</v>
      </c>
    </row>
    <row r="302" spans="1:11" x14ac:dyDescent="0.3">
      <c r="A302">
        <v>100562496</v>
      </c>
      <c r="B302" t="s">
        <v>1212</v>
      </c>
      <c r="C302">
        <v>381</v>
      </c>
      <c r="D302" t="s">
        <v>981</v>
      </c>
      <c r="E302" t="s">
        <v>1108</v>
      </c>
      <c r="F302" s="26">
        <v>19851.5</v>
      </c>
      <c r="G302" s="3">
        <v>46073</v>
      </c>
      <c r="H302" t="s">
        <v>1174</v>
      </c>
      <c r="I302" s="4" t="str">
        <f t="shared" si="42"/>
        <v>Retirement Annuity - Savings C</v>
      </c>
      <c r="J302" t="str">
        <f>IF(LEFT(I302)="L","Compulsory, LA",IF(LEFT(I302)="R","Compulsory, RA",IF(LEFT(I302,2)="Pe","Compulsory, Pens","Voluntary")))</f>
        <v>Compulsory, RA</v>
      </c>
      <c r="K302" t="s">
        <v>15</v>
      </c>
    </row>
    <row r="303" spans="1:11" x14ac:dyDescent="0.3">
      <c r="A303">
        <v>100564770</v>
      </c>
      <c r="B303" t="s">
        <v>122</v>
      </c>
      <c r="C303">
        <v>384</v>
      </c>
      <c r="D303" t="s">
        <v>123</v>
      </c>
      <c r="E303" t="s">
        <v>1240</v>
      </c>
      <c r="F303" s="26">
        <v>82685.73000000001</v>
      </c>
      <c r="G303" s="3">
        <v>46073</v>
      </c>
      <c r="H303" t="s">
        <v>14</v>
      </c>
      <c r="I303" s="4" t="str">
        <f t="shared" si="42"/>
        <v>Living Annuity</v>
      </c>
      <c r="J303" t="str">
        <f t="shared" ref="J303:J309" si="43">IF(LEFT(I303)="L","Compulsory, LA",IF(LEFT(I303)="R","Compulsory, RA",IF(LEFT(I303,2)="Pe","Compulsory, Pens",IF(LEFT(I303,2)="Pr","Compulsory, Prov","Voluntary"))))</f>
        <v>Compulsory, LA</v>
      </c>
      <c r="K303" t="s">
        <v>15</v>
      </c>
    </row>
    <row r="304" spans="1:11" x14ac:dyDescent="0.3">
      <c r="A304">
        <v>100564770</v>
      </c>
      <c r="B304" t="s">
        <v>122</v>
      </c>
      <c r="C304">
        <v>384</v>
      </c>
      <c r="D304" t="s">
        <v>123</v>
      </c>
      <c r="E304" t="s">
        <v>730</v>
      </c>
      <c r="F304" s="26">
        <v>115989.35</v>
      </c>
      <c r="G304" s="3">
        <v>46073</v>
      </c>
      <c r="H304" t="s">
        <v>14</v>
      </c>
      <c r="I304" s="4" t="str">
        <f t="shared" si="42"/>
        <v>Living Annuity</v>
      </c>
      <c r="J304" t="str">
        <f t="shared" si="43"/>
        <v>Compulsory, LA</v>
      </c>
      <c r="K304" t="s">
        <v>15</v>
      </c>
    </row>
    <row r="305" spans="1:11" x14ac:dyDescent="0.3">
      <c r="A305">
        <v>100564770</v>
      </c>
      <c r="B305" t="s">
        <v>122</v>
      </c>
      <c r="C305">
        <v>384</v>
      </c>
      <c r="D305" t="s">
        <v>123</v>
      </c>
      <c r="E305" t="s">
        <v>729</v>
      </c>
      <c r="F305" s="26">
        <v>143533.89000000001</v>
      </c>
      <c r="G305" s="3">
        <v>46073</v>
      </c>
      <c r="H305" t="s">
        <v>14</v>
      </c>
      <c r="I305" s="4" t="str">
        <f t="shared" si="42"/>
        <v>Living Annuity</v>
      </c>
      <c r="J305" t="str">
        <f t="shared" si="43"/>
        <v>Compulsory, LA</v>
      </c>
      <c r="K305" t="s">
        <v>15</v>
      </c>
    </row>
    <row r="306" spans="1:11" x14ac:dyDescent="0.3">
      <c r="A306">
        <v>100596195</v>
      </c>
      <c r="B306" t="s">
        <v>621</v>
      </c>
      <c r="C306">
        <v>142</v>
      </c>
      <c r="D306" t="s">
        <v>620</v>
      </c>
      <c r="E306" t="s">
        <v>730</v>
      </c>
      <c r="F306" s="26">
        <v>53053.56</v>
      </c>
      <c r="G306" s="3">
        <v>46073</v>
      </c>
      <c r="H306" t="s">
        <v>31</v>
      </c>
      <c r="I306" s="4" t="str">
        <f t="shared" si="42"/>
        <v>Investment Account</v>
      </c>
      <c r="J306" t="str">
        <f t="shared" si="43"/>
        <v>Voluntary</v>
      </c>
      <c r="K306" t="s">
        <v>15</v>
      </c>
    </row>
    <row r="307" spans="1:11" x14ac:dyDescent="0.3">
      <c r="A307">
        <v>100596195</v>
      </c>
      <c r="B307" t="s">
        <v>621</v>
      </c>
      <c r="C307">
        <v>142</v>
      </c>
      <c r="D307" t="s">
        <v>620</v>
      </c>
      <c r="E307" t="s">
        <v>729</v>
      </c>
      <c r="F307" s="26">
        <v>145694.66</v>
      </c>
      <c r="G307" s="3">
        <v>46073</v>
      </c>
      <c r="H307" t="s">
        <v>31</v>
      </c>
      <c r="I307" s="4" t="str">
        <f t="shared" si="42"/>
        <v>Investment Account</v>
      </c>
      <c r="J307" t="str">
        <f t="shared" si="43"/>
        <v>Voluntary</v>
      </c>
      <c r="K307" t="s">
        <v>15</v>
      </c>
    </row>
    <row r="308" spans="1:11" x14ac:dyDescent="0.3">
      <c r="A308">
        <v>100596197</v>
      </c>
      <c r="B308" t="s">
        <v>623</v>
      </c>
      <c r="C308">
        <v>50</v>
      </c>
      <c r="D308" t="s">
        <v>622</v>
      </c>
      <c r="E308" t="s">
        <v>729</v>
      </c>
      <c r="F308" s="26">
        <v>10523.14</v>
      </c>
      <c r="G308" s="3">
        <v>46073</v>
      </c>
      <c r="H308" t="s">
        <v>31</v>
      </c>
      <c r="I308" s="4" t="str">
        <f t="shared" si="42"/>
        <v>Investment Account</v>
      </c>
      <c r="J308" t="str">
        <f t="shared" si="43"/>
        <v>Voluntary</v>
      </c>
      <c r="K308" t="s">
        <v>15</v>
      </c>
    </row>
    <row r="309" spans="1:11" x14ac:dyDescent="0.3">
      <c r="A309">
        <v>100596689</v>
      </c>
      <c r="B309" t="s">
        <v>150</v>
      </c>
      <c r="C309">
        <v>180</v>
      </c>
      <c r="D309" t="s">
        <v>149</v>
      </c>
      <c r="E309" t="s">
        <v>730</v>
      </c>
      <c r="F309" s="25">
        <v>98591.46</v>
      </c>
      <c r="G309" s="3">
        <v>46073</v>
      </c>
      <c r="H309" t="s">
        <v>31</v>
      </c>
      <c r="I309" s="4" t="str">
        <f t="shared" si="42"/>
        <v>Investment Account</v>
      </c>
      <c r="J309" t="str">
        <f t="shared" si="43"/>
        <v>Voluntary</v>
      </c>
      <c r="K309" t="s">
        <v>15</v>
      </c>
    </row>
    <row r="310" spans="1:11" x14ac:dyDescent="0.3">
      <c r="A310">
        <v>100596689</v>
      </c>
      <c r="B310" t="s">
        <v>845</v>
      </c>
      <c r="C310">
        <v>180</v>
      </c>
      <c r="D310" t="s">
        <v>149</v>
      </c>
      <c r="E310" t="s">
        <v>1240</v>
      </c>
      <c r="F310" s="25">
        <v>2312.59</v>
      </c>
      <c r="G310" s="3">
        <v>46073</v>
      </c>
      <c r="H310" t="s">
        <v>31</v>
      </c>
      <c r="I310" s="4" t="str">
        <f t="shared" si="42"/>
        <v>Investment Account</v>
      </c>
      <c r="J310" t="str">
        <f>IF(LEFT(I310)="L","Compulsory, LA",IF(LEFT(I310)="R","Compulsory, RA",IF(LEFT(I310,2)="Pe","Compulsory, Pens","Voluntary")))</f>
        <v>Voluntary</v>
      </c>
      <c r="K310" t="s">
        <v>15</v>
      </c>
    </row>
    <row r="311" spans="1:11" x14ac:dyDescent="0.3">
      <c r="A311">
        <v>100596689</v>
      </c>
      <c r="B311" t="s">
        <v>845</v>
      </c>
      <c r="C311">
        <v>180</v>
      </c>
      <c r="D311" t="s">
        <v>149</v>
      </c>
      <c r="E311" t="s">
        <v>730</v>
      </c>
      <c r="F311" s="25">
        <v>32675.370000000003</v>
      </c>
      <c r="G311" s="3">
        <v>46073</v>
      </c>
      <c r="H311" t="s">
        <v>31</v>
      </c>
      <c r="I311" s="4" t="str">
        <f t="shared" si="42"/>
        <v>Investment Account</v>
      </c>
      <c r="J311" t="str">
        <f>IF(LEFT(I311)="L","Compulsory, LA",IF(LEFT(I311)="R","Compulsory, RA",IF(LEFT(I311,2)="Pe","Compulsory, Pens","Voluntary")))</f>
        <v>Voluntary</v>
      </c>
      <c r="K311" t="s">
        <v>15</v>
      </c>
    </row>
    <row r="312" spans="1:11" x14ac:dyDescent="0.3">
      <c r="A312">
        <v>100596689</v>
      </c>
      <c r="B312" t="s">
        <v>845</v>
      </c>
      <c r="C312">
        <v>180</v>
      </c>
      <c r="D312" t="s">
        <v>149</v>
      </c>
      <c r="E312" t="s">
        <v>729</v>
      </c>
      <c r="F312" s="25">
        <v>8573.32</v>
      </c>
      <c r="G312" s="3">
        <v>46073</v>
      </c>
      <c r="H312" t="s">
        <v>31</v>
      </c>
      <c r="I312" s="4" t="str">
        <f t="shared" si="42"/>
        <v>Investment Account</v>
      </c>
      <c r="J312" t="str">
        <f>IF(LEFT(I312)="L","Compulsory, LA",IF(LEFT(I312)="R","Compulsory, RA",IF(LEFT(I312,2)="Pe","Compulsory, Pens","Voluntary")))</f>
        <v>Voluntary</v>
      </c>
      <c r="K312" t="s">
        <v>15</v>
      </c>
    </row>
    <row r="313" spans="1:11" x14ac:dyDescent="0.3">
      <c r="A313" t="s">
        <v>1245</v>
      </c>
      <c r="B313" t="s">
        <v>634</v>
      </c>
      <c r="C313">
        <v>438</v>
      </c>
      <c r="D313" t="s">
        <v>633</v>
      </c>
      <c r="E313" t="s">
        <v>1246</v>
      </c>
      <c r="F313" s="25">
        <v>12736.95</v>
      </c>
      <c r="G313" s="3">
        <v>46073</v>
      </c>
      <c r="H313" t="s">
        <v>31</v>
      </c>
      <c r="I313" s="4" t="str">
        <f t="shared" si="42"/>
        <v>Investment Account</v>
      </c>
      <c r="J313" t="str">
        <f t="shared" ref="J313:J324" si="44">IF(LEFT(I313)="L","Compulsory, LA",IF(LEFT(I313)="R","Compulsory, RA",IF(LEFT(I313,2)="Pe","Compulsory, Pens",IF(LEFT(I313,2)="Pr","Compulsory, Prov","Voluntary"))))</f>
        <v>Voluntary</v>
      </c>
      <c r="K313" t="s">
        <v>15</v>
      </c>
    </row>
    <row r="314" spans="1:11" x14ac:dyDescent="0.3">
      <c r="A314" t="s">
        <v>1245</v>
      </c>
      <c r="B314" t="s">
        <v>634</v>
      </c>
      <c r="C314">
        <v>438</v>
      </c>
      <c r="D314" t="s">
        <v>633</v>
      </c>
      <c r="E314" t="s">
        <v>1256</v>
      </c>
      <c r="F314" s="25">
        <v>314.33</v>
      </c>
      <c r="G314" s="3">
        <v>46073</v>
      </c>
      <c r="H314" t="s">
        <v>31</v>
      </c>
      <c r="I314" s="4" t="str">
        <f t="shared" ref="I314" si="45">MID(H314,6,30)</f>
        <v>Investment Account</v>
      </c>
      <c r="J314" t="str">
        <f t="shared" ref="J314" si="46">IF(LEFT(I314)="L","Compulsory, LA",IF(LEFT(I314)="R","Compulsory, RA",IF(LEFT(I314,2)="Pe","Compulsory, Pens",IF(LEFT(I314,2)="Pr","Compulsory, Prov","Voluntary"))))</f>
        <v>Voluntary</v>
      </c>
      <c r="K314" t="s">
        <v>15</v>
      </c>
    </row>
    <row r="315" spans="1:11" x14ac:dyDescent="0.3">
      <c r="A315">
        <v>100614771</v>
      </c>
      <c r="B315" t="s">
        <v>631</v>
      </c>
      <c r="C315">
        <v>365</v>
      </c>
      <c r="D315" t="s">
        <v>632</v>
      </c>
      <c r="E315" t="s">
        <v>730</v>
      </c>
      <c r="F315" s="25">
        <v>10124.69</v>
      </c>
      <c r="G315" s="3">
        <v>46073</v>
      </c>
      <c r="H315" t="s">
        <v>31</v>
      </c>
      <c r="I315" s="4" t="str">
        <f t="shared" si="42"/>
        <v>Investment Account</v>
      </c>
      <c r="J315" t="str">
        <f t="shared" si="44"/>
        <v>Voluntary</v>
      </c>
      <c r="K315" t="s">
        <v>15</v>
      </c>
    </row>
    <row r="316" spans="1:11" x14ac:dyDescent="0.3">
      <c r="A316">
        <v>100620477</v>
      </c>
      <c r="B316" t="s">
        <v>642</v>
      </c>
      <c r="C316">
        <v>437</v>
      </c>
      <c r="D316" t="s">
        <v>643</v>
      </c>
      <c r="E316" t="s">
        <v>730</v>
      </c>
      <c r="F316" s="25">
        <v>73534.559999999998</v>
      </c>
      <c r="G316" s="3">
        <v>46073</v>
      </c>
      <c r="H316" t="s">
        <v>31</v>
      </c>
      <c r="I316" s="4" t="str">
        <f t="shared" si="42"/>
        <v>Investment Account</v>
      </c>
      <c r="J316" t="str">
        <f t="shared" si="44"/>
        <v>Voluntary</v>
      </c>
      <c r="K316" t="s">
        <v>15</v>
      </c>
    </row>
    <row r="317" spans="1:11" x14ac:dyDescent="0.3">
      <c r="A317">
        <v>100623191</v>
      </c>
      <c r="B317" t="s">
        <v>644</v>
      </c>
      <c r="C317">
        <v>293</v>
      </c>
      <c r="D317" t="s">
        <v>645</v>
      </c>
      <c r="E317" t="s">
        <v>730</v>
      </c>
      <c r="F317" s="25">
        <v>11479.65</v>
      </c>
      <c r="G317" s="3">
        <v>46073</v>
      </c>
      <c r="H317" t="s">
        <v>31</v>
      </c>
      <c r="I317" s="4" t="str">
        <f t="shared" si="42"/>
        <v>Investment Account</v>
      </c>
      <c r="J317" t="str">
        <f t="shared" si="44"/>
        <v>Voluntary</v>
      </c>
      <c r="K317" t="s">
        <v>15</v>
      </c>
    </row>
    <row r="318" spans="1:11" x14ac:dyDescent="0.3">
      <c r="A318">
        <v>100625039</v>
      </c>
      <c r="B318" t="s">
        <v>646</v>
      </c>
      <c r="C318">
        <v>444</v>
      </c>
      <c r="D318" t="s">
        <v>647</v>
      </c>
      <c r="E318" t="s">
        <v>730</v>
      </c>
      <c r="F318" s="25">
        <v>88359.97</v>
      </c>
      <c r="G318" s="3">
        <v>46073</v>
      </c>
      <c r="H318" t="s">
        <v>31</v>
      </c>
      <c r="I318" s="4" t="str">
        <f t="shared" si="42"/>
        <v>Investment Account</v>
      </c>
      <c r="J318" t="str">
        <f t="shared" si="44"/>
        <v>Voluntary</v>
      </c>
      <c r="K318" t="s">
        <v>15</v>
      </c>
    </row>
    <row r="319" spans="1:11" x14ac:dyDescent="0.3">
      <c r="A319">
        <v>100625041</v>
      </c>
      <c r="B319" t="s">
        <v>648</v>
      </c>
      <c r="C319">
        <v>445</v>
      </c>
      <c r="D319" t="s">
        <v>692</v>
      </c>
      <c r="E319" t="s">
        <v>730</v>
      </c>
      <c r="F319" s="25">
        <v>59670.14</v>
      </c>
      <c r="G319" s="3">
        <v>46073</v>
      </c>
      <c r="H319" t="s">
        <v>31</v>
      </c>
      <c r="I319" s="4" t="str">
        <f t="shared" si="42"/>
        <v>Investment Account</v>
      </c>
      <c r="J319" t="str">
        <f t="shared" si="44"/>
        <v>Voluntary</v>
      </c>
      <c r="K319" t="s">
        <v>15</v>
      </c>
    </row>
    <row r="320" spans="1:11" x14ac:dyDescent="0.3">
      <c r="A320">
        <v>100628018</v>
      </c>
      <c r="B320" t="s">
        <v>828</v>
      </c>
      <c r="C320">
        <v>448</v>
      </c>
      <c r="D320" t="s">
        <v>706</v>
      </c>
      <c r="E320" t="s">
        <v>729</v>
      </c>
      <c r="F320" s="26">
        <v>179425.19</v>
      </c>
      <c r="G320" s="3">
        <v>46073</v>
      </c>
      <c r="H320" t="s">
        <v>31</v>
      </c>
      <c r="I320" s="4" t="str">
        <f t="shared" si="42"/>
        <v>Investment Account</v>
      </c>
      <c r="J320" t="str">
        <f t="shared" si="44"/>
        <v>Voluntary</v>
      </c>
      <c r="K320" t="s">
        <v>15</v>
      </c>
    </row>
    <row r="321" spans="1:11" x14ac:dyDescent="0.3">
      <c r="A321">
        <v>100628990</v>
      </c>
      <c r="B321" t="s">
        <v>709</v>
      </c>
      <c r="C321">
        <v>36</v>
      </c>
      <c r="D321" t="s">
        <v>710</v>
      </c>
      <c r="E321" t="s">
        <v>1240</v>
      </c>
      <c r="F321" s="25">
        <v>19576.05</v>
      </c>
      <c r="G321" s="3">
        <v>46073</v>
      </c>
      <c r="H321" t="s">
        <v>14</v>
      </c>
      <c r="I321" s="4" t="str">
        <f t="shared" si="42"/>
        <v>Living Annuity</v>
      </c>
      <c r="J321" t="str">
        <f t="shared" si="44"/>
        <v>Compulsory, LA</v>
      </c>
      <c r="K321" t="s">
        <v>15</v>
      </c>
    </row>
    <row r="322" spans="1:11" x14ac:dyDescent="0.3">
      <c r="A322">
        <v>100628990</v>
      </c>
      <c r="B322" t="s">
        <v>709</v>
      </c>
      <c r="C322">
        <v>36</v>
      </c>
      <c r="D322" t="s">
        <v>710</v>
      </c>
      <c r="E322" t="s">
        <v>730</v>
      </c>
      <c r="F322" s="25">
        <v>72289.69</v>
      </c>
      <c r="G322" s="3">
        <v>46073</v>
      </c>
      <c r="H322" t="s">
        <v>14</v>
      </c>
      <c r="I322" s="4" t="str">
        <f t="shared" si="42"/>
        <v>Living Annuity</v>
      </c>
      <c r="J322" t="str">
        <f t="shared" si="44"/>
        <v>Compulsory, LA</v>
      </c>
      <c r="K322" t="s">
        <v>15</v>
      </c>
    </row>
    <row r="323" spans="1:11" x14ac:dyDescent="0.3">
      <c r="A323">
        <v>100628990</v>
      </c>
      <c r="B323" t="s">
        <v>709</v>
      </c>
      <c r="C323">
        <v>36</v>
      </c>
      <c r="D323" t="s">
        <v>710</v>
      </c>
      <c r="E323" t="s">
        <v>729</v>
      </c>
      <c r="F323" s="25">
        <v>2224.5500000000002</v>
      </c>
      <c r="G323" s="3">
        <v>46073</v>
      </c>
      <c r="H323" t="s">
        <v>14</v>
      </c>
      <c r="I323" s="4" t="str">
        <f t="shared" si="42"/>
        <v>Living Annuity</v>
      </c>
      <c r="J323" t="str">
        <f t="shared" si="44"/>
        <v>Compulsory, LA</v>
      </c>
      <c r="K323" t="s">
        <v>15</v>
      </c>
    </row>
    <row r="324" spans="1:11" x14ac:dyDescent="0.3">
      <c r="A324">
        <v>100630705</v>
      </c>
      <c r="B324" t="s">
        <v>833</v>
      </c>
      <c r="C324">
        <v>248</v>
      </c>
      <c r="D324" t="s">
        <v>721</v>
      </c>
      <c r="E324" t="s">
        <v>729</v>
      </c>
      <c r="F324" s="26">
        <v>14397.98</v>
      </c>
      <c r="G324" s="3">
        <v>46073</v>
      </c>
      <c r="H324" t="s">
        <v>31</v>
      </c>
      <c r="I324" s="4" t="str">
        <f t="shared" si="42"/>
        <v>Investment Account</v>
      </c>
      <c r="J324" t="str">
        <f t="shared" si="44"/>
        <v>Voluntary</v>
      </c>
      <c r="K324" t="s">
        <v>15</v>
      </c>
    </row>
    <row r="325" spans="1:11" x14ac:dyDescent="0.3">
      <c r="A325">
        <v>100630706</v>
      </c>
      <c r="B325" t="s">
        <v>846</v>
      </c>
      <c r="C325">
        <v>361</v>
      </c>
      <c r="D325" t="s">
        <v>847</v>
      </c>
      <c r="E325" t="s">
        <v>1240</v>
      </c>
      <c r="F325" s="25">
        <v>6120.26</v>
      </c>
      <c r="G325" s="3">
        <v>46073</v>
      </c>
      <c r="H325" t="s">
        <v>31</v>
      </c>
      <c r="I325" s="4" t="str">
        <f t="shared" ref="I325:I345" si="47">MID(H325,6,30)</f>
        <v>Investment Account</v>
      </c>
      <c r="J325" t="str">
        <f>IF(LEFT(I325)="L","Compulsory, LA",IF(LEFT(I325)="R","Compulsory, RA",IF(LEFT(I325,2)="Pe","Compulsory, Pens","Voluntary")))</f>
        <v>Voluntary</v>
      </c>
      <c r="K325" t="s">
        <v>15</v>
      </c>
    </row>
    <row r="326" spans="1:11" x14ac:dyDescent="0.3">
      <c r="A326">
        <v>100630706</v>
      </c>
      <c r="B326" t="s">
        <v>846</v>
      </c>
      <c r="C326">
        <v>361</v>
      </c>
      <c r="D326" t="s">
        <v>847</v>
      </c>
      <c r="E326" t="s">
        <v>730</v>
      </c>
      <c r="F326" s="25">
        <v>27544.080000000002</v>
      </c>
      <c r="G326" s="3">
        <v>46073</v>
      </c>
      <c r="H326" t="s">
        <v>31</v>
      </c>
      <c r="I326" s="4" t="str">
        <f t="shared" si="47"/>
        <v>Investment Account</v>
      </c>
      <c r="J326" t="str">
        <f>IF(LEFT(I326)="L","Compulsory, LA",IF(LEFT(I326)="R","Compulsory, RA",IF(LEFT(I326,2)="Pe","Compulsory, Pens","Voluntary")))</f>
        <v>Voluntary</v>
      </c>
      <c r="K326" t="s">
        <v>15</v>
      </c>
    </row>
    <row r="327" spans="1:11" x14ac:dyDescent="0.3">
      <c r="A327">
        <v>100630706</v>
      </c>
      <c r="B327" t="s">
        <v>846</v>
      </c>
      <c r="C327">
        <v>361</v>
      </c>
      <c r="D327" t="s">
        <v>847</v>
      </c>
      <c r="E327" t="s">
        <v>729</v>
      </c>
      <c r="F327" s="25">
        <v>3534.8</v>
      </c>
      <c r="G327" s="3">
        <v>46073</v>
      </c>
      <c r="H327" t="s">
        <v>31</v>
      </c>
      <c r="I327" s="4" t="str">
        <f t="shared" si="47"/>
        <v>Investment Account</v>
      </c>
      <c r="J327" t="str">
        <f>IF(LEFT(I327)="L","Compulsory, LA",IF(LEFT(I327)="R","Compulsory, RA",IF(LEFT(I327,2)="Pe","Compulsory, Pens","Voluntary")))</f>
        <v>Voluntary</v>
      </c>
      <c r="K327" t="s">
        <v>15</v>
      </c>
    </row>
    <row r="328" spans="1:11" x14ac:dyDescent="0.3">
      <c r="A328">
        <v>100631121</v>
      </c>
      <c r="B328" t="s">
        <v>830</v>
      </c>
      <c r="C328">
        <v>222</v>
      </c>
      <c r="D328" t="s">
        <v>716</v>
      </c>
      <c r="E328" t="s">
        <v>730</v>
      </c>
      <c r="F328" s="26">
        <v>14397.69</v>
      </c>
      <c r="G328" s="3">
        <v>46073</v>
      </c>
      <c r="H328" t="s">
        <v>31</v>
      </c>
      <c r="I328" s="4" t="str">
        <f t="shared" si="47"/>
        <v>Investment Account</v>
      </c>
      <c r="J328" t="str">
        <f>IF(LEFT(I328)="L","Compulsory, LA",IF(LEFT(I328)="R","Compulsory, RA",IF(LEFT(I328,2)="Pe","Compulsory, Pens",IF(LEFT(I328,2)="Pr","Compulsory, Prov","Voluntary"))))</f>
        <v>Voluntary</v>
      </c>
      <c r="K328" t="s">
        <v>15</v>
      </c>
    </row>
    <row r="329" spans="1:11" x14ac:dyDescent="0.3">
      <c r="A329">
        <v>100633203</v>
      </c>
      <c r="B329" t="s">
        <v>829</v>
      </c>
      <c r="C329">
        <v>447</v>
      </c>
      <c r="D329" t="s">
        <v>712</v>
      </c>
      <c r="E329" t="s">
        <v>730</v>
      </c>
      <c r="F329" s="26">
        <v>67707.310000000012</v>
      </c>
      <c r="G329" s="3">
        <v>46073</v>
      </c>
      <c r="H329" t="s">
        <v>31</v>
      </c>
      <c r="I329" s="4" t="str">
        <f t="shared" si="47"/>
        <v>Investment Account</v>
      </c>
      <c r="J329" t="str">
        <f>IF(LEFT(I329)="L","Compulsory, LA",IF(LEFT(I329)="R","Compulsory, RA",IF(LEFT(I329,2)="Pe","Compulsory, Pens",IF(LEFT(I329,2)="Pr","Compulsory, Prov","Voluntary"))))</f>
        <v>Voluntary</v>
      </c>
      <c r="K329" t="s">
        <v>15</v>
      </c>
    </row>
    <row r="330" spans="1:11" x14ac:dyDescent="0.3">
      <c r="A330">
        <v>100633203</v>
      </c>
      <c r="B330" t="s">
        <v>829</v>
      </c>
      <c r="C330">
        <v>447</v>
      </c>
      <c r="D330" t="s">
        <v>712</v>
      </c>
      <c r="E330" t="s">
        <v>729</v>
      </c>
      <c r="F330" s="26">
        <v>290225.41000000003</v>
      </c>
      <c r="G330" s="3">
        <v>46073</v>
      </c>
      <c r="H330" t="s">
        <v>31</v>
      </c>
      <c r="I330" s="4" t="str">
        <f t="shared" si="47"/>
        <v>Investment Account</v>
      </c>
      <c r="J330" t="str">
        <f>IF(LEFT(I330)="L","Compulsory, LA",IF(LEFT(I330)="R","Compulsory, RA",IF(LEFT(I330,2)="Pe","Compulsory, Pens",IF(LEFT(I330,2)="Pr","Compulsory, Prov","Voluntary"))))</f>
        <v>Voluntary</v>
      </c>
      <c r="K330" t="s">
        <v>15</v>
      </c>
    </row>
    <row r="331" spans="1:11" x14ac:dyDescent="0.3">
      <c r="A331">
        <v>100637079</v>
      </c>
      <c r="B331" t="s">
        <v>1203</v>
      </c>
      <c r="C331">
        <v>7</v>
      </c>
      <c r="D331" t="s">
        <v>722</v>
      </c>
      <c r="E331" t="s">
        <v>730</v>
      </c>
      <c r="F331" s="26">
        <v>18567.18</v>
      </c>
      <c r="G331" s="3">
        <v>46073</v>
      </c>
      <c r="H331" t="s">
        <v>1147</v>
      </c>
      <c r="I331" s="4" t="str">
        <f t="shared" si="47"/>
        <v>Investment Account</v>
      </c>
      <c r="J331" t="str">
        <f>IF(LEFT(I331)="L","Compulsory, LA",IF(LEFT(I331)="R","Compulsory, RA",IF(LEFT(I331,2)="Pe","Compulsory, Pens","Voluntary")))</f>
        <v>Voluntary</v>
      </c>
      <c r="K331" t="s">
        <v>15</v>
      </c>
    </row>
    <row r="332" spans="1:11" x14ac:dyDescent="0.3">
      <c r="A332">
        <v>100637079</v>
      </c>
      <c r="B332" t="s">
        <v>834</v>
      </c>
      <c r="C332">
        <v>7</v>
      </c>
      <c r="D332" t="s">
        <v>722</v>
      </c>
      <c r="E332" t="s">
        <v>1108</v>
      </c>
      <c r="F332" s="26">
        <v>152282.20000000001</v>
      </c>
      <c r="G332" s="3">
        <v>46073</v>
      </c>
      <c r="H332" t="s">
        <v>26</v>
      </c>
      <c r="I332" s="4" t="str">
        <f t="shared" si="47"/>
        <v>Retirement Annuity</v>
      </c>
      <c r="J332" t="str">
        <f>IF(LEFT(I332)="L","Compulsory, LA",IF(LEFT(I332)="R","Compulsory, RA",IF(LEFT(I332,2)="Pe","Compulsory, Pens",IF(LEFT(I332,2)="Pr","Compulsory, Prov","Voluntary"))))</f>
        <v>Compulsory, RA</v>
      </c>
      <c r="K332" t="s">
        <v>15</v>
      </c>
    </row>
    <row r="333" spans="1:11" x14ac:dyDescent="0.3">
      <c r="A333">
        <v>100637079</v>
      </c>
      <c r="B333" t="s">
        <v>835</v>
      </c>
      <c r="C333">
        <v>7</v>
      </c>
      <c r="D333" t="s">
        <v>722</v>
      </c>
      <c r="E333" t="s">
        <v>1108</v>
      </c>
      <c r="F333" s="26">
        <v>214426.51</v>
      </c>
      <c r="G333" s="3">
        <v>46073</v>
      </c>
      <c r="H333" t="s">
        <v>26</v>
      </c>
      <c r="I333" s="4" t="str">
        <f t="shared" si="47"/>
        <v>Retirement Annuity</v>
      </c>
      <c r="J333" t="str">
        <f>IF(LEFT(I333)="L","Compulsory, LA",IF(LEFT(I333)="R","Compulsory, RA",IF(LEFT(I333,2)="Pe","Compulsory, Pens",IF(LEFT(I333,2)="Pr","Compulsory, Prov","Voluntary"))))</f>
        <v>Compulsory, RA</v>
      </c>
      <c r="K333" t="s">
        <v>15</v>
      </c>
    </row>
    <row r="334" spans="1:11" x14ac:dyDescent="0.3">
      <c r="A334">
        <v>100637079</v>
      </c>
      <c r="B334" t="s">
        <v>1214</v>
      </c>
      <c r="C334">
        <v>7</v>
      </c>
      <c r="D334" t="s">
        <v>722</v>
      </c>
      <c r="E334" t="s">
        <v>1108</v>
      </c>
      <c r="F334" s="26">
        <v>16812.879999999997</v>
      </c>
      <c r="G334" s="3">
        <v>46073</v>
      </c>
      <c r="H334" t="s">
        <v>1174</v>
      </c>
      <c r="I334" s="4" t="str">
        <f t="shared" si="47"/>
        <v>Retirement Annuity - Savings C</v>
      </c>
      <c r="J334" t="str">
        <f>IF(LEFT(I334)="L","Compulsory, LA",IF(LEFT(I334)="R","Compulsory, RA",IF(LEFT(I334,2)="Pe","Compulsory, Pens","Voluntary")))</f>
        <v>Compulsory, RA</v>
      </c>
      <c r="K334" t="s">
        <v>15</v>
      </c>
    </row>
    <row r="335" spans="1:11" x14ac:dyDescent="0.3">
      <c r="A335">
        <v>100637079</v>
      </c>
      <c r="B335" t="s">
        <v>1215</v>
      </c>
      <c r="C335">
        <v>7</v>
      </c>
      <c r="D335" t="s">
        <v>722</v>
      </c>
      <c r="E335" t="s">
        <v>1108</v>
      </c>
      <c r="F335" s="26">
        <v>23687.26</v>
      </c>
      <c r="G335" s="3">
        <v>46073</v>
      </c>
      <c r="H335" t="s">
        <v>1174</v>
      </c>
      <c r="I335" s="4" t="str">
        <f t="shared" si="47"/>
        <v>Retirement Annuity - Savings C</v>
      </c>
      <c r="J335" t="str">
        <f>IF(LEFT(I335)="L","Compulsory, LA",IF(LEFT(I335)="R","Compulsory, RA",IF(LEFT(I335,2)="Pe","Compulsory, Pens","Voluntary")))</f>
        <v>Compulsory, RA</v>
      </c>
      <c r="K335" t="s">
        <v>15</v>
      </c>
    </row>
    <row r="336" spans="1:11" x14ac:dyDescent="0.3">
      <c r="A336">
        <v>100637079</v>
      </c>
      <c r="B336" t="s">
        <v>1215</v>
      </c>
      <c r="C336">
        <v>7</v>
      </c>
      <c r="D336" t="s">
        <v>722</v>
      </c>
      <c r="E336" t="s">
        <v>1239</v>
      </c>
      <c r="F336" s="26">
        <v>128.56</v>
      </c>
      <c r="G336" s="3">
        <v>46073</v>
      </c>
      <c r="H336" t="s">
        <v>1174</v>
      </c>
      <c r="I336" s="4" t="str">
        <f t="shared" si="47"/>
        <v>Retirement Annuity - Savings C</v>
      </c>
      <c r="J336" t="str">
        <f>IF(LEFT(I336)="L","Compulsory, LA",IF(LEFT(I336)="R","Compulsory, RA",IF(LEFT(I336,2)="Pe","Compulsory, Pens","Voluntary")))</f>
        <v>Compulsory, RA</v>
      </c>
      <c r="K336" t="s">
        <v>15</v>
      </c>
    </row>
    <row r="337" spans="1:11" x14ac:dyDescent="0.3">
      <c r="A337">
        <v>100641153</v>
      </c>
      <c r="B337" t="s">
        <v>836</v>
      </c>
      <c r="C337">
        <v>455</v>
      </c>
      <c r="D337" t="s">
        <v>725</v>
      </c>
      <c r="E337" t="s">
        <v>1240</v>
      </c>
      <c r="F337" s="26">
        <v>341695.32999999996</v>
      </c>
      <c r="G337" s="3">
        <v>46073</v>
      </c>
      <c r="H337" t="s">
        <v>14</v>
      </c>
      <c r="I337" s="4" t="str">
        <f t="shared" si="47"/>
        <v>Living Annuity</v>
      </c>
      <c r="J337" t="str">
        <f>IF(LEFT(I337)="L","Compulsory, LA",IF(LEFT(I337)="R","Compulsory, RA",IF(LEFT(I337,2)="Pe","Compulsory, Pens",IF(LEFT(I337,2)="Pr","Compulsory, Prov","Voluntary"))))</f>
        <v>Compulsory, LA</v>
      </c>
      <c r="K337" t="s">
        <v>15</v>
      </c>
    </row>
    <row r="338" spans="1:11" x14ac:dyDescent="0.3">
      <c r="A338">
        <v>100641153</v>
      </c>
      <c r="B338" t="s">
        <v>836</v>
      </c>
      <c r="C338">
        <v>455</v>
      </c>
      <c r="D338" t="s">
        <v>725</v>
      </c>
      <c r="E338" t="s">
        <v>1239</v>
      </c>
      <c r="F338" s="26">
        <v>423.14</v>
      </c>
      <c r="G338" s="3">
        <v>46073</v>
      </c>
      <c r="H338" t="s">
        <v>14</v>
      </c>
      <c r="I338" s="4" t="str">
        <f t="shared" si="47"/>
        <v>Living Annuity</v>
      </c>
      <c r="J338" t="str">
        <f>IF(LEFT(I338)="L","Compulsory, LA",IF(LEFT(I338)="R","Compulsory, RA",IF(LEFT(I338,2)="Pe","Compulsory, Pens",IF(LEFT(I338,2)="Pr","Compulsory, Prov","Voluntary"))))</f>
        <v>Compulsory, LA</v>
      </c>
      <c r="K338" t="s">
        <v>15</v>
      </c>
    </row>
    <row r="339" spans="1:11" x14ac:dyDescent="0.3">
      <c r="A339">
        <v>100641153</v>
      </c>
      <c r="B339" t="s">
        <v>836</v>
      </c>
      <c r="C339">
        <v>455</v>
      </c>
      <c r="D339" t="s">
        <v>725</v>
      </c>
      <c r="E339" t="s">
        <v>730</v>
      </c>
      <c r="F339" s="26">
        <v>1091715.27</v>
      </c>
      <c r="G339" s="3">
        <v>46073</v>
      </c>
      <c r="H339" t="s">
        <v>14</v>
      </c>
      <c r="I339" s="4" t="str">
        <f t="shared" si="47"/>
        <v>Living Annuity</v>
      </c>
      <c r="J339" t="str">
        <f>IF(LEFT(I339)="L","Compulsory, LA",IF(LEFT(I339)="R","Compulsory, RA",IF(LEFT(I339,2)="Pe","Compulsory, Pens",IF(LEFT(I339,2)="Pr","Compulsory, Prov","Voluntary"))))</f>
        <v>Compulsory, LA</v>
      </c>
      <c r="K339" t="s">
        <v>15</v>
      </c>
    </row>
    <row r="340" spans="1:11" x14ac:dyDescent="0.3">
      <c r="A340">
        <v>100641153</v>
      </c>
      <c r="B340" t="s">
        <v>836</v>
      </c>
      <c r="C340">
        <v>455</v>
      </c>
      <c r="D340" t="s">
        <v>725</v>
      </c>
      <c r="E340" t="s">
        <v>729</v>
      </c>
      <c r="F340" s="26">
        <v>1470.81</v>
      </c>
      <c r="G340" s="3">
        <v>46073</v>
      </c>
      <c r="H340" t="s">
        <v>14</v>
      </c>
      <c r="I340" s="4" t="str">
        <f t="shared" si="47"/>
        <v>Living Annuity</v>
      </c>
      <c r="J340" t="str">
        <f>IF(LEFT(I340)="L","Compulsory, LA",IF(LEFT(I340)="R","Compulsory, RA",IF(LEFT(I340,2)="Pe","Compulsory, Pens",IF(LEFT(I340,2)="Pr","Compulsory, Prov","Voluntary"))))</f>
        <v>Compulsory, LA</v>
      </c>
      <c r="K340" t="s">
        <v>15</v>
      </c>
    </row>
    <row r="341" spans="1:11" x14ac:dyDescent="0.3">
      <c r="A341">
        <v>100651305</v>
      </c>
      <c r="B341" t="s">
        <v>838</v>
      </c>
      <c r="C341">
        <v>82</v>
      </c>
      <c r="D341" t="s">
        <v>727</v>
      </c>
      <c r="E341" t="s">
        <v>1239</v>
      </c>
      <c r="F341" s="26">
        <v>370.2</v>
      </c>
      <c r="G341" s="3">
        <v>46073</v>
      </c>
      <c r="H341" s="12" t="s">
        <v>31</v>
      </c>
      <c r="I341" s="4" t="str">
        <f t="shared" si="47"/>
        <v>Investment Account</v>
      </c>
      <c r="J341" t="str">
        <f t="shared" ref="J341:J345" si="48">IF(LEFT(I341)="L","Compulsory, LA",IF(LEFT(I341)="R","Compulsory, RA",IF(LEFT(I341,2)="Pe","Compulsory, Pens","Voluntary")))</f>
        <v>Voluntary</v>
      </c>
      <c r="K341" t="s">
        <v>15</v>
      </c>
    </row>
    <row r="342" spans="1:11" x14ac:dyDescent="0.3">
      <c r="A342">
        <v>100651305</v>
      </c>
      <c r="B342" t="s">
        <v>838</v>
      </c>
      <c r="C342">
        <v>82</v>
      </c>
      <c r="D342" t="s">
        <v>727</v>
      </c>
      <c r="E342" t="s">
        <v>729</v>
      </c>
      <c r="F342" s="26">
        <v>32108.7</v>
      </c>
      <c r="G342" s="3">
        <v>46073</v>
      </c>
      <c r="H342" s="12" t="s">
        <v>31</v>
      </c>
      <c r="I342" s="4" t="str">
        <f t="shared" si="47"/>
        <v>Investment Account</v>
      </c>
      <c r="J342" t="str">
        <f t="shared" si="48"/>
        <v>Voluntary</v>
      </c>
      <c r="K342" t="s">
        <v>15</v>
      </c>
    </row>
    <row r="343" spans="1:11" x14ac:dyDescent="0.3">
      <c r="A343">
        <v>100655835</v>
      </c>
      <c r="B343" t="s">
        <v>839</v>
      </c>
      <c r="C343">
        <v>456</v>
      </c>
      <c r="D343" t="s">
        <v>731</v>
      </c>
      <c r="E343" t="s">
        <v>1240</v>
      </c>
      <c r="F343" s="26">
        <v>1887615.32</v>
      </c>
      <c r="G343" s="3">
        <v>46073</v>
      </c>
      <c r="H343" t="s">
        <v>14</v>
      </c>
      <c r="I343" s="4" t="str">
        <f t="shared" si="47"/>
        <v>Living Annuity</v>
      </c>
      <c r="J343" t="str">
        <f t="shared" si="48"/>
        <v>Compulsory, LA</v>
      </c>
      <c r="K343" t="s">
        <v>15</v>
      </c>
    </row>
    <row r="344" spans="1:11" x14ac:dyDescent="0.3">
      <c r="A344">
        <v>100655835</v>
      </c>
      <c r="B344" t="s">
        <v>839</v>
      </c>
      <c r="C344">
        <v>456</v>
      </c>
      <c r="D344" t="s">
        <v>731</v>
      </c>
      <c r="E344" t="s">
        <v>730</v>
      </c>
      <c r="F344" s="26">
        <v>3017388.3</v>
      </c>
      <c r="G344" s="3">
        <v>46073</v>
      </c>
      <c r="H344" t="s">
        <v>14</v>
      </c>
      <c r="I344" s="4" t="str">
        <f t="shared" si="47"/>
        <v>Living Annuity</v>
      </c>
      <c r="J344" t="str">
        <f t="shared" si="48"/>
        <v>Compulsory, LA</v>
      </c>
      <c r="K344" t="s">
        <v>15</v>
      </c>
    </row>
    <row r="345" spans="1:11" x14ac:dyDescent="0.3">
      <c r="A345">
        <v>100655835</v>
      </c>
      <c r="B345" t="s">
        <v>839</v>
      </c>
      <c r="C345">
        <v>456</v>
      </c>
      <c r="D345" t="s">
        <v>731</v>
      </c>
      <c r="E345" t="s">
        <v>729</v>
      </c>
      <c r="F345" s="26">
        <v>1853440.17</v>
      </c>
      <c r="G345" s="3">
        <v>46073</v>
      </c>
      <c r="H345" t="s">
        <v>14</v>
      </c>
      <c r="I345" s="4" t="str">
        <f t="shared" si="47"/>
        <v>Living Annuity</v>
      </c>
      <c r="J345" t="str">
        <f t="shared" si="48"/>
        <v>Compulsory, LA</v>
      </c>
      <c r="K345" t="s">
        <v>15</v>
      </c>
    </row>
    <row r="346" spans="1:11" x14ac:dyDescent="0.3">
      <c r="A346">
        <v>100663638</v>
      </c>
      <c r="B346" t="s">
        <v>843</v>
      </c>
      <c r="C346">
        <v>58</v>
      </c>
      <c r="D346" t="s">
        <v>802</v>
      </c>
      <c r="E346" t="s">
        <v>1240</v>
      </c>
      <c r="F346" s="26">
        <v>412872.52</v>
      </c>
      <c r="G346" s="3">
        <v>46073</v>
      </c>
      <c r="H346" t="s">
        <v>14</v>
      </c>
      <c r="I346" s="4" t="str">
        <f t="shared" ref="I346:I373" si="49">MID(H346,6,30)</f>
        <v>Living Annuity</v>
      </c>
      <c r="J346" t="str">
        <f t="shared" ref="J346:J373" si="50">IF(LEFT(I346)="L","Compulsory, LA",IF(LEFT(I346)="R","Compulsory, RA",IF(LEFT(I346,2)="Pe","Compulsory, Pens","Voluntary")))</f>
        <v>Compulsory, LA</v>
      </c>
      <c r="K346" t="s">
        <v>15</v>
      </c>
    </row>
    <row r="347" spans="1:11" x14ac:dyDescent="0.3">
      <c r="A347">
        <v>100663638</v>
      </c>
      <c r="B347" t="s">
        <v>843</v>
      </c>
      <c r="C347">
        <v>58</v>
      </c>
      <c r="D347" t="s">
        <v>802</v>
      </c>
      <c r="E347" t="s">
        <v>1239</v>
      </c>
      <c r="F347" s="26">
        <v>2636.17</v>
      </c>
      <c r="G347" s="3">
        <v>46073</v>
      </c>
      <c r="H347" t="s">
        <v>14</v>
      </c>
      <c r="I347" s="4" t="str">
        <f t="shared" si="49"/>
        <v>Living Annuity</v>
      </c>
      <c r="J347" t="str">
        <f t="shared" si="50"/>
        <v>Compulsory, LA</v>
      </c>
      <c r="K347" t="s">
        <v>15</v>
      </c>
    </row>
    <row r="348" spans="1:11" x14ac:dyDescent="0.3">
      <c r="A348">
        <v>100663638</v>
      </c>
      <c r="B348" t="s">
        <v>843</v>
      </c>
      <c r="C348">
        <v>58</v>
      </c>
      <c r="D348" t="s">
        <v>802</v>
      </c>
      <c r="E348" t="s">
        <v>730</v>
      </c>
      <c r="F348" s="26">
        <v>925515.82</v>
      </c>
      <c r="G348" s="3">
        <v>46073</v>
      </c>
      <c r="H348" t="s">
        <v>14</v>
      </c>
      <c r="I348" s="4" t="str">
        <f t="shared" si="49"/>
        <v>Living Annuity</v>
      </c>
      <c r="J348" t="str">
        <f t="shared" si="50"/>
        <v>Compulsory, LA</v>
      </c>
      <c r="K348" t="s">
        <v>15</v>
      </c>
    </row>
    <row r="349" spans="1:11" x14ac:dyDescent="0.3">
      <c r="A349">
        <v>100663638</v>
      </c>
      <c r="B349" t="s">
        <v>843</v>
      </c>
      <c r="C349">
        <v>58</v>
      </c>
      <c r="D349" t="s">
        <v>802</v>
      </c>
      <c r="E349" t="s">
        <v>729</v>
      </c>
      <c r="F349" s="26">
        <v>94678.6</v>
      </c>
      <c r="G349" s="3">
        <v>46073</v>
      </c>
      <c r="H349" t="s">
        <v>14</v>
      </c>
      <c r="I349" s="4" t="str">
        <f t="shared" si="49"/>
        <v>Living Annuity</v>
      </c>
      <c r="J349" t="str">
        <f t="shared" si="50"/>
        <v>Compulsory, LA</v>
      </c>
      <c r="K349" t="s">
        <v>15</v>
      </c>
    </row>
    <row r="350" spans="1:11" x14ac:dyDescent="0.3">
      <c r="A350">
        <v>100664029</v>
      </c>
      <c r="B350" t="s">
        <v>865</v>
      </c>
      <c r="C350">
        <v>5</v>
      </c>
      <c r="D350" t="s">
        <v>864</v>
      </c>
      <c r="E350" t="s">
        <v>1240</v>
      </c>
      <c r="F350" s="26">
        <v>46639.76</v>
      </c>
      <c r="G350" s="3">
        <v>46073</v>
      </c>
      <c r="H350" t="s">
        <v>14</v>
      </c>
      <c r="I350" s="4" t="str">
        <f t="shared" si="49"/>
        <v>Living Annuity</v>
      </c>
      <c r="J350" t="str">
        <f t="shared" si="50"/>
        <v>Compulsory, LA</v>
      </c>
      <c r="K350" t="s">
        <v>15</v>
      </c>
    </row>
    <row r="351" spans="1:11" x14ac:dyDescent="0.3">
      <c r="A351">
        <v>100664029</v>
      </c>
      <c r="B351" t="s">
        <v>865</v>
      </c>
      <c r="C351">
        <v>5</v>
      </c>
      <c r="D351" t="s">
        <v>864</v>
      </c>
      <c r="E351" t="s">
        <v>1239</v>
      </c>
      <c r="F351" s="26">
        <v>422.61</v>
      </c>
      <c r="G351" s="3">
        <v>46073</v>
      </c>
      <c r="H351" t="s">
        <v>14</v>
      </c>
      <c r="I351" s="4" t="str">
        <f t="shared" si="49"/>
        <v>Living Annuity</v>
      </c>
      <c r="J351" t="str">
        <f t="shared" si="50"/>
        <v>Compulsory, LA</v>
      </c>
      <c r="K351" t="s">
        <v>15</v>
      </c>
    </row>
    <row r="352" spans="1:11" x14ac:dyDescent="0.3">
      <c r="A352">
        <v>100664029</v>
      </c>
      <c r="B352" t="s">
        <v>865</v>
      </c>
      <c r="C352">
        <v>5</v>
      </c>
      <c r="D352" t="s">
        <v>864</v>
      </c>
      <c r="E352" t="s">
        <v>730</v>
      </c>
      <c r="F352" s="26">
        <v>81398.009999999995</v>
      </c>
      <c r="G352" s="3">
        <v>46073</v>
      </c>
      <c r="H352" t="s">
        <v>14</v>
      </c>
      <c r="I352" s="4" t="str">
        <f t="shared" si="49"/>
        <v>Living Annuity</v>
      </c>
      <c r="J352" t="str">
        <f t="shared" si="50"/>
        <v>Compulsory, LA</v>
      </c>
      <c r="K352" t="s">
        <v>15</v>
      </c>
    </row>
    <row r="353" spans="1:11" x14ac:dyDescent="0.3">
      <c r="A353">
        <v>100664029</v>
      </c>
      <c r="B353" t="s">
        <v>865</v>
      </c>
      <c r="C353">
        <v>5</v>
      </c>
      <c r="D353" t="s">
        <v>864</v>
      </c>
      <c r="E353" t="s">
        <v>729</v>
      </c>
      <c r="F353" s="26">
        <v>46294.53</v>
      </c>
      <c r="G353" s="3">
        <v>46073</v>
      </c>
      <c r="H353" t="s">
        <v>14</v>
      </c>
      <c r="I353" s="4" t="str">
        <f t="shared" si="49"/>
        <v>Living Annuity</v>
      </c>
      <c r="J353" t="str">
        <f t="shared" si="50"/>
        <v>Compulsory, LA</v>
      </c>
      <c r="K353" t="s">
        <v>15</v>
      </c>
    </row>
    <row r="354" spans="1:11" x14ac:dyDescent="0.3">
      <c r="A354">
        <v>100664029</v>
      </c>
      <c r="B354" t="s">
        <v>867</v>
      </c>
      <c r="C354">
        <v>5</v>
      </c>
      <c r="D354" t="s">
        <v>864</v>
      </c>
      <c r="E354" t="s">
        <v>1240</v>
      </c>
      <c r="F354" s="26">
        <v>30039.46</v>
      </c>
      <c r="G354" s="3">
        <v>46073</v>
      </c>
      <c r="H354" t="s">
        <v>14</v>
      </c>
      <c r="I354" s="4" t="str">
        <f t="shared" si="49"/>
        <v>Living Annuity</v>
      </c>
      <c r="J354" t="str">
        <f t="shared" si="50"/>
        <v>Compulsory, LA</v>
      </c>
      <c r="K354" t="s">
        <v>15</v>
      </c>
    </row>
    <row r="355" spans="1:11" x14ac:dyDescent="0.3">
      <c r="A355">
        <v>100664029</v>
      </c>
      <c r="B355" t="s">
        <v>867</v>
      </c>
      <c r="C355">
        <v>5</v>
      </c>
      <c r="D355" t="s">
        <v>864</v>
      </c>
      <c r="E355" t="s">
        <v>1239</v>
      </c>
      <c r="F355" s="26">
        <v>298.92</v>
      </c>
      <c r="G355" s="3">
        <v>46073</v>
      </c>
      <c r="H355" t="s">
        <v>14</v>
      </c>
      <c r="I355" s="4" t="str">
        <f t="shared" si="49"/>
        <v>Living Annuity</v>
      </c>
      <c r="J355" t="str">
        <f t="shared" si="50"/>
        <v>Compulsory, LA</v>
      </c>
      <c r="K355" t="s">
        <v>15</v>
      </c>
    </row>
    <row r="356" spans="1:11" x14ac:dyDescent="0.3">
      <c r="A356">
        <v>100664029</v>
      </c>
      <c r="B356" t="s">
        <v>867</v>
      </c>
      <c r="C356">
        <v>5</v>
      </c>
      <c r="D356" t="s">
        <v>864</v>
      </c>
      <c r="E356" t="s">
        <v>730</v>
      </c>
      <c r="F356" s="26">
        <v>51171.51</v>
      </c>
      <c r="G356" s="3">
        <v>46073</v>
      </c>
      <c r="H356" t="s">
        <v>14</v>
      </c>
      <c r="I356" s="4" t="str">
        <f t="shared" si="49"/>
        <v>Living Annuity</v>
      </c>
      <c r="J356" t="str">
        <f t="shared" si="50"/>
        <v>Compulsory, LA</v>
      </c>
      <c r="K356" t="s">
        <v>15</v>
      </c>
    </row>
    <row r="357" spans="1:11" x14ac:dyDescent="0.3">
      <c r="A357">
        <v>100664029</v>
      </c>
      <c r="B357" t="s">
        <v>867</v>
      </c>
      <c r="C357">
        <v>5</v>
      </c>
      <c r="D357" t="s">
        <v>864</v>
      </c>
      <c r="E357" t="s">
        <v>729</v>
      </c>
      <c r="F357" s="26">
        <v>38229.75</v>
      </c>
      <c r="G357" s="3">
        <v>46073</v>
      </c>
      <c r="H357" t="s">
        <v>14</v>
      </c>
      <c r="I357" s="4" t="str">
        <f t="shared" si="49"/>
        <v>Living Annuity</v>
      </c>
      <c r="J357" t="str">
        <f t="shared" si="50"/>
        <v>Compulsory, LA</v>
      </c>
      <c r="K357" t="s">
        <v>15</v>
      </c>
    </row>
    <row r="358" spans="1:11" x14ac:dyDescent="0.3">
      <c r="A358">
        <v>100664292</v>
      </c>
      <c r="B358" t="s">
        <v>848</v>
      </c>
      <c r="C358">
        <v>21</v>
      </c>
      <c r="D358" t="s">
        <v>849</v>
      </c>
      <c r="E358" t="s">
        <v>1240</v>
      </c>
      <c r="F358" s="25">
        <v>803.86999999999989</v>
      </c>
      <c r="G358" s="3">
        <v>46073</v>
      </c>
      <c r="H358" t="s">
        <v>31</v>
      </c>
      <c r="I358" s="4" t="str">
        <f t="shared" si="49"/>
        <v>Investment Account</v>
      </c>
      <c r="J358" t="str">
        <f t="shared" si="50"/>
        <v>Voluntary</v>
      </c>
      <c r="K358" t="s">
        <v>15</v>
      </c>
    </row>
    <row r="359" spans="1:11" x14ac:dyDescent="0.3">
      <c r="A359">
        <v>100664292</v>
      </c>
      <c r="B359" t="s">
        <v>848</v>
      </c>
      <c r="C359">
        <v>21</v>
      </c>
      <c r="D359" t="s">
        <v>849</v>
      </c>
      <c r="E359" t="s">
        <v>1239</v>
      </c>
      <c r="F359" s="25">
        <v>461.01</v>
      </c>
      <c r="G359" s="3">
        <v>46073</v>
      </c>
      <c r="H359" t="s">
        <v>31</v>
      </c>
      <c r="I359" s="4" t="str">
        <f t="shared" si="49"/>
        <v>Investment Account</v>
      </c>
      <c r="J359" t="str">
        <f t="shared" si="50"/>
        <v>Voluntary</v>
      </c>
      <c r="K359" t="s">
        <v>15</v>
      </c>
    </row>
    <row r="360" spans="1:11" x14ac:dyDescent="0.3">
      <c r="A360">
        <v>100664292</v>
      </c>
      <c r="B360" t="s">
        <v>848</v>
      </c>
      <c r="C360">
        <v>21</v>
      </c>
      <c r="D360" t="s">
        <v>849</v>
      </c>
      <c r="E360" t="s">
        <v>730</v>
      </c>
      <c r="F360" s="25">
        <v>3689.9799999999996</v>
      </c>
      <c r="G360" s="3">
        <v>46073</v>
      </c>
      <c r="H360" t="s">
        <v>31</v>
      </c>
      <c r="I360" s="4" t="str">
        <f t="shared" si="49"/>
        <v>Investment Account</v>
      </c>
      <c r="J360" t="str">
        <f t="shared" si="50"/>
        <v>Voluntary</v>
      </c>
      <c r="K360" t="s">
        <v>15</v>
      </c>
    </row>
    <row r="361" spans="1:11" x14ac:dyDescent="0.3">
      <c r="A361">
        <v>100664292</v>
      </c>
      <c r="B361" t="s">
        <v>848</v>
      </c>
      <c r="C361">
        <v>21</v>
      </c>
      <c r="D361" t="s">
        <v>849</v>
      </c>
      <c r="E361" t="s">
        <v>729</v>
      </c>
      <c r="F361" s="25">
        <v>72122.33</v>
      </c>
      <c r="G361" s="3">
        <v>46073</v>
      </c>
      <c r="H361" t="s">
        <v>31</v>
      </c>
      <c r="I361" s="4" t="str">
        <f t="shared" si="49"/>
        <v>Investment Account</v>
      </c>
      <c r="J361" t="str">
        <f t="shared" si="50"/>
        <v>Voluntary</v>
      </c>
      <c r="K361" t="s">
        <v>15</v>
      </c>
    </row>
    <row r="362" spans="1:11" x14ac:dyDescent="0.3">
      <c r="A362">
        <v>100664292</v>
      </c>
      <c r="B362" t="s">
        <v>869</v>
      </c>
      <c r="C362">
        <v>21</v>
      </c>
      <c r="D362" t="s">
        <v>849</v>
      </c>
      <c r="E362" t="s">
        <v>1240</v>
      </c>
      <c r="F362" s="25">
        <v>145332.06</v>
      </c>
      <c r="G362" s="3">
        <v>46073</v>
      </c>
      <c r="H362" t="s">
        <v>14</v>
      </c>
      <c r="I362" s="4" t="str">
        <f t="shared" si="49"/>
        <v>Living Annuity</v>
      </c>
      <c r="J362" t="str">
        <f t="shared" si="50"/>
        <v>Compulsory, LA</v>
      </c>
      <c r="K362" t="s">
        <v>15</v>
      </c>
    </row>
    <row r="363" spans="1:11" x14ac:dyDescent="0.3">
      <c r="A363">
        <v>100664292</v>
      </c>
      <c r="B363" t="s">
        <v>869</v>
      </c>
      <c r="C363">
        <v>21</v>
      </c>
      <c r="D363" t="s">
        <v>849</v>
      </c>
      <c r="E363" t="s">
        <v>1239</v>
      </c>
      <c r="F363" s="25">
        <v>1171.51</v>
      </c>
      <c r="G363" s="3">
        <v>46073</v>
      </c>
      <c r="H363" t="s">
        <v>14</v>
      </c>
      <c r="I363" s="4" t="str">
        <f t="shared" si="49"/>
        <v>Living Annuity</v>
      </c>
      <c r="J363" t="str">
        <f t="shared" si="50"/>
        <v>Compulsory, LA</v>
      </c>
      <c r="K363" t="s">
        <v>15</v>
      </c>
    </row>
    <row r="364" spans="1:11" x14ac:dyDescent="0.3">
      <c r="A364">
        <v>100664292</v>
      </c>
      <c r="B364" t="s">
        <v>869</v>
      </c>
      <c r="C364">
        <v>21</v>
      </c>
      <c r="D364" t="s">
        <v>849</v>
      </c>
      <c r="E364" t="s">
        <v>730</v>
      </c>
      <c r="F364" s="25">
        <v>426295.48</v>
      </c>
      <c r="G364" s="3">
        <v>46073</v>
      </c>
      <c r="H364" t="s">
        <v>14</v>
      </c>
      <c r="I364" s="4" t="str">
        <f t="shared" si="49"/>
        <v>Living Annuity</v>
      </c>
      <c r="J364" t="str">
        <f t="shared" si="50"/>
        <v>Compulsory, LA</v>
      </c>
      <c r="K364" t="s">
        <v>15</v>
      </c>
    </row>
    <row r="365" spans="1:11" x14ac:dyDescent="0.3">
      <c r="A365">
        <v>100664292</v>
      </c>
      <c r="B365" t="s">
        <v>869</v>
      </c>
      <c r="C365">
        <v>21</v>
      </c>
      <c r="D365" t="s">
        <v>849</v>
      </c>
      <c r="E365" t="s">
        <v>729</v>
      </c>
      <c r="F365" s="25">
        <v>55301.5</v>
      </c>
      <c r="G365" s="3">
        <v>46073</v>
      </c>
      <c r="H365" t="s">
        <v>14</v>
      </c>
      <c r="I365" s="4" t="str">
        <f t="shared" si="49"/>
        <v>Living Annuity</v>
      </c>
      <c r="J365" t="str">
        <f t="shared" si="50"/>
        <v>Compulsory, LA</v>
      </c>
      <c r="K365" t="s">
        <v>15</v>
      </c>
    </row>
    <row r="366" spans="1:11" x14ac:dyDescent="0.3">
      <c r="A366">
        <v>100664348</v>
      </c>
      <c r="B366" t="s">
        <v>872</v>
      </c>
      <c r="C366">
        <v>257</v>
      </c>
      <c r="D366" t="s">
        <v>871</v>
      </c>
      <c r="E366" t="s">
        <v>1240</v>
      </c>
      <c r="F366" s="25">
        <v>78631.56</v>
      </c>
      <c r="G366" s="3">
        <v>46073</v>
      </c>
      <c r="H366" t="s">
        <v>14</v>
      </c>
      <c r="I366" s="4" t="str">
        <f t="shared" si="49"/>
        <v>Living Annuity</v>
      </c>
      <c r="J366" t="str">
        <f t="shared" si="50"/>
        <v>Compulsory, LA</v>
      </c>
      <c r="K366" t="s">
        <v>15</v>
      </c>
    </row>
    <row r="367" spans="1:11" x14ac:dyDescent="0.3">
      <c r="A367">
        <v>100664348</v>
      </c>
      <c r="B367" t="s">
        <v>872</v>
      </c>
      <c r="C367">
        <v>257</v>
      </c>
      <c r="D367" t="s">
        <v>871</v>
      </c>
      <c r="E367" t="s">
        <v>1239</v>
      </c>
      <c r="F367" s="25">
        <v>1098.47</v>
      </c>
      <c r="G367" s="3">
        <v>46073</v>
      </c>
      <c r="H367" t="s">
        <v>14</v>
      </c>
      <c r="I367" s="4" t="str">
        <f t="shared" si="49"/>
        <v>Living Annuity</v>
      </c>
      <c r="J367" t="str">
        <f t="shared" si="50"/>
        <v>Compulsory, LA</v>
      </c>
      <c r="K367" t="s">
        <v>15</v>
      </c>
    </row>
    <row r="368" spans="1:11" x14ac:dyDescent="0.3">
      <c r="A368">
        <v>100664348</v>
      </c>
      <c r="B368" t="s">
        <v>872</v>
      </c>
      <c r="C368">
        <v>257</v>
      </c>
      <c r="D368" t="s">
        <v>871</v>
      </c>
      <c r="E368" t="s">
        <v>730</v>
      </c>
      <c r="F368" s="25">
        <v>68091.759999999995</v>
      </c>
      <c r="G368" s="3">
        <v>46073</v>
      </c>
      <c r="H368" t="s">
        <v>14</v>
      </c>
      <c r="I368" s="4" t="str">
        <f t="shared" si="49"/>
        <v>Living Annuity</v>
      </c>
      <c r="J368" t="str">
        <f t="shared" si="50"/>
        <v>Compulsory, LA</v>
      </c>
      <c r="K368" t="s">
        <v>15</v>
      </c>
    </row>
    <row r="369" spans="1:11" x14ac:dyDescent="0.3">
      <c r="A369">
        <v>100664348</v>
      </c>
      <c r="B369" t="s">
        <v>872</v>
      </c>
      <c r="C369">
        <v>257</v>
      </c>
      <c r="D369" t="s">
        <v>871</v>
      </c>
      <c r="E369" t="s">
        <v>729</v>
      </c>
      <c r="F369" s="25">
        <v>131462.97</v>
      </c>
      <c r="G369" s="3">
        <v>46073</v>
      </c>
      <c r="H369" t="s">
        <v>14</v>
      </c>
      <c r="I369" s="4" t="str">
        <f t="shared" si="49"/>
        <v>Living Annuity</v>
      </c>
      <c r="J369" t="str">
        <f t="shared" si="50"/>
        <v>Compulsory, LA</v>
      </c>
      <c r="K369" t="s">
        <v>15</v>
      </c>
    </row>
    <row r="370" spans="1:11" x14ac:dyDescent="0.3">
      <c r="A370">
        <v>100664351</v>
      </c>
      <c r="B370" t="s">
        <v>874</v>
      </c>
      <c r="C370">
        <v>196</v>
      </c>
      <c r="D370" t="s">
        <v>873</v>
      </c>
      <c r="E370" t="s">
        <v>1240</v>
      </c>
      <c r="F370" s="25">
        <v>29032.560000000005</v>
      </c>
      <c r="G370" s="3">
        <v>46073</v>
      </c>
      <c r="H370" t="s">
        <v>14</v>
      </c>
      <c r="I370" s="4" t="str">
        <f t="shared" si="49"/>
        <v>Living Annuity</v>
      </c>
      <c r="J370" t="str">
        <f t="shared" si="50"/>
        <v>Compulsory, LA</v>
      </c>
      <c r="K370" t="s">
        <v>15</v>
      </c>
    </row>
    <row r="371" spans="1:11" x14ac:dyDescent="0.3">
      <c r="A371">
        <v>100664351</v>
      </c>
      <c r="B371" t="s">
        <v>874</v>
      </c>
      <c r="C371">
        <v>196</v>
      </c>
      <c r="D371" t="s">
        <v>873</v>
      </c>
      <c r="E371" t="s">
        <v>730</v>
      </c>
      <c r="F371" s="25">
        <v>87039.260000000009</v>
      </c>
      <c r="G371" s="3">
        <v>46073</v>
      </c>
      <c r="H371" t="s">
        <v>14</v>
      </c>
      <c r="I371" s="4" t="str">
        <f t="shared" si="49"/>
        <v>Living Annuity</v>
      </c>
      <c r="J371" t="str">
        <f t="shared" si="50"/>
        <v>Compulsory, LA</v>
      </c>
      <c r="K371" t="s">
        <v>15</v>
      </c>
    </row>
    <row r="372" spans="1:11" x14ac:dyDescent="0.3">
      <c r="A372">
        <v>100664351</v>
      </c>
      <c r="B372" t="s">
        <v>874</v>
      </c>
      <c r="C372">
        <v>196</v>
      </c>
      <c r="D372" t="s">
        <v>873</v>
      </c>
      <c r="E372" t="s">
        <v>729</v>
      </c>
      <c r="F372" s="25">
        <v>1383.54</v>
      </c>
      <c r="G372" s="3">
        <v>46073</v>
      </c>
      <c r="H372" t="s">
        <v>14</v>
      </c>
      <c r="I372" s="4" t="str">
        <f t="shared" si="49"/>
        <v>Living Annuity</v>
      </c>
      <c r="J372" t="str">
        <f t="shared" si="50"/>
        <v>Compulsory, LA</v>
      </c>
      <c r="K372" t="s">
        <v>15</v>
      </c>
    </row>
    <row r="373" spans="1:11" x14ac:dyDescent="0.3">
      <c r="A373">
        <v>100664601</v>
      </c>
      <c r="B373" t="s">
        <v>876</v>
      </c>
      <c r="C373">
        <v>60</v>
      </c>
      <c r="D373" t="s">
        <v>875</v>
      </c>
      <c r="E373" t="s">
        <v>1108</v>
      </c>
      <c r="F373" s="25">
        <v>2281111.46</v>
      </c>
      <c r="G373" s="3">
        <v>46073</v>
      </c>
      <c r="H373" t="s">
        <v>80</v>
      </c>
      <c r="I373" s="4" t="str">
        <f t="shared" si="49"/>
        <v>Pension Preservation Fund</v>
      </c>
      <c r="J373" t="str">
        <f t="shared" si="50"/>
        <v>Compulsory, Pens</v>
      </c>
      <c r="K373" t="s">
        <v>15</v>
      </c>
    </row>
    <row r="374" spans="1:11" x14ac:dyDescent="0.3">
      <c r="A374">
        <v>100664601</v>
      </c>
      <c r="B374" t="s">
        <v>877</v>
      </c>
      <c r="C374">
        <v>60</v>
      </c>
      <c r="D374" t="s">
        <v>875</v>
      </c>
      <c r="E374" t="s">
        <v>1108</v>
      </c>
      <c r="F374" s="25">
        <v>703510.08000000007</v>
      </c>
      <c r="G374" s="3">
        <v>46073</v>
      </c>
      <c r="H374" t="s">
        <v>26</v>
      </c>
      <c r="I374" s="4" t="str">
        <f t="shared" ref="I374:I390" si="51">MID(H374,6,30)</f>
        <v>Retirement Annuity</v>
      </c>
      <c r="J374" t="str">
        <f t="shared" ref="J374:J390" si="52">IF(LEFT(I374)="L","Compulsory, LA",IF(LEFT(I374)="R","Compulsory, RA",IF(LEFT(I374,2)="Pe","Compulsory, Pens","Voluntary")))</f>
        <v>Compulsory, RA</v>
      </c>
      <c r="K374" t="s">
        <v>15</v>
      </c>
    </row>
    <row r="375" spans="1:11" x14ac:dyDescent="0.3">
      <c r="A375">
        <v>100664601</v>
      </c>
      <c r="B375" t="s">
        <v>1216</v>
      </c>
      <c r="C375">
        <v>60</v>
      </c>
      <c r="D375" t="s">
        <v>875</v>
      </c>
      <c r="E375" t="s">
        <v>1108</v>
      </c>
      <c r="F375" s="25">
        <v>33332.129999999997</v>
      </c>
      <c r="G375" s="3">
        <v>46073</v>
      </c>
      <c r="H375" t="s">
        <v>1187</v>
      </c>
      <c r="I375" s="4" t="str">
        <f t="shared" si="51"/>
        <v>Pension Preservation Fund - Sa</v>
      </c>
      <c r="J375" t="str">
        <f t="shared" si="52"/>
        <v>Compulsory, Pens</v>
      </c>
      <c r="K375" t="s">
        <v>15</v>
      </c>
    </row>
    <row r="376" spans="1:11" x14ac:dyDescent="0.3">
      <c r="A376">
        <v>100664601</v>
      </c>
      <c r="B376" t="s">
        <v>1216</v>
      </c>
      <c r="C376">
        <v>60</v>
      </c>
      <c r="D376" t="s">
        <v>875</v>
      </c>
      <c r="E376" t="s">
        <v>1239</v>
      </c>
      <c r="F376" s="25">
        <v>180.74</v>
      </c>
      <c r="G376" s="3">
        <v>46073</v>
      </c>
      <c r="H376" t="s">
        <v>1187</v>
      </c>
      <c r="I376" s="4" t="str">
        <f t="shared" si="51"/>
        <v>Pension Preservation Fund - Sa</v>
      </c>
      <c r="J376" t="str">
        <f t="shared" si="52"/>
        <v>Compulsory, Pens</v>
      </c>
      <c r="K376" t="s">
        <v>15</v>
      </c>
    </row>
    <row r="377" spans="1:11" x14ac:dyDescent="0.3">
      <c r="A377">
        <v>100664601</v>
      </c>
      <c r="B377" t="s">
        <v>1217</v>
      </c>
      <c r="C377">
        <v>60</v>
      </c>
      <c r="D377" t="s">
        <v>875</v>
      </c>
      <c r="E377" t="s">
        <v>1108</v>
      </c>
      <c r="F377" s="25">
        <v>33206.31</v>
      </c>
      <c r="G377" s="3">
        <v>46073</v>
      </c>
      <c r="H377" t="s">
        <v>1174</v>
      </c>
      <c r="I377" s="4" t="str">
        <f t="shared" si="51"/>
        <v>Retirement Annuity - Savings C</v>
      </c>
      <c r="J377" t="str">
        <f t="shared" si="52"/>
        <v>Compulsory, RA</v>
      </c>
      <c r="K377" t="s">
        <v>15</v>
      </c>
    </row>
    <row r="378" spans="1:11" x14ac:dyDescent="0.3">
      <c r="A378">
        <v>100664601</v>
      </c>
      <c r="B378" t="s">
        <v>1217</v>
      </c>
      <c r="C378">
        <v>60</v>
      </c>
      <c r="D378" t="s">
        <v>875</v>
      </c>
      <c r="E378" t="s">
        <v>1239</v>
      </c>
      <c r="F378" s="25">
        <v>180.14</v>
      </c>
      <c r="G378" s="3">
        <v>46073</v>
      </c>
      <c r="H378" t="s">
        <v>1174</v>
      </c>
      <c r="I378" s="4" t="str">
        <f t="shared" si="51"/>
        <v>Retirement Annuity - Savings C</v>
      </c>
      <c r="J378" t="str">
        <f t="shared" si="52"/>
        <v>Compulsory, RA</v>
      </c>
      <c r="K378" t="s">
        <v>15</v>
      </c>
    </row>
    <row r="379" spans="1:11" x14ac:dyDescent="0.3">
      <c r="A379">
        <v>100664737</v>
      </c>
      <c r="B379" t="s">
        <v>1115</v>
      </c>
      <c r="C379">
        <v>57</v>
      </c>
      <c r="D379" t="s">
        <v>882</v>
      </c>
      <c r="E379" t="s">
        <v>1240</v>
      </c>
      <c r="F379" s="25">
        <v>54597.880000000005</v>
      </c>
      <c r="G379" s="3">
        <v>46073</v>
      </c>
      <c r="H379" t="s">
        <v>14</v>
      </c>
      <c r="I379" s="4" t="str">
        <f t="shared" si="51"/>
        <v>Living Annuity</v>
      </c>
      <c r="J379" t="str">
        <f t="shared" si="52"/>
        <v>Compulsory, LA</v>
      </c>
      <c r="K379" t="s">
        <v>15</v>
      </c>
    </row>
    <row r="380" spans="1:11" x14ac:dyDescent="0.3">
      <c r="A380">
        <v>100664737</v>
      </c>
      <c r="B380" t="s">
        <v>1115</v>
      </c>
      <c r="C380">
        <v>57</v>
      </c>
      <c r="D380" t="s">
        <v>882</v>
      </c>
      <c r="E380" t="s">
        <v>1239</v>
      </c>
      <c r="F380" s="25">
        <v>508.74</v>
      </c>
      <c r="G380" s="3">
        <v>46073</v>
      </c>
      <c r="H380" t="s">
        <v>14</v>
      </c>
      <c r="I380" s="4" t="str">
        <f t="shared" si="51"/>
        <v>Living Annuity</v>
      </c>
      <c r="J380" t="str">
        <f t="shared" si="52"/>
        <v>Compulsory, LA</v>
      </c>
      <c r="K380" t="s">
        <v>15</v>
      </c>
    </row>
    <row r="381" spans="1:11" x14ac:dyDescent="0.3">
      <c r="A381">
        <v>100664737</v>
      </c>
      <c r="B381" t="s">
        <v>1115</v>
      </c>
      <c r="C381">
        <v>57</v>
      </c>
      <c r="D381" t="s">
        <v>882</v>
      </c>
      <c r="E381" t="s">
        <v>730</v>
      </c>
      <c r="F381" s="25">
        <v>56412.47</v>
      </c>
      <c r="G381" s="3">
        <v>46073</v>
      </c>
      <c r="H381" t="s">
        <v>14</v>
      </c>
      <c r="I381" s="4" t="str">
        <f t="shared" si="51"/>
        <v>Living Annuity</v>
      </c>
      <c r="J381" t="str">
        <f t="shared" si="52"/>
        <v>Compulsory, LA</v>
      </c>
      <c r="K381" t="s">
        <v>15</v>
      </c>
    </row>
    <row r="382" spans="1:11" x14ac:dyDescent="0.3">
      <c r="A382">
        <v>100664737</v>
      </c>
      <c r="B382" t="s">
        <v>1115</v>
      </c>
      <c r="C382">
        <v>57</v>
      </c>
      <c r="D382" t="s">
        <v>882</v>
      </c>
      <c r="E382" t="s">
        <v>729</v>
      </c>
      <c r="F382" s="25">
        <v>58344.58</v>
      </c>
      <c r="G382" s="3">
        <v>46073</v>
      </c>
      <c r="H382" t="s">
        <v>14</v>
      </c>
      <c r="I382" s="4" t="str">
        <f t="shared" si="51"/>
        <v>Living Annuity</v>
      </c>
      <c r="J382" t="str">
        <f t="shared" si="52"/>
        <v>Compulsory, LA</v>
      </c>
      <c r="K382" t="s">
        <v>15</v>
      </c>
    </row>
    <row r="383" spans="1:11" x14ac:dyDescent="0.3">
      <c r="A383">
        <v>100664737</v>
      </c>
      <c r="B383" t="s">
        <v>1121</v>
      </c>
      <c r="C383">
        <v>57</v>
      </c>
      <c r="D383" t="s">
        <v>882</v>
      </c>
      <c r="E383" t="s">
        <v>1240</v>
      </c>
      <c r="F383" s="25">
        <v>25539.79</v>
      </c>
      <c r="G383" s="3">
        <v>46073</v>
      </c>
      <c r="H383" t="s">
        <v>14</v>
      </c>
      <c r="I383" s="4" t="str">
        <f t="shared" si="51"/>
        <v>Living Annuity</v>
      </c>
      <c r="J383" t="str">
        <f t="shared" si="52"/>
        <v>Compulsory, LA</v>
      </c>
      <c r="K383" t="s">
        <v>15</v>
      </c>
    </row>
    <row r="384" spans="1:11" x14ac:dyDescent="0.3">
      <c r="A384">
        <v>100664737</v>
      </c>
      <c r="B384" t="s">
        <v>1121</v>
      </c>
      <c r="C384">
        <v>57</v>
      </c>
      <c r="D384" t="s">
        <v>882</v>
      </c>
      <c r="E384" t="s">
        <v>1239</v>
      </c>
      <c r="F384" s="25">
        <v>327.96</v>
      </c>
      <c r="G384" s="3">
        <v>46073</v>
      </c>
      <c r="H384" t="s">
        <v>14</v>
      </c>
      <c r="I384" s="4" t="str">
        <f t="shared" si="51"/>
        <v>Living Annuity</v>
      </c>
      <c r="J384" t="str">
        <f t="shared" si="52"/>
        <v>Compulsory, LA</v>
      </c>
      <c r="K384" t="s">
        <v>15</v>
      </c>
    </row>
    <row r="385" spans="1:11" x14ac:dyDescent="0.3">
      <c r="A385">
        <v>100664737</v>
      </c>
      <c r="B385" t="s">
        <v>1121</v>
      </c>
      <c r="C385">
        <v>57</v>
      </c>
      <c r="D385" t="s">
        <v>882</v>
      </c>
      <c r="E385" t="s">
        <v>730</v>
      </c>
      <c r="F385" s="25">
        <v>24864.62</v>
      </c>
      <c r="G385" s="3">
        <v>46073</v>
      </c>
      <c r="H385" t="s">
        <v>14</v>
      </c>
      <c r="I385" s="4" t="str">
        <f t="shared" si="51"/>
        <v>Living Annuity</v>
      </c>
      <c r="J385" t="str">
        <f t="shared" si="52"/>
        <v>Compulsory, LA</v>
      </c>
      <c r="K385" t="s">
        <v>15</v>
      </c>
    </row>
    <row r="386" spans="1:11" x14ac:dyDescent="0.3">
      <c r="A386">
        <v>100664737</v>
      </c>
      <c r="B386" t="s">
        <v>1121</v>
      </c>
      <c r="C386">
        <v>57</v>
      </c>
      <c r="D386" t="s">
        <v>882</v>
      </c>
      <c r="E386" t="s">
        <v>729</v>
      </c>
      <c r="F386" s="25">
        <v>11105.83</v>
      </c>
      <c r="G386" s="3">
        <v>46073</v>
      </c>
      <c r="H386" t="s">
        <v>14</v>
      </c>
      <c r="I386" s="4" t="str">
        <f t="shared" si="51"/>
        <v>Living Annuity</v>
      </c>
      <c r="J386" t="str">
        <f t="shared" si="52"/>
        <v>Compulsory, LA</v>
      </c>
      <c r="K386" t="s">
        <v>15</v>
      </c>
    </row>
    <row r="387" spans="1:11" x14ac:dyDescent="0.3">
      <c r="A387">
        <v>100665510</v>
      </c>
      <c r="B387" t="s">
        <v>851</v>
      </c>
      <c r="C387">
        <v>6</v>
      </c>
      <c r="D387" t="s">
        <v>850</v>
      </c>
      <c r="E387" t="s">
        <v>730</v>
      </c>
      <c r="F387" s="25">
        <v>25038</v>
      </c>
      <c r="G387" s="3">
        <v>46073</v>
      </c>
      <c r="H387" t="s">
        <v>31</v>
      </c>
      <c r="I387" s="4" t="str">
        <f t="shared" si="51"/>
        <v>Investment Account</v>
      </c>
      <c r="J387" t="str">
        <f t="shared" si="52"/>
        <v>Voluntary</v>
      </c>
      <c r="K387" t="s">
        <v>15</v>
      </c>
    </row>
    <row r="388" spans="1:11" x14ac:dyDescent="0.3">
      <c r="A388">
        <v>100665510</v>
      </c>
      <c r="B388" t="s">
        <v>883</v>
      </c>
      <c r="C388">
        <v>6</v>
      </c>
      <c r="D388" t="s">
        <v>850</v>
      </c>
      <c r="E388" t="s">
        <v>1240</v>
      </c>
      <c r="F388" s="25">
        <v>88177.82</v>
      </c>
      <c r="G388" s="3">
        <v>46073</v>
      </c>
      <c r="H388" t="s">
        <v>14</v>
      </c>
      <c r="I388" s="4" t="str">
        <f t="shared" si="51"/>
        <v>Living Annuity</v>
      </c>
      <c r="J388" t="str">
        <f t="shared" si="52"/>
        <v>Compulsory, LA</v>
      </c>
      <c r="K388" t="s">
        <v>15</v>
      </c>
    </row>
    <row r="389" spans="1:11" x14ac:dyDescent="0.3">
      <c r="A389">
        <v>100665510</v>
      </c>
      <c r="B389" t="s">
        <v>883</v>
      </c>
      <c r="C389">
        <v>6</v>
      </c>
      <c r="D389" t="s">
        <v>850</v>
      </c>
      <c r="E389" t="s">
        <v>730</v>
      </c>
      <c r="F389" s="25">
        <v>272999.71999999997</v>
      </c>
      <c r="G389" s="3">
        <v>46073</v>
      </c>
      <c r="H389" t="s">
        <v>14</v>
      </c>
      <c r="I389" s="4" t="str">
        <f t="shared" si="51"/>
        <v>Living Annuity</v>
      </c>
      <c r="J389" t="str">
        <f t="shared" si="52"/>
        <v>Compulsory, LA</v>
      </c>
      <c r="K389" t="s">
        <v>15</v>
      </c>
    </row>
    <row r="390" spans="1:11" x14ac:dyDescent="0.3">
      <c r="A390">
        <v>100665510</v>
      </c>
      <c r="B390" t="s">
        <v>883</v>
      </c>
      <c r="C390">
        <v>6</v>
      </c>
      <c r="D390" t="s">
        <v>850</v>
      </c>
      <c r="E390" t="s">
        <v>729</v>
      </c>
      <c r="F390" s="25">
        <v>14835.050000000001</v>
      </c>
      <c r="G390" s="3">
        <v>46073</v>
      </c>
      <c r="H390" t="s">
        <v>14</v>
      </c>
      <c r="I390" s="4" t="str">
        <f t="shared" si="51"/>
        <v>Living Annuity</v>
      </c>
      <c r="J390" t="str">
        <f t="shared" si="52"/>
        <v>Compulsory, LA</v>
      </c>
      <c r="K390" t="s">
        <v>15</v>
      </c>
    </row>
    <row r="391" spans="1:11" x14ac:dyDescent="0.3">
      <c r="A391">
        <v>100666150</v>
      </c>
      <c r="B391" t="s">
        <v>844</v>
      </c>
      <c r="C391">
        <v>163</v>
      </c>
      <c r="D391" t="s">
        <v>803</v>
      </c>
      <c r="E391" t="s">
        <v>1240</v>
      </c>
      <c r="F391" s="26">
        <v>227731.55</v>
      </c>
      <c r="G391" s="3">
        <v>46073</v>
      </c>
      <c r="H391" t="s">
        <v>14</v>
      </c>
      <c r="I391" s="4" t="str">
        <f t="shared" ref="I391:I419" si="53">MID(H391,6,30)</f>
        <v>Living Annuity</v>
      </c>
      <c r="J391" t="str">
        <f t="shared" ref="J391:J419" si="54">IF(LEFT(I391)="L","Compulsory, LA",IF(LEFT(I391)="R","Compulsory, RA",IF(LEFT(I391,2)="Pe","Compulsory, Pens","Voluntary")))</f>
        <v>Compulsory, LA</v>
      </c>
      <c r="K391" t="s">
        <v>15</v>
      </c>
    </row>
    <row r="392" spans="1:11" x14ac:dyDescent="0.3">
      <c r="A392">
        <v>100666150</v>
      </c>
      <c r="B392" t="s">
        <v>844</v>
      </c>
      <c r="C392">
        <v>163</v>
      </c>
      <c r="D392" t="s">
        <v>803</v>
      </c>
      <c r="E392" t="s">
        <v>1239</v>
      </c>
      <c r="F392" s="26">
        <v>1698.05</v>
      </c>
      <c r="G392" s="3">
        <v>46073</v>
      </c>
      <c r="H392" t="s">
        <v>14</v>
      </c>
      <c r="I392" s="4" t="str">
        <f t="shared" si="53"/>
        <v>Living Annuity</v>
      </c>
      <c r="J392" t="str">
        <f t="shared" si="54"/>
        <v>Compulsory, LA</v>
      </c>
      <c r="K392" t="s">
        <v>15</v>
      </c>
    </row>
    <row r="393" spans="1:11" x14ac:dyDescent="0.3">
      <c r="A393">
        <v>100666150</v>
      </c>
      <c r="B393" t="s">
        <v>844</v>
      </c>
      <c r="C393">
        <v>163</v>
      </c>
      <c r="D393" t="s">
        <v>803</v>
      </c>
      <c r="E393" t="s">
        <v>730</v>
      </c>
      <c r="F393" s="26">
        <v>452643.83</v>
      </c>
      <c r="G393" s="3">
        <v>46073</v>
      </c>
      <c r="H393" t="s">
        <v>14</v>
      </c>
      <c r="I393" s="4" t="str">
        <f t="shared" si="53"/>
        <v>Living Annuity</v>
      </c>
      <c r="J393" t="str">
        <f t="shared" si="54"/>
        <v>Compulsory, LA</v>
      </c>
      <c r="K393" t="s">
        <v>15</v>
      </c>
    </row>
    <row r="394" spans="1:11" x14ac:dyDescent="0.3">
      <c r="A394">
        <v>100666150</v>
      </c>
      <c r="B394" t="s">
        <v>844</v>
      </c>
      <c r="C394">
        <v>163</v>
      </c>
      <c r="D394" t="s">
        <v>803</v>
      </c>
      <c r="E394" t="s">
        <v>729</v>
      </c>
      <c r="F394" s="26">
        <v>160929.82</v>
      </c>
      <c r="G394" s="3">
        <v>46073</v>
      </c>
      <c r="H394" t="s">
        <v>14</v>
      </c>
      <c r="I394" s="4" t="str">
        <f t="shared" si="53"/>
        <v>Living Annuity</v>
      </c>
      <c r="J394" t="str">
        <f t="shared" si="54"/>
        <v>Compulsory, LA</v>
      </c>
      <c r="K394" t="s">
        <v>15</v>
      </c>
    </row>
    <row r="395" spans="1:11" x14ac:dyDescent="0.3">
      <c r="A395">
        <v>100668166</v>
      </c>
      <c r="B395" t="s">
        <v>914</v>
      </c>
      <c r="C395">
        <v>188</v>
      </c>
      <c r="D395" t="s">
        <v>913</v>
      </c>
      <c r="E395" t="s">
        <v>730</v>
      </c>
      <c r="F395" s="26">
        <v>49070.2</v>
      </c>
      <c r="G395" s="3">
        <v>46073</v>
      </c>
      <c r="H395" t="s">
        <v>31</v>
      </c>
      <c r="I395" s="4" t="str">
        <f t="shared" si="53"/>
        <v>Investment Account</v>
      </c>
      <c r="J395" t="str">
        <f t="shared" si="54"/>
        <v>Voluntary</v>
      </c>
      <c r="K395" t="s">
        <v>15</v>
      </c>
    </row>
    <row r="396" spans="1:11" x14ac:dyDescent="0.3">
      <c r="A396">
        <v>100668409</v>
      </c>
      <c r="B396" t="s">
        <v>853</v>
      </c>
      <c r="C396">
        <v>178</v>
      </c>
      <c r="D396" t="s">
        <v>852</v>
      </c>
      <c r="E396" t="s">
        <v>1240</v>
      </c>
      <c r="F396" s="25">
        <v>18939.47</v>
      </c>
      <c r="G396" s="3">
        <v>46073</v>
      </c>
      <c r="H396" t="s">
        <v>31</v>
      </c>
      <c r="I396" s="4" t="str">
        <f t="shared" si="53"/>
        <v>Investment Account</v>
      </c>
      <c r="J396" t="str">
        <f t="shared" si="54"/>
        <v>Voluntary</v>
      </c>
      <c r="K396" t="s">
        <v>15</v>
      </c>
    </row>
    <row r="397" spans="1:11" x14ac:dyDescent="0.3">
      <c r="A397">
        <v>100668409</v>
      </c>
      <c r="B397" t="s">
        <v>853</v>
      </c>
      <c r="C397">
        <v>178</v>
      </c>
      <c r="D397" t="s">
        <v>852</v>
      </c>
      <c r="E397" t="s">
        <v>730</v>
      </c>
      <c r="F397" s="25">
        <v>89129.08</v>
      </c>
      <c r="G397" s="3">
        <v>46073</v>
      </c>
      <c r="H397" t="s">
        <v>31</v>
      </c>
      <c r="I397" s="4" t="str">
        <f t="shared" si="53"/>
        <v>Investment Account</v>
      </c>
      <c r="J397" t="str">
        <f t="shared" si="54"/>
        <v>Voluntary</v>
      </c>
      <c r="K397" t="s">
        <v>15</v>
      </c>
    </row>
    <row r="398" spans="1:11" x14ac:dyDescent="0.3">
      <c r="A398">
        <v>100668409</v>
      </c>
      <c r="B398" t="s">
        <v>853</v>
      </c>
      <c r="C398">
        <v>178</v>
      </c>
      <c r="D398" t="s">
        <v>852</v>
      </c>
      <c r="E398" t="s">
        <v>729</v>
      </c>
      <c r="F398" s="25">
        <v>13038.29</v>
      </c>
      <c r="G398" s="3">
        <v>46073</v>
      </c>
      <c r="H398" t="s">
        <v>31</v>
      </c>
      <c r="I398" s="4" t="str">
        <f t="shared" si="53"/>
        <v>Investment Account</v>
      </c>
      <c r="J398" t="str">
        <f t="shared" si="54"/>
        <v>Voluntary</v>
      </c>
      <c r="K398" t="s">
        <v>15</v>
      </c>
    </row>
    <row r="399" spans="1:11" x14ac:dyDescent="0.3">
      <c r="A399">
        <v>100668534</v>
      </c>
      <c r="B399" t="s">
        <v>854</v>
      </c>
      <c r="C399">
        <v>23</v>
      </c>
      <c r="D399" t="s">
        <v>194</v>
      </c>
      <c r="E399" t="s">
        <v>1240</v>
      </c>
      <c r="F399" s="25">
        <v>35635.22</v>
      </c>
      <c r="G399" s="3">
        <v>46073</v>
      </c>
      <c r="H399" t="s">
        <v>31</v>
      </c>
      <c r="I399" s="4" t="str">
        <f t="shared" si="53"/>
        <v>Investment Account</v>
      </c>
      <c r="J399" t="str">
        <f t="shared" si="54"/>
        <v>Voluntary</v>
      </c>
      <c r="K399" t="s">
        <v>15</v>
      </c>
    </row>
    <row r="400" spans="1:11" x14ac:dyDescent="0.3">
      <c r="A400">
        <v>100668534</v>
      </c>
      <c r="B400" t="s">
        <v>854</v>
      </c>
      <c r="C400">
        <v>23</v>
      </c>
      <c r="D400" t="s">
        <v>194</v>
      </c>
      <c r="E400" t="s">
        <v>730</v>
      </c>
      <c r="F400" s="25">
        <v>182345.86</v>
      </c>
      <c r="G400" s="3">
        <v>46073</v>
      </c>
      <c r="H400" t="s">
        <v>31</v>
      </c>
      <c r="I400" s="4" t="str">
        <f t="shared" si="53"/>
        <v>Investment Account</v>
      </c>
      <c r="J400" t="str">
        <f t="shared" si="54"/>
        <v>Voluntary</v>
      </c>
      <c r="K400" t="s">
        <v>15</v>
      </c>
    </row>
    <row r="401" spans="1:11" x14ac:dyDescent="0.3">
      <c r="A401">
        <v>100668534</v>
      </c>
      <c r="B401" t="s">
        <v>854</v>
      </c>
      <c r="C401">
        <v>23</v>
      </c>
      <c r="D401" t="s">
        <v>194</v>
      </c>
      <c r="E401" t="s">
        <v>729</v>
      </c>
      <c r="F401" s="25">
        <v>11987.65</v>
      </c>
      <c r="G401" s="3">
        <v>46073</v>
      </c>
      <c r="H401" t="s">
        <v>31</v>
      </c>
      <c r="I401" s="4" t="str">
        <f t="shared" si="53"/>
        <v>Investment Account</v>
      </c>
      <c r="J401" t="str">
        <f t="shared" si="54"/>
        <v>Voluntary</v>
      </c>
      <c r="K401" t="s">
        <v>15</v>
      </c>
    </row>
    <row r="402" spans="1:11" x14ac:dyDescent="0.3">
      <c r="A402">
        <v>100669580</v>
      </c>
      <c r="B402" t="s">
        <v>888</v>
      </c>
      <c r="C402">
        <v>321</v>
      </c>
      <c r="D402" t="s">
        <v>887</v>
      </c>
      <c r="E402" t="s">
        <v>1240</v>
      </c>
      <c r="F402" s="26">
        <v>97650.99</v>
      </c>
      <c r="G402" s="3">
        <v>46073</v>
      </c>
      <c r="H402" t="s">
        <v>14</v>
      </c>
      <c r="I402" s="4" t="str">
        <f t="shared" si="53"/>
        <v>Living Annuity</v>
      </c>
      <c r="J402" t="str">
        <f t="shared" si="54"/>
        <v>Compulsory, LA</v>
      </c>
      <c r="K402" t="s">
        <v>15</v>
      </c>
    </row>
    <row r="403" spans="1:11" x14ac:dyDescent="0.3">
      <c r="A403">
        <v>100669580</v>
      </c>
      <c r="B403" t="s">
        <v>888</v>
      </c>
      <c r="C403">
        <v>321</v>
      </c>
      <c r="D403" t="s">
        <v>887</v>
      </c>
      <c r="E403" t="s">
        <v>1239</v>
      </c>
      <c r="F403" s="26">
        <v>616.98</v>
      </c>
      <c r="G403" s="3">
        <v>46073</v>
      </c>
      <c r="H403" t="s">
        <v>14</v>
      </c>
      <c r="I403" s="4" t="str">
        <f t="shared" si="53"/>
        <v>Living Annuity</v>
      </c>
      <c r="J403" t="str">
        <f t="shared" si="54"/>
        <v>Compulsory, LA</v>
      </c>
      <c r="K403" t="s">
        <v>15</v>
      </c>
    </row>
    <row r="404" spans="1:11" x14ac:dyDescent="0.3">
      <c r="A404">
        <v>100669580</v>
      </c>
      <c r="B404" t="s">
        <v>888</v>
      </c>
      <c r="C404">
        <v>321</v>
      </c>
      <c r="D404" t="s">
        <v>887</v>
      </c>
      <c r="E404" t="s">
        <v>730</v>
      </c>
      <c r="F404" s="26">
        <v>175396.03</v>
      </c>
      <c r="G404" s="3">
        <v>46073</v>
      </c>
      <c r="H404" t="s">
        <v>14</v>
      </c>
      <c r="I404" s="4" t="str">
        <f t="shared" si="53"/>
        <v>Living Annuity</v>
      </c>
      <c r="J404" t="str">
        <f t="shared" si="54"/>
        <v>Compulsory, LA</v>
      </c>
      <c r="K404" t="s">
        <v>15</v>
      </c>
    </row>
    <row r="405" spans="1:11" x14ac:dyDescent="0.3">
      <c r="A405">
        <v>100669580</v>
      </c>
      <c r="B405" t="s">
        <v>888</v>
      </c>
      <c r="C405">
        <v>321</v>
      </c>
      <c r="D405" t="s">
        <v>887</v>
      </c>
      <c r="E405" t="s">
        <v>729</v>
      </c>
      <c r="F405" s="26">
        <v>32323.729999999996</v>
      </c>
      <c r="G405" s="3">
        <v>46073</v>
      </c>
      <c r="H405" t="s">
        <v>14</v>
      </c>
      <c r="I405" s="4" t="str">
        <f t="shared" si="53"/>
        <v>Living Annuity</v>
      </c>
      <c r="J405" t="str">
        <f t="shared" si="54"/>
        <v>Compulsory, LA</v>
      </c>
      <c r="K405" t="s">
        <v>15</v>
      </c>
    </row>
    <row r="406" spans="1:11" x14ac:dyDescent="0.3">
      <c r="A406">
        <v>100670671</v>
      </c>
      <c r="B406" t="s">
        <v>891</v>
      </c>
      <c r="C406">
        <v>150</v>
      </c>
      <c r="D406" t="s">
        <v>890</v>
      </c>
      <c r="E406" t="s">
        <v>1240</v>
      </c>
      <c r="F406" s="26">
        <v>1438002.38</v>
      </c>
      <c r="G406" s="3">
        <v>46073</v>
      </c>
      <c r="H406" t="s">
        <v>31</v>
      </c>
      <c r="I406" s="4" t="str">
        <f t="shared" si="53"/>
        <v>Investment Account</v>
      </c>
      <c r="J406" t="str">
        <f t="shared" si="54"/>
        <v>Voluntary</v>
      </c>
      <c r="K406" t="s">
        <v>15</v>
      </c>
    </row>
    <row r="407" spans="1:11" x14ac:dyDescent="0.3">
      <c r="A407">
        <v>100670671</v>
      </c>
      <c r="B407" t="s">
        <v>891</v>
      </c>
      <c r="C407">
        <v>150</v>
      </c>
      <c r="D407" t="s">
        <v>890</v>
      </c>
      <c r="E407" t="s">
        <v>1239</v>
      </c>
      <c r="F407" s="26">
        <v>387.77</v>
      </c>
      <c r="G407" s="3">
        <v>46073</v>
      </c>
      <c r="H407" t="s">
        <v>31</v>
      </c>
      <c r="I407" s="4" t="str">
        <f t="shared" si="53"/>
        <v>Investment Account</v>
      </c>
      <c r="J407" t="str">
        <f t="shared" si="54"/>
        <v>Voluntary</v>
      </c>
      <c r="K407" t="s">
        <v>15</v>
      </c>
    </row>
    <row r="408" spans="1:11" x14ac:dyDescent="0.3">
      <c r="A408">
        <v>100670671</v>
      </c>
      <c r="B408" t="s">
        <v>891</v>
      </c>
      <c r="C408">
        <v>150</v>
      </c>
      <c r="D408" t="s">
        <v>890</v>
      </c>
      <c r="E408" t="s">
        <v>730</v>
      </c>
      <c r="F408" s="26">
        <v>1927030.01</v>
      </c>
      <c r="G408" s="3">
        <v>46073</v>
      </c>
      <c r="H408" t="s">
        <v>31</v>
      </c>
      <c r="I408" s="4" t="str">
        <f t="shared" si="53"/>
        <v>Investment Account</v>
      </c>
      <c r="J408" t="str">
        <f t="shared" si="54"/>
        <v>Voluntary</v>
      </c>
      <c r="K408" t="s">
        <v>15</v>
      </c>
    </row>
    <row r="409" spans="1:11" x14ac:dyDescent="0.3">
      <c r="A409">
        <v>100670671</v>
      </c>
      <c r="B409" t="s">
        <v>891</v>
      </c>
      <c r="C409">
        <v>150</v>
      </c>
      <c r="D409" t="s">
        <v>890</v>
      </c>
      <c r="E409" t="s">
        <v>729</v>
      </c>
      <c r="F409" s="26">
        <v>285546.67000000004</v>
      </c>
      <c r="G409" s="3">
        <v>46073</v>
      </c>
      <c r="H409" t="s">
        <v>31</v>
      </c>
      <c r="I409" s="4" t="str">
        <f t="shared" si="53"/>
        <v>Investment Account</v>
      </c>
      <c r="J409" t="str">
        <f t="shared" si="54"/>
        <v>Voluntary</v>
      </c>
      <c r="K409" t="s">
        <v>15</v>
      </c>
    </row>
    <row r="410" spans="1:11" x14ac:dyDescent="0.3">
      <c r="A410">
        <v>100670671</v>
      </c>
      <c r="B410" t="s">
        <v>1109</v>
      </c>
      <c r="C410">
        <v>150</v>
      </c>
      <c r="D410" t="s">
        <v>890</v>
      </c>
      <c r="E410" t="s">
        <v>1108</v>
      </c>
      <c r="F410" s="26">
        <v>141079.26</v>
      </c>
      <c r="G410" s="3">
        <v>46073</v>
      </c>
      <c r="H410" t="s">
        <v>26</v>
      </c>
      <c r="I410" s="4" t="str">
        <f t="shared" si="53"/>
        <v>Retirement Annuity</v>
      </c>
      <c r="J410" t="str">
        <f t="shared" si="54"/>
        <v>Compulsory, RA</v>
      </c>
      <c r="K410" t="s">
        <v>15</v>
      </c>
    </row>
    <row r="411" spans="1:11" x14ac:dyDescent="0.3">
      <c r="A411">
        <v>100670671</v>
      </c>
      <c r="B411" t="s">
        <v>1219</v>
      </c>
      <c r="C411">
        <v>150</v>
      </c>
      <c r="D411" t="s">
        <v>890</v>
      </c>
      <c r="E411" t="s">
        <v>1108</v>
      </c>
      <c r="F411" s="26">
        <v>6160.99</v>
      </c>
      <c r="G411" s="3">
        <v>46073</v>
      </c>
      <c r="H411" t="s">
        <v>1175</v>
      </c>
      <c r="I411" s="4" t="str">
        <f t="shared" si="53"/>
        <v>Retirement Annuity - Retiremen</v>
      </c>
      <c r="J411" t="str">
        <f t="shared" si="54"/>
        <v>Compulsory, RA</v>
      </c>
      <c r="K411" t="s">
        <v>15</v>
      </c>
    </row>
    <row r="412" spans="1:11" x14ac:dyDescent="0.3">
      <c r="A412">
        <v>100670671</v>
      </c>
      <c r="B412" t="s">
        <v>1218</v>
      </c>
      <c r="C412">
        <v>150</v>
      </c>
      <c r="D412" t="s">
        <v>890</v>
      </c>
      <c r="E412" t="s">
        <v>1108</v>
      </c>
      <c r="F412" s="26">
        <v>18644.97</v>
      </c>
      <c r="G412" s="3">
        <v>46073</v>
      </c>
      <c r="H412" t="s">
        <v>1174</v>
      </c>
      <c r="I412" s="4" t="str">
        <f t="shared" si="53"/>
        <v>Retirement Annuity - Savings C</v>
      </c>
      <c r="J412" t="str">
        <f t="shared" si="54"/>
        <v>Compulsory, RA</v>
      </c>
      <c r="K412" t="s">
        <v>15</v>
      </c>
    </row>
    <row r="413" spans="1:11" x14ac:dyDescent="0.3">
      <c r="A413">
        <v>100672294</v>
      </c>
      <c r="B413" t="s">
        <v>894</v>
      </c>
      <c r="C413">
        <v>458</v>
      </c>
      <c r="D413" t="s">
        <v>893</v>
      </c>
      <c r="E413" t="s">
        <v>729</v>
      </c>
      <c r="F413" s="25">
        <v>22009.67</v>
      </c>
      <c r="G413" s="3">
        <v>46073</v>
      </c>
      <c r="H413" t="s">
        <v>31</v>
      </c>
      <c r="I413" s="4" t="str">
        <f t="shared" si="53"/>
        <v>Investment Account</v>
      </c>
      <c r="J413" t="str">
        <f t="shared" si="54"/>
        <v>Voluntary</v>
      </c>
      <c r="K413" t="s">
        <v>15</v>
      </c>
    </row>
    <row r="414" spans="1:11" x14ac:dyDescent="0.3">
      <c r="A414">
        <v>100672395</v>
      </c>
      <c r="B414" t="s">
        <v>898</v>
      </c>
      <c r="C414">
        <v>125</v>
      </c>
      <c r="D414" t="s">
        <v>899</v>
      </c>
      <c r="E414" t="s">
        <v>1239</v>
      </c>
      <c r="F414" s="25">
        <v>123.28</v>
      </c>
      <c r="G414" s="3">
        <v>46073</v>
      </c>
      <c r="H414" t="s">
        <v>31</v>
      </c>
      <c r="I414" s="4" t="str">
        <f t="shared" si="53"/>
        <v>Investment Account</v>
      </c>
      <c r="J414" t="str">
        <f t="shared" si="54"/>
        <v>Voluntary</v>
      </c>
      <c r="K414" t="s">
        <v>15</v>
      </c>
    </row>
    <row r="415" spans="1:11" x14ac:dyDescent="0.3">
      <c r="A415">
        <v>100672395</v>
      </c>
      <c r="B415" t="s">
        <v>898</v>
      </c>
      <c r="C415">
        <v>125</v>
      </c>
      <c r="D415" t="s">
        <v>899</v>
      </c>
      <c r="E415" t="s">
        <v>729</v>
      </c>
      <c r="F415" s="25">
        <v>43562.009999999995</v>
      </c>
      <c r="G415" s="3">
        <v>46073</v>
      </c>
      <c r="H415" t="s">
        <v>31</v>
      </c>
      <c r="I415" s="4" t="str">
        <f t="shared" si="53"/>
        <v>Investment Account</v>
      </c>
      <c r="J415" t="str">
        <f t="shared" si="54"/>
        <v>Voluntary</v>
      </c>
      <c r="K415" t="s">
        <v>15</v>
      </c>
    </row>
    <row r="416" spans="1:11" x14ac:dyDescent="0.3">
      <c r="A416">
        <v>100675336</v>
      </c>
      <c r="B416" t="s">
        <v>1252</v>
      </c>
      <c r="C416">
        <v>245</v>
      </c>
      <c r="D416" t="s">
        <v>1094</v>
      </c>
      <c r="E416" t="s">
        <v>730</v>
      </c>
      <c r="F416" s="25">
        <v>92583.56</v>
      </c>
      <c r="G416" s="3">
        <v>46073</v>
      </c>
      <c r="H416" t="s">
        <v>31</v>
      </c>
      <c r="I416" s="4" t="str">
        <f t="shared" ref="I416" si="55">MID(H416,6,30)</f>
        <v>Investment Account</v>
      </c>
      <c r="J416" t="str">
        <f t="shared" ref="J416" si="56">IF(LEFT(I416)="L","Compulsory, LA",IF(LEFT(I416)="R","Compulsory, RA",IF(LEFT(I416,2)="Pe","Compulsory, Pens","Voluntary")))</f>
        <v>Voluntary</v>
      </c>
      <c r="K416" t="s">
        <v>15</v>
      </c>
    </row>
    <row r="417" spans="1:11" x14ac:dyDescent="0.3">
      <c r="A417">
        <v>100675336</v>
      </c>
      <c r="B417" t="s">
        <v>1095</v>
      </c>
      <c r="C417">
        <v>245</v>
      </c>
      <c r="D417" t="s">
        <v>1094</v>
      </c>
      <c r="E417" t="s">
        <v>1240</v>
      </c>
      <c r="F417" s="25">
        <v>66695.47</v>
      </c>
      <c r="G417" s="3">
        <v>46073</v>
      </c>
      <c r="H417" t="s">
        <v>14</v>
      </c>
      <c r="I417" s="4" t="str">
        <f t="shared" si="53"/>
        <v>Living Annuity</v>
      </c>
      <c r="J417" t="str">
        <f t="shared" si="54"/>
        <v>Compulsory, LA</v>
      </c>
      <c r="K417" t="s">
        <v>15</v>
      </c>
    </row>
    <row r="418" spans="1:11" x14ac:dyDescent="0.3">
      <c r="A418">
        <v>100675336</v>
      </c>
      <c r="B418" t="s">
        <v>1095</v>
      </c>
      <c r="C418">
        <v>245</v>
      </c>
      <c r="D418" t="s">
        <v>1094</v>
      </c>
      <c r="E418" t="s">
        <v>1239</v>
      </c>
      <c r="F418" s="25">
        <v>295.81</v>
      </c>
      <c r="G418" s="3">
        <v>46073</v>
      </c>
      <c r="H418" t="s">
        <v>14</v>
      </c>
      <c r="I418" s="4" t="str">
        <f t="shared" si="53"/>
        <v>Living Annuity</v>
      </c>
      <c r="J418" t="str">
        <f t="shared" si="54"/>
        <v>Compulsory, LA</v>
      </c>
      <c r="K418" t="s">
        <v>15</v>
      </c>
    </row>
    <row r="419" spans="1:11" x14ac:dyDescent="0.3">
      <c r="A419">
        <v>100675336</v>
      </c>
      <c r="B419" t="s">
        <v>1095</v>
      </c>
      <c r="C419">
        <v>245</v>
      </c>
      <c r="D419" t="s">
        <v>1094</v>
      </c>
      <c r="E419" t="s">
        <v>730</v>
      </c>
      <c r="F419" s="25">
        <v>203836.93</v>
      </c>
      <c r="G419" s="3">
        <v>46073</v>
      </c>
      <c r="H419" t="s">
        <v>14</v>
      </c>
      <c r="I419" s="4" t="str">
        <f t="shared" si="53"/>
        <v>Living Annuity</v>
      </c>
      <c r="J419" t="str">
        <f t="shared" si="54"/>
        <v>Compulsory, LA</v>
      </c>
      <c r="K419" t="s">
        <v>15</v>
      </c>
    </row>
    <row r="420" spans="1:11" x14ac:dyDescent="0.3">
      <c r="A420">
        <v>100675336</v>
      </c>
      <c r="B420" t="s">
        <v>1095</v>
      </c>
      <c r="C420">
        <v>245</v>
      </c>
      <c r="D420" t="s">
        <v>1094</v>
      </c>
      <c r="E420" t="s">
        <v>729</v>
      </c>
      <c r="F420" s="25">
        <v>119763.69</v>
      </c>
      <c r="G420" s="3">
        <v>46073</v>
      </c>
      <c r="H420" t="s">
        <v>14</v>
      </c>
      <c r="I420" s="4" t="str">
        <f t="shared" ref="I420:I437" si="57">MID(H420,6,30)</f>
        <v>Living Annuity</v>
      </c>
      <c r="J420" t="str">
        <f t="shared" ref="J420:J437" si="58">IF(LEFT(I420)="L","Compulsory, LA",IF(LEFT(I420)="R","Compulsory, RA",IF(LEFT(I420,2)="Pe","Compulsory, Pens","Voluntary")))</f>
        <v>Compulsory, LA</v>
      </c>
      <c r="K420" t="s">
        <v>15</v>
      </c>
    </row>
    <row r="421" spans="1:11" x14ac:dyDescent="0.3">
      <c r="A421">
        <v>100677278</v>
      </c>
      <c r="B421" t="s">
        <v>992</v>
      </c>
      <c r="C421">
        <v>460</v>
      </c>
      <c r="D421" t="s">
        <v>993</v>
      </c>
      <c r="E421" t="s">
        <v>1240</v>
      </c>
      <c r="F421" s="25">
        <v>167697.70000000001</v>
      </c>
      <c r="G421" s="3">
        <v>46073</v>
      </c>
      <c r="H421" t="s">
        <v>14</v>
      </c>
      <c r="I421" s="4" t="str">
        <f t="shared" si="57"/>
        <v>Living Annuity</v>
      </c>
      <c r="J421" t="str">
        <f t="shared" si="58"/>
        <v>Compulsory, LA</v>
      </c>
      <c r="K421" t="s">
        <v>15</v>
      </c>
    </row>
    <row r="422" spans="1:11" x14ac:dyDescent="0.3">
      <c r="A422">
        <v>100677278</v>
      </c>
      <c r="B422" t="s">
        <v>992</v>
      </c>
      <c r="C422">
        <v>460</v>
      </c>
      <c r="D422" t="s">
        <v>993</v>
      </c>
      <c r="E422" t="s">
        <v>1239</v>
      </c>
      <c r="F422" s="25">
        <v>1062.5999999999999</v>
      </c>
      <c r="G422" s="3">
        <v>46073</v>
      </c>
      <c r="H422" t="s">
        <v>14</v>
      </c>
      <c r="I422" s="4" t="str">
        <f t="shared" si="57"/>
        <v>Living Annuity</v>
      </c>
      <c r="J422" t="str">
        <f t="shared" si="58"/>
        <v>Compulsory, LA</v>
      </c>
      <c r="K422" t="s">
        <v>15</v>
      </c>
    </row>
    <row r="423" spans="1:11" x14ac:dyDescent="0.3">
      <c r="A423">
        <v>100677278</v>
      </c>
      <c r="B423" t="s">
        <v>992</v>
      </c>
      <c r="C423">
        <v>460</v>
      </c>
      <c r="D423" t="s">
        <v>993</v>
      </c>
      <c r="E423" t="s">
        <v>730</v>
      </c>
      <c r="F423" s="25">
        <v>180815.91</v>
      </c>
      <c r="G423" s="3">
        <v>46073</v>
      </c>
      <c r="H423" t="s">
        <v>14</v>
      </c>
      <c r="I423" s="4" t="str">
        <f t="shared" si="57"/>
        <v>Living Annuity</v>
      </c>
      <c r="J423" t="str">
        <f t="shared" si="58"/>
        <v>Compulsory, LA</v>
      </c>
      <c r="K423" t="s">
        <v>15</v>
      </c>
    </row>
    <row r="424" spans="1:11" x14ac:dyDescent="0.3">
      <c r="A424">
        <v>100677278</v>
      </c>
      <c r="B424" t="s">
        <v>992</v>
      </c>
      <c r="C424">
        <v>460</v>
      </c>
      <c r="D424" t="s">
        <v>993</v>
      </c>
      <c r="E424" t="s">
        <v>729</v>
      </c>
      <c r="F424" s="25">
        <v>52146.229999999996</v>
      </c>
      <c r="G424" s="3">
        <v>46073</v>
      </c>
      <c r="H424" t="s">
        <v>14</v>
      </c>
      <c r="I424" s="4" t="str">
        <f t="shared" si="57"/>
        <v>Living Annuity</v>
      </c>
      <c r="J424" t="str">
        <f t="shared" si="58"/>
        <v>Compulsory, LA</v>
      </c>
      <c r="K424" t="s">
        <v>15</v>
      </c>
    </row>
    <row r="425" spans="1:11" x14ac:dyDescent="0.3">
      <c r="A425">
        <v>100677585</v>
      </c>
      <c r="B425" t="s">
        <v>1107</v>
      </c>
      <c r="C425">
        <v>175</v>
      </c>
      <c r="D425" t="s">
        <v>1104</v>
      </c>
      <c r="E425" t="s">
        <v>1240</v>
      </c>
      <c r="F425" s="26">
        <v>22150.059999999998</v>
      </c>
      <c r="G425" s="3">
        <v>46073</v>
      </c>
      <c r="H425" t="s">
        <v>14</v>
      </c>
      <c r="I425" s="4" t="str">
        <f t="shared" si="57"/>
        <v>Living Annuity</v>
      </c>
      <c r="J425" t="str">
        <f t="shared" si="58"/>
        <v>Compulsory, LA</v>
      </c>
      <c r="K425" t="s">
        <v>15</v>
      </c>
    </row>
    <row r="426" spans="1:11" x14ac:dyDescent="0.3">
      <c r="A426">
        <v>100677585</v>
      </c>
      <c r="B426" t="s">
        <v>1107</v>
      </c>
      <c r="C426">
        <v>175</v>
      </c>
      <c r="D426" t="s">
        <v>1104</v>
      </c>
      <c r="E426" t="s">
        <v>1239</v>
      </c>
      <c r="F426" s="26">
        <v>147.31</v>
      </c>
      <c r="G426" s="3">
        <v>46073</v>
      </c>
      <c r="H426" t="s">
        <v>14</v>
      </c>
      <c r="I426" s="4" t="str">
        <f t="shared" si="57"/>
        <v>Living Annuity</v>
      </c>
      <c r="J426" t="str">
        <f t="shared" si="58"/>
        <v>Compulsory, LA</v>
      </c>
      <c r="K426" t="s">
        <v>15</v>
      </c>
    </row>
    <row r="427" spans="1:11" x14ac:dyDescent="0.3">
      <c r="A427">
        <v>100677585</v>
      </c>
      <c r="B427" t="s">
        <v>1107</v>
      </c>
      <c r="C427">
        <v>175</v>
      </c>
      <c r="D427" t="s">
        <v>1104</v>
      </c>
      <c r="E427" t="s">
        <v>730</v>
      </c>
      <c r="F427" s="26">
        <v>138042.33000000002</v>
      </c>
      <c r="G427" s="3">
        <v>46073</v>
      </c>
      <c r="H427" t="s">
        <v>14</v>
      </c>
      <c r="I427" s="4" t="str">
        <f t="shared" si="57"/>
        <v>Living Annuity</v>
      </c>
      <c r="J427" t="str">
        <f t="shared" si="58"/>
        <v>Compulsory, LA</v>
      </c>
      <c r="K427" t="s">
        <v>15</v>
      </c>
    </row>
    <row r="428" spans="1:11" x14ac:dyDescent="0.3">
      <c r="A428">
        <v>100677585</v>
      </c>
      <c r="B428" t="s">
        <v>1107</v>
      </c>
      <c r="C428">
        <v>175</v>
      </c>
      <c r="D428" t="s">
        <v>1104</v>
      </c>
      <c r="E428" t="s">
        <v>729</v>
      </c>
      <c r="F428" s="26">
        <v>1249.72</v>
      </c>
      <c r="G428" s="3">
        <v>46073</v>
      </c>
      <c r="H428" t="s">
        <v>14</v>
      </c>
      <c r="I428" s="4" t="str">
        <f t="shared" si="57"/>
        <v>Living Annuity</v>
      </c>
      <c r="J428" t="str">
        <f t="shared" si="58"/>
        <v>Compulsory, LA</v>
      </c>
      <c r="K428" t="s">
        <v>15</v>
      </c>
    </row>
    <row r="429" spans="1:11" x14ac:dyDescent="0.3">
      <c r="A429">
        <v>100706842</v>
      </c>
      <c r="B429" t="s">
        <v>1125</v>
      </c>
      <c r="C429">
        <v>83</v>
      </c>
      <c r="D429" t="s">
        <v>1129</v>
      </c>
      <c r="E429" t="s">
        <v>1240</v>
      </c>
      <c r="F429" s="26">
        <v>67269.11</v>
      </c>
      <c r="G429" s="3">
        <v>46073</v>
      </c>
      <c r="H429" t="s">
        <v>14</v>
      </c>
      <c r="I429" s="4" t="str">
        <f t="shared" si="57"/>
        <v>Living Annuity</v>
      </c>
      <c r="J429" t="str">
        <f t="shared" si="58"/>
        <v>Compulsory, LA</v>
      </c>
      <c r="K429" t="s">
        <v>15</v>
      </c>
    </row>
    <row r="430" spans="1:11" x14ac:dyDescent="0.3">
      <c r="A430">
        <v>100706842</v>
      </c>
      <c r="B430" t="s">
        <v>1125</v>
      </c>
      <c r="C430">
        <v>83</v>
      </c>
      <c r="D430" t="s">
        <v>1129</v>
      </c>
      <c r="E430" t="s">
        <v>1239</v>
      </c>
      <c r="F430" s="26">
        <v>1314.33</v>
      </c>
      <c r="G430" s="3">
        <v>46073</v>
      </c>
      <c r="H430" t="s">
        <v>14</v>
      </c>
      <c r="I430" s="4" t="str">
        <f t="shared" si="57"/>
        <v>Living Annuity</v>
      </c>
      <c r="J430" t="str">
        <f t="shared" si="58"/>
        <v>Compulsory, LA</v>
      </c>
      <c r="K430" t="s">
        <v>15</v>
      </c>
    </row>
    <row r="431" spans="1:11" x14ac:dyDescent="0.3">
      <c r="A431">
        <v>100706842</v>
      </c>
      <c r="B431" t="s">
        <v>1125</v>
      </c>
      <c r="C431">
        <v>83</v>
      </c>
      <c r="D431" t="s">
        <v>1129</v>
      </c>
      <c r="E431" t="s">
        <v>730</v>
      </c>
      <c r="F431" s="26">
        <v>56983.76</v>
      </c>
      <c r="G431" s="3">
        <v>46073</v>
      </c>
      <c r="H431" t="s">
        <v>14</v>
      </c>
      <c r="I431" s="4" t="str">
        <f t="shared" si="57"/>
        <v>Living Annuity</v>
      </c>
      <c r="J431" t="str">
        <f t="shared" si="58"/>
        <v>Compulsory, LA</v>
      </c>
      <c r="K431" t="s">
        <v>15</v>
      </c>
    </row>
    <row r="432" spans="1:11" x14ac:dyDescent="0.3">
      <c r="A432">
        <v>100706842</v>
      </c>
      <c r="B432" t="s">
        <v>1125</v>
      </c>
      <c r="C432">
        <v>83</v>
      </c>
      <c r="D432" t="s">
        <v>1129</v>
      </c>
      <c r="E432" t="s">
        <v>729</v>
      </c>
      <c r="F432" s="35">
        <v>99755.44</v>
      </c>
      <c r="G432" s="3">
        <v>46073</v>
      </c>
      <c r="H432" t="s">
        <v>14</v>
      </c>
      <c r="I432" s="4" t="str">
        <f t="shared" si="57"/>
        <v>Living Annuity</v>
      </c>
      <c r="J432" t="str">
        <f t="shared" si="58"/>
        <v>Compulsory, LA</v>
      </c>
      <c r="K432" t="s">
        <v>15</v>
      </c>
    </row>
    <row r="433" spans="1:14" x14ac:dyDescent="0.3">
      <c r="A433">
        <v>100711105</v>
      </c>
      <c r="B433" t="s">
        <v>1126</v>
      </c>
      <c r="C433">
        <v>470</v>
      </c>
      <c r="D433" t="s">
        <v>1130</v>
      </c>
      <c r="E433" t="s">
        <v>1240</v>
      </c>
      <c r="F433" s="35">
        <v>976.02</v>
      </c>
      <c r="G433" s="3">
        <v>46073</v>
      </c>
      <c r="H433" t="s">
        <v>31</v>
      </c>
      <c r="I433" s="4" t="str">
        <f t="shared" si="57"/>
        <v>Investment Account</v>
      </c>
      <c r="J433" t="str">
        <f t="shared" si="58"/>
        <v>Voluntary</v>
      </c>
      <c r="K433" t="s">
        <v>15</v>
      </c>
    </row>
    <row r="434" spans="1:14" x14ac:dyDescent="0.3">
      <c r="A434">
        <v>100711105</v>
      </c>
      <c r="B434" t="s">
        <v>1126</v>
      </c>
      <c r="C434">
        <v>470</v>
      </c>
      <c r="D434" t="s">
        <v>1130</v>
      </c>
      <c r="E434" t="s">
        <v>730</v>
      </c>
      <c r="F434" s="35">
        <v>650.59</v>
      </c>
      <c r="G434" s="3">
        <v>46073</v>
      </c>
      <c r="H434" t="s">
        <v>31</v>
      </c>
      <c r="I434" s="4" t="str">
        <f t="shared" si="57"/>
        <v>Investment Account</v>
      </c>
      <c r="J434" t="str">
        <f t="shared" si="58"/>
        <v>Voluntary</v>
      </c>
      <c r="K434" t="s">
        <v>15</v>
      </c>
    </row>
    <row r="435" spans="1:14" x14ac:dyDescent="0.3">
      <c r="A435">
        <v>100786852</v>
      </c>
      <c r="B435" t="s">
        <v>1202</v>
      </c>
      <c r="C435">
        <v>209</v>
      </c>
      <c r="D435" t="s">
        <v>1201</v>
      </c>
      <c r="E435" t="s">
        <v>1240</v>
      </c>
      <c r="F435" s="26">
        <v>225049.51</v>
      </c>
      <c r="G435" s="3">
        <v>46073</v>
      </c>
      <c r="H435" t="s">
        <v>14</v>
      </c>
      <c r="I435" s="4" t="str">
        <f t="shared" si="57"/>
        <v>Living Annuity</v>
      </c>
      <c r="J435" t="str">
        <f t="shared" si="58"/>
        <v>Compulsory, LA</v>
      </c>
      <c r="K435" t="s">
        <v>15</v>
      </c>
    </row>
    <row r="436" spans="1:14" x14ac:dyDescent="0.3">
      <c r="A436">
        <v>100786852</v>
      </c>
      <c r="B436" t="s">
        <v>1202</v>
      </c>
      <c r="C436">
        <v>209</v>
      </c>
      <c r="D436" t="s">
        <v>1201</v>
      </c>
      <c r="E436" t="s">
        <v>730</v>
      </c>
      <c r="F436" s="26">
        <v>818413.49</v>
      </c>
      <c r="G436" s="3">
        <v>46073</v>
      </c>
      <c r="H436" t="s">
        <v>14</v>
      </c>
      <c r="I436" s="4" t="str">
        <f t="shared" si="57"/>
        <v>Living Annuity</v>
      </c>
      <c r="J436" t="str">
        <f t="shared" si="58"/>
        <v>Compulsory, LA</v>
      </c>
      <c r="K436" t="s">
        <v>15</v>
      </c>
    </row>
    <row r="437" spans="1:14" x14ac:dyDescent="0.3">
      <c r="A437">
        <v>100786852</v>
      </c>
      <c r="B437" t="s">
        <v>1202</v>
      </c>
      <c r="C437">
        <v>209</v>
      </c>
      <c r="D437" t="s">
        <v>1201</v>
      </c>
      <c r="E437" t="s">
        <v>729</v>
      </c>
      <c r="F437" s="35">
        <v>140655</v>
      </c>
      <c r="G437" s="3">
        <v>46073</v>
      </c>
      <c r="H437" t="s">
        <v>14</v>
      </c>
      <c r="I437" s="4" t="str">
        <f t="shared" si="57"/>
        <v>Living Annuity</v>
      </c>
      <c r="J437" t="str">
        <f t="shared" si="58"/>
        <v>Compulsory, LA</v>
      </c>
      <c r="K437" t="s">
        <v>15</v>
      </c>
    </row>
    <row r="438" spans="1:14" x14ac:dyDescent="0.3">
      <c r="A438" t="s">
        <v>1247</v>
      </c>
      <c r="B438" t="s">
        <v>1248</v>
      </c>
      <c r="C438">
        <v>274</v>
      </c>
      <c r="D438" t="s">
        <v>1249</v>
      </c>
      <c r="E438" t="s">
        <v>729</v>
      </c>
      <c r="F438" s="26">
        <v>16491.04</v>
      </c>
      <c r="G438" s="3">
        <v>46073</v>
      </c>
      <c r="H438" t="s">
        <v>1147</v>
      </c>
      <c r="I438" s="4" t="str">
        <f t="shared" ref="I438" si="59">MID(H438,6,30)</f>
        <v>Investment Account</v>
      </c>
      <c r="J438" t="str">
        <f t="shared" ref="J438" si="60">IF(LEFT(I438)="L","Compulsory, LA",IF(LEFT(I438)="R","Compulsory, RA",IF(LEFT(I438,2)="Pe","Compulsory, Pens","Voluntary")))</f>
        <v>Voluntary</v>
      </c>
      <c r="K438" t="s">
        <v>15</v>
      </c>
      <c r="M438" t="e">
        <f>IF(#REF!="f","FFFF","")</f>
        <v>#REF!</v>
      </c>
      <c r="N438" t="e">
        <f>IF(#REF!="I","IIII","")</f>
        <v>#REF!</v>
      </c>
    </row>
    <row r="439" spans="1:14" x14ac:dyDescent="0.3">
      <c r="A439" t="s">
        <v>1254</v>
      </c>
      <c r="B439" t="s">
        <v>1253</v>
      </c>
      <c r="C439">
        <v>485</v>
      </c>
      <c r="D439" t="s">
        <v>1255</v>
      </c>
      <c r="E439" t="s">
        <v>729</v>
      </c>
      <c r="F439" s="26">
        <v>2194.06</v>
      </c>
      <c r="G439" s="3">
        <v>46073</v>
      </c>
      <c r="H439" t="s">
        <v>1147</v>
      </c>
      <c r="I439" s="4" t="str">
        <f t="shared" ref="I439" si="61">MID(H439,6,30)</f>
        <v>Investment Account</v>
      </c>
      <c r="J439" t="str">
        <f t="shared" ref="J439" si="62">IF(LEFT(I439)="L","Compulsory, LA",IF(LEFT(I439)="R","Compulsory, RA",IF(LEFT(I439,2)="Pe","Compulsory, Pens","Voluntary")))</f>
        <v>Voluntary</v>
      </c>
      <c r="K439" t="s">
        <v>15</v>
      </c>
      <c r="M439" t="e">
        <f>IF(#REF!="f","FFFF","")</f>
        <v>#REF!</v>
      </c>
      <c r="N439" t="e">
        <f>IF(#REF!="I","IIII","")</f>
        <v>#REF!</v>
      </c>
    </row>
    <row r="440" spans="1:14" x14ac:dyDescent="0.3">
      <c r="A440" t="s">
        <v>1260</v>
      </c>
      <c r="B440" t="s">
        <v>1261</v>
      </c>
      <c r="C440">
        <v>481</v>
      </c>
      <c r="D440" t="s">
        <v>1262</v>
      </c>
      <c r="E440" t="s">
        <v>730</v>
      </c>
      <c r="F440" s="26">
        <v>33100.590000000004</v>
      </c>
      <c r="G440" s="3">
        <v>46073</v>
      </c>
      <c r="H440" t="s">
        <v>14</v>
      </c>
      <c r="I440" s="4" t="str">
        <f t="shared" ref="I440" si="63">MID(H440,6,30)</f>
        <v>Living Annuity</v>
      </c>
      <c r="J440" t="str">
        <f t="shared" ref="J440" si="64">IF(LEFT(I440)="L","Compulsory, LA",IF(LEFT(I440)="R","Compulsory, RA",IF(LEFT(I440,2)="Pe","Compulsory, Pens","Voluntary")))</f>
        <v>Compulsory, LA</v>
      </c>
      <c r="K440" t="s">
        <v>15</v>
      </c>
      <c r="M440" t="e">
        <f>IF(#REF!="f","FFFF","")</f>
        <v>#REF!</v>
      </c>
      <c r="N440" t="e">
        <f>IF(#REF!="I","IIII","")</f>
        <v>#REF!</v>
      </c>
    </row>
    <row r="441" spans="1:14" x14ac:dyDescent="0.3">
      <c r="A441" t="s">
        <v>1260</v>
      </c>
      <c r="B441" t="s">
        <v>1261</v>
      </c>
      <c r="C441">
        <v>481</v>
      </c>
      <c r="D441" t="s">
        <v>1262</v>
      </c>
      <c r="E441" t="s">
        <v>729</v>
      </c>
      <c r="F441" s="26">
        <v>256389.91</v>
      </c>
      <c r="G441" s="3">
        <v>46073</v>
      </c>
      <c r="H441" t="s">
        <v>14</v>
      </c>
      <c r="I441" s="4" t="str">
        <f t="shared" ref="I441" si="65">MID(H441,6,30)</f>
        <v>Living Annuity</v>
      </c>
      <c r="J441" t="str">
        <f t="shared" ref="J441" si="66">IF(LEFT(I441)="L","Compulsory, LA",IF(LEFT(I441)="R","Compulsory, RA",IF(LEFT(I441,2)="Pe","Compulsory, Pens","Voluntary")))</f>
        <v>Compulsory, LA</v>
      </c>
      <c r="K441" t="s">
        <v>15</v>
      </c>
      <c r="M441" t="e">
        <f>IF(#REF!="f","FFFF","")</f>
        <v>#REF!</v>
      </c>
      <c r="N441" t="e">
        <f>IF(#REF!="I","IIII","")</f>
        <v>#REF!</v>
      </c>
    </row>
  </sheetData>
  <sortState xmlns:xlrd2="http://schemas.microsoft.com/office/spreadsheetml/2017/richdata2" ref="A2:N437">
    <sortCondition ref="A2:A437"/>
    <sortCondition ref="B2:B437"/>
    <sortCondition ref="E2:E43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FAACA-5861-492B-B51B-3C0EC7D43DDE}">
  <sheetPr codeName="Sheet3"/>
  <dimension ref="A1:H42"/>
  <sheetViews>
    <sheetView topLeftCell="A22" workbookViewId="0">
      <selection activeCell="D48" sqref="D48"/>
    </sheetView>
  </sheetViews>
  <sheetFormatPr defaultRowHeight="14.4" x14ac:dyDescent="0.3"/>
  <cols>
    <col min="1" max="1" width="10" bestFit="1" customWidth="1"/>
    <col min="2" max="2" width="11.33203125" bestFit="1" customWidth="1"/>
    <col min="3" max="3" width="4" bestFit="1" customWidth="1"/>
    <col min="4" max="4" width="33.33203125" bestFit="1" customWidth="1"/>
    <col min="5" max="5" width="32.5546875" bestFit="1" customWidth="1"/>
    <col min="6" max="6" width="11" bestFit="1" customWidth="1"/>
    <col min="7" max="7" width="12.6640625" style="5" bestFit="1" customWidth="1"/>
    <col min="8" max="8" width="7.6640625" bestFit="1" customWidth="1"/>
  </cols>
  <sheetData>
    <row r="1" spans="1:8" x14ac:dyDescent="0.3">
      <c r="G1" s="5" t="s">
        <v>699</v>
      </c>
      <c r="H1" t="s">
        <v>700</v>
      </c>
    </row>
    <row r="2" spans="1:8" x14ac:dyDescent="0.3">
      <c r="A2">
        <v>32490</v>
      </c>
      <c r="B2" t="s">
        <v>11</v>
      </c>
      <c r="C2">
        <v>126</v>
      </c>
      <c r="D2" t="s">
        <v>12</v>
      </c>
      <c r="E2" t="s">
        <v>146</v>
      </c>
      <c r="F2">
        <v>78130.500000000015</v>
      </c>
      <c r="G2" s="5">
        <v>2.122858550757778E-3</v>
      </c>
      <c r="H2" t="s">
        <v>156</v>
      </c>
    </row>
    <row r="3" spans="1:8" x14ac:dyDescent="0.3">
      <c r="A3">
        <v>32490</v>
      </c>
      <c r="B3" t="s">
        <v>16</v>
      </c>
      <c r="C3">
        <v>126</v>
      </c>
      <c r="D3" t="s">
        <v>12</v>
      </c>
      <c r="E3" t="s">
        <v>146</v>
      </c>
      <c r="F3">
        <v>291087.25</v>
      </c>
      <c r="G3" s="5">
        <v>2.1636468103636286E-3</v>
      </c>
      <c r="H3" t="s">
        <v>156</v>
      </c>
    </row>
    <row r="4" spans="1:8" x14ac:dyDescent="0.3">
      <c r="A4">
        <v>34395</v>
      </c>
      <c r="B4" t="s">
        <v>629</v>
      </c>
      <c r="C4">
        <v>168</v>
      </c>
      <c r="D4" t="s">
        <v>111</v>
      </c>
      <c r="E4" t="s">
        <v>143</v>
      </c>
      <c r="F4">
        <v>73019.06</v>
      </c>
      <c r="G4" s="5">
        <v>0.12190556821739418</v>
      </c>
      <c r="H4" t="s">
        <v>701</v>
      </c>
    </row>
    <row r="5" spans="1:8" x14ac:dyDescent="0.3">
      <c r="A5">
        <v>34395</v>
      </c>
      <c r="B5" t="s">
        <v>112</v>
      </c>
      <c r="C5">
        <v>168</v>
      </c>
      <c r="D5" t="s">
        <v>111</v>
      </c>
      <c r="E5" t="s">
        <v>144</v>
      </c>
      <c r="F5">
        <v>1623211.4000000001</v>
      </c>
      <c r="G5" s="5">
        <v>1.6441961903421509E-2</v>
      </c>
      <c r="H5" t="s">
        <v>156</v>
      </c>
    </row>
    <row r="6" spans="1:8" x14ac:dyDescent="0.3">
      <c r="A6">
        <v>41695</v>
      </c>
      <c r="B6" t="s">
        <v>127</v>
      </c>
      <c r="C6">
        <v>278</v>
      </c>
      <c r="D6" t="s">
        <v>56</v>
      </c>
      <c r="E6" t="s">
        <v>148</v>
      </c>
      <c r="F6">
        <v>103522.17000000001</v>
      </c>
      <c r="G6" s="5">
        <v>-7.1892619716144024E-2</v>
      </c>
      <c r="H6" t="s">
        <v>156</v>
      </c>
    </row>
    <row r="7" spans="1:8" x14ac:dyDescent="0.3">
      <c r="A7">
        <v>100273792</v>
      </c>
      <c r="B7" t="s">
        <v>113</v>
      </c>
      <c r="C7">
        <v>299</v>
      </c>
      <c r="D7" t="s">
        <v>114</v>
      </c>
      <c r="E7" t="s">
        <v>146</v>
      </c>
      <c r="F7">
        <v>449050.45999999996</v>
      </c>
      <c r="G7" s="5">
        <v>1.5291043238214508E-2</v>
      </c>
      <c r="H7" t="s">
        <v>156</v>
      </c>
    </row>
    <row r="8" spans="1:8" x14ac:dyDescent="0.3">
      <c r="A8">
        <v>100273792</v>
      </c>
      <c r="B8" t="s">
        <v>115</v>
      </c>
      <c r="C8">
        <v>299</v>
      </c>
      <c r="D8" t="s">
        <v>114</v>
      </c>
      <c r="E8" t="s">
        <v>146</v>
      </c>
      <c r="F8">
        <v>731827.90999999992</v>
      </c>
      <c r="G8" s="5">
        <v>1.5100312312494424E-2</v>
      </c>
      <c r="H8" t="s">
        <v>156</v>
      </c>
    </row>
    <row r="9" spans="1:8" x14ac:dyDescent="0.3">
      <c r="A9">
        <v>100309343</v>
      </c>
      <c r="B9" t="s">
        <v>116</v>
      </c>
      <c r="C9">
        <v>30</v>
      </c>
      <c r="D9" t="s">
        <v>94</v>
      </c>
      <c r="E9" t="s">
        <v>143</v>
      </c>
      <c r="F9">
        <v>44899.35</v>
      </c>
      <c r="G9" s="5">
        <v>1.8758623454459888E-2</v>
      </c>
      <c r="H9" t="s">
        <v>156</v>
      </c>
    </row>
    <row r="10" spans="1:8" x14ac:dyDescent="0.3">
      <c r="A10">
        <v>100309343</v>
      </c>
      <c r="B10" t="s">
        <v>128</v>
      </c>
      <c r="C10">
        <v>30</v>
      </c>
      <c r="D10" t="s">
        <v>94</v>
      </c>
      <c r="E10" t="s">
        <v>145</v>
      </c>
      <c r="F10">
        <v>793601.18</v>
      </c>
      <c r="G10" s="5">
        <v>-1.2506029791941486E-2</v>
      </c>
      <c r="H10" t="s">
        <v>156</v>
      </c>
    </row>
    <row r="11" spans="1:8" x14ac:dyDescent="0.3">
      <c r="A11">
        <v>100528113</v>
      </c>
      <c r="B11" t="s">
        <v>117</v>
      </c>
      <c r="C11">
        <v>134</v>
      </c>
      <c r="D11" t="s">
        <v>118</v>
      </c>
      <c r="E11" t="s">
        <v>143</v>
      </c>
      <c r="F11">
        <v>117252.32</v>
      </c>
      <c r="G11" s="5">
        <v>1.8759543521185584E-2</v>
      </c>
      <c r="H11" t="s">
        <v>156</v>
      </c>
    </row>
    <row r="12" spans="1:8" x14ac:dyDescent="0.3">
      <c r="A12">
        <v>100552148</v>
      </c>
      <c r="B12" t="s">
        <v>119</v>
      </c>
      <c r="C12">
        <v>378</v>
      </c>
      <c r="D12" t="s">
        <v>120</v>
      </c>
      <c r="E12" t="s">
        <v>146</v>
      </c>
      <c r="F12">
        <v>500974.7</v>
      </c>
      <c r="G12" s="5">
        <v>8.4843605874707073E-3</v>
      </c>
      <c r="H12" t="s">
        <v>156</v>
      </c>
    </row>
    <row r="13" spans="1:8" x14ac:dyDescent="0.3">
      <c r="A13">
        <v>100552148</v>
      </c>
      <c r="B13" t="s">
        <v>121</v>
      </c>
      <c r="C13">
        <v>378</v>
      </c>
      <c r="D13" t="s">
        <v>120</v>
      </c>
      <c r="E13" t="s">
        <v>146</v>
      </c>
      <c r="F13">
        <v>40308.230000000003</v>
      </c>
      <c r="G13" s="5">
        <v>9.865727172837957E-3</v>
      </c>
      <c r="H13" t="s">
        <v>156</v>
      </c>
    </row>
    <row r="14" spans="1:8" x14ac:dyDescent="0.3">
      <c r="A14">
        <v>100552148</v>
      </c>
      <c r="B14" t="s">
        <v>130</v>
      </c>
      <c r="C14">
        <v>378</v>
      </c>
      <c r="D14" t="s">
        <v>120</v>
      </c>
      <c r="E14" t="s">
        <v>145</v>
      </c>
      <c r="F14">
        <v>356075.61</v>
      </c>
      <c r="G14" s="5">
        <v>1.0698121109727232E-2</v>
      </c>
      <c r="H14" t="s">
        <v>156</v>
      </c>
    </row>
    <row r="15" spans="1:8" x14ac:dyDescent="0.3">
      <c r="A15">
        <v>100564770</v>
      </c>
      <c r="B15" t="s">
        <v>122</v>
      </c>
      <c r="C15">
        <v>384</v>
      </c>
      <c r="D15" t="s">
        <v>123</v>
      </c>
      <c r="E15" t="s">
        <v>146</v>
      </c>
      <c r="F15">
        <v>301836.45</v>
      </c>
      <c r="G15" s="5">
        <v>1.2787123622743479E-2</v>
      </c>
      <c r="H15" t="s">
        <v>156</v>
      </c>
    </row>
    <row r="16" spans="1:8" x14ac:dyDescent="0.3">
      <c r="A16">
        <v>38888</v>
      </c>
      <c r="B16" t="s">
        <v>124</v>
      </c>
      <c r="C16">
        <v>247</v>
      </c>
      <c r="D16" t="s">
        <v>125</v>
      </c>
      <c r="E16" t="s">
        <v>126</v>
      </c>
      <c r="F16">
        <v>52187.73</v>
      </c>
      <c r="G16" s="5">
        <v>9.5014671073065937E-3</v>
      </c>
      <c r="H16" t="s">
        <v>156</v>
      </c>
    </row>
    <row r="17" spans="1:8" x14ac:dyDescent="0.3">
      <c r="A17">
        <v>100421069</v>
      </c>
      <c r="B17" t="s">
        <v>129</v>
      </c>
      <c r="C17">
        <v>37</v>
      </c>
      <c r="D17" t="s">
        <v>105</v>
      </c>
      <c r="E17" t="s">
        <v>145</v>
      </c>
      <c r="F17">
        <v>205603.72999999998</v>
      </c>
      <c r="G17" s="5">
        <v>4.6298770941559653E-3</v>
      </c>
      <c r="H17" t="s">
        <v>156</v>
      </c>
    </row>
    <row r="18" spans="1:8" x14ac:dyDescent="0.3">
      <c r="A18">
        <v>100421069</v>
      </c>
      <c r="B18" t="s">
        <v>640</v>
      </c>
      <c r="C18">
        <v>37</v>
      </c>
      <c r="D18" t="s">
        <v>105</v>
      </c>
      <c r="E18" t="s">
        <v>146</v>
      </c>
      <c r="F18" t="s">
        <v>641</v>
      </c>
      <c r="G18" s="5">
        <v>4.940320466931829</v>
      </c>
      <c r="H18" t="s">
        <v>701</v>
      </c>
    </row>
    <row r="19" spans="1:8" x14ac:dyDescent="0.3">
      <c r="A19">
        <v>100489689</v>
      </c>
      <c r="B19" t="s">
        <v>132</v>
      </c>
      <c r="C19">
        <v>296</v>
      </c>
      <c r="D19" t="s">
        <v>133</v>
      </c>
      <c r="E19" t="s">
        <v>147</v>
      </c>
      <c r="F19">
        <v>1090096.6199999999</v>
      </c>
      <c r="G19" s="5">
        <v>1.4567727033224065E-2</v>
      </c>
      <c r="H19" t="s">
        <v>156</v>
      </c>
    </row>
    <row r="20" spans="1:8" x14ac:dyDescent="0.3">
      <c r="A20" t="s">
        <v>134</v>
      </c>
      <c r="B20" t="s">
        <v>135</v>
      </c>
      <c r="C20">
        <v>294</v>
      </c>
      <c r="D20" t="s">
        <v>136</v>
      </c>
      <c r="E20" t="s">
        <v>147</v>
      </c>
      <c r="F20">
        <v>7005209.6099999994</v>
      </c>
      <c r="G20" s="5">
        <v>2.7230178769768409E-2</v>
      </c>
      <c r="H20" t="s">
        <v>156</v>
      </c>
    </row>
    <row r="21" spans="1:8" x14ac:dyDescent="0.3">
      <c r="A21">
        <v>100534387</v>
      </c>
      <c r="B21" t="s">
        <v>138</v>
      </c>
      <c r="C21">
        <v>199</v>
      </c>
      <c r="D21" t="s">
        <v>139</v>
      </c>
      <c r="E21" t="s">
        <v>147</v>
      </c>
      <c r="F21">
        <v>80340.86</v>
      </c>
      <c r="G21" s="5">
        <v>1.4840144852818371E-2</v>
      </c>
      <c r="H21" t="s">
        <v>156</v>
      </c>
    </row>
    <row r="22" spans="1:8" x14ac:dyDescent="0.3">
      <c r="A22">
        <v>41695</v>
      </c>
      <c r="B22" t="s">
        <v>55</v>
      </c>
      <c r="C22">
        <v>278</v>
      </c>
      <c r="D22" t="s">
        <v>56</v>
      </c>
      <c r="E22" t="s">
        <v>13</v>
      </c>
      <c r="F22">
        <v>37431.159999999996</v>
      </c>
      <c r="G22" s="5">
        <v>2.4274962357565322E-2</v>
      </c>
      <c r="H22" t="s">
        <v>156</v>
      </c>
    </row>
    <row r="23" spans="1:8" x14ac:dyDescent="0.3">
      <c r="A23">
        <v>100596689</v>
      </c>
      <c r="B23" t="s">
        <v>150</v>
      </c>
      <c r="C23">
        <v>180</v>
      </c>
      <c r="D23" t="s">
        <v>149</v>
      </c>
      <c r="E23" t="s">
        <v>143</v>
      </c>
      <c r="F23">
        <v>205020.21</v>
      </c>
      <c r="G23" s="5">
        <v>1.980477924590951E-2</v>
      </c>
      <c r="H23" t="s">
        <v>156</v>
      </c>
    </row>
    <row r="24" spans="1:8" x14ac:dyDescent="0.3">
      <c r="A24">
        <v>34196</v>
      </c>
      <c r="B24" t="s">
        <v>615</v>
      </c>
      <c r="C24">
        <v>169</v>
      </c>
      <c r="D24" t="s">
        <v>614</v>
      </c>
      <c r="E24" t="s">
        <v>145</v>
      </c>
      <c r="F24">
        <v>395073.20999999996</v>
      </c>
      <c r="G24" s="5">
        <v>1.5112363604710355E-2</v>
      </c>
      <c r="H24" t="s">
        <v>156</v>
      </c>
    </row>
    <row r="25" spans="1:8" x14ac:dyDescent="0.3">
      <c r="A25">
        <v>135931</v>
      </c>
      <c r="B25" t="s">
        <v>616</v>
      </c>
      <c r="C25">
        <v>45</v>
      </c>
      <c r="D25" t="s">
        <v>617</v>
      </c>
      <c r="E25" t="s">
        <v>145</v>
      </c>
      <c r="F25">
        <v>13540.900000000001</v>
      </c>
      <c r="G25" s="5">
        <v>-3.483151046090005E-2</v>
      </c>
      <c r="H25" t="s">
        <v>156</v>
      </c>
    </row>
    <row r="26" spans="1:8" x14ac:dyDescent="0.3">
      <c r="A26">
        <v>100376880</v>
      </c>
      <c r="B26" t="s">
        <v>619</v>
      </c>
      <c r="C26">
        <v>97</v>
      </c>
      <c r="D26" t="s">
        <v>618</v>
      </c>
      <c r="E26" t="s">
        <v>145</v>
      </c>
      <c r="F26">
        <v>44584.46</v>
      </c>
      <c r="G26" s="5">
        <v>2.2360333622970878</v>
      </c>
      <c r="H26" t="s">
        <v>701</v>
      </c>
    </row>
    <row r="27" spans="1:8" x14ac:dyDescent="0.3">
      <c r="A27">
        <v>100596195</v>
      </c>
      <c r="B27" t="s">
        <v>621</v>
      </c>
      <c r="C27">
        <v>142</v>
      </c>
      <c r="D27" t="s">
        <v>620</v>
      </c>
      <c r="E27" t="s">
        <v>145</v>
      </c>
      <c r="F27">
        <v>85527.930000000008</v>
      </c>
      <c r="G27" s="5">
        <v>1.7590711011011257</v>
      </c>
      <c r="H27" t="s">
        <v>701</v>
      </c>
    </row>
    <row r="28" spans="1:8" x14ac:dyDescent="0.3">
      <c r="A28">
        <v>100596197</v>
      </c>
      <c r="B28" t="s">
        <v>623</v>
      </c>
      <c r="C28">
        <v>50</v>
      </c>
      <c r="D28" t="s">
        <v>622</v>
      </c>
      <c r="E28" t="s">
        <v>145</v>
      </c>
      <c r="F28">
        <v>19671.25</v>
      </c>
      <c r="G28" s="5">
        <v>-5.1368367541462789E-2</v>
      </c>
      <c r="H28" t="s">
        <v>156</v>
      </c>
    </row>
    <row r="29" spans="1:8" x14ac:dyDescent="0.3">
      <c r="A29">
        <v>32490</v>
      </c>
      <c r="B29" t="s">
        <v>624</v>
      </c>
      <c r="C29">
        <v>126</v>
      </c>
      <c r="D29" t="s">
        <v>12</v>
      </c>
      <c r="E29" t="s">
        <v>143</v>
      </c>
      <c r="F29">
        <v>29275.82</v>
      </c>
      <c r="G29" s="5">
        <v>2.3348961702865934E-2</v>
      </c>
      <c r="H29" t="s">
        <v>156</v>
      </c>
    </row>
    <row r="30" spans="1:8" x14ac:dyDescent="0.3">
      <c r="A30">
        <v>72002</v>
      </c>
      <c r="B30" t="s">
        <v>630</v>
      </c>
      <c r="C30">
        <v>67</v>
      </c>
      <c r="D30" t="s">
        <v>66</v>
      </c>
      <c r="E30" t="s">
        <v>143</v>
      </c>
      <c r="F30">
        <v>450469.32</v>
      </c>
      <c r="G30" s="5">
        <v>1.9082875610707539E-2</v>
      </c>
      <c r="H30" t="s">
        <v>156</v>
      </c>
    </row>
    <row r="31" spans="1:8" x14ac:dyDescent="0.3">
      <c r="A31">
        <v>100614771</v>
      </c>
      <c r="B31" t="s">
        <v>631</v>
      </c>
      <c r="C31">
        <v>365</v>
      </c>
      <c r="D31" t="s">
        <v>632</v>
      </c>
      <c r="E31" t="s">
        <v>143</v>
      </c>
      <c r="F31">
        <v>37250.39</v>
      </c>
      <c r="G31" s="5">
        <v>0.27836728689283552</v>
      </c>
      <c r="H31" t="s">
        <v>701</v>
      </c>
    </row>
    <row r="32" spans="1:8" x14ac:dyDescent="0.3">
      <c r="A32">
        <v>100614597</v>
      </c>
      <c r="B32" t="s">
        <v>634</v>
      </c>
      <c r="C32">
        <v>438</v>
      </c>
      <c r="D32" t="s">
        <v>633</v>
      </c>
      <c r="E32" t="s">
        <v>625</v>
      </c>
      <c r="F32">
        <v>115731.4</v>
      </c>
      <c r="G32" s="5">
        <v>2.7533582070207174E-3</v>
      </c>
      <c r="H32" t="s">
        <v>156</v>
      </c>
    </row>
    <row r="33" spans="1:8" x14ac:dyDescent="0.3">
      <c r="A33">
        <v>39151</v>
      </c>
      <c r="B33" t="s">
        <v>626</v>
      </c>
      <c r="C33">
        <v>417</v>
      </c>
      <c r="D33" t="s">
        <v>627</v>
      </c>
      <c r="E33" t="s">
        <v>625</v>
      </c>
      <c r="F33">
        <v>19417.060000000001</v>
      </c>
      <c r="G33" s="5">
        <v>2.1993159623547536</v>
      </c>
      <c r="H33" t="s">
        <v>701</v>
      </c>
    </row>
    <row r="34" spans="1:8" x14ac:dyDescent="0.3">
      <c r="A34">
        <v>100618147</v>
      </c>
      <c r="B34" t="s">
        <v>635</v>
      </c>
      <c r="C34">
        <v>440</v>
      </c>
      <c r="D34" t="s">
        <v>636</v>
      </c>
      <c r="E34" t="s">
        <v>145</v>
      </c>
      <c r="F34">
        <v>1012439.58</v>
      </c>
      <c r="G34" s="5">
        <v>1.5190091639838865E-2</v>
      </c>
      <c r="H34" t="s">
        <v>156</v>
      </c>
    </row>
    <row r="35" spans="1:8" x14ac:dyDescent="0.3">
      <c r="A35">
        <v>100618147</v>
      </c>
      <c r="B35" t="s">
        <v>637</v>
      </c>
      <c r="C35">
        <v>440</v>
      </c>
      <c r="D35" t="s">
        <v>636</v>
      </c>
      <c r="E35" t="s">
        <v>143</v>
      </c>
      <c r="F35">
        <v>1028011.16</v>
      </c>
      <c r="G35" s="5">
        <v>1.9224071458523895E-2</v>
      </c>
      <c r="H35" t="s">
        <v>156</v>
      </c>
    </row>
    <row r="36" spans="1:8" x14ac:dyDescent="0.3">
      <c r="A36">
        <v>100278188</v>
      </c>
      <c r="B36" t="s">
        <v>638</v>
      </c>
      <c r="C36">
        <v>300</v>
      </c>
      <c r="D36" t="s">
        <v>92</v>
      </c>
      <c r="E36" t="s">
        <v>145</v>
      </c>
      <c r="F36">
        <v>99988.239999999991</v>
      </c>
      <c r="G36" s="5">
        <v>1.5800858180922361E-2</v>
      </c>
      <c r="H36" t="s">
        <v>156</v>
      </c>
    </row>
    <row r="37" spans="1:8" x14ac:dyDescent="0.3">
      <c r="A37">
        <v>34216</v>
      </c>
      <c r="B37" t="s">
        <v>639</v>
      </c>
      <c r="C37">
        <v>95</v>
      </c>
      <c r="D37" t="s">
        <v>30</v>
      </c>
      <c r="E37" t="s">
        <v>146</v>
      </c>
      <c r="F37" t="s">
        <v>698</v>
      </c>
      <c r="G37" s="5">
        <v>7.3410545603918855</v>
      </c>
      <c r="H37" t="s">
        <v>701</v>
      </c>
    </row>
    <row r="38" spans="1:8" x14ac:dyDescent="0.3">
      <c r="A38">
        <v>100620477</v>
      </c>
      <c r="B38" t="s">
        <v>642</v>
      </c>
      <c r="C38">
        <v>437</v>
      </c>
      <c r="D38" t="s">
        <v>643</v>
      </c>
      <c r="E38" t="s">
        <v>143</v>
      </c>
      <c r="F38" t="s">
        <v>694</v>
      </c>
      <c r="G38" s="5">
        <v>2.0153673268717514</v>
      </c>
      <c r="H38" t="s">
        <v>701</v>
      </c>
    </row>
    <row r="39" spans="1:8" x14ac:dyDescent="0.3">
      <c r="A39">
        <v>100623191</v>
      </c>
      <c r="B39" t="s">
        <v>644</v>
      </c>
      <c r="C39">
        <v>293</v>
      </c>
      <c r="D39" t="s">
        <v>645</v>
      </c>
      <c r="E39" t="s">
        <v>143</v>
      </c>
      <c r="F39" t="s">
        <v>695</v>
      </c>
      <c r="G39" s="5">
        <v>1.9420199547325829</v>
      </c>
      <c r="H39" t="s">
        <v>701</v>
      </c>
    </row>
    <row r="40" spans="1:8" x14ac:dyDescent="0.3">
      <c r="A40">
        <v>100625039</v>
      </c>
      <c r="B40" t="s">
        <v>646</v>
      </c>
      <c r="C40">
        <v>444</v>
      </c>
      <c r="D40" t="s">
        <v>647</v>
      </c>
      <c r="E40" t="s">
        <v>143</v>
      </c>
      <c r="F40" t="s">
        <v>696</v>
      </c>
      <c r="G40" s="5">
        <v>2.0586581313274426</v>
      </c>
      <c r="H40" t="s">
        <v>701</v>
      </c>
    </row>
    <row r="41" spans="1:8" x14ac:dyDescent="0.3">
      <c r="A41">
        <v>100625041</v>
      </c>
      <c r="B41" t="s">
        <v>648</v>
      </c>
      <c r="C41">
        <v>445</v>
      </c>
      <c r="D41" t="s">
        <v>692</v>
      </c>
      <c r="E41" t="s">
        <v>143</v>
      </c>
      <c r="F41" t="s">
        <v>697</v>
      </c>
      <c r="G41" s="5">
        <v>2.0585448729043989</v>
      </c>
      <c r="H41" t="s">
        <v>701</v>
      </c>
    </row>
    <row r="42" spans="1:8" x14ac:dyDescent="0.3">
      <c r="A42" t="s">
        <v>140</v>
      </c>
      <c r="B42" t="s">
        <v>141</v>
      </c>
      <c r="C42">
        <v>369</v>
      </c>
      <c r="D42" t="s">
        <v>142</v>
      </c>
      <c r="E42" t="s">
        <v>13</v>
      </c>
      <c r="F42">
        <v>475715.46</v>
      </c>
      <c r="G42" s="5">
        <v>0</v>
      </c>
      <c r="H42" t="s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092EC-5197-4972-B7AD-9F5188B2652C}">
  <sheetPr codeName="Sheet2"/>
  <dimension ref="A1:L435"/>
  <sheetViews>
    <sheetView workbookViewId="0">
      <pane ySplit="1" topLeftCell="A405" activePane="bottomLeft" state="frozen"/>
      <selection pane="bottomLeft" activeCell="B434" sqref="B434"/>
    </sheetView>
  </sheetViews>
  <sheetFormatPr defaultColWidth="9.109375" defaultRowHeight="13.2" x14ac:dyDescent="0.25"/>
  <cols>
    <col min="1" max="1" width="4" style="11" bestFit="1" customWidth="1"/>
    <col min="2" max="2" width="8.6640625" style="11" bestFit="1" customWidth="1"/>
    <col min="3" max="3" width="31.88671875" style="11" bestFit="1" customWidth="1"/>
    <col min="4" max="4" width="11.109375" style="11" bestFit="1" customWidth="1"/>
    <col min="5" max="7" width="11.88671875" style="11" customWidth="1"/>
    <col min="8" max="16384" width="9.109375" style="9"/>
  </cols>
  <sheetData>
    <row r="1" spans="1:12" ht="13.8" x14ac:dyDescent="0.3">
      <c r="A1" s="8" t="s">
        <v>151</v>
      </c>
      <c r="B1" s="8" t="s">
        <v>152</v>
      </c>
      <c r="C1" s="8" t="s">
        <v>153</v>
      </c>
      <c r="D1" s="8" t="s">
        <v>154</v>
      </c>
      <c r="E1" s="8"/>
      <c r="F1" s="8"/>
      <c r="G1" s="8" t="s">
        <v>3</v>
      </c>
    </row>
    <row r="2" spans="1:12" ht="14.4" x14ac:dyDescent="0.3">
      <c r="A2" s="10">
        <v>1</v>
      </c>
      <c r="B2" s="10">
        <v>29</v>
      </c>
      <c r="C2" s="10" t="s">
        <v>155</v>
      </c>
      <c r="D2" s="11" t="s">
        <v>156</v>
      </c>
      <c r="E2" s="10" t="str">
        <f t="shared" ref="E2:E73" si="0">LEFT(D2,1)</f>
        <v/>
      </c>
      <c r="F2" s="10" t="str">
        <f t="shared" ref="F2:F73" si="1">IF(MID(D2,2,1)=" ",MID(D2,3,1),MID(D2,2,1))</f>
        <v/>
      </c>
      <c r="G2" s="11" t="str">
        <f t="shared" ref="G2:G73" si="2">IF(D2="",C2,CONCATENATE(E2,F2," ",C2))</f>
        <v>Badger Trust</v>
      </c>
      <c r="I2"/>
      <c r="J2"/>
      <c r="K2"/>
      <c r="L2"/>
    </row>
    <row r="3" spans="1:12" ht="14.4" x14ac:dyDescent="0.3">
      <c r="A3" s="10">
        <v>2</v>
      </c>
      <c r="B3" s="10">
        <v>132</v>
      </c>
      <c r="C3" s="10" t="s">
        <v>157</v>
      </c>
      <c r="D3" s="10" t="s">
        <v>158</v>
      </c>
      <c r="E3" s="10" t="str">
        <f t="shared" si="0"/>
        <v>C</v>
      </c>
      <c r="F3" s="10" t="str">
        <f t="shared" si="1"/>
        <v>V</v>
      </c>
      <c r="G3" s="11" t="str">
        <f t="shared" si="2"/>
        <v>CV Bond-Myatt</v>
      </c>
      <c r="I3"/>
      <c r="J3"/>
      <c r="K3"/>
      <c r="L3"/>
    </row>
    <row r="4" spans="1:12" ht="14.4" x14ac:dyDescent="0.3">
      <c r="A4" s="10">
        <v>3</v>
      </c>
      <c r="B4" s="10">
        <v>132</v>
      </c>
      <c r="C4" s="10" t="s">
        <v>157</v>
      </c>
      <c r="D4" s="10" t="s">
        <v>159</v>
      </c>
      <c r="E4" s="10" t="str">
        <f t="shared" si="0"/>
        <v>D</v>
      </c>
      <c r="F4" s="10" t="str">
        <f t="shared" si="1"/>
        <v>E</v>
      </c>
      <c r="G4" s="11" t="str">
        <f t="shared" si="2"/>
        <v>DE Bond-Myatt</v>
      </c>
      <c r="I4"/>
      <c r="J4"/>
      <c r="K4"/>
      <c r="L4"/>
    </row>
    <row r="5" spans="1:12" ht="14.4" x14ac:dyDescent="0.3">
      <c r="A5" s="10">
        <v>4</v>
      </c>
      <c r="B5" s="10">
        <v>163</v>
      </c>
      <c r="C5" s="10" t="s">
        <v>160</v>
      </c>
      <c r="D5" s="10" t="s">
        <v>161</v>
      </c>
      <c r="E5" s="10" t="str">
        <f t="shared" si="0"/>
        <v>C</v>
      </c>
      <c r="F5" s="10" t="str">
        <f t="shared" si="1"/>
        <v>S</v>
      </c>
      <c r="G5" s="11" t="str">
        <f t="shared" si="2"/>
        <v>CS Bradley</v>
      </c>
      <c r="I5"/>
      <c r="J5"/>
      <c r="K5"/>
      <c r="L5"/>
    </row>
    <row r="6" spans="1:12" ht="14.4" x14ac:dyDescent="0.3">
      <c r="A6" s="10">
        <v>5</v>
      </c>
      <c r="B6" s="10">
        <v>29</v>
      </c>
      <c r="C6" s="10" t="s">
        <v>162</v>
      </c>
      <c r="D6" s="10" t="s">
        <v>163</v>
      </c>
      <c r="E6" s="10" t="str">
        <f t="shared" si="0"/>
        <v>J</v>
      </c>
      <c r="F6" s="10" t="str">
        <f t="shared" si="1"/>
        <v/>
      </c>
      <c r="G6" s="11" t="str">
        <f t="shared" si="2"/>
        <v>J Caulkin</v>
      </c>
      <c r="I6"/>
      <c r="J6"/>
      <c r="K6"/>
      <c r="L6"/>
    </row>
    <row r="7" spans="1:12" ht="14.4" x14ac:dyDescent="0.3">
      <c r="A7" s="10">
        <v>6</v>
      </c>
      <c r="B7" s="10">
        <v>76</v>
      </c>
      <c r="C7" s="10" t="s">
        <v>164</v>
      </c>
      <c r="D7" s="10" t="s">
        <v>165</v>
      </c>
      <c r="E7" s="10" t="str">
        <f t="shared" si="0"/>
        <v>G</v>
      </c>
      <c r="F7" s="10" t="str">
        <f t="shared" si="1"/>
        <v>R</v>
      </c>
      <c r="G7" s="11" t="str">
        <f t="shared" si="2"/>
        <v>GR Cavanagh</v>
      </c>
      <c r="I7"/>
      <c r="J7"/>
      <c r="K7"/>
      <c r="L7"/>
    </row>
    <row r="8" spans="1:12" ht="14.4" x14ac:dyDescent="0.3">
      <c r="A8" s="10">
        <v>7</v>
      </c>
      <c r="B8" s="10">
        <v>58</v>
      </c>
      <c r="C8" s="10" t="s">
        <v>166</v>
      </c>
      <c r="D8" s="10" t="s">
        <v>167</v>
      </c>
      <c r="E8" s="10" t="str">
        <f t="shared" si="0"/>
        <v>C</v>
      </c>
      <c r="F8" s="10" t="str">
        <f t="shared" si="1"/>
        <v>E</v>
      </c>
      <c r="G8" s="11" t="str">
        <f t="shared" si="2"/>
        <v>CE Charlton</v>
      </c>
      <c r="I8"/>
      <c r="J8"/>
      <c r="K8"/>
      <c r="L8"/>
    </row>
    <row r="9" spans="1:12" ht="14.4" x14ac:dyDescent="0.3">
      <c r="A9" s="10">
        <v>8</v>
      </c>
      <c r="B9" s="10">
        <v>34</v>
      </c>
      <c r="C9" s="10" t="s">
        <v>168</v>
      </c>
      <c r="D9" s="11" t="s">
        <v>169</v>
      </c>
      <c r="E9" s="10" t="str">
        <f t="shared" si="0"/>
        <v>P</v>
      </c>
      <c r="F9" s="10" t="str">
        <f t="shared" si="1"/>
        <v>J</v>
      </c>
      <c r="G9" s="11" t="str">
        <f t="shared" si="2"/>
        <v>PJ van Jaarsveld</v>
      </c>
      <c r="I9"/>
      <c r="J9"/>
      <c r="K9"/>
      <c r="L9"/>
    </row>
    <row r="10" spans="1:12" ht="14.4" x14ac:dyDescent="0.3">
      <c r="A10" s="10">
        <v>9</v>
      </c>
      <c r="B10" s="10">
        <v>436</v>
      </c>
      <c r="C10" s="10" t="s">
        <v>170</v>
      </c>
      <c r="D10" s="10" t="s">
        <v>171</v>
      </c>
      <c r="E10" s="10" t="str">
        <f t="shared" si="0"/>
        <v>P</v>
      </c>
      <c r="F10" s="10" t="str">
        <f t="shared" si="1"/>
        <v/>
      </c>
      <c r="G10" s="11" t="str">
        <f t="shared" si="2"/>
        <v>P van Greunen</v>
      </c>
      <c r="I10"/>
      <c r="J10"/>
      <c r="K10"/>
      <c r="L10"/>
    </row>
    <row r="11" spans="1:12" ht="14.4" x14ac:dyDescent="0.3">
      <c r="A11" s="10">
        <v>10</v>
      </c>
      <c r="B11" s="10">
        <v>357</v>
      </c>
      <c r="C11" s="10" t="s">
        <v>172</v>
      </c>
      <c r="D11" s="10" t="s">
        <v>173</v>
      </c>
      <c r="E11" s="10" t="str">
        <f t="shared" si="0"/>
        <v>G</v>
      </c>
      <c r="F11" s="10" t="str">
        <f t="shared" si="1"/>
        <v>A</v>
      </c>
      <c r="G11" s="11" t="str">
        <f t="shared" si="2"/>
        <v>GA Cormack</v>
      </c>
      <c r="I11"/>
      <c r="J11"/>
      <c r="K11"/>
      <c r="L11"/>
    </row>
    <row r="12" spans="1:12" ht="14.4" x14ac:dyDescent="0.3">
      <c r="A12" s="10">
        <v>11</v>
      </c>
      <c r="B12" s="10">
        <v>73</v>
      </c>
      <c r="C12" s="10" t="s">
        <v>174</v>
      </c>
      <c r="D12" s="10" t="s">
        <v>175</v>
      </c>
      <c r="E12" s="10" t="str">
        <f t="shared" si="0"/>
        <v>C</v>
      </c>
      <c r="F12" s="10" t="str">
        <f t="shared" si="1"/>
        <v>J</v>
      </c>
      <c r="G12" s="11" t="str">
        <f t="shared" si="2"/>
        <v>CJ Costella</v>
      </c>
      <c r="I12"/>
      <c r="J12"/>
      <c r="K12"/>
      <c r="L12"/>
    </row>
    <row r="13" spans="1:12" ht="14.4" x14ac:dyDescent="0.3">
      <c r="A13" s="10">
        <v>12</v>
      </c>
      <c r="B13" s="10">
        <v>73</v>
      </c>
      <c r="C13" s="10" t="s">
        <v>174</v>
      </c>
      <c r="D13" s="10" t="s">
        <v>176</v>
      </c>
      <c r="E13" s="10" t="str">
        <f t="shared" si="0"/>
        <v>R</v>
      </c>
      <c r="F13" s="10" t="str">
        <f t="shared" si="1"/>
        <v/>
      </c>
      <c r="G13" s="11" t="str">
        <f t="shared" si="2"/>
        <v>R Costella</v>
      </c>
      <c r="I13"/>
      <c r="J13"/>
      <c r="K13"/>
      <c r="L13"/>
    </row>
    <row r="14" spans="1:12" ht="14.4" x14ac:dyDescent="0.3">
      <c r="A14" s="10">
        <v>13</v>
      </c>
      <c r="B14" s="10">
        <v>185</v>
      </c>
      <c r="C14" s="10" t="s">
        <v>177</v>
      </c>
      <c r="D14" s="10" t="s">
        <v>178</v>
      </c>
      <c r="E14" s="10" t="str">
        <f t="shared" si="0"/>
        <v>P</v>
      </c>
      <c r="F14" s="10" t="str">
        <f t="shared" si="1"/>
        <v>J</v>
      </c>
      <c r="G14" s="11" t="str">
        <f t="shared" si="2"/>
        <v>PJ Dennison</v>
      </c>
      <c r="I14"/>
      <c r="J14"/>
      <c r="K14"/>
      <c r="L14"/>
    </row>
    <row r="15" spans="1:12" ht="14.4" x14ac:dyDescent="0.3">
      <c r="A15" s="10">
        <v>14</v>
      </c>
      <c r="B15" s="10">
        <v>483</v>
      </c>
      <c r="C15" s="10" t="s">
        <v>179</v>
      </c>
      <c r="D15" s="10" t="s">
        <v>180</v>
      </c>
      <c r="E15" s="10" t="str">
        <f t="shared" si="0"/>
        <v>C</v>
      </c>
      <c r="F15" s="10" t="str">
        <f t="shared" si="1"/>
        <v>Z</v>
      </c>
      <c r="G15" s="11" t="str">
        <f t="shared" si="2"/>
        <v>CZ Dladla</v>
      </c>
      <c r="I15"/>
      <c r="J15"/>
      <c r="K15"/>
      <c r="L15"/>
    </row>
    <row r="16" spans="1:12" ht="14.4" x14ac:dyDescent="0.3">
      <c r="A16" s="10">
        <v>15</v>
      </c>
      <c r="B16" s="10">
        <v>296</v>
      </c>
      <c r="C16" s="10" t="s">
        <v>181</v>
      </c>
      <c r="D16" s="10" t="s">
        <v>182</v>
      </c>
      <c r="E16" s="10" t="str">
        <f t="shared" si="0"/>
        <v>J</v>
      </c>
      <c r="F16" s="10" t="str">
        <f t="shared" si="1"/>
        <v>H</v>
      </c>
      <c r="G16" s="11" t="str">
        <f t="shared" si="2"/>
        <v>JH van Niekerk</v>
      </c>
      <c r="I16"/>
      <c r="J16"/>
      <c r="K16"/>
      <c r="L16"/>
    </row>
    <row r="17" spans="1:12" ht="14.4" x14ac:dyDescent="0.3">
      <c r="A17" s="10">
        <v>16</v>
      </c>
      <c r="B17" s="10">
        <v>256</v>
      </c>
      <c r="C17" s="10" t="s">
        <v>183</v>
      </c>
      <c r="D17" s="10" t="s">
        <v>184</v>
      </c>
      <c r="E17" s="10" t="str">
        <f t="shared" si="0"/>
        <v>D</v>
      </c>
      <c r="F17" s="10" t="str">
        <f t="shared" si="1"/>
        <v>J</v>
      </c>
      <c r="G17" s="11" t="str">
        <f t="shared" si="2"/>
        <v>DJ Du Toit</v>
      </c>
      <c r="I17"/>
      <c r="J17"/>
      <c r="K17"/>
      <c r="L17"/>
    </row>
    <row r="18" spans="1:12" ht="14.4" x14ac:dyDescent="0.3">
      <c r="A18" s="10">
        <v>17</v>
      </c>
      <c r="B18" s="10">
        <v>60</v>
      </c>
      <c r="C18" s="10" t="s">
        <v>185</v>
      </c>
      <c r="D18" s="10" t="s">
        <v>186</v>
      </c>
      <c r="E18" s="10" t="str">
        <f t="shared" si="0"/>
        <v>G</v>
      </c>
      <c r="F18" s="10" t="str">
        <f t="shared" si="1"/>
        <v>M</v>
      </c>
      <c r="G18" s="11" t="str">
        <f t="shared" si="2"/>
        <v>GM Ebben</v>
      </c>
      <c r="I18"/>
      <c r="J18"/>
      <c r="K18"/>
      <c r="L18"/>
    </row>
    <row r="19" spans="1:12" ht="14.4" x14ac:dyDescent="0.3">
      <c r="A19" s="10">
        <v>18</v>
      </c>
      <c r="B19" s="10">
        <v>348</v>
      </c>
      <c r="C19" s="10" t="s">
        <v>187</v>
      </c>
      <c r="D19" s="10" t="s">
        <v>188</v>
      </c>
      <c r="E19" s="10" t="str">
        <f t="shared" si="0"/>
        <v>S</v>
      </c>
      <c r="F19" s="10" t="str">
        <f t="shared" si="1"/>
        <v>A</v>
      </c>
      <c r="G19" s="11" t="str">
        <f t="shared" si="2"/>
        <v>SA Engelbrecht</v>
      </c>
      <c r="I19"/>
      <c r="J19"/>
      <c r="K19"/>
      <c r="L19"/>
    </row>
    <row r="20" spans="1:12" ht="14.4" x14ac:dyDescent="0.3">
      <c r="A20" s="10">
        <v>19</v>
      </c>
      <c r="B20" s="10">
        <v>373</v>
      </c>
      <c r="C20" s="10" t="s">
        <v>189</v>
      </c>
      <c r="D20" s="10" t="s">
        <v>190</v>
      </c>
      <c r="E20" s="10" t="str">
        <f t="shared" si="0"/>
        <v>C</v>
      </c>
      <c r="F20" s="10" t="str">
        <f t="shared" si="1"/>
        <v/>
      </c>
      <c r="G20" s="11" t="str">
        <f t="shared" si="2"/>
        <v>C Fitzpatrick</v>
      </c>
      <c r="I20"/>
      <c r="J20"/>
      <c r="K20"/>
      <c r="L20"/>
    </row>
    <row r="21" spans="1:12" ht="14.4" x14ac:dyDescent="0.3">
      <c r="A21" s="10">
        <v>20</v>
      </c>
      <c r="B21" s="10">
        <v>165</v>
      </c>
      <c r="C21" s="10" t="s">
        <v>191</v>
      </c>
      <c r="D21" s="10" t="s">
        <v>192</v>
      </c>
      <c r="E21" s="10" t="str">
        <f t="shared" si="0"/>
        <v>A</v>
      </c>
      <c r="F21" s="10" t="str">
        <f t="shared" si="1"/>
        <v>O</v>
      </c>
      <c r="G21" s="11" t="str">
        <f t="shared" si="2"/>
        <v>AO Friederang</v>
      </c>
      <c r="I21"/>
      <c r="J21"/>
      <c r="K21"/>
      <c r="L21"/>
    </row>
    <row r="22" spans="1:12" ht="14.4" x14ac:dyDescent="0.3">
      <c r="A22" s="10">
        <v>21</v>
      </c>
      <c r="B22" s="10">
        <v>165</v>
      </c>
      <c r="C22" s="10" t="s">
        <v>191</v>
      </c>
      <c r="D22" s="10" t="s">
        <v>190</v>
      </c>
      <c r="E22" s="10" t="str">
        <f t="shared" si="0"/>
        <v>C</v>
      </c>
      <c r="F22" s="10" t="str">
        <f t="shared" si="1"/>
        <v/>
      </c>
      <c r="G22" s="11" t="str">
        <f t="shared" si="2"/>
        <v>C Friederang</v>
      </c>
      <c r="I22"/>
      <c r="J22"/>
      <c r="K22"/>
      <c r="L22"/>
    </row>
    <row r="23" spans="1:12" ht="14.4" x14ac:dyDescent="0.3">
      <c r="A23" s="10">
        <v>22</v>
      </c>
      <c r="B23" s="10">
        <v>106</v>
      </c>
      <c r="C23" s="10" t="s">
        <v>193</v>
      </c>
      <c r="D23" s="10" t="s">
        <v>171</v>
      </c>
      <c r="E23" s="10" t="str">
        <f t="shared" si="0"/>
        <v>P</v>
      </c>
      <c r="F23" s="10" t="str">
        <f t="shared" si="1"/>
        <v/>
      </c>
      <c r="G23" s="11" t="str">
        <f t="shared" si="2"/>
        <v>P de Villiers</v>
      </c>
      <c r="I23"/>
      <c r="J23"/>
      <c r="K23"/>
      <c r="L23"/>
    </row>
    <row r="24" spans="1:12" ht="14.4" x14ac:dyDescent="0.3">
      <c r="A24" s="10">
        <v>23</v>
      </c>
      <c r="B24" s="10">
        <v>225</v>
      </c>
      <c r="C24" s="10" t="s">
        <v>194</v>
      </c>
      <c r="D24" s="11" t="s">
        <v>156</v>
      </c>
      <c r="E24" s="10" t="str">
        <f t="shared" si="0"/>
        <v/>
      </c>
      <c r="F24" s="10" t="str">
        <f t="shared" si="1"/>
        <v/>
      </c>
      <c r="G24" s="11" t="str">
        <f t="shared" si="2"/>
        <v>Hamden Trust</v>
      </c>
      <c r="I24"/>
      <c r="J24"/>
      <c r="K24"/>
      <c r="L24"/>
    </row>
    <row r="25" spans="1:12" ht="14.4" x14ac:dyDescent="0.3">
      <c r="A25" s="10">
        <v>24</v>
      </c>
      <c r="B25" s="10">
        <v>4</v>
      </c>
      <c r="C25" s="10" t="s">
        <v>195</v>
      </c>
      <c r="E25" s="10" t="str">
        <f t="shared" si="0"/>
        <v/>
      </c>
      <c r="F25" s="10" t="str">
        <f t="shared" si="1"/>
        <v/>
      </c>
      <c r="G25" s="11" t="str">
        <f t="shared" si="2"/>
        <v>Kanaan Trust</v>
      </c>
      <c r="I25"/>
      <c r="J25"/>
      <c r="K25"/>
      <c r="L25"/>
    </row>
    <row r="26" spans="1:12" ht="14.4" x14ac:dyDescent="0.3">
      <c r="A26" s="10">
        <v>25</v>
      </c>
      <c r="B26" s="10">
        <v>281</v>
      </c>
      <c r="C26" s="10" t="s">
        <v>196</v>
      </c>
      <c r="D26" s="11" t="s">
        <v>197</v>
      </c>
      <c r="E26" s="10" t="str">
        <f t="shared" si="0"/>
        <v>J</v>
      </c>
      <c r="F26" s="10" t="str">
        <f t="shared" si="1"/>
        <v>G</v>
      </c>
      <c r="G26" s="11" t="str">
        <f t="shared" si="2"/>
        <v>JG Hericourt</v>
      </c>
      <c r="I26"/>
      <c r="J26"/>
      <c r="K26"/>
      <c r="L26"/>
    </row>
    <row r="27" spans="1:12" ht="14.4" x14ac:dyDescent="0.3">
      <c r="A27" s="10">
        <v>26</v>
      </c>
      <c r="B27" s="10">
        <v>86</v>
      </c>
      <c r="C27" s="10" t="s">
        <v>198</v>
      </c>
      <c r="D27" s="10" t="s">
        <v>199</v>
      </c>
      <c r="E27" s="10" t="str">
        <f t="shared" si="0"/>
        <v>A</v>
      </c>
      <c r="F27" s="10" t="str">
        <f t="shared" si="1"/>
        <v>L</v>
      </c>
      <c r="G27" s="11" t="str">
        <f t="shared" si="2"/>
        <v>AL Hoon</v>
      </c>
      <c r="I27"/>
      <c r="J27"/>
      <c r="K27"/>
      <c r="L27"/>
    </row>
    <row r="28" spans="1:12" ht="14.4" x14ac:dyDescent="0.3">
      <c r="A28" s="10">
        <v>27</v>
      </c>
      <c r="B28" s="10">
        <v>294</v>
      </c>
      <c r="C28" s="10" t="s">
        <v>200</v>
      </c>
      <c r="D28" s="10" t="s">
        <v>201</v>
      </c>
      <c r="E28" s="10" t="str">
        <f t="shared" si="0"/>
        <v>B</v>
      </c>
      <c r="F28" s="10" t="str">
        <f t="shared" si="1"/>
        <v>J</v>
      </c>
      <c r="G28" s="11" t="str">
        <f t="shared" si="2"/>
        <v>BJ Hudson</v>
      </c>
      <c r="I28"/>
      <c r="J28"/>
      <c r="K28"/>
      <c r="L28"/>
    </row>
    <row r="29" spans="1:12" ht="14.4" x14ac:dyDescent="0.3">
      <c r="A29" s="10">
        <v>28</v>
      </c>
      <c r="B29" s="10">
        <v>196</v>
      </c>
      <c r="C29" s="10" t="s">
        <v>202</v>
      </c>
      <c r="D29" s="10" t="s">
        <v>203</v>
      </c>
      <c r="E29" s="10" t="str">
        <f t="shared" si="0"/>
        <v>I</v>
      </c>
      <c r="F29" s="10" t="str">
        <f t="shared" si="1"/>
        <v/>
      </c>
      <c r="G29" s="11" t="str">
        <f t="shared" si="2"/>
        <v>I Jacobs</v>
      </c>
      <c r="I29"/>
      <c r="J29"/>
      <c r="K29"/>
      <c r="L29"/>
    </row>
    <row r="30" spans="1:12" ht="14.4" x14ac:dyDescent="0.3">
      <c r="A30" s="10">
        <v>29</v>
      </c>
      <c r="B30" s="10">
        <v>377</v>
      </c>
      <c r="C30" s="10" t="s">
        <v>204</v>
      </c>
      <c r="D30" s="10" t="s">
        <v>205</v>
      </c>
      <c r="E30" s="10" t="str">
        <f t="shared" si="0"/>
        <v>L</v>
      </c>
      <c r="F30" s="10" t="str">
        <f t="shared" si="1"/>
        <v>B</v>
      </c>
      <c r="G30" s="11" t="str">
        <f t="shared" si="2"/>
        <v>LB James</v>
      </c>
      <c r="I30"/>
      <c r="J30"/>
      <c r="K30"/>
      <c r="L30"/>
    </row>
    <row r="31" spans="1:12" ht="14.4" x14ac:dyDescent="0.3">
      <c r="A31" s="10">
        <v>30</v>
      </c>
      <c r="B31" s="10">
        <v>179</v>
      </c>
      <c r="C31" s="10" t="s">
        <v>206</v>
      </c>
      <c r="D31" s="10" t="s">
        <v>207</v>
      </c>
      <c r="E31" s="10" t="str">
        <f t="shared" si="0"/>
        <v>M</v>
      </c>
      <c r="F31" s="10" t="str">
        <f t="shared" si="1"/>
        <v>M</v>
      </c>
      <c r="G31" s="11" t="str">
        <f t="shared" si="2"/>
        <v>MM Higgins</v>
      </c>
      <c r="I31"/>
      <c r="J31"/>
      <c r="K31"/>
      <c r="L31"/>
    </row>
    <row r="32" spans="1:12" ht="14.4" x14ac:dyDescent="0.3">
      <c r="A32" s="10">
        <v>31</v>
      </c>
      <c r="B32" s="10">
        <v>265</v>
      </c>
      <c r="C32" s="10" t="s">
        <v>208</v>
      </c>
      <c r="D32" s="10" t="s">
        <v>209</v>
      </c>
      <c r="E32" s="10" t="str">
        <f t="shared" si="0"/>
        <v>M</v>
      </c>
      <c r="F32" s="10" t="str">
        <f t="shared" si="1"/>
        <v>D</v>
      </c>
      <c r="G32" s="11" t="str">
        <f t="shared" si="2"/>
        <v>MD Jelley</v>
      </c>
      <c r="I32"/>
      <c r="J32"/>
      <c r="K32"/>
      <c r="L32"/>
    </row>
    <row r="33" spans="1:12" ht="14.4" x14ac:dyDescent="0.3">
      <c r="A33" s="10">
        <v>32</v>
      </c>
      <c r="B33" s="10">
        <v>481</v>
      </c>
      <c r="C33" s="10" t="s">
        <v>210</v>
      </c>
      <c r="D33" s="10" t="s">
        <v>211</v>
      </c>
      <c r="E33" s="10" t="str">
        <f t="shared" si="0"/>
        <v>M</v>
      </c>
      <c r="F33" s="10" t="str">
        <f t="shared" si="1"/>
        <v>F</v>
      </c>
      <c r="G33" s="11" t="str">
        <f t="shared" si="2"/>
        <v>MF Stonestreet</v>
      </c>
      <c r="I33"/>
      <c r="J33"/>
      <c r="K33"/>
      <c r="L33"/>
    </row>
    <row r="34" spans="1:12" ht="14.4" x14ac:dyDescent="0.3">
      <c r="A34" s="10">
        <v>33</v>
      </c>
      <c r="B34" s="10">
        <v>162</v>
      </c>
      <c r="C34" s="10" t="s">
        <v>212</v>
      </c>
      <c r="D34" s="10" t="s">
        <v>213</v>
      </c>
      <c r="E34" s="10" t="str">
        <f t="shared" si="0"/>
        <v>K</v>
      </c>
      <c r="F34" s="10" t="str">
        <f t="shared" si="1"/>
        <v>R</v>
      </c>
      <c r="G34" s="11" t="str">
        <f t="shared" si="2"/>
        <v>KR Kelly</v>
      </c>
      <c r="I34"/>
      <c r="J34"/>
      <c r="K34"/>
      <c r="L34"/>
    </row>
    <row r="35" spans="1:12" ht="14.4" x14ac:dyDescent="0.3">
      <c r="A35" s="10">
        <v>34</v>
      </c>
      <c r="B35" s="10">
        <v>266</v>
      </c>
      <c r="C35" s="10" t="s">
        <v>214</v>
      </c>
      <c r="D35" s="10" t="s">
        <v>215</v>
      </c>
      <c r="E35" s="10" t="str">
        <f t="shared" si="0"/>
        <v>W</v>
      </c>
      <c r="F35" s="10" t="str">
        <f t="shared" si="1"/>
        <v>J</v>
      </c>
      <c r="G35" s="11" t="str">
        <f t="shared" si="2"/>
        <v>WJ Kerr</v>
      </c>
      <c r="I35"/>
      <c r="J35"/>
      <c r="K35"/>
      <c r="L35"/>
    </row>
    <row r="36" spans="1:12" ht="14.4" x14ac:dyDescent="0.3">
      <c r="A36" s="10">
        <v>35</v>
      </c>
      <c r="B36" s="10">
        <v>194</v>
      </c>
      <c r="C36" s="10" t="s">
        <v>216</v>
      </c>
      <c r="D36" s="10" t="s">
        <v>217</v>
      </c>
      <c r="E36" s="10" t="str">
        <f t="shared" si="0"/>
        <v>A</v>
      </c>
      <c r="F36" s="10" t="str">
        <f t="shared" si="1"/>
        <v>J</v>
      </c>
      <c r="G36" s="11" t="str">
        <f t="shared" si="2"/>
        <v>AJ Kijko</v>
      </c>
      <c r="I36"/>
      <c r="J36"/>
      <c r="K36"/>
      <c r="L36"/>
    </row>
    <row r="37" spans="1:12" ht="14.4" x14ac:dyDescent="0.3">
      <c r="A37" s="10">
        <v>36</v>
      </c>
      <c r="B37" s="10">
        <v>7</v>
      </c>
      <c r="C37" s="10" t="s">
        <v>218</v>
      </c>
      <c r="D37" s="10" t="s">
        <v>175</v>
      </c>
      <c r="E37" s="10" t="str">
        <f t="shared" si="0"/>
        <v>C</v>
      </c>
      <c r="F37" s="10" t="str">
        <f t="shared" si="1"/>
        <v>J</v>
      </c>
      <c r="G37" s="11" t="str">
        <f t="shared" si="2"/>
        <v>CJ du Toit</v>
      </c>
      <c r="I37"/>
      <c r="J37"/>
      <c r="K37"/>
      <c r="L37"/>
    </row>
    <row r="38" spans="1:12" ht="14.4" x14ac:dyDescent="0.3">
      <c r="A38" s="10">
        <v>37</v>
      </c>
      <c r="B38" s="10">
        <v>138</v>
      </c>
      <c r="C38" s="10" t="s">
        <v>219</v>
      </c>
      <c r="D38" s="10" t="s">
        <v>220</v>
      </c>
      <c r="E38" s="10" t="str">
        <f t="shared" si="0"/>
        <v>W</v>
      </c>
      <c r="F38" s="10" t="str">
        <f t="shared" si="1"/>
        <v>E</v>
      </c>
      <c r="G38" s="11" t="str">
        <f t="shared" si="2"/>
        <v>WE Klingenberg</v>
      </c>
      <c r="I38"/>
      <c r="J38"/>
      <c r="K38"/>
      <c r="L38"/>
    </row>
    <row r="39" spans="1:12" ht="14.4" x14ac:dyDescent="0.3">
      <c r="A39" s="10">
        <v>38</v>
      </c>
      <c r="B39" s="10">
        <v>138</v>
      </c>
      <c r="C39" s="10" t="s">
        <v>219</v>
      </c>
      <c r="D39" s="10" t="s">
        <v>184</v>
      </c>
      <c r="E39" s="10" t="str">
        <f t="shared" si="0"/>
        <v>D</v>
      </c>
      <c r="F39" s="10" t="str">
        <f t="shared" si="1"/>
        <v>J</v>
      </c>
      <c r="G39" s="11" t="str">
        <f t="shared" si="2"/>
        <v>DJ Klingenberg</v>
      </c>
      <c r="I39"/>
      <c r="J39"/>
      <c r="K39"/>
      <c r="L39"/>
    </row>
    <row r="40" spans="1:12" ht="14.4" x14ac:dyDescent="0.3">
      <c r="A40" s="10">
        <v>39</v>
      </c>
      <c r="B40" s="10">
        <v>356</v>
      </c>
      <c r="C40" s="10" t="s">
        <v>221</v>
      </c>
      <c r="D40" s="10" t="s">
        <v>156</v>
      </c>
      <c r="E40" s="10" t="str">
        <f t="shared" si="0"/>
        <v/>
      </c>
      <c r="F40" s="10" t="str">
        <f t="shared" si="1"/>
        <v/>
      </c>
      <c r="G40" s="11" t="str">
        <f t="shared" si="2"/>
        <v>Knight Trust</v>
      </c>
      <c r="I40"/>
      <c r="J40"/>
      <c r="K40"/>
      <c r="L40"/>
    </row>
    <row r="41" spans="1:12" ht="14.4" x14ac:dyDescent="0.3">
      <c r="A41" s="10">
        <v>40</v>
      </c>
      <c r="B41" s="10">
        <v>15</v>
      </c>
      <c r="C41" s="10" t="s">
        <v>222</v>
      </c>
      <c r="D41" s="10" t="s">
        <v>223</v>
      </c>
      <c r="E41" s="10" t="str">
        <f t="shared" si="0"/>
        <v>R</v>
      </c>
      <c r="F41" s="10" t="str">
        <f t="shared" si="1"/>
        <v>J</v>
      </c>
      <c r="G41" s="11" t="str">
        <f t="shared" si="2"/>
        <v>RJ Kusel</v>
      </c>
      <c r="I41"/>
      <c r="J41"/>
      <c r="K41"/>
      <c r="L41"/>
    </row>
    <row r="42" spans="1:12" ht="14.4" x14ac:dyDescent="0.3">
      <c r="A42" s="10">
        <v>41</v>
      </c>
      <c r="B42" s="10">
        <v>395</v>
      </c>
      <c r="C42" s="10" t="s">
        <v>224</v>
      </c>
      <c r="D42" s="10" t="s">
        <v>175</v>
      </c>
      <c r="E42" s="10" t="str">
        <f t="shared" si="0"/>
        <v>C</v>
      </c>
      <c r="F42" s="10" t="str">
        <f t="shared" si="1"/>
        <v>J</v>
      </c>
      <c r="G42" s="11" t="str">
        <f t="shared" si="2"/>
        <v>CJ Louw</v>
      </c>
      <c r="I42"/>
      <c r="J42"/>
      <c r="K42"/>
      <c r="L42"/>
    </row>
    <row r="43" spans="1:12" ht="14.4" x14ac:dyDescent="0.3">
      <c r="A43" s="10">
        <v>42</v>
      </c>
      <c r="B43" s="10">
        <v>72</v>
      </c>
      <c r="C43" s="10" t="s">
        <v>225</v>
      </c>
      <c r="D43" s="10" t="s">
        <v>226</v>
      </c>
      <c r="E43" s="10" t="str">
        <f t="shared" si="0"/>
        <v>A</v>
      </c>
      <c r="F43" s="10" t="str">
        <f t="shared" si="1"/>
        <v/>
      </c>
      <c r="G43" s="11" t="str">
        <f t="shared" si="2"/>
        <v>A Delport</v>
      </c>
      <c r="I43"/>
      <c r="J43"/>
      <c r="K43"/>
      <c r="L43"/>
    </row>
    <row r="44" spans="1:12" ht="14.4" x14ac:dyDescent="0.3">
      <c r="A44" s="10">
        <v>43</v>
      </c>
      <c r="B44" s="10">
        <v>477</v>
      </c>
      <c r="C44" s="10" t="s">
        <v>227</v>
      </c>
      <c r="D44" s="11" t="s">
        <v>228</v>
      </c>
      <c r="E44" s="10" t="str">
        <f t="shared" si="0"/>
        <v>P</v>
      </c>
      <c r="F44" s="10" t="str">
        <f t="shared" si="1"/>
        <v>E</v>
      </c>
      <c r="G44" s="11" t="str">
        <f t="shared" si="2"/>
        <v>PE Lombard</v>
      </c>
      <c r="I44"/>
      <c r="J44"/>
      <c r="K44"/>
      <c r="L44"/>
    </row>
    <row r="45" spans="1:12" ht="14.4" x14ac:dyDescent="0.3">
      <c r="A45" s="10">
        <v>44</v>
      </c>
      <c r="B45" s="10">
        <v>363</v>
      </c>
      <c r="C45" s="10" t="s">
        <v>229</v>
      </c>
      <c r="D45" s="10" t="s">
        <v>230</v>
      </c>
      <c r="E45" s="10" t="str">
        <f t="shared" si="0"/>
        <v>R</v>
      </c>
      <c r="F45" s="10" t="str">
        <f t="shared" si="1"/>
        <v>C</v>
      </c>
      <c r="G45" s="11" t="str">
        <f t="shared" si="2"/>
        <v>RC Mack</v>
      </c>
      <c r="I45"/>
      <c r="J45"/>
      <c r="K45"/>
      <c r="L45"/>
    </row>
    <row r="46" spans="1:12" ht="14.4" x14ac:dyDescent="0.3">
      <c r="A46" s="10">
        <v>45</v>
      </c>
      <c r="B46" s="10">
        <v>203</v>
      </c>
      <c r="C46" s="10" t="s">
        <v>231</v>
      </c>
      <c r="D46" s="10" t="s">
        <v>232</v>
      </c>
      <c r="E46" s="10" t="str">
        <f t="shared" si="0"/>
        <v>R</v>
      </c>
      <c r="F46" s="10" t="str">
        <f t="shared" si="1"/>
        <v>L</v>
      </c>
      <c r="G46" s="11" t="str">
        <f t="shared" si="2"/>
        <v>RL Maggs</v>
      </c>
      <c r="I46"/>
      <c r="J46"/>
      <c r="K46"/>
      <c r="L46"/>
    </row>
    <row r="47" spans="1:12" ht="14.4" x14ac:dyDescent="0.3">
      <c r="A47" s="10">
        <v>46</v>
      </c>
      <c r="B47" s="10">
        <v>232</v>
      </c>
      <c r="C47" s="10" t="s">
        <v>233</v>
      </c>
      <c r="D47" s="10" t="s">
        <v>234</v>
      </c>
      <c r="E47" s="10" t="str">
        <f t="shared" si="0"/>
        <v>S</v>
      </c>
      <c r="F47" s="10" t="str">
        <f t="shared" si="1"/>
        <v>M</v>
      </c>
      <c r="G47" s="11" t="str">
        <f t="shared" si="2"/>
        <v>SM Maharaj</v>
      </c>
      <c r="I47"/>
      <c r="J47"/>
      <c r="K47"/>
      <c r="L47"/>
    </row>
    <row r="48" spans="1:12" ht="14.4" x14ac:dyDescent="0.3">
      <c r="A48" s="10">
        <v>47</v>
      </c>
      <c r="B48" s="10">
        <v>8</v>
      </c>
      <c r="C48" s="10" t="s">
        <v>235</v>
      </c>
      <c r="D48" s="10" t="s">
        <v>236</v>
      </c>
      <c r="E48" s="10" t="str">
        <f t="shared" si="0"/>
        <v>M</v>
      </c>
      <c r="F48" s="10" t="str">
        <f t="shared" si="1"/>
        <v>E</v>
      </c>
      <c r="G48" s="11" t="str">
        <f t="shared" si="2"/>
        <v>ME Strydom</v>
      </c>
      <c r="I48"/>
      <c r="J48"/>
      <c r="K48"/>
      <c r="L48"/>
    </row>
    <row r="49" spans="1:12" ht="14.4" x14ac:dyDescent="0.3">
      <c r="A49" s="10">
        <v>48</v>
      </c>
      <c r="B49" s="10">
        <v>323</v>
      </c>
      <c r="C49" s="10" t="s">
        <v>237</v>
      </c>
      <c r="D49" s="10" t="s">
        <v>238</v>
      </c>
      <c r="E49" s="10" t="str">
        <f t="shared" si="0"/>
        <v>S</v>
      </c>
      <c r="F49" s="10" t="str">
        <f t="shared" si="1"/>
        <v>S</v>
      </c>
      <c r="G49" s="11" t="str">
        <f t="shared" si="2"/>
        <v>SS Masondo</v>
      </c>
      <c r="I49"/>
      <c r="J49"/>
      <c r="K49"/>
      <c r="L49"/>
    </row>
    <row r="50" spans="1:12" ht="14.4" x14ac:dyDescent="0.3">
      <c r="A50" s="10">
        <v>49</v>
      </c>
      <c r="B50" s="10">
        <v>17</v>
      </c>
      <c r="C50" s="10" t="s">
        <v>239</v>
      </c>
      <c r="D50" s="10" t="s">
        <v>240</v>
      </c>
      <c r="E50" s="10" t="str">
        <f t="shared" si="0"/>
        <v>D</v>
      </c>
      <c r="F50" s="10" t="str">
        <f t="shared" si="1"/>
        <v>W</v>
      </c>
      <c r="G50" s="11" t="str">
        <f t="shared" si="2"/>
        <v>DW Mays</v>
      </c>
      <c r="I50"/>
      <c r="J50"/>
      <c r="K50"/>
      <c r="L50"/>
    </row>
    <row r="51" spans="1:12" ht="14.4" x14ac:dyDescent="0.3">
      <c r="A51" s="10">
        <v>50</v>
      </c>
      <c r="B51" s="10">
        <v>45</v>
      </c>
      <c r="C51" s="10" t="s">
        <v>239</v>
      </c>
      <c r="D51" s="10" t="s">
        <v>241</v>
      </c>
      <c r="E51" s="10" t="str">
        <f t="shared" si="0"/>
        <v>J</v>
      </c>
      <c r="F51" s="10" t="str">
        <f t="shared" si="1"/>
        <v>M</v>
      </c>
      <c r="G51" s="11" t="str">
        <f t="shared" si="2"/>
        <v>JM Mays</v>
      </c>
      <c r="I51"/>
      <c r="J51"/>
      <c r="K51"/>
      <c r="L51"/>
    </row>
    <row r="52" spans="1:12" ht="14.4" x14ac:dyDescent="0.3">
      <c r="A52" s="10">
        <v>51</v>
      </c>
      <c r="B52" s="10">
        <v>17</v>
      </c>
      <c r="C52" s="10" t="s">
        <v>239</v>
      </c>
      <c r="D52" s="10" t="s">
        <v>242</v>
      </c>
      <c r="E52" s="10" t="str">
        <f t="shared" si="0"/>
        <v>J</v>
      </c>
      <c r="F52" s="10" t="str">
        <f t="shared" si="1"/>
        <v>P</v>
      </c>
      <c r="G52" s="11" t="str">
        <f t="shared" si="2"/>
        <v>JP Mays</v>
      </c>
      <c r="I52"/>
      <c r="J52"/>
      <c r="K52"/>
      <c r="L52"/>
    </row>
    <row r="53" spans="1:12" ht="14.4" x14ac:dyDescent="0.3">
      <c r="A53" s="10">
        <v>52</v>
      </c>
      <c r="B53" s="10">
        <v>25</v>
      </c>
      <c r="C53" s="10" t="s">
        <v>243</v>
      </c>
      <c r="D53" s="10" t="s">
        <v>244</v>
      </c>
      <c r="E53" s="10" t="str">
        <f t="shared" si="0"/>
        <v>H</v>
      </c>
      <c r="F53" s="10" t="str">
        <f t="shared" si="1"/>
        <v/>
      </c>
      <c r="G53" s="11" t="str">
        <f t="shared" si="2"/>
        <v>H McBeth</v>
      </c>
      <c r="I53"/>
      <c r="J53"/>
      <c r="K53"/>
      <c r="L53"/>
    </row>
    <row r="54" spans="1:12" ht="14.4" x14ac:dyDescent="0.3">
      <c r="A54" s="10">
        <v>53</v>
      </c>
      <c r="B54" s="10">
        <v>25</v>
      </c>
      <c r="C54" s="10" t="s">
        <v>243</v>
      </c>
      <c r="D54" s="10" t="s">
        <v>245</v>
      </c>
      <c r="E54" s="10" t="str">
        <f t="shared" si="0"/>
        <v>V</v>
      </c>
      <c r="F54" s="10" t="str">
        <f t="shared" si="1"/>
        <v>K</v>
      </c>
      <c r="G54" s="11" t="str">
        <f t="shared" si="2"/>
        <v>VK McBeth</v>
      </c>
      <c r="I54"/>
      <c r="J54"/>
      <c r="K54"/>
      <c r="L54"/>
    </row>
    <row r="55" spans="1:12" ht="14.4" x14ac:dyDescent="0.3">
      <c r="A55" s="10">
        <v>54</v>
      </c>
      <c r="B55" s="10">
        <v>39</v>
      </c>
      <c r="C55" s="10" t="s">
        <v>246</v>
      </c>
      <c r="D55" s="10" t="s">
        <v>247</v>
      </c>
      <c r="E55" s="10" t="str">
        <f t="shared" si="0"/>
        <v>G</v>
      </c>
      <c r="F55" s="10" t="str">
        <f t="shared" si="1"/>
        <v>J</v>
      </c>
      <c r="G55" s="11" t="str">
        <f t="shared" si="2"/>
        <v>GJ McGill</v>
      </c>
      <c r="I55"/>
      <c r="J55"/>
      <c r="K55"/>
      <c r="L55"/>
    </row>
    <row r="56" spans="1:12" ht="14.4" x14ac:dyDescent="0.3">
      <c r="A56" s="10">
        <v>55</v>
      </c>
      <c r="B56" s="10">
        <v>138</v>
      </c>
      <c r="C56" s="10" t="s">
        <v>248</v>
      </c>
      <c r="D56" s="10"/>
      <c r="E56" s="10" t="str">
        <f t="shared" si="0"/>
        <v/>
      </c>
      <c r="F56" s="10" t="str">
        <f t="shared" si="1"/>
        <v/>
      </c>
      <c r="G56" s="11" t="str">
        <f t="shared" si="2"/>
        <v>WE &amp; DJ Klingenberg</v>
      </c>
      <c r="I56"/>
      <c r="J56"/>
      <c r="K56"/>
      <c r="L56"/>
    </row>
    <row r="57" spans="1:12" ht="14.4" x14ac:dyDescent="0.3">
      <c r="A57" s="10">
        <v>56</v>
      </c>
      <c r="B57" s="10">
        <v>14</v>
      </c>
      <c r="C57" s="10" t="s">
        <v>249</v>
      </c>
      <c r="D57" s="10" t="s">
        <v>217</v>
      </c>
      <c r="E57" s="10" t="str">
        <f t="shared" si="0"/>
        <v>A</v>
      </c>
      <c r="F57" s="10" t="str">
        <f t="shared" si="1"/>
        <v>J</v>
      </c>
      <c r="G57" s="11" t="str">
        <f t="shared" si="2"/>
        <v>AJ Mendecki</v>
      </c>
      <c r="I57"/>
      <c r="J57"/>
      <c r="K57"/>
      <c r="L57"/>
    </row>
    <row r="58" spans="1:12" ht="14.4" x14ac:dyDescent="0.3">
      <c r="A58" s="10">
        <v>57</v>
      </c>
      <c r="B58" s="10">
        <v>459</v>
      </c>
      <c r="C58" s="10" t="s">
        <v>250</v>
      </c>
      <c r="D58" s="10" t="s">
        <v>251</v>
      </c>
      <c r="E58" s="10" t="str">
        <f t="shared" si="0"/>
        <v>G</v>
      </c>
      <c r="F58" s="10" t="str">
        <f t="shared" si="1"/>
        <v>G</v>
      </c>
      <c r="G58" s="11" t="str">
        <f t="shared" si="2"/>
        <v>GG Meyer</v>
      </c>
      <c r="I58"/>
      <c r="J58"/>
      <c r="K58"/>
      <c r="L58"/>
    </row>
    <row r="59" spans="1:12" ht="14.4" x14ac:dyDescent="0.3">
      <c r="A59" s="10">
        <v>58</v>
      </c>
      <c r="B59" s="10">
        <v>68</v>
      </c>
      <c r="C59" s="10" t="s">
        <v>252</v>
      </c>
      <c r="D59" s="10" t="s">
        <v>207</v>
      </c>
      <c r="E59" s="10" t="str">
        <f t="shared" si="0"/>
        <v>M</v>
      </c>
      <c r="F59" s="10" t="str">
        <f t="shared" si="1"/>
        <v>M</v>
      </c>
      <c r="G59" s="11" t="str">
        <f t="shared" si="2"/>
        <v>MM Pretorius (Rita)01</v>
      </c>
      <c r="I59"/>
      <c r="J59"/>
      <c r="K59"/>
      <c r="L59"/>
    </row>
    <row r="60" spans="1:12" ht="14.4" x14ac:dyDescent="0.3">
      <c r="A60" s="10">
        <v>59</v>
      </c>
      <c r="B60" s="10">
        <v>355</v>
      </c>
      <c r="C60" s="10" t="s">
        <v>253</v>
      </c>
      <c r="D60" s="10" t="s">
        <v>254</v>
      </c>
      <c r="E60" s="10" t="str">
        <f t="shared" si="0"/>
        <v>A</v>
      </c>
      <c r="F60" s="10" t="str">
        <f t="shared" si="1"/>
        <v>P</v>
      </c>
      <c r="G60" s="11" t="str">
        <f t="shared" si="2"/>
        <v>AP Moll</v>
      </c>
      <c r="I60"/>
      <c r="J60"/>
      <c r="K60"/>
      <c r="L60"/>
    </row>
    <row r="61" spans="1:12" ht="14.4" x14ac:dyDescent="0.3">
      <c r="A61" s="10">
        <v>60</v>
      </c>
      <c r="B61" s="10">
        <v>52</v>
      </c>
      <c r="C61" s="10" t="s">
        <v>255</v>
      </c>
      <c r="D61" s="10" t="s">
        <v>256</v>
      </c>
      <c r="E61" s="10" t="str">
        <f t="shared" si="0"/>
        <v>K</v>
      </c>
      <c r="F61" s="10" t="str">
        <f t="shared" si="1"/>
        <v>A</v>
      </c>
      <c r="G61" s="11" t="str">
        <f t="shared" si="2"/>
        <v>KA Moxham</v>
      </c>
      <c r="I61"/>
      <c r="J61"/>
      <c r="K61"/>
      <c r="L61"/>
    </row>
    <row r="62" spans="1:12" ht="14.4" x14ac:dyDescent="0.3">
      <c r="A62" s="10">
        <v>61</v>
      </c>
      <c r="B62" s="10">
        <v>32</v>
      </c>
      <c r="C62" s="10" t="s">
        <v>257</v>
      </c>
      <c r="D62" s="10" t="s">
        <v>156</v>
      </c>
      <c r="E62" s="10" t="str">
        <f t="shared" si="0"/>
        <v/>
      </c>
      <c r="F62" s="10" t="str">
        <f t="shared" si="1"/>
        <v/>
      </c>
      <c r="G62" s="11" t="str">
        <f t="shared" si="2"/>
        <v>MSJM Trust</v>
      </c>
      <c r="I62"/>
      <c r="J62"/>
      <c r="K62"/>
      <c r="L62"/>
    </row>
    <row r="63" spans="1:12" ht="14.4" x14ac:dyDescent="0.3">
      <c r="A63" s="10">
        <v>62</v>
      </c>
      <c r="B63" s="10">
        <v>208</v>
      </c>
      <c r="C63" s="10" t="s">
        <v>258</v>
      </c>
      <c r="D63" s="10" t="s">
        <v>259</v>
      </c>
      <c r="E63" s="10" t="str">
        <f t="shared" si="0"/>
        <v>A</v>
      </c>
      <c r="F63" s="10" t="str">
        <f t="shared" si="1"/>
        <v>M</v>
      </c>
      <c r="G63" s="11" t="str">
        <f t="shared" si="2"/>
        <v>AM Muir</v>
      </c>
      <c r="I63"/>
      <c r="J63"/>
      <c r="K63"/>
      <c r="L63"/>
    </row>
    <row r="64" spans="1:12" ht="14.4" x14ac:dyDescent="0.3">
      <c r="A64" s="10">
        <v>63</v>
      </c>
      <c r="B64" s="10">
        <v>155</v>
      </c>
      <c r="C64" s="10" t="s">
        <v>260</v>
      </c>
      <c r="D64" s="10"/>
      <c r="E64" s="10" t="str">
        <f t="shared" si="0"/>
        <v/>
      </c>
      <c r="F64" s="10" t="str">
        <f t="shared" si="1"/>
        <v/>
      </c>
      <c r="G64" s="11" t="str">
        <f t="shared" si="2"/>
        <v>KSB Durban Trust</v>
      </c>
      <c r="I64"/>
      <c r="J64"/>
      <c r="K64"/>
      <c r="L64"/>
    </row>
    <row r="65" spans="1:12" ht="14.4" x14ac:dyDescent="0.3">
      <c r="A65" s="10">
        <v>64</v>
      </c>
      <c r="B65" s="10">
        <v>243</v>
      </c>
      <c r="C65" s="10" t="s">
        <v>261</v>
      </c>
      <c r="D65" s="10" t="s">
        <v>262</v>
      </c>
      <c r="E65" s="10" t="str">
        <f t="shared" si="0"/>
        <v>J</v>
      </c>
      <c r="F65" s="10" t="str">
        <f t="shared" si="1"/>
        <v>T</v>
      </c>
      <c r="G65" s="11" t="str">
        <f t="shared" si="2"/>
        <v>JT Munroe</v>
      </c>
      <c r="I65"/>
      <c r="J65"/>
      <c r="K65"/>
      <c r="L65"/>
    </row>
    <row r="66" spans="1:12" ht="14.4" x14ac:dyDescent="0.3">
      <c r="A66" s="10">
        <v>65</v>
      </c>
      <c r="B66" s="10">
        <v>243</v>
      </c>
      <c r="C66" s="10" t="s">
        <v>261</v>
      </c>
      <c r="D66" s="10" t="s">
        <v>263</v>
      </c>
      <c r="E66" s="10" t="str">
        <f t="shared" si="0"/>
        <v>L</v>
      </c>
      <c r="F66" s="10" t="str">
        <f t="shared" si="1"/>
        <v>J</v>
      </c>
      <c r="G66" s="11" t="str">
        <f t="shared" si="2"/>
        <v>LJ Munroe</v>
      </c>
      <c r="I66"/>
      <c r="J66"/>
      <c r="K66"/>
      <c r="L66"/>
    </row>
    <row r="67" spans="1:12" ht="14.4" x14ac:dyDescent="0.3">
      <c r="A67" s="10">
        <v>66</v>
      </c>
      <c r="B67" s="10">
        <v>440</v>
      </c>
      <c r="C67" s="10" t="s">
        <v>264</v>
      </c>
      <c r="D67" s="10" t="s">
        <v>265</v>
      </c>
      <c r="E67" s="10" t="str">
        <f t="shared" si="0"/>
        <v>P</v>
      </c>
      <c r="F67" s="10" t="str">
        <f t="shared" si="1"/>
        <v>G</v>
      </c>
      <c r="G67" s="11" t="str">
        <f t="shared" si="2"/>
        <v>PG Naude</v>
      </c>
      <c r="I67"/>
      <c r="J67"/>
      <c r="K67"/>
      <c r="L67"/>
    </row>
    <row r="68" spans="1:12" ht="14.4" x14ac:dyDescent="0.3">
      <c r="A68" s="10">
        <v>67</v>
      </c>
      <c r="B68" s="10">
        <v>410</v>
      </c>
      <c r="C68" s="10" t="s">
        <v>266</v>
      </c>
      <c r="D68" s="10" t="s">
        <v>267</v>
      </c>
      <c r="E68" s="10" t="str">
        <f t="shared" si="0"/>
        <v>R</v>
      </c>
      <c r="F68" s="10" t="str">
        <f t="shared" si="1"/>
        <v>H</v>
      </c>
      <c r="G68" s="11" t="str">
        <f t="shared" si="2"/>
        <v>RH Nautsch</v>
      </c>
      <c r="I68"/>
      <c r="J68"/>
      <c r="K68"/>
      <c r="L68"/>
    </row>
    <row r="69" spans="1:12" ht="14.4" x14ac:dyDescent="0.3">
      <c r="A69" s="10">
        <v>68</v>
      </c>
      <c r="B69" s="10">
        <v>98</v>
      </c>
      <c r="C69" s="10" t="s">
        <v>268</v>
      </c>
      <c r="D69" s="11" t="s">
        <v>269</v>
      </c>
      <c r="E69" s="10" t="str">
        <f t="shared" si="0"/>
        <v>E</v>
      </c>
      <c r="F69" s="10" t="str">
        <f t="shared" si="1"/>
        <v/>
      </c>
      <c r="G69" s="11" t="str">
        <f t="shared" si="2"/>
        <v>E Ndobe</v>
      </c>
      <c r="I69"/>
      <c r="J69"/>
      <c r="K69"/>
      <c r="L69"/>
    </row>
    <row r="70" spans="1:12" ht="14.4" x14ac:dyDescent="0.3">
      <c r="A70" s="10">
        <v>69</v>
      </c>
      <c r="B70" s="10">
        <v>239</v>
      </c>
      <c r="C70" s="10" t="s">
        <v>270</v>
      </c>
      <c r="D70" s="10" t="s">
        <v>271</v>
      </c>
      <c r="E70" s="10" t="str">
        <f t="shared" si="0"/>
        <v>N</v>
      </c>
      <c r="F70" s="10" t="str">
        <f t="shared" si="1"/>
        <v>A</v>
      </c>
      <c r="G70" s="11" t="str">
        <f t="shared" si="2"/>
        <v>NA Ngcece</v>
      </c>
      <c r="I70"/>
      <c r="J70"/>
      <c r="K70"/>
      <c r="L70"/>
    </row>
    <row r="71" spans="1:12" ht="14.4" x14ac:dyDescent="0.3">
      <c r="A71" s="10">
        <v>70</v>
      </c>
      <c r="B71" s="10"/>
      <c r="C71" s="10" t="s">
        <v>272</v>
      </c>
      <c r="D71" s="10" t="s">
        <v>165</v>
      </c>
      <c r="E71" s="10" t="str">
        <f t="shared" si="0"/>
        <v>G</v>
      </c>
      <c r="F71" s="10" t="str">
        <f t="shared" si="1"/>
        <v>R</v>
      </c>
      <c r="G71" s="11" t="str">
        <f t="shared" si="2"/>
        <v>GR Drakes</v>
      </c>
      <c r="I71"/>
      <c r="J71"/>
      <c r="K71"/>
      <c r="L71"/>
    </row>
    <row r="72" spans="1:12" ht="14.4" x14ac:dyDescent="0.3">
      <c r="A72" s="10">
        <v>71</v>
      </c>
      <c r="B72" s="10">
        <v>412</v>
      </c>
      <c r="C72" s="10" t="s">
        <v>273</v>
      </c>
      <c r="D72" s="10" t="s">
        <v>274</v>
      </c>
      <c r="E72" s="10" t="str">
        <f t="shared" si="0"/>
        <v>P</v>
      </c>
      <c r="F72" s="10" t="str">
        <f t="shared" si="1"/>
        <v>M</v>
      </c>
      <c r="G72" s="11" t="str">
        <f t="shared" si="2"/>
        <v>PM North</v>
      </c>
      <c r="I72"/>
      <c r="J72"/>
      <c r="K72"/>
      <c r="L72"/>
    </row>
    <row r="73" spans="1:12" ht="14.4" x14ac:dyDescent="0.3">
      <c r="A73" s="10">
        <v>72</v>
      </c>
      <c r="B73" s="10">
        <v>412</v>
      </c>
      <c r="C73" s="10" t="s">
        <v>273</v>
      </c>
      <c r="D73" s="10" t="s">
        <v>217</v>
      </c>
      <c r="E73" s="10" t="str">
        <f t="shared" si="0"/>
        <v>A</v>
      </c>
      <c r="F73" s="10" t="str">
        <f t="shared" si="1"/>
        <v>J</v>
      </c>
      <c r="G73" s="11" t="str">
        <f t="shared" si="2"/>
        <v>AJ North</v>
      </c>
      <c r="I73"/>
      <c r="J73"/>
      <c r="K73"/>
      <c r="L73"/>
    </row>
    <row r="74" spans="1:12" ht="14.4" x14ac:dyDescent="0.3">
      <c r="A74" s="10">
        <v>73</v>
      </c>
      <c r="B74" s="10">
        <v>36</v>
      </c>
      <c r="C74" s="10" t="s">
        <v>275</v>
      </c>
      <c r="D74" s="10" t="s">
        <v>276</v>
      </c>
      <c r="E74" s="10" t="str">
        <f t="shared" ref="E74:E151" si="3">LEFT(D74,1)</f>
        <v>F</v>
      </c>
      <c r="F74" s="10" t="str">
        <f t="shared" ref="F74:F151" si="4">IF(MID(D74,2,1)=" ",MID(D74,3,1),MID(D74,2,1))</f>
        <v/>
      </c>
      <c r="G74" s="11" t="str">
        <f t="shared" ref="G74:G151" si="5">IF(D74="",C74,CONCATENATE(E74,F74," ",C74))</f>
        <v>F Ohsiek</v>
      </c>
      <c r="I74"/>
      <c r="J74"/>
      <c r="K74"/>
      <c r="L74"/>
    </row>
    <row r="75" spans="1:12" ht="14.4" x14ac:dyDescent="0.3">
      <c r="A75" s="10">
        <v>74</v>
      </c>
      <c r="B75" s="10">
        <v>113</v>
      </c>
      <c r="C75" s="10" t="s">
        <v>277</v>
      </c>
      <c r="D75" s="10"/>
      <c r="E75" s="10"/>
      <c r="F75" s="10"/>
      <c r="G75" s="11" t="str">
        <f t="shared" si="5"/>
        <v>Nethering Travel Limited</v>
      </c>
      <c r="I75"/>
      <c r="J75"/>
      <c r="K75"/>
      <c r="L75"/>
    </row>
    <row r="76" spans="1:12" ht="14.4" x14ac:dyDescent="0.3">
      <c r="A76" s="10">
        <v>75</v>
      </c>
      <c r="B76" s="10">
        <v>91</v>
      </c>
      <c r="C76" s="10" t="s">
        <v>278</v>
      </c>
      <c r="D76" s="10" t="s">
        <v>279</v>
      </c>
      <c r="E76" s="10" t="str">
        <f t="shared" si="3"/>
        <v>B</v>
      </c>
      <c r="F76" s="10" t="str">
        <f t="shared" si="4"/>
        <v>H</v>
      </c>
      <c r="G76" s="11" t="str">
        <f t="shared" si="5"/>
        <v>BH Phipson</v>
      </c>
      <c r="I76"/>
      <c r="J76"/>
      <c r="K76"/>
      <c r="L76"/>
    </row>
    <row r="77" spans="1:12" ht="14.4" x14ac:dyDescent="0.3">
      <c r="A77" s="10">
        <v>76</v>
      </c>
      <c r="B77" s="10">
        <v>80</v>
      </c>
      <c r="C77" s="10" t="s">
        <v>280</v>
      </c>
      <c r="D77" s="10" t="s">
        <v>247</v>
      </c>
      <c r="E77" s="10" t="str">
        <f t="shared" si="3"/>
        <v>G</v>
      </c>
      <c r="F77" s="10" t="str">
        <f t="shared" si="4"/>
        <v>J</v>
      </c>
      <c r="G77" s="11" t="str">
        <f t="shared" si="5"/>
        <v>GJ Ralph</v>
      </c>
      <c r="I77"/>
      <c r="J77"/>
      <c r="K77"/>
      <c r="L77"/>
    </row>
    <row r="78" spans="1:12" ht="14.4" x14ac:dyDescent="0.3">
      <c r="A78" s="10">
        <v>77</v>
      </c>
      <c r="B78" s="10">
        <v>193</v>
      </c>
      <c r="C78" s="10" t="s">
        <v>281</v>
      </c>
      <c r="D78" s="10" t="s">
        <v>282</v>
      </c>
      <c r="E78" s="10" t="str">
        <f t="shared" si="3"/>
        <v>J</v>
      </c>
      <c r="F78" s="10" t="str">
        <f t="shared" si="4"/>
        <v>J</v>
      </c>
      <c r="G78" s="11" t="str">
        <f t="shared" si="5"/>
        <v>JJ Randall</v>
      </c>
      <c r="I78"/>
      <c r="J78"/>
      <c r="K78"/>
      <c r="L78"/>
    </row>
    <row r="79" spans="1:12" ht="14.4" x14ac:dyDescent="0.3">
      <c r="A79" s="10">
        <v>78</v>
      </c>
      <c r="B79" s="10">
        <v>32</v>
      </c>
      <c r="C79" s="10" t="s">
        <v>283</v>
      </c>
      <c r="D79" s="10" t="s">
        <v>284</v>
      </c>
      <c r="E79" s="10" t="str">
        <f t="shared" si="3"/>
        <v>M</v>
      </c>
      <c r="F79" s="10" t="str">
        <f t="shared" si="4"/>
        <v/>
      </c>
      <c r="G79" s="11" t="str">
        <f t="shared" si="5"/>
        <v>M Render</v>
      </c>
      <c r="I79"/>
      <c r="J79"/>
      <c r="K79"/>
      <c r="L79"/>
    </row>
    <row r="80" spans="1:12" ht="14.4" x14ac:dyDescent="0.3">
      <c r="A80" s="10">
        <v>79</v>
      </c>
      <c r="B80" s="10">
        <v>320</v>
      </c>
      <c r="C80" s="10" t="s">
        <v>285</v>
      </c>
      <c r="D80" s="10" t="s">
        <v>175</v>
      </c>
      <c r="E80" s="10" t="str">
        <f t="shared" si="3"/>
        <v>C</v>
      </c>
      <c r="F80" s="10" t="str">
        <f t="shared" si="4"/>
        <v>J</v>
      </c>
      <c r="G80" s="11" t="str">
        <f t="shared" si="5"/>
        <v>CJ Roberts</v>
      </c>
      <c r="I80"/>
      <c r="J80"/>
      <c r="K80"/>
      <c r="L80"/>
    </row>
    <row r="81" spans="1:12" ht="14.4" x14ac:dyDescent="0.3">
      <c r="A81" s="10">
        <v>80</v>
      </c>
      <c r="B81" s="10">
        <v>320</v>
      </c>
      <c r="C81" s="10" t="s">
        <v>285</v>
      </c>
      <c r="D81" s="10" t="s">
        <v>286</v>
      </c>
      <c r="E81" s="10" t="str">
        <f t="shared" si="3"/>
        <v>D</v>
      </c>
      <c r="F81" s="10" t="str">
        <f t="shared" si="4"/>
        <v>A</v>
      </c>
      <c r="G81" s="11" t="str">
        <f t="shared" si="5"/>
        <v>DA Roberts</v>
      </c>
      <c r="I81"/>
      <c r="J81"/>
      <c r="K81"/>
      <c r="L81"/>
    </row>
    <row r="82" spans="1:12" ht="14.4" x14ac:dyDescent="0.3">
      <c r="A82" s="10">
        <v>81</v>
      </c>
      <c r="B82" s="10">
        <v>40</v>
      </c>
      <c r="C82" s="10" t="s">
        <v>287</v>
      </c>
      <c r="D82" s="10" t="s">
        <v>288</v>
      </c>
      <c r="E82" s="10" t="str">
        <f t="shared" si="3"/>
        <v>B</v>
      </c>
      <c r="F82" s="10" t="str">
        <f t="shared" si="4"/>
        <v/>
      </c>
      <c r="G82" s="11" t="str">
        <f t="shared" si="5"/>
        <v>B Robinson</v>
      </c>
      <c r="I82"/>
      <c r="J82"/>
      <c r="K82"/>
      <c r="L82"/>
    </row>
    <row r="83" spans="1:12" ht="14.4" x14ac:dyDescent="0.3">
      <c r="A83" s="10">
        <v>82</v>
      </c>
      <c r="B83" s="10">
        <v>48</v>
      </c>
      <c r="C83" s="10" t="s">
        <v>289</v>
      </c>
      <c r="D83" s="10" t="s">
        <v>290</v>
      </c>
      <c r="E83" s="10" t="str">
        <f t="shared" si="3"/>
        <v>H</v>
      </c>
      <c r="F83" s="10" t="str">
        <f t="shared" si="4"/>
        <v>R</v>
      </c>
      <c r="G83" s="11" t="str">
        <f t="shared" si="5"/>
        <v>HR Schon</v>
      </c>
      <c r="I83"/>
      <c r="J83"/>
      <c r="K83"/>
      <c r="L83"/>
    </row>
    <row r="84" spans="1:12" ht="14.4" x14ac:dyDescent="0.3">
      <c r="A84" s="10">
        <v>83</v>
      </c>
      <c r="B84" s="10">
        <v>11</v>
      </c>
      <c r="C84" s="10" t="s">
        <v>291</v>
      </c>
      <c r="D84" s="10" t="s">
        <v>292</v>
      </c>
      <c r="E84" s="10" t="str">
        <f t="shared" si="3"/>
        <v>J</v>
      </c>
      <c r="F84" s="10" t="str">
        <f t="shared" si="4"/>
        <v>L</v>
      </c>
      <c r="G84" s="11" t="str">
        <f t="shared" si="5"/>
        <v>JL Schroder</v>
      </c>
      <c r="I84"/>
      <c r="J84"/>
      <c r="K84"/>
      <c r="L84"/>
    </row>
    <row r="85" spans="1:12" ht="14.4" x14ac:dyDescent="0.3">
      <c r="A85" s="10">
        <v>84</v>
      </c>
      <c r="B85" s="10">
        <v>222</v>
      </c>
      <c r="C85" s="10" t="s">
        <v>293</v>
      </c>
      <c r="D85" s="10" t="s">
        <v>292</v>
      </c>
      <c r="E85" s="10" t="str">
        <f t="shared" si="3"/>
        <v>J</v>
      </c>
      <c r="F85" s="10" t="str">
        <f t="shared" si="4"/>
        <v>L</v>
      </c>
      <c r="G85" s="11" t="str">
        <f t="shared" si="5"/>
        <v>JL Sellors</v>
      </c>
      <c r="I85"/>
      <c r="J85"/>
      <c r="K85"/>
      <c r="L85"/>
    </row>
    <row r="86" spans="1:12" ht="14.4" x14ac:dyDescent="0.3">
      <c r="A86" s="10">
        <v>85</v>
      </c>
      <c r="B86" s="10">
        <v>165</v>
      </c>
      <c r="C86" s="10" t="s">
        <v>294</v>
      </c>
      <c r="D86" s="10"/>
      <c r="E86" s="10"/>
      <c r="F86" s="10"/>
      <c r="G86" s="11" t="str">
        <f t="shared" si="5"/>
        <v>AO and C Friederang</v>
      </c>
      <c r="I86"/>
      <c r="J86"/>
      <c r="K86"/>
      <c r="L86"/>
    </row>
    <row r="87" spans="1:12" ht="14.4" x14ac:dyDescent="0.3">
      <c r="A87" s="10">
        <v>86</v>
      </c>
      <c r="B87" s="10">
        <v>69</v>
      </c>
      <c r="C87" s="10" t="s">
        <v>295</v>
      </c>
      <c r="D87" s="10"/>
      <c r="E87" s="10" t="str">
        <f t="shared" ref="E87" si="6">LEFT(D87,1)</f>
        <v/>
      </c>
      <c r="F87" s="10" t="str">
        <f t="shared" ref="F87" si="7">IF(MID(D87,2,1)=" ",MID(D87,3,1),MID(D87,2,1))</f>
        <v/>
      </c>
      <c r="G87" s="11" t="str">
        <f t="shared" si="5"/>
        <v>MM Pretorius (Markus)</v>
      </c>
      <c r="I87"/>
      <c r="J87"/>
      <c r="K87"/>
      <c r="L87"/>
    </row>
    <row r="88" spans="1:12" ht="14.4" x14ac:dyDescent="0.3">
      <c r="A88" s="10">
        <v>87</v>
      </c>
      <c r="B88" s="10">
        <v>313</v>
      </c>
      <c r="C88" s="10" t="s">
        <v>296</v>
      </c>
      <c r="D88" s="10" t="s">
        <v>297</v>
      </c>
      <c r="E88" s="10" t="str">
        <f t="shared" si="3"/>
        <v>I</v>
      </c>
      <c r="F88" s="10" t="str">
        <f t="shared" si="4"/>
        <v>N</v>
      </c>
      <c r="G88" s="11" t="str">
        <f t="shared" si="5"/>
        <v>IN Sinclair</v>
      </c>
      <c r="I88"/>
      <c r="J88"/>
      <c r="K88"/>
      <c r="L88"/>
    </row>
    <row r="89" spans="1:12" ht="14.4" x14ac:dyDescent="0.3">
      <c r="A89" s="10">
        <v>88</v>
      </c>
      <c r="B89" s="10">
        <v>405</v>
      </c>
      <c r="C89" s="10" t="s">
        <v>298</v>
      </c>
      <c r="D89" s="10" t="s">
        <v>176</v>
      </c>
      <c r="E89" s="10" t="str">
        <f t="shared" si="3"/>
        <v>R</v>
      </c>
      <c r="F89" s="10" t="str">
        <f t="shared" si="4"/>
        <v/>
      </c>
      <c r="G89" s="11" t="str">
        <f t="shared" si="5"/>
        <v>R Slater</v>
      </c>
      <c r="I89"/>
      <c r="J89"/>
      <c r="K89"/>
      <c r="L89"/>
    </row>
    <row r="90" spans="1:12" ht="14.4" x14ac:dyDescent="0.3">
      <c r="A90" s="10">
        <v>89</v>
      </c>
      <c r="B90" s="10">
        <v>225</v>
      </c>
      <c r="C90" s="10" t="s">
        <v>299</v>
      </c>
      <c r="D90" s="10" t="s">
        <v>300</v>
      </c>
      <c r="E90" s="10" t="str">
        <f t="shared" si="3"/>
        <v>V</v>
      </c>
      <c r="F90" s="10" t="str">
        <f t="shared" si="4"/>
        <v>J</v>
      </c>
      <c r="G90" s="11" t="str">
        <f t="shared" si="5"/>
        <v>VJ Smithers</v>
      </c>
      <c r="I90"/>
      <c r="J90"/>
      <c r="K90"/>
      <c r="L90"/>
    </row>
    <row r="91" spans="1:12" ht="14.4" x14ac:dyDescent="0.3">
      <c r="A91" s="10">
        <v>90</v>
      </c>
      <c r="B91" s="10">
        <v>358</v>
      </c>
      <c r="C91" s="10" t="s">
        <v>301</v>
      </c>
      <c r="D91" s="10" t="s">
        <v>302</v>
      </c>
      <c r="E91" s="10" t="str">
        <f t="shared" si="3"/>
        <v>M</v>
      </c>
      <c r="F91" s="10" t="str">
        <f t="shared" si="4"/>
        <v>P</v>
      </c>
      <c r="G91" s="11" t="str">
        <f t="shared" si="5"/>
        <v>MP Smit</v>
      </c>
      <c r="I91"/>
      <c r="J91"/>
      <c r="K91"/>
      <c r="L91"/>
    </row>
    <row r="92" spans="1:12" ht="14.4" x14ac:dyDescent="0.3">
      <c r="A92" s="10">
        <v>91</v>
      </c>
      <c r="B92" s="10">
        <v>168</v>
      </c>
      <c r="C92" s="10" t="s">
        <v>303</v>
      </c>
      <c r="D92" s="10" t="s">
        <v>304</v>
      </c>
      <c r="E92" s="10" t="str">
        <f t="shared" si="3"/>
        <v>G</v>
      </c>
      <c r="F92" s="10" t="str">
        <f t="shared" si="4"/>
        <v>D</v>
      </c>
      <c r="G92" s="11" t="str">
        <f t="shared" si="5"/>
        <v>GD Snyman</v>
      </c>
      <c r="I92"/>
      <c r="J92"/>
      <c r="K92"/>
      <c r="L92"/>
    </row>
    <row r="93" spans="1:12" ht="14.4" x14ac:dyDescent="0.3">
      <c r="A93" s="10">
        <v>92</v>
      </c>
      <c r="B93" s="10">
        <v>181</v>
      </c>
      <c r="C93" s="10" t="s">
        <v>305</v>
      </c>
      <c r="D93" s="10" t="s">
        <v>306</v>
      </c>
      <c r="E93" s="10" t="str">
        <f t="shared" si="3"/>
        <v>P</v>
      </c>
      <c r="F93" s="10" t="str">
        <f t="shared" si="4"/>
        <v>P</v>
      </c>
      <c r="G93" s="11" t="str">
        <f t="shared" si="5"/>
        <v>PP Staley</v>
      </c>
      <c r="I93"/>
      <c r="J93"/>
      <c r="K93"/>
      <c r="L93"/>
    </row>
    <row r="94" spans="1:12" ht="14.4" x14ac:dyDescent="0.3">
      <c r="A94" s="10">
        <v>93</v>
      </c>
      <c r="B94" s="10">
        <v>213</v>
      </c>
      <c r="C94" s="10" t="s">
        <v>307</v>
      </c>
      <c r="D94" s="10" t="s">
        <v>176</v>
      </c>
      <c r="E94" s="10" t="str">
        <f t="shared" si="3"/>
        <v>R</v>
      </c>
      <c r="F94" s="10" t="str">
        <f t="shared" si="4"/>
        <v/>
      </c>
      <c r="G94" s="11" t="str">
        <f t="shared" si="5"/>
        <v>R Standish</v>
      </c>
      <c r="I94"/>
      <c r="J94"/>
      <c r="K94"/>
      <c r="L94"/>
    </row>
    <row r="95" spans="1:12" ht="14.4" x14ac:dyDescent="0.3">
      <c r="A95" s="10">
        <v>94</v>
      </c>
      <c r="B95" s="10">
        <v>171</v>
      </c>
      <c r="C95" s="10" t="s">
        <v>308</v>
      </c>
      <c r="D95" s="10" t="s">
        <v>309</v>
      </c>
      <c r="E95" s="10" t="str">
        <f t="shared" si="3"/>
        <v>D</v>
      </c>
      <c r="F95" s="10" t="str">
        <f t="shared" si="4"/>
        <v>M</v>
      </c>
      <c r="G95" s="11" t="str">
        <f t="shared" si="5"/>
        <v>DM Stanton</v>
      </c>
      <c r="I95"/>
      <c r="J95"/>
      <c r="K95"/>
      <c r="L95"/>
    </row>
    <row r="96" spans="1:12" ht="14.4" x14ac:dyDescent="0.3">
      <c r="A96" s="10">
        <v>95</v>
      </c>
      <c r="B96" s="10">
        <v>13</v>
      </c>
      <c r="C96" s="10" t="s">
        <v>310</v>
      </c>
      <c r="D96" s="10" t="s">
        <v>311</v>
      </c>
      <c r="E96" s="10" t="str">
        <f t="shared" si="3"/>
        <v>C</v>
      </c>
      <c r="F96" s="10" t="str">
        <f t="shared" si="4"/>
        <v>A</v>
      </c>
      <c r="G96" s="11" t="str">
        <f t="shared" si="5"/>
        <v>CA Stark</v>
      </c>
      <c r="I96"/>
      <c r="J96"/>
      <c r="K96"/>
      <c r="L96"/>
    </row>
    <row r="97" spans="1:12" ht="14.4" x14ac:dyDescent="0.3">
      <c r="A97" s="10">
        <v>96</v>
      </c>
      <c r="B97" s="10">
        <v>139</v>
      </c>
      <c r="C97" s="10" t="s">
        <v>210</v>
      </c>
      <c r="D97" s="11" t="s">
        <v>312</v>
      </c>
      <c r="E97" s="10" t="str">
        <f t="shared" si="3"/>
        <v>K</v>
      </c>
      <c r="F97" s="10" t="str">
        <f t="shared" si="4"/>
        <v>F</v>
      </c>
      <c r="G97" s="11" t="str">
        <f t="shared" si="5"/>
        <v>KF Stonestreet</v>
      </c>
      <c r="I97"/>
      <c r="J97"/>
      <c r="K97"/>
      <c r="L97"/>
    </row>
    <row r="98" spans="1:12" ht="14.4" x14ac:dyDescent="0.3">
      <c r="A98" s="10">
        <v>97</v>
      </c>
      <c r="B98" s="10">
        <v>139</v>
      </c>
      <c r="C98" s="10" t="s">
        <v>210</v>
      </c>
      <c r="D98" s="10" t="s">
        <v>313</v>
      </c>
      <c r="E98" s="10" t="str">
        <f t="shared" si="3"/>
        <v>M</v>
      </c>
      <c r="F98" s="10" t="str">
        <f t="shared" si="4"/>
        <v>E</v>
      </c>
      <c r="G98" s="11" t="str">
        <f t="shared" si="5"/>
        <v>ME Stonestreet</v>
      </c>
      <c r="I98"/>
      <c r="J98"/>
      <c r="K98"/>
      <c r="L98"/>
    </row>
    <row r="99" spans="1:12" ht="14.4" x14ac:dyDescent="0.3">
      <c r="A99" s="10">
        <v>98</v>
      </c>
      <c r="B99" s="10">
        <v>139</v>
      </c>
      <c r="C99" s="10" t="s">
        <v>314</v>
      </c>
      <c r="D99" s="10" t="s">
        <v>156</v>
      </c>
      <c r="E99" s="10" t="str">
        <f t="shared" si="3"/>
        <v/>
      </c>
      <c r="F99" s="10" t="str">
        <f t="shared" si="4"/>
        <v/>
      </c>
      <c r="G99" s="11" t="str">
        <f t="shared" si="5"/>
        <v>Stonestreet Family Trust</v>
      </c>
      <c r="I99"/>
      <c r="J99"/>
      <c r="K99"/>
      <c r="L99"/>
    </row>
    <row r="100" spans="1:12" ht="14.4" x14ac:dyDescent="0.3">
      <c r="A100" s="10">
        <v>99</v>
      </c>
      <c r="B100" s="10">
        <v>269</v>
      </c>
      <c r="C100" s="10" t="s">
        <v>315</v>
      </c>
      <c r="D100" s="10" t="s">
        <v>316</v>
      </c>
      <c r="E100" s="10" t="str">
        <f t="shared" si="3"/>
        <v>A</v>
      </c>
      <c r="F100" s="10" t="str">
        <f t="shared" si="4"/>
        <v>D</v>
      </c>
      <c r="G100" s="11" t="str">
        <f t="shared" si="5"/>
        <v>AD Sutton</v>
      </c>
      <c r="I100"/>
      <c r="J100"/>
      <c r="K100"/>
      <c r="L100"/>
    </row>
    <row r="101" spans="1:12" ht="14.4" x14ac:dyDescent="0.3">
      <c r="A101" s="10">
        <v>100</v>
      </c>
      <c r="B101" s="10">
        <v>431</v>
      </c>
      <c r="C101" s="10" t="s">
        <v>315</v>
      </c>
      <c r="D101" s="10" t="s">
        <v>317</v>
      </c>
      <c r="E101" s="10" t="str">
        <f t="shared" si="3"/>
        <v>L</v>
      </c>
      <c r="F101" s="10" t="str">
        <f t="shared" si="4"/>
        <v>A</v>
      </c>
      <c r="G101" s="11" t="str">
        <f t="shared" si="5"/>
        <v>LA Sutton</v>
      </c>
      <c r="I101"/>
      <c r="J101"/>
      <c r="K101"/>
      <c r="L101"/>
    </row>
    <row r="102" spans="1:12" ht="14.4" x14ac:dyDescent="0.3">
      <c r="A102" s="10">
        <v>101</v>
      </c>
      <c r="B102" s="10">
        <v>70</v>
      </c>
      <c r="C102" s="10" t="s">
        <v>318</v>
      </c>
      <c r="D102" s="10"/>
      <c r="E102" s="10" t="str">
        <f t="shared" si="3"/>
        <v/>
      </c>
      <c r="F102" s="10" t="str">
        <f t="shared" si="4"/>
        <v/>
      </c>
      <c r="G102" s="11" t="str">
        <f t="shared" si="5"/>
        <v>WP Pretorius (Pieter)</v>
      </c>
      <c r="I102"/>
      <c r="J102"/>
      <c r="K102"/>
      <c r="L102"/>
    </row>
    <row r="103" spans="1:12" ht="14.4" x14ac:dyDescent="0.3">
      <c r="A103" s="10">
        <v>102</v>
      </c>
      <c r="B103" s="10">
        <v>185</v>
      </c>
      <c r="C103" s="10" t="s">
        <v>319</v>
      </c>
      <c r="D103" s="10"/>
      <c r="E103" s="10" t="str">
        <f t="shared" si="3"/>
        <v/>
      </c>
      <c r="F103" s="10" t="str">
        <f t="shared" si="4"/>
        <v/>
      </c>
      <c r="G103" s="11" t="str">
        <f t="shared" si="5"/>
        <v>The Dennison Domestic Workers Fund</v>
      </c>
      <c r="I103"/>
      <c r="J103"/>
      <c r="K103"/>
      <c r="L103"/>
    </row>
    <row r="104" spans="1:12" ht="14.4" x14ac:dyDescent="0.3">
      <c r="A104" s="10">
        <v>103</v>
      </c>
      <c r="B104" s="10">
        <v>75</v>
      </c>
      <c r="C104" s="10" t="s">
        <v>320</v>
      </c>
      <c r="D104" s="10"/>
      <c r="E104" s="10" t="str">
        <f t="shared" si="3"/>
        <v/>
      </c>
      <c r="F104" s="10" t="str">
        <f t="shared" si="4"/>
        <v/>
      </c>
      <c r="G104" s="11" t="str">
        <f t="shared" si="5"/>
        <v>M Pretorius (Marius)</v>
      </c>
      <c r="I104"/>
      <c r="J104"/>
      <c r="K104"/>
      <c r="L104"/>
    </row>
    <row r="105" spans="1:12" ht="14.4" x14ac:dyDescent="0.3">
      <c r="A105" s="10">
        <v>104</v>
      </c>
      <c r="B105" s="10">
        <v>113</v>
      </c>
      <c r="C105" s="10" t="s">
        <v>321</v>
      </c>
      <c r="D105" s="10" t="s">
        <v>322</v>
      </c>
      <c r="E105" s="10" t="str">
        <f t="shared" si="3"/>
        <v>N</v>
      </c>
      <c r="F105" s="10" t="str">
        <f t="shared" si="4"/>
        <v>C</v>
      </c>
      <c r="G105" s="11" t="str">
        <f t="shared" si="5"/>
        <v>NC Trevarthen</v>
      </c>
      <c r="I105"/>
      <c r="J105"/>
      <c r="K105"/>
      <c r="L105"/>
    </row>
    <row r="106" spans="1:12" ht="14.4" x14ac:dyDescent="0.3">
      <c r="A106" s="10">
        <v>105</v>
      </c>
      <c r="B106" s="10">
        <v>27</v>
      </c>
      <c r="C106" s="10" t="s">
        <v>323</v>
      </c>
      <c r="D106" s="10" t="s">
        <v>324</v>
      </c>
      <c r="E106" s="10" t="str">
        <f t="shared" si="3"/>
        <v>V</v>
      </c>
      <c r="F106" s="10" t="str">
        <f t="shared" si="4"/>
        <v>M</v>
      </c>
      <c r="G106" s="11" t="str">
        <f t="shared" si="5"/>
        <v>VM Turner</v>
      </c>
      <c r="I106"/>
      <c r="J106"/>
      <c r="K106"/>
      <c r="L106"/>
    </row>
    <row r="107" spans="1:12" ht="14.4" x14ac:dyDescent="0.3">
      <c r="A107" s="10">
        <v>106</v>
      </c>
      <c r="B107" s="10">
        <v>313</v>
      </c>
      <c r="C107" s="10" t="s">
        <v>325</v>
      </c>
      <c r="D107" s="10" t="s">
        <v>156</v>
      </c>
      <c r="E107" s="10" t="str">
        <f t="shared" si="3"/>
        <v/>
      </c>
      <c r="F107" s="10" t="str">
        <f t="shared" si="4"/>
        <v/>
      </c>
      <c r="G107" s="11" t="str">
        <f t="shared" si="5"/>
        <v>Vansin Trust</v>
      </c>
      <c r="I107"/>
      <c r="J107"/>
      <c r="K107"/>
      <c r="L107"/>
    </row>
    <row r="108" spans="1:12" ht="14.4" x14ac:dyDescent="0.3">
      <c r="A108" s="10">
        <v>107</v>
      </c>
      <c r="B108" s="10">
        <v>101</v>
      </c>
      <c r="C108" s="10" t="s">
        <v>326</v>
      </c>
      <c r="D108" s="10" t="s">
        <v>327</v>
      </c>
      <c r="E108" s="10" t="str">
        <f t="shared" si="3"/>
        <v>C</v>
      </c>
      <c r="F108" s="10" t="str">
        <f t="shared" si="4"/>
        <v>T</v>
      </c>
      <c r="G108" s="11" t="str">
        <f t="shared" si="5"/>
        <v>CT Wilson</v>
      </c>
      <c r="I108"/>
      <c r="J108"/>
      <c r="K108"/>
      <c r="L108"/>
    </row>
    <row r="109" spans="1:12" ht="14.4" x14ac:dyDescent="0.3">
      <c r="A109" s="10">
        <v>108</v>
      </c>
      <c r="B109" s="10">
        <v>357</v>
      </c>
      <c r="C109" s="10" t="s">
        <v>328</v>
      </c>
      <c r="D109" s="10"/>
      <c r="E109" s="10" t="str">
        <f t="shared" si="3"/>
        <v/>
      </c>
      <c r="F109" s="10" t="str">
        <f t="shared" si="4"/>
        <v/>
      </c>
      <c r="G109" s="11" t="str">
        <f t="shared" si="5"/>
        <v>Winners Trust</v>
      </c>
      <c r="I109"/>
      <c r="J109"/>
      <c r="K109"/>
      <c r="L109"/>
    </row>
    <row r="110" spans="1:12" ht="14.4" x14ac:dyDescent="0.3">
      <c r="A110" s="10">
        <v>109</v>
      </c>
      <c r="B110" s="10">
        <v>249</v>
      </c>
      <c r="C110" s="10" t="s">
        <v>329</v>
      </c>
      <c r="D110" s="10" t="s">
        <v>330</v>
      </c>
      <c r="E110" s="10" t="str">
        <f t="shared" si="3"/>
        <v>R</v>
      </c>
      <c r="F110" s="10" t="str">
        <f t="shared" si="4"/>
        <v>W</v>
      </c>
      <c r="G110" s="11" t="str">
        <f t="shared" si="5"/>
        <v>RW Whittle</v>
      </c>
      <c r="I110"/>
      <c r="J110"/>
      <c r="K110"/>
      <c r="L110"/>
    </row>
    <row r="111" spans="1:12" ht="14.4" x14ac:dyDescent="0.3">
      <c r="A111" s="10">
        <v>110</v>
      </c>
      <c r="B111" s="10">
        <v>118</v>
      </c>
      <c r="C111" s="10" t="s">
        <v>331</v>
      </c>
      <c r="D111" s="10" t="s">
        <v>188</v>
      </c>
      <c r="E111" s="10" t="str">
        <f t="shared" si="3"/>
        <v>S</v>
      </c>
      <c r="F111" s="10" t="str">
        <f t="shared" si="4"/>
        <v>A</v>
      </c>
      <c r="G111" s="11" t="str">
        <f t="shared" si="5"/>
        <v>SA Wrigley</v>
      </c>
      <c r="I111"/>
      <c r="J111"/>
      <c r="K111"/>
      <c r="L111"/>
    </row>
    <row r="112" spans="1:12" ht="14.4" x14ac:dyDescent="0.3">
      <c r="A112" s="10">
        <v>111</v>
      </c>
      <c r="B112" s="10">
        <v>247</v>
      </c>
      <c r="C112" s="10" t="s">
        <v>332</v>
      </c>
      <c r="D112" s="11" t="s">
        <v>333</v>
      </c>
      <c r="E112" s="10" t="str">
        <f t="shared" si="3"/>
        <v>H</v>
      </c>
      <c r="F112" s="10" t="str">
        <f t="shared" si="4"/>
        <v>J</v>
      </c>
      <c r="G112" s="11" t="str">
        <f t="shared" si="5"/>
        <v>HJ Zajac</v>
      </c>
      <c r="I112"/>
      <c r="J112"/>
      <c r="K112"/>
      <c r="L112"/>
    </row>
    <row r="113" spans="1:12" ht="14.4" x14ac:dyDescent="0.3">
      <c r="A113" s="10">
        <v>112</v>
      </c>
      <c r="B113" s="10">
        <v>42</v>
      </c>
      <c r="C113" s="10" t="s">
        <v>334</v>
      </c>
      <c r="D113" s="10" t="s">
        <v>244</v>
      </c>
      <c r="E113" s="10" t="str">
        <f t="shared" si="3"/>
        <v>H</v>
      </c>
      <c r="F113" s="10" t="str">
        <f t="shared" si="4"/>
        <v/>
      </c>
      <c r="G113" s="11" t="str">
        <f t="shared" si="5"/>
        <v>H Zarnack</v>
      </c>
      <c r="I113"/>
      <c r="J113"/>
      <c r="K113"/>
      <c r="L113"/>
    </row>
    <row r="114" spans="1:12" ht="14.4" x14ac:dyDescent="0.3">
      <c r="A114" s="10">
        <v>113</v>
      </c>
      <c r="B114" s="10">
        <v>71</v>
      </c>
      <c r="C114" s="10" t="s">
        <v>334</v>
      </c>
      <c r="D114" s="10" t="s">
        <v>886</v>
      </c>
      <c r="E114" s="10" t="str">
        <f t="shared" si="3"/>
        <v>H</v>
      </c>
      <c r="F114" s="10" t="str">
        <f t="shared" si="4"/>
        <v>J</v>
      </c>
      <c r="G114" s="11" t="str">
        <f t="shared" si="5"/>
        <v>HJ Zarnack</v>
      </c>
      <c r="I114"/>
      <c r="J114"/>
      <c r="K114"/>
      <c r="L114"/>
    </row>
    <row r="115" spans="1:12" ht="14.4" x14ac:dyDescent="0.3">
      <c r="A115" s="10">
        <v>114</v>
      </c>
      <c r="B115" s="10">
        <v>10</v>
      </c>
      <c r="C115" s="10" t="s">
        <v>335</v>
      </c>
      <c r="D115" s="10" t="s">
        <v>336</v>
      </c>
      <c r="E115" s="10" t="str">
        <f t="shared" si="3"/>
        <v>A</v>
      </c>
      <c r="F115" s="10" t="str">
        <f t="shared" si="4"/>
        <v>F</v>
      </c>
      <c r="G115" s="11" t="str">
        <f t="shared" si="5"/>
        <v>AF Fullard</v>
      </c>
      <c r="I115"/>
      <c r="J115"/>
      <c r="K115"/>
      <c r="L115"/>
    </row>
    <row r="116" spans="1:12" ht="14.4" x14ac:dyDescent="0.3">
      <c r="A116" s="10">
        <v>115</v>
      </c>
      <c r="B116" s="10">
        <v>354</v>
      </c>
      <c r="C116" s="10" t="s">
        <v>337</v>
      </c>
      <c r="D116" s="10" t="s">
        <v>338</v>
      </c>
      <c r="E116" s="10" t="str">
        <f t="shared" si="3"/>
        <v>P</v>
      </c>
      <c r="F116" s="10" t="str">
        <f t="shared" si="4"/>
        <v>N</v>
      </c>
      <c r="G116" s="11" t="str">
        <f t="shared" si="5"/>
        <v>PN Badenhorst</v>
      </c>
      <c r="I116"/>
      <c r="J116"/>
      <c r="K116"/>
      <c r="L116"/>
    </row>
    <row r="117" spans="1:12" ht="14.4" x14ac:dyDescent="0.3">
      <c r="A117" s="10">
        <v>116</v>
      </c>
      <c r="B117" s="10">
        <v>406</v>
      </c>
      <c r="C117" s="10" t="s">
        <v>339</v>
      </c>
      <c r="D117" s="11" t="s">
        <v>340</v>
      </c>
      <c r="E117" s="10" t="str">
        <f t="shared" si="3"/>
        <v>C</v>
      </c>
      <c r="F117" s="10" t="str">
        <f t="shared" si="4"/>
        <v>I</v>
      </c>
      <c r="G117" s="11" t="str">
        <f t="shared" si="5"/>
        <v>CI Benade</v>
      </c>
      <c r="I117"/>
      <c r="J117"/>
      <c r="K117"/>
      <c r="L117"/>
    </row>
    <row r="118" spans="1:12" ht="14.4" x14ac:dyDescent="0.3">
      <c r="A118" s="10">
        <v>117</v>
      </c>
      <c r="B118" s="10">
        <v>209</v>
      </c>
      <c r="C118" s="10" t="s">
        <v>339</v>
      </c>
      <c r="D118" s="10" t="s">
        <v>341</v>
      </c>
      <c r="E118" s="10" t="str">
        <f t="shared" si="3"/>
        <v>J</v>
      </c>
      <c r="F118" s="10" t="str">
        <f t="shared" si="4"/>
        <v>C</v>
      </c>
      <c r="G118" s="11" t="str">
        <f t="shared" si="5"/>
        <v>JC Benade</v>
      </c>
      <c r="I118"/>
      <c r="J118"/>
      <c r="K118"/>
      <c r="L118"/>
    </row>
    <row r="119" spans="1:12" ht="14.4" x14ac:dyDescent="0.3">
      <c r="A119" s="10">
        <v>118</v>
      </c>
      <c r="B119" s="10">
        <v>105</v>
      </c>
      <c r="C119" s="10" t="s">
        <v>339</v>
      </c>
      <c r="D119" s="10" t="s">
        <v>234</v>
      </c>
      <c r="E119" s="10" t="str">
        <f t="shared" si="3"/>
        <v>S</v>
      </c>
      <c r="F119" s="10" t="str">
        <f t="shared" si="4"/>
        <v>M</v>
      </c>
      <c r="G119" s="11" t="str">
        <f t="shared" si="5"/>
        <v>SM Benade</v>
      </c>
      <c r="I119"/>
      <c r="J119"/>
      <c r="K119"/>
      <c r="L119"/>
    </row>
    <row r="120" spans="1:12" ht="14.4" x14ac:dyDescent="0.3">
      <c r="A120" s="10">
        <v>119</v>
      </c>
      <c r="B120" s="10">
        <v>366</v>
      </c>
      <c r="C120" s="10" t="s">
        <v>342</v>
      </c>
      <c r="D120" s="10" t="s">
        <v>156</v>
      </c>
      <c r="E120" s="10" t="str">
        <f t="shared" si="3"/>
        <v/>
      </c>
      <c r="F120" s="10" t="str">
        <f t="shared" si="4"/>
        <v/>
      </c>
      <c r="G120" s="11" t="str">
        <f t="shared" si="5"/>
        <v>Bezuidenhout Familie Trust</v>
      </c>
      <c r="I120"/>
      <c r="J120"/>
      <c r="K120"/>
      <c r="L120"/>
    </row>
    <row r="121" spans="1:12" ht="14.4" x14ac:dyDescent="0.3">
      <c r="A121" s="10">
        <v>120</v>
      </c>
      <c r="B121" s="10">
        <v>366</v>
      </c>
      <c r="C121" s="10" t="s">
        <v>343</v>
      </c>
      <c r="D121" s="11" t="s">
        <v>333</v>
      </c>
      <c r="E121" s="10" t="str">
        <f t="shared" si="3"/>
        <v>H</v>
      </c>
      <c r="F121" s="10" t="str">
        <f t="shared" si="4"/>
        <v>J</v>
      </c>
      <c r="G121" s="11" t="str">
        <f t="shared" si="5"/>
        <v>HJ Bezuidenhout</v>
      </c>
      <c r="I121"/>
      <c r="J121"/>
      <c r="K121"/>
      <c r="L121"/>
    </row>
    <row r="122" spans="1:12" ht="14.4" x14ac:dyDescent="0.3">
      <c r="A122" s="10">
        <v>121</v>
      </c>
      <c r="B122" s="10">
        <v>366</v>
      </c>
      <c r="C122" s="10" t="s">
        <v>343</v>
      </c>
      <c r="D122" s="10" t="s">
        <v>163</v>
      </c>
      <c r="E122" s="10" t="str">
        <f t="shared" si="3"/>
        <v>J</v>
      </c>
      <c r="F122" s="10" t="str">
        <f t="shared" si="4"/>
        <v/>
      </c>
      <c r="G122" s="11" t="str">
        <f t="shared" si="5"/>
        <v>J Bezuidenhout</v>
      </c>
      <c r="I122"/>
      <c r="J122"/>
      <c r="K122"/>
      <c r="L122"/>
    </row>
    <row r="123" spans="1:12" ht="14.4" x14ac:dyDescent="0.3">
      <c r="A123" s="10">
        <v>122</v>
      </c>
      <c r="B123" s="10">
        <v>307</v>
      </c>
      <c r="C123" s="10" t="s">
        <v>225</v>
      </c>
      <c r="D123" s="11" t="s">
        <v>344</v>
      </c>
      <c r="E123" s="10" t="str">
        <f t="shared" si="3"/>
        <v>R</v>
      </c>
      <c r="F123" s="10" t="str">
        <f t="shared" si="4"/>
        <v>G</v>
      </c>
      <c r="G123" s="11" t="str">
        <f t="shared" si="5"/>
        <v>RG Delport</v>
      </c>
      <c r="I123"/>
      <c r="J123"/>
      <c r="K123"/>
      <c r="L123"/>
    </row>
    <row r="124" spans="1:12" ht="14.4" x14ac:dyDescent="0.3">
      <c r="A124" s="10">
        <v>123</v>
      </c>
      <c r="B124" s="10">
        <v>64</v>
      </c>
      <c r="C124" s="10" t="s">
        <v>345</v>
      </c>
      <c r="D124" s="10" t="s">
        <v>346</v>
      </c>
      <c r="E124" s="10" t="str">
        <f t="shared" si="3"/>
        <v>H</v>
      </c>
      <c r="F124" s="10" t="str">
        <f t="shared" si="4"/>
        <v>W</v>
      </c>
      <c r="G124" s="11" t="str">
        <f t="shared" si="5"/>
        <v>HW Bloemhof</v>
      </c>
      <c r="I124"/>
      <c r="J124"/>
      <c r="K124"/>
      <c r="L124"/>
    </row>
    <row r="125" spans="1:12" ht="14.4" x14ac:dyDescent="0.3">
      <c r="A125" s="10">
        <v>124</v>
      </c>
      <c r="B125" s="10"/>
      <c r="C125" s="10" t="s">
        <v>347</v>
      </c>
      <c r="D125" s="10" t="s">
        <v>348</v>
      </c>
      <c r="E125" s="10" t="str">
        <f t="shared" si="3"/>
        <v>N</v>
      </c>
      <c r="F125" s="10" t="str">
        <f t="shared" si="4"/>
        <v/>
      </c>
      <c r="G125" s="11" t="str">
        <f t="shared" si="5"/>
        <v>N Breet</v>
      </c>
      <c r="I125"/>
      <c r="J125"/>
      <c r="K125"/>
      <c r="L125"/>
    </row>
    <row r="126" spans="1:12" ht="14.4" x14ac:dyDescent="0.3">
      <c r="A126" s="10">
        <v>125</v>
      </c>
      <c r="B126" s="10">
        <v>94</v>
      </c>
      <c r="C126" s="10" t="s">
        <v>349</v>
      </c>
      <c r="D126" s="10" t="s">
        <v>350</v>
      </c>
      <c r="E126" s="10" t="str">
        <f t="shared" si="3"/>
        <v>W</v>
      </c>
      <c r="F126" s="10" t="str">
        <f t="shared" si="4"/>
        <v>H</v>
      </c>
      <c r="G126" s="11" t="str">
        <f t="shared" si="5"/>
        <v>WH Marks</v>
      </c>
      <c r="I126"/>
      <c r="J126"/>
      <c r="K126"/>
      <c r="L126"/>
    </row>
    <row r="127" spans="1:12" ht="14.4" x14ac:dyDescent="0.3">
      <c r="A127" s="10">
        <v>126</v>
      </c>
      <c r="B127" s="10">
        <v>250</v>
      </c>
      <c r="C127" s="10" t="s">
        <v>351</v>
      </c>
      <c r="D127" s="10" t="s">
        <v>352</v>
      </c>
      <c r="E127" s="10" t="str">
        <f t="shared" si="3"/>
        <v>M</v>
      </c>
      <c r="F127" s="10" t="str">
        <f t="shared" si="4"/>
        <v>J</v>
      </c>
      <c r="G127" s="11" t="str">
        <f t="shared" si="5"/>
        <v>MJ Boshoff</v>
      </c>
      <c r="I127"/>
      <c r="J127"/>
      <c r="K127"/>
      <c r="L127"/>
    </row>
    <row r="128" spans="1:12" ht="14.4" x14ac:dyDescent="0.3">
      <c r="A128" s="10">
        <v>127</v>
      </c>
      <c r="B128" s="10">
        <v>276</v>
      </c>
      <c r="C128" s="10" t="s">
        <v>353</v>
      </c>
      <c r="D128" s="10" t="s">
        <v>354</v>
      </c>
      <c r="E128" s="10" t="str">
        <f t="shared" si="3"/>
        <v>P</v>
      </c>
      <c r="F128" s="10" t="str">
        <f t="shared" si="4"/>
        <v>R</v>
      </c>
      <c r="G128" s="11" t="str">
        <f t="shared" si="5"/>
        <v>PR Botha</v>
      </c>
      <c r="I128"/>
      <c r="J128"/>
      <c r="K128"/>
      <c r="L128"/>
    </row>
    <row r="129" spans="1:12" ht="14.4" x14ac:dyDescent="0.3">
      <c r="A129" s="10">
        <v>128</v>
      </c>
      <c r="B129" s="10">
        <v>62</v>
      </c>
      <c r="C129" s="10" t="s">
        <v>355</v>
      </c>
      <c r="D129" s="10" t="s">
        <v>175</v>
      </c>
      <c r="E129" s="10" t="str">
        <f t="shared" si="3"/>
        <v>C</v>
      </c>
      <c r="F129" s="10" t="str">
        <f t="shared" si="4"/>
        <v>J</v>
      </c>
      <c r="G129" s="11" t="str">
        <f t="shared" si="5"/>
        <v>CJ Theron</v>
      </c>
      <c r="I129"/>
      <c r="J129"/>
      <c r="K129"/>
      <c r="L129"/>
    </row>
    <row r="130" spans="1:12" ht="14.4" x14ac:dyDescent="0.3">
      <c r="A130" s="10">
        <v>129</v>
      </c>
      <c r="B130" s="10">
        <v>41</v>
      </c>
      <c r="C130" s="10" t="s">
        <v>356</v>
      </c>
      <c r="D130" s="10" t="s">
        <v>357</v>
      </c>
      <c r="E130" s="10" t="str">
        <f t="shared" si="3"/>
        <v>I</v>
      </c>
      <c r="F130" s="10" t="str">
        <f t="shared" si="4"/>
        <v>M</v>
      </c>
      <c r="G130" s="11" t="str">
        <f t="shared" si="5"/>
        <v>IM Briedenhann</v>
      </c>
      <c r="I130"/>
      <c r="J130"/>
      <c r="K130"/>
      <c r="L130"/>
    </row>
    <row r="131" spans="1:12" ht="14.4" x14ac:dyDescent="0.3">
      <c r="A131" s="10">
        <v>130</v>
      </c>
      <c r="B131" s="10">
        <v>211</v>
      </c>
      <c r="C131" s="10" t="s">
        <v>358</v>
      </c>
      <c r="D131" s="10" t="s">
        <v>359</v>
      </c>
      <c r="E131" s="10" t="str">
        <f t="shared" si="3"/>
        <v>A</v>
      </c>
      <c r="F131" s="10" t="str">
        <f t="shared" si="4"/>
        <v>E</v>
      </c>
      <c r="G131" s="11" t="str">
        <f t="shared" si="5"/>
        <v>AE Brooks</v>
      </c>
      <c r="I131"/>
      <c r="J131"/>
      <c r="K131"/>
      <c r="L131"/>
    </row>
    <row r="132" spans="1:12" ht="14.4" x14ac:dyDescent="0.3">
      <c r="A132" s="10">
        <v>131</v>
      </c>
      <c r="B132" s="10">
        <v>388</v>
      </c>
      <c r="C132" s="10" t="s">
        <v>360</v>
      </c>
      <c r="D132" s="10" t="s">
        <v>263</v>
      </c>
      <c r="E132" s="10" t="str">
        <f t="shared" si="3"/>
        <v>L</v>
      </c>
      <c r="F132" s="10" t="str">
        <f t="shared" si="4"/>
        <v>J</v>
      </c>
      <c r="G132" s="11" t="str">
        <f t="shared" si="5"/>
        <v>LJ Coetzee</v>
      </c>
      <c r="I132"/>
      <c r="J132"/>
      <c r="K132"/>
      <c r="L132"/>
    </row>
    <row r="133" spans="1:12" ht="14.4" x14ac:dyDescent="0.3">
      <c r="A133" s="10">
        <v>132</v>
      </c>
      <c r="B133" s="10">
        <v>419</v>
      </c>
      <c r="C133" s="10" t="s">
        <v>361</v>
      </c>
      <c r="D133" s="10" t="s">
        <v>333</v>
      </c>
      <c r="E133" s="10" t="str">
        <f t="shared" si="3"/>
        <v>H</v>
      </c>
      <c r="F133" s="10" t="str">
        <f t="shared" si="4"/>
        <v>J</v>
      </c>
      <c r="G133" s="11" t="str">
        <f t="shared" si="5"/>
        <v>HJ Combrink</v>
      </c>
      <c r="I133"/>
      <c r="J133"/>
      <c r="K133"/>
      <c r="L133"/>
    </row>
    <row r="134" spans="1:12" ht="14.4" x14ac:dyDescent="0.3">
      <c r="A134" s="10">
        <v>133</v>
      </c>
      <c r="B134" s="10">
        <v>67</v>
      </c>
      <c r="C134" s="10" t="s">
        <v>361</v>
      </c>
      <c r="D134" s="10" t="s">
        <v>362</v>
      </c>
      <c r="E134" s="10" t="str">
        <f t="shared" si="3"/>
        <v>J</v>
      </c>
      <c r="F134" s="10" t="str">
        <f t="shared" si="4"/>
        <v>A</v>
      </c>
      <c r="G134" s="11" t="str">
        <f t="shared" si="5"/>
        <v>JA Combrink</v>
      </c>
      <c r="I134"/>
      <c r="J134"/>
      <c r="K134"/>
      <c r="L134"/>
    </row>
    <row r="135" spans="1:12" ht="14.4" x14ac:dyDescent="0.3">
      <c r="A135" s="10">
        <v>134</v>
      </c>
      <c r="B135" s="10">
        <v>421</v>
      </c>
      <c r="C135" s="10" t="s">
        <v>361</v>
      </c>
      <c r="D135" s="10" t="s">
        <v>363</v>
      </c>
      <c r="E135" s="10" t="str">
        <f t="shared" si="3"/>
        <v>M</v>
      </c>
      <c r="F135" s="10" t="str">
        <f t="shared" si="4"/>
        <v>S</v>
      </c>
      <c r="G135" s="11" t="str">
        <f t="shared" si="5"/>
        <v>MS Combrink</v>
      </c>
      <c r="I135"/>
      <c r="J135"/>
      <c r="K135"/>
      <c r="L135"/>
    </row>
    <row r="136" spans="1:12" ht="14.4" x14ac:dyDescent="0.3">
      <c r="A136" s="10">
        <v>135</v>
      </c>
      <c r="B136" s="10">
        <v>112</v>
      </c>
      <c r="C136" s="10" t="s">
        <v>364</v>
      </c>
      <c r="D136" s="11" t="s">
        <v>259</v>
      </c>
      <c r="E136" s="10" t="str">
        <f t="shared" si="3"/>
        <v>A</v>
      </c>
      <c r="F136" s="10" t="str">
        <f t="shared" si="4"/>
        <v>M</v>
      </c>
      <c r="G136" s="11" t="str">
        <f t="shared" si="5"/>
        <v>AM Cornelius</v>
      </c>
      <c r="I136"/>
      <c r="J136"/>
      <c r="K136"/>
      <c r="L136"/>
    </row>
    <row r="137" spans="1:12" ht="14.4" x14ac:dyDescent="0.3">
      <c r="A137" s="10">
        <v>136</v>
      </c>
      <c r="B137" s="10">
        <v>112</v>
      </c>
      <c r="C137" s="10" t="s">
        <v>364</v>
      </c>
      <c r="D137" s="10" t="s">
        <v>274</v>
      </c>
      <c r="E137" s="10" t="str">
        <f t="shared" si="3"/>
        <v>P</v>
      </c>
      <c r="F137" s="10" t="str">
        <f t="shared" si="4"/>
        <v>M</v>
      </c>
      <c r="G137" s="11" t="str">
        <f t="shared" si="5"/>
        <v>PM Cornelius</v>
      </c>
      <c r="I137"/>
      <c r="J137"/>
      <c r="K137"/>
      <c r="L137"/>
    </row>
    <row r="138" spans="1:12" ht="14.4" x14ac:dyDescent="0.3">
      <c r="A138" s="10">
        <v>137</v>
      </c>
      <c r="B138" s="10">
        <v>307</v>
      </c>
      <c r="C138" s="10" t="s">
        <v>225</v>
      </c>
      <c r="D138" s="10" t="s">
        <v>365</v>
      </c>
      <c r="E138" s="10" t="str">
        <f t="shared" si="3"/>
        <v>O</v>
      </c>
      <c r="F138" s="10" t="str">
        <f t="shared" si="4"/>
        <v>A</v>
      </c>
      <c r="G138" s="11" t="str">
        <f t="shared" si="5"/>
        <v>OA Delport</v>
      </c>
      <c r="I138"/>
      <c r="J138"/>
      <c r="K138"/>
      <c r="L138"/>
    </row>
    <row r="139" spans="1:12" ht="14.4" x14ac:dyDescent="0.3">
      <c r="A139" s="10">
        <v>138</v>
      </c>
      <c r="B139" s="10">
        <v>319</v>
      </c>
      <c r="C139" s="10" t="s">
        <v>366</v>
      </c>
      <c r="D139" s="10"/>
      <c r="E139" s="10" t="str">
        <f t="shared" si="3"/>
        <v/>
      </c>
      <c r="F139" s="10" t="str">
        <f t="shared" si="4"/>
        <v/>
      </c>
      <c r="G139" s="11" t="str">
        <f t="shared" si="5"/>
        <v>DCK Trust</v>
      </c>
      <c r="I139"/>
      <c r="J139"/>
      <c r="K139"/>
      <c r="L139"/>
    </row>
    <row r="140" spans="1:12" ht="14.4" x14ac:dyDescent="0.3">
      <c r="A140" s="10">
        <v>139</v>
      </c>
      <c r="B140" s="10">
        <v>7</v>
      </c>
      <c r="C140" s="10" t="s">
        <v>218</v>
      </c>
      <c r="D140" s="10" t="s">
        <v>234</v>
      </c>
      <c r="E140" s="10" t="str">
        <f t="shared" si="3"/>
        <v>S</v>
      </c>
      <c r="F140" s="10" t="str">
        <f t="shared" si="4"/>
        <v>M</v>
      </c>
      <c r="G140" s="11" t="str">
        <f t="shared" si="5"/>
        <v>SM du Toit</v>
      </c>
      <c r="I140"/>
      <c r="J140"/>
      <c r="K140"/>
      <c r="L140"/>
    </row>
    <row r="141" spans="1:12" ht="14.4" x14ac:dyDescent="0.3">
      <c r="A141" s="10">
        <v>140</v>
      </c>
      <c r="B141" s="10">
        <v>333</v>
      </c>
      <c r="C141" s="10" t="s">
        <v>367</v>
      </c>
      <c r="D141" s="10" t="s">
        <v>282</v>
      </c>
      <c r="E141" s="10" t="str">
        <f t="shared" si="3"/>
        <v>J</v>
      </c>
      <c r="F141" s="10" t="str">
        <f t="shared" si="4"/>
        <v>J</v>
      </c>
      <c r="G141" s="11" t="str">
        <f t="shared" si="5"/>
        <v>JJ De Lange</v>
      </c>
      <c r="I141"/>
      <c r="J141"/>
      <c r="K141"/>
      <c r="L141"/>
    </row>
    <row r="142" spans="1:12" ht="14.4" x14ac:dyDescent="0.3">
      <c r="A142" s="10">
        <v>141</v>
      </c>
      <c r="B142" s="10">
        <v>333</v>
      </c>
      <c r="C142" s="10" t="s">
        <v>368</v>
      </c>
      <c r="D142" s="10" t="s">
        <v>369</v>
      </c>
      <c r="E142" s="10" t="str">
        <f t="shared" si="3"/>
        <v>D</v>
      </c>
      <c r="F142" s="10" t="str">
        <f t="shared" si="4"/>
        <v>e</v>
      </c>
      <c r="G142" s="11" t="str">
        <f t="shared" si="5"/>
        <v>De Lange Kleinkinders</v>
      </c>
      <c r="I142"/>
      <c r="J142"/>
      <c r="K142"/>
      <c r="L142"/>
    </row>
    <row r="143" spans="1:12" ht="14.4" x14ac:dyDescent="0.3">
      <c r="A143" s="10">
        <v>142</v>
      </c>
      <c r="B143" s="10">
        <v>163</v>
      </c>
      <c r="C143" s="10" t="s">
        <v>160</v>
      </c>
      <c r="D143" s="10" t="s">
        <v>190</v>
      </c>
      <c r="E143" s="10" t="str">
        <f t="shared" si="3"/>
        <v>C</v>
      </c>
      <c r="F143" s="10" t="str">
        <f t="shared" si="4"/>
        <v/>
      </c>
      <c r="G143" s="11" t="str">
        <f t="shared" si="5"/>
        <v>C Bradley</v>
      </c>
      <c r="I143"/>
      <c r="J143"/>
      <c r="K143"/>
      <c r="L143"/>
    </row>
    <row r="144" spans="1:12" ht="14.4" x14ac:dyDescent="0.3">
      <c r="A144" s="10">
        <v>143</v>
      </c>
      <c r="B144" s="10">
        <v>114</v>
      </c>
      <c r="C144" s="10" t="s">
        <v>370</v>
      </c>
      <c r="D144" s="10" t="s">
        <v>344</v>
      </c>
      <c r="E144" s="10" t="str">
        <f t="shared" si="3"/>
        <v>R</v>
      </c>
      <c r="F144" s="10" t="str">
        <f t="shared" si="4"/>
        <v>G</v>
      </c>
      <c r="G144" s="11" t="str">
        <f t="shared" si="5"/>
        <v>RG Deerans</v>
      </c>
      <c r="I144"/>
      <c r="J144"/>
      <c r="K144"/>
      <c r="L144"/>
    </row>
    <row r="145" spans="1:12" ht="14.4" x14ac:dyDescent="0.3">
      <c r="A145" s="10">
        <v>144</v>
      </c>
      <c r="B145" s="10">
        <v>72</v>
      </c>
      <c r="C145" s="10" t="s">
        <v>225</v>
      </c>
      <c r="D145" s="10" t="s">
        <v>284</v>
      </c>
      <c r="E145" s="10" t="str">
        <f t="shared" si="3"/>
        <v>M</v>
      </c>
      <c r="F145" s="10" t="str">
        <f t="shared" si="4"/>
        <v/>
      </c>
      <c r="G145" s="11" t="str">
        <f t="shared" si="5"/>
        <v>M Delport</v>
      </c>
      <c r="I145"/>
      <c r="J145"/>
      <c r="K145"/>
      <c r="L145"/>
    </row>
    <row r="146" spans="1:12" ht="14.4" x14ac:dyDescent="0.3">
      <c r="A146" s="10">
        <v>145</v>
      </c>
      <c r="B146" s="10">
        <v>43</v>
      </c>
      <c r="C146" s="10" t="s">
        <v>371</v>
      </c>
      <c r="D146" s="10" t="s">
        <v>372</v>
      </c>
      <c r="E146" s="10" t="str">
        <f t="shared" si="3"/>
        <v>B</v>
      </c>
      <c r="F146" s="10" t="str">
        <f t="shared" si="4"/>
        <v>R</v>
      </c>
      <c r="G146" s="11" t="str">
        <f t="shared" si="5"/>
        <v>BR Dummer</v>
      </c>
      <c r="I146"/>
      <c r="J146"/>
      <c r="K146"/>
      <c r="L146"/>
    </row>
    <row r="147" spans="1:12" ht="14.4" x14ac:dyDescent="0.3">
      <c r="A147" s="10">
        <v>146</v>
      </c>
      <c r="B147" s="10">
        <v>345</v>
      </c>
      <c r="C147" s="10" t="s">
        <v>373</v>
      </c>
      <c r="D147" s="10" t="s">
        <v>374</v>
      </c>
      <c r="E147" s="10" t="str">
        <f t="shared" si="3"/>
        <v>A</v>
      </c>
      <c r="F147" s="10" t="str">
        <f t="shared" si="4"/>
        <v>R</v>
      </c>
      <c r="G147" s="11" t="str">
        <f t="shared" si="5"/>
        <v>AR Bodenstein</v>
      </c>
      <c r="I147"/>
      <c r="J147"/>
      <c r="K147"/>
      <c r="L147"/>
    </row>
    <row r="148" spans="1:12" ht="14.4" x14ac:dyDescent="0.3">
      <c r="A148" s="10">
        <v>147</v>
      </c>
      <c r="B148" s="10">
        <v>226</v>
      </c>
      <c r="C148" s="10" t="s">
        <v>375</v>
      </c>
      <c r="D148" s="10" t="s">
        <v>156</v>
      </c>
      <c r="E148" s="10" t="str">
        <f t="shared" si="3"/>
        <v/>
      </c>
      <c r="F148" s="10" t="str">
        <f t="shared" si="4"/>
        <v/>
      </c>
      <c r="G148" s="11" t="str">
        <f t="shared" si="5"/>
        <v>Eldad Trust</v>
      </c>
      <c r="I148"/>
      <c r="J148"/>
      <c r="K148"/>
      <c r="L148"/>
    </row>
    <row r="149" spans="1:12" ht="14.4" x14ac:dyDescent="0.3">
      <c r="A149" s="10">
        <v>148</v>
      </c>
      <c r="B149" s="10">
        <v>63</v>
      </c>
      <c r="C149" s="10" t="s">
        <v>376</v>
      </c>
      <c r="D149" s="10" t="s">
        <v>269</v>
      </c>
      <c r="E149" s="10" t="str">
        <f t="shared" si="3"/>
        <v>E</v>
      </c>
      <c r="F149" s="10" t="str">
        <f t="shared" si="4"/>
        <v/>
      </c>
      <c r="G149" s="11" t="str">
        <f t="shared" si="5"/>
        <v>E van Tonder</v>
      </c>
      <c r="I149"/>
      <c r="J149"/>
      <c r="K149"/>
      <c r="L149"/>
    </row>
    <row r="150" spans="1:12" ht="14.4" x14ac:dyDescent="0.3">
      <c r="A150" s="10">
        <v>149</v>
      </c>
      <c r="B150" s="10">
        <v>128</v>
      </c>
      <c r="C150" s="10" t="s">
        <v>377</v>
      </c>
      <c r="D150" s="10" t="s">
        <v>378</v>
      </c>
      <c r="E150" s="10" t="str">
        <f t="shared" si="3"/>
        <v>C</v>
      </c>
      <c r="F150" s="10" t="str">
        <f t="shared" si="4"/>
        <v>C</v>
      </c>
      <c r="G150" s="11" t="str">
        <f t="shared" si="5"/>
        <v>CC Enslin</v>
      </c>
      <c r="I150"/>
      <c r="J150"/>
      <c r="K150"/>
      <c r="L150"/>
    </row>
    <row r="151" spans="1:12" ht="14.4" x14ac:dyDescent="0.3">
      <c r="A151" s="10">
        <v>150</v>
      </c>
      <c r="B151" s="10">
        <v>115</v>
      </c>
      <c r="C151" s="10" t="s">
        <v>377</v>
      </c>
      <c r="D151" s="10" t="s">
        <v>379</v>
      </c>
      <c r="E151" s="10" t="str">
        <f t="shared" si="3"/>
        <v>W</v>
      </c>
      <c r="F151" s="10" t="str">
        <f t="shared" si="4"/>
        <v/>
      </c>
      <c r="G151" s="11" t="str">
        <f t="shared" si="5"/>
        <v>W Enslin</v>
      </c>
      <c r="I151"/>
      <c r="J151"/>
      <c r="K151"/>
      <c r="L151"/>
    </row>
    <row r="152" spans="1:12" ht="14.4" x14ac:dyDescent="0.3">
      <c r="A152" s="10">
        <v>151</v>
      </c>
      <c r="B152" s="10">
        <v>3</v>
      </c>
      <c r="C152" s="10" t="s">
        <v>380</v>
      </c>
      <c r="D152" s="10" t="s">
        <v>247</v>
      </c>
      <c r="E152" s="10" t="str">
        <f t="shared" ref="E152:E229" si="8">LEFT(D152,1)</f>
        <v>G</v>
      </c>
      <c r="F152" s="10" t="str">
        <f t="shared" ref="F152:F229" si="9">IF(MID(D152,2,1)=" ",MID(D152,3,1),MID(D152,2,1))</f>
        <v>J</v>
      </c>
      <c r="G152" s="11" t="str">
        <f t="shared" ref="G152:G229" si="10">IF(D152="",C152,CONCATENATE(E152,F152," ",C152))</f>
        <v>GJ Ferreira</v>
      </c>
      <c r="I152"/>
      <c r="J152"/>
      <c r="K152"/>
      <c r="L152"/>
    </row>
    <row r="153" spans="1:12" ht="14.4" x14ac:dyDescent="0.3">
      <c r="A153" s="10">
        <v>152</v>
      </c>
      <c r="B153" s="10">
        <v>150</v>
      </c>
      <c r="C153" s="10" t="s">
        <v>381</v>
      </c>
      <c r="D153" s="10" t="s">
        <v>382</v>
      </c>
      <c r="E153" s="10" t="str">
        <f t="shared" si="8"/>
        <v>S</v>
      </c>
      <c r="F153" s="10" t="str">
        <f t="shared" si="9"/>
        <v>P</v>
      </c>
      <c r="G153" s="11" t="str">
        <f t="shared" si="10"/>
        <v>SP Fouche</v>
      </c>
      <c r="I153"/>
      <c r="J153"/>
      <c r="K153"/>
      <c r="L153"/>
    </row>
    <row r="154" spans="1:12" ht="14.4" x14ac:dyDescent="0.3">
      <c r="A154" s="10">
        <v>153</v>
      </c>
      <c r="B154" s="10">
        <v>264</v>
      </c>
      <c r="C154" s="10" t="s">
        <v>383</v>
      </c>
      <c r="D154" s="10" t="s">
        <v>384</v>
      </c>
      <c r="E154" s="10" t="str">
        <f t="shared" si="8"/>
        <v>A</v>
      </c>
      <c r="F154" s="10" t="str">
        <f t="shared" si="9"/>
        <v>G</v>
      </c>
      <c r="G154" s="11" t="str">
        <f t="shared" si="10"/>
        <v>AG Fourie</v>
      </c>
      <c r="I154"/>
      <c r="J154"/>
      <c r="K154"/>
      <c r="L154"/>
    </row>
    <row r="155" spans="1:12" ht="14.4" x14ac:dyDescent="0.3">
      <c r="A155" s="10">
        <v>154</v>
      </c>
      <c r="B155" s="10">
        <v>95</v>
      </c>
      <c r="C155" s="10" t="s">
        <v>383</v>
      </c>
      <c r="D155" s="10" t="s">
        <v>217</v>
      </c>
      <c r="E155" s="10" t="str">
        <f t="shared" si="8"/>
        <v>A</v>
      </c>
      <c r="F155" s="10" t="str">
        <f t="shared" si="9"/>
        <v>J</v>
      </c>
      <c r="G155" s="11" t="str">
        <f t="shared" si="10"/>
        <v>AJ Fourie</v>
      </c>
      <c r="I155"/>
      <c r="J155"/>
      <c r="K155"/>
      <c r="L155"/>
    </row>
    <row r="156" spans="1:12" ht="14.4" x14ac:dyDescent="0.3">
      <c r="A156" s="10">
        <v>155</v>
      </c>
      <c r="B156" s="10">
        <v>30</v>
      </c>
      <c r="C156" s="10" t="s">
        <v>383</v>
      </c>
      <c r="D156" s="10" t="s">
        <v>169</v>
      </c>
      <c r="E156" s="10" t="str">
        <f t="shared" si="8"/>
        <v>P</v>
      </c>
      <c r="F156" s="10" t="str">
        <f t="shared" si="9"/>
        <v>J</v>
      </c>
      <c r="G156" s="11" t="str">
        <f t="shared" si="10"/>
        <v>PJ Fourie</v>
      </c>
      <c r="I156"/>
      <c r="J156"/>
      <c r="K156"/>
      <c r="L156"/>
    </row>
    <row r="157" spans="1:12" ht="14.4" x14ac:dyDescent="0.3">
      <c r="A157" s="10">
        <v>156</v>
      </c>
      <c r="B157" s="10">
        <v>30</v>
      </c>
      <c r="C157" s="10" t="s">
        <v>383</v>
      </c>
      <c r="D157" s="10" t="s">
        <v>385</v>
      </c>
      <c r="E157" s="10" t="str">
        <f t="shared" si="8"/>
        <v>A</v>
      </c>
      <c r="F157" s="10" t="str">
        <f t="shared" si="9"/>
        <v>E</v>
      </c>
      <c r="G157" s="11" t="str">
        <f t="shared" si="10"/>
        <v>AE Fourie</v>
      </c>
      <c r="I157"/>
      <c r="J157"/>
      <c r="K157"/>
      <c r="L157"/>
    </row>
    <row r="158" spans="1:12" ht="14.4" x14ac:dyDescent="0.3">
      <c r="A158" s="10">
        <v>157</v>
      </c>
      <c r="B158" s="10">
        <v>306</v>
      </c>
      <c r="C158" s="10" t="s">
        <v>386</v>
      </c>
      <c r="D158" s="10" t="s">
        <v>387</v>
      </c>
      <c r="E158" s="10" t="str">
        <f t="shared" si="8"/>
        <v>J</v>
      </c>
      <c r="F158" s="10" t="str">
        <f t="shared" si="9"/>
        <v>B</v>
      </c>
      <c r="G158" s="11" t="str">
        <f t="shared" si="10"/>
        <v>JB Gelderbloem</v>
      </c>
      <c r="I158"/>
      <c r="J158"/>
      <c r="K158"/>
      <c r="L158"/>
    </row>
    <row r="159" spans="1:12" ht="14.4" x14ac:dyDescent="0.3">
      <c r="A159" s="10">
        <v>158</v>
      </c>
      <c r="B159" s="10">
        <v>370</v>
      </c>
      <c r="C159" s="10" t="s">
        <v>388</v>
      </c>
      <c r="D159" s="10" t="s">
        <v>284</v>
      </c>
      <c r="E159" s="10" t="str">
        <f t="shared" si="8"/>
        <v>M</v>
      </c>
      <c r="F159" s="10" t="str">
        <f t="shared" si="9"/>
        <v/>
      </c>
      <c r="G159" s="11" t="str">
        <f t="shared" si="10"/>
        <v>M Gouws</v>
      </c>
      <c r="I159"/>
      <c r="J159"/>
      <c r="K159"/>
      <c r="L159"/>
    </row>
    <row r="160" spans="1:12" ht="14.4" x14ac:dyDescent="0.3">
      <c r="A160" s="10">
        <v>159</v>
      </c>
      <c r="B160" s="10">
        <v>398</v>
      </c>
      <c r="C160" s="10" t="s">
        <v>389</v>
      </c>
      <c r="D160" s="10" t="s">
        <v>333</v>
      </c>
      <c r="E160" s="10" t="str">
        <f t="shared" si="8"/>
        <v>H</v>
      </c>
      <c r="F160" s="10" t="str">
        <f t="shared" si="9"/>
        <v>J</v>
      </c>
      <c r="G160" s="11" t="str">
        <f t="shared" si="10"/>
        <v>HJ Greyvenstein</v>
      </c>
      <c r="I160"/>
      <c r="J160"/>
      <c r="K160"/>
      <c r="L160"/>
    </row>
    <row r="161" spans="1:12" ht="14.4" x14ac:dyDescent="0.3">
      <c r="A161" s="10">
        <v>160</v>
      </c>
      <c r="B161" s="10">
        <v>22</v>
      </c>
      <c r="C161" s="10" t="s">
        <v>390</v>
      </c>
      <c r="D161" s="10" t="s">
        <v>286</v>
      </c>
      <c r="E161" s="10" t="str">
        <f t="shared" si="8"/>
        <v>D</v>
      </c>
      <c r="F161" s="10" t="str">
        <f t="shared" si="9"/>
        <v>A</v>
      </c>
      <c r="G161" s="11" t="str">
        <f t="shared" si="10"/>
        <v>DA de Vries</v>
      </c>
      <c r="I161"/>
      <c r="J161"/>
      <c r="K161"/>
      <c r="L161"/>
    </row>
    <row r="162" spans="1:12" ht="14.4" x14ac:dyDescent="0.3">
      <c r="A162" s="10">
        <v>161</v>
      </c>
      <c r="B162" s="10">
        <v>43</v>
      </c>
      <c r="C162" s="10" t="s">
        <v>371</v>
      </c>
      <c r="D162" s="10" t="s">
        <v>391</v>
      </c>
      <c r="E162" s="10" t="str">
        <f t="shared" si="8"/>
        <v>Z</v>
      </c>
      <c r="F162" s="10" t="str">
        <f t="shared" si="9"/>
        <v>J</v>
      </c>
      <c r="G162" s="11" t="str">
        <f t="shared" si="10"/>
        <v>ZJ Dummer</v>
      </c>
      <c r="I162"/>
      <c r="J162"/>
      <c r="K162"/>
      <c r="L162"/>
    </row>
    <row r="163" spans="1:12" ht="14.4" x14ac:dyDescent="0.3">
      <c r="A163" s="10">
        <v>162</v>
      </c>
      <c r="B163" s="10">
        <v>380</v>
      </c>
      <c r="C163" s="10" t="s">
        <v>392</v>
      </c>
      <c r="D163" s="10" t="s">
        <v>190</v>
      </c>
      <c r="E163" s="10" t="str">
        <f t="shared" si="8"/>
        <v>C</v>
      </c>
      <c r="F163" s="10" t="str">
        <f t="shared" si="9"/>
        <v/>
      </c>
      <c r="G163" s="11" t="str">
        <f t="shared" si="10"/>
        <v>C Henning</v>
      </c>
      <c r="I163"/>
      <c r="J163"/>
      <c r="K163"/>
      <c r="L163"/>
    </row>
    <row r="164" spans="1:12" ht="14.4" x14ac:dyDescent="0.3">
      <c r="A164" s="10">
        <v>163</v>
      </c>
      <c r="B164" s="10">
        <v>179</v>
      </c>
      <c r="C164" s="10" t="s">
        <v>206</v>
      </c>
      <c r="D164" s="11" t="s">
        <v>393</v>
      </c>
      <c r="E164" s="10" t="str">
        <f t="shared" si="8"/>
        <v>H</v>
      </c>
      <c r="F164" s="10" t="str">
        <f t="shared" si="9"/>
        <v>L</v>
      </c>
      <c r="G164" s="11" t="str">
        <f t="shared" si="10"/>
        <v>HL Higgins</v>
      </c>
      <c r="I164"/>
      <c r="J164"/>
      <c r="K164"/>
      <c r="L164"/>
    </row>
    <row r="165" spans="1:12" ht="14.4" x14ac:dyDescent="0.3">
      <c r="A165" s="10">
        <v>164</v>
      </c>
      <c r="B165" s="10">
        <v>46</v>
      </c>
      <c r="C165" s="10" t="s">
        <v>394</v>
      </c>
      <c r="D165" s="11" t="s">
        <v>317</v>
      </c>
      <c r="E165" s="10" t="str">
        <f t="shared" si="8"/>
        <v>L</v>
      </c>
      <c r="F165" s="10" t="str">
        <f t="shared" si="9"/>
        <v>A</v>
      </c>
      <c r="G165" s="11" t="str">
        <f t="shared" si="10"/>
        <v>LA van der Merwe</v>
      </c>
      <c r="I165"/>
      <c r="J165"/>
      <c r="K165"/>
      <c r="L165"/>
    </row>
    <row r="166" spans="1:12" ht="14.4" x14ac:dyDescent="0.3">
      <c r="A166" s="10">
        <v>165</v>
      </c>
      <c r="B166" s="10">
        <v>116</v>
      </c>
      <c r="C166" s="10" t="s">
        <v>395</v>
      </c>
      <c r="D166" s="10" t="s">
        <v>156</v>
      </c>
      <c r="E166" s="10" t="str">
        <f t="shared" si="8"/>
        <v/>
      </c>
      <c r="F166" s="10" t="str">
        <f t="shared" si="9"/>
        <v/>
      </c>
      <c r="G166" s="11" t="str">
        <f t="shared" si="10"/>
        <v>Jokar Trust</v>
      </c>
      <c r="I166"/>
      <c r="J166"/>
      <c r="K166"/>
      <c r="L166"/>
    </row>
    <row r="167" spans="1:12" ht="14.4" x14ac:dyDescent="0.3">
      <c r="A167" s="10">
        <v>166</v>
      </c>
      <c r="B167" s="10">
        <v>416</v>
      </c>
      <c r="C167" s="10" t="s">
        <v>396</v>
      </c>
      <c r="D167" s="10" t="s">
        <v>247</v>
      </c>
      <c r="E167" s="10" t="str">
        <f t="shared" si="8"/>
        <v>G</v>
      </c>
      <c r="F167" s="10" t="str">
        <f t="shared" si="9"/>
        <v>J</v>
      </c>
      <c r="G167" s="11" t="str">
        <f t="shared" si="10"/>
        <v>GJ Joubert</v>
      </c>
      <c r="I167"/>
      <c r="J167"/>
      <c r="K167"/>
      <c r="L167"/>
    </row>
    <row r="168" spans="1:12" ht="14.4" x14ac:dyDescent="0.3">
      <c r="A168" s="10">
        <v>167</v>
      </c>
      <c r="B168" s="10">
        <v>31</v>
      </c>
      <c r="C168" s="10" t="s">
        <v>225</v>
      </c>
      <c r="D168" s="11" t="s">
        <v>397</v>
      </c>
      <c r="E168" s="10" t="str">
        <f t="shared" si="8"/>
        <v>A</v>
      </c>
      <c r="F168" s="10" t="str">
        <f t="shared" si="9"/>
        <v>B</v>
      </c>
      <c r="G168" s="11" t="str">
        <f t="shared" si="10"/>
        <v>AB Delport</v>
      </c>
      <c r="I168"/>
      <c r="J168"/>
      <c r="K168"/>
      <c r="L168"/>
    </row>
    <row r="169" spans="1:12" ht="14.4" x14ac:dyDescent="0.3">
      <c r="A169" s="10">
        <v>168</v>
      </c>
      <c r="B169" s="10">
        <v>104</v>
      </c>
      <c r="C169" s="10" t="s">
        <v>398</v>
      </c>
      <c r="D169" s="10" t="s">
        <v>397</v>
      </c>
      <c r="E169" s="10" t="str">
        <f t="shared" si="8"/>
        <v>A</v>
      </c>
      <c r="F169" s="10" t="str">
        <f t="shared" si="9"/>
        <v>B</v>
      </c>
      <c r="G169" s="11" t="str">
        <f t="shared" si="10"/>
        <v>AB Koorts</v>
      </c>
      <c r="I169"/>
      <c r="J169"/>
      <c r="K169"/>
      <c r="L169"/>
    </row>
    <row r="170" spans="1:12" ht="14.4" x14ac:dyDescent="0.3">
      <c r="A170" s="10">
        <v>169</v>
      </c>
      <c r="B170" s="10">
        <v>154</v>
      </c>
      <c r="C170" s="10" t="s">
        <v>399</v>
      </c>
      <c r="D170" s="10" t="s">
        <v>400</v>
      </c>
      <c r="E170" s="10" t="str">
        <f t="shared" si="8"/>
        <v>M</v>
      </c>
      <c r="F170" s="10" t="str">
        <f t="shared" si="9"/>
        <v>L</v>
      </c>
      <c r="G170" s="11" t="str">
        <f t="shared" si="10"/>
        <v>ML Kotze</v>
      </c>
      <c r="I170"/>
      <c r="J170"/>
      <c r="K170"/>
      <c r="L170"/>
    </row>
    <row r="171" spans="1:12" ht="14.4" x14ac:dyDescent="0.3">
      <c r="A171" s="10">
        <v>170</v>
      </c>
      <c r="B171" s="10">
        <v>97</v>
      </c>
      <c r="C171" s="10" t="s">
        <v>323</v>
      </c>
      <c r="D171" s="10" t="s">
        <v>401</v>
      </c>
      <c r="E171" s="10" t="str">
        <f t="shared" si="8"/>
        <v>B</v>
      </c>
      <c r="F171" s="10" t="str">
        <f t="shared" si="9"/>
        <v>G</v>
      </c>
      <c r="G171" s="11" t="str">
        <f t="shared" si="10"/>
        <v>BG Turner</v>
      </c>
      <c r="I171"/>
      <c r="J171"/>
      <c r="K171"/>
      <c r="L171"/>
    </row>
    <row r="172" spans="1:12" ht="14.4" x14ac:dyDescent="0.3">
      <c r="A172" s="10">
        <v>171</v>
      </c>
      <c r="B172" s="10">
        <v>395</v>
      </c>
      <c r="C172" s="10" t="s">
        <v>224</v>
      </c>
      <c r="D172" s="10" t="s">
        <v>276</v>
      </c>
      <c r="E172" s="10" t="str">
        <f t="shared" si="8"/>
        <v>F</v>
      </c>
      <c r="F172" s="10" t="str">
        <f t="shared" si="9"/>
        <v/>
      </c>
      <c r="G172" s="11" t="str">
        <f t="shared" si="10"/>
        <v>F Louw</v>
      </c>
      <c r="I172"/>
      <c r="J172"/>
      <c r="K172"/>
      <c r="L172"/>
    </row>
    <row r="173" spans="1:12" ht="14.4" x14ac:dyDescent="0.3">
      <c r="A173" s="10">
        <v>172</v>
      </c>
      <c r="B173" s="10">
        <v>234</v>
      </c>
      <c r="C173" s="10" t="s">
        <v>402</v>
      </c>
      <c r="D173" s="10" t="s">
        <v>403</v>
      </c>
      <c r="E173" s="10" t="str">
        <f t="shared" si="8"/>
        <v>H</v>
      </c>
      <c r="F173" s="10" t="str">
        <f t="shared" si="9"/>
        <v>E</v>
      </c>
      <c r="G173" s="11" t="str">
        <f t="shared" si="10"/>
        <v>HE Liebenberg</v>
      </c>
      <c r="I173"/>
      <c r="J173"/>
      <c r="K173"/>
      <c r="L173"/>
    </row>
    <row r="174" spans="1:12" ht="14.4" x14ac:dyDescent="0.3">
      <c r="A174" s="10">
        <v>173</v>
      </c>
      <c r="B174" s="10">
        <v>12</v>
      </c>
      <c r="C174" s="10" t="s">
        <v>404</v>
      </c>
      <c r="D174" s="10" t="s">
        <v>384</v>
      </c>
      <c r="E174" s="10" t="str">
        <f t="shared" si="8"/>
        <v>A</v>
      </c>
      <c r="F174" s="10" t="str">
        <f t="shared" si="9"/>
        <v>G</v>
      </c>
      <c r="G174" s="11" t="str">
        <f t="shared" si="10"/>
        <v>AG Loots</v>
      </c>
      <c r="I174"/>
      <c r="J174"/>
      <c r="K174"/>
      <c r="L174"/>
    </row>
    <row r="175" spans="1:12" ht="14.4" x14ac:dyDescent="0.3">
      <c r="A175" s="10">
        <v>174</v>
      </c>
      <c r="B175" s="10">
        <v>156</v>
      </c>
      <c r="C175" s="10" t="s">
        <v>404</v>
      </c>
      <c r="D175" s="10" t="s">
        <v>228</v>
      </c>
      <c r="E175" s="10" t="str">
        <f t="shared" si="8"/>
        <v>P</v>
      </c>
      <c r="F175" s="10" t="str">
        <f t="shared" si="9"/>
        <v>E</v>
      </c>
      <c r="G175" s="11" t="str">
        <f t="shared" si="10"/>
        <v>PE Loots</v>
      </c>
      <c r="I175"/>
      <c r="J175"/>
      <c r="K175"/>
      <c r="L175"/>
    </row>
    <row r="176" spans="1:12" ht="14.4" x14ac:dyDescent="0.3">
      <c r="A176" s="10">
        <v>175</v>
      </c>
      <c r="B176" s="10">
        <v>100</v>
      </c>
      <c r="C176" s="10" t="s">
        <v>404</v>
      </c>
      <c r="D176" s="11" t="s">
        <v>269</v>
      </c>
      <c r="E176" s="10" t="str">
        <f t="shared" si="8"/>
        <v>E</v>
      </c>
      <c r="F176" s="10" t="str">
        <f t="shared" si="9"/>
        <v/>
      </c>
      <c r="G176" s="11" t="str">
        <f t="shared" si="10"/>
        <v>E Loots</v>
      </c>
      <c r="I176"/>
      <c r="J176"/>
      <c r="K176"/>
      <c r="L176"/>
    </row>
    <row r="177" spans="1:12" ht="14.4" x14ac:dyDescent="0.3">
      <c r="A177" s="10">
        <v>176</v>
      </c>
      <c r="B177" s="10">
        <v>341</v>
      </c>
      <c r="C177" s="10" t="s">
        <v>404</v>
      </c>
      <c r="D177" s="10" t="s">
        <v>405</v>
      </c>
      <c r="E177" s="10" t="str">
        <f t="shared" si="8"/>
        <v>M</v>
      </c>
      <c r="F177" s="10" t="str">
        <f t="shared" si="9"/>
        <v>A</v>
      </c>
      <c r="G177" s="11" t="str">
        <f t="shared" si="10"/>
        <v>MA Loots</v>
      </c>
      <c r="I177"/>
      <c r="J177"/>
      <c r="K177"/>
      <c r="L177"/>
    </row>
    <row r="178" spans="1:12" ht="14.4" x14ac:dyDescent="0.3">
      <c r="A178" s="10">
        <v>177</v>
      </c>
      <c r="B178" s="10">
        <v>100</v>
      </c>
      <c r="C178" s="10" t="s">
        <v>404</v>
      </c>
      <c r="D178" s="10" t="s">
        <v>406</v>
      </c>
      <c r="E178" s="10" t="str">
        <f t="shared" si="8"/>
        <v>Z</v>
      </c>
      <c r="F178" s="10" t="str">
        <f t="shared" si="9"/>
        <v>M</v>
      </c>
      <c r="G178" s="11" t="str">
        <f t="shared" si="10"/>
        <v>ZM Loots</v>
      </c>
      <c r="I178"/>
      <c r="J178"/>
      <c r="K178"/>
      <c r="L178"/>
    </row>
    <row r="179" spans="1:12" ht="14.4" x14ac:dyDescent="0.3">
      <c r="A179" s="10">
        <v>178</v>
      </c>
      <c r="B179" s="10">
        <v>157</v>
      </c>
      <c r="C179" s="10" t="s">
        <v>224</v>
      </c>
      <c r="D179" s="10" t="s">
        <v>269</v>
      </c>
      <c r="E179" s="10" t="str">
        <f t="shared" si="8"/>
        <v>E</v>
      </c>
      <c r="F179" s="10" t="s">
        <v>407</v>
      </c>
      <c r="G179" s="11" t="str">
        <f t="shared" si="10"/>
        <v>EMrs Louw</v>
      </c>
      <c r="I179"/>
      <c r="J179"/>
      <c r="K179"/>
      <c r="L179"/>
    </row>
    <row r="180" spans="1:12" ht="14.4" x14ac:dyDescent="0.3">
      <c r="A180" s="10">
        <v>179</v>
      </c>
      <c r="B180" s="10">
        <v>2</v>
      </c>
      <c r="C180" s="10" t="s">
        <v>394</v>
      </c>
      <c r="D180" s="10" t="s">
        <v>284</v>
      </c>
      <c r="E180" s="10" t="str">
        <f t="shared" si="8"/>
        <v>M</v>
      </c>
      <c r="F180" s="10" t="str">
        <f t="shared" si="9"/>
        <v/>
      </c>
      <c r="G180" s="11" t="str">
        <f t="shared" si="10"/>
        <v>M van der Merwe</v>
      </c>
      <c r="I180"/>
      <c r="J180"/>
      <c r="K180"/>
      <c r="L180"/>
    </row>
    <row r="181" spans="1:12" ht="14.4" x14ac:dyDescent="0.3">
      <c r="A181" s="10">
        <v>180</v>
      </c>
      <c r="B181" s="10">
        <v>57</v>
      </c>
      <c r="C181" s="10" t="s">
        <v>408</v>
      </c>
      <c r="D181" s="10" t="s">
        <v>409</v>
      </c>
      <c r="E181" s="10" t="str">
        <f t="shared" si="8"/>
        <v>L</v>
      </c>
      <c r="F181" s="10" t="str">
        <f t="shared" si="9"/>
        <v/>
      </c>
      <c r="G181" s="11" t="str">
        <f t="shared" si="10"/>
        <v>L SCHEEPERS</v>
      </c>
      <c r="I181"/>
      <c r="J181"/>
      <c r="K181"/>
      <c r="L181"/>
    </row>
    <row r="182" spans="1:12" ht="14.4" x14ac:dyDescent="0.3">
      <c r="A182" s="10">
        <v>181</v>
      </c>
      <c r="B182" s="10">
        <v>414</v>
      </c>
      <c r="C182" s="10" t="s">
        <v>410</v>
      </c>
      <c r="D182" s="10" t="s">
        <v>175</v>
      </c>
      <c r="E182" s="10" t="str">
        <f t="shared" si="8"/>
        <v>C</v>
      </c>
      <c r="F182" s="10" t="str">
        <f t="shared" si="9"/>
        <v>J</v>
      </c>
      <c r="G182" s="11" t="str">
        <f t="shared" si="10"/>
        <v>CJ Marais</v>
      </c>
      <c r="I182"/>
      <c r="J182"/>
      <c r="K182"/>
      <c r="L182"/>
    </row>
    <row r="183" spans="1:12" ht="14.4" x14ac:dyDescent="0.3">
      <c r="A183" s="10">
        <v>182</v>
      </c>
      <c r="B183" s="10">
        <v>422</v>
      </c>
      <c r="C183" s="10" t="s">
        <v>411</v>
      </c>
      <c r="D183" s="10" t="s">
        <v>269</v>
      </c>
      <c r="E183" s="10" t="str">
        <f t="shared" si="8"/>
        <v>E</v>
      </c>
      <c r="F183" s="10" t="str">
        <f t="shared" si="9"/>
        <v/>
      </c>
      <c r="G183" s="11" t="str">
        <f t="shared" si="10"/>
        <v>E Massyn</v>
      </c>
      <c r="I183"/>
      <c r="J183"/>
      <c r="K183"/>
      <c r="L183"/>
    </row>
    <row r="184" spans="1:12" ht="14.4" x14ac:dyDescent="0.3">
      <c r="A184" s="10">
        <v>183</v>
      </c>
      <c r="B184" s="10">
        <v>133</v>
      </c>
      <c r="C184" s="10" t="s">
        <v>411</v>
      </c>
      <c r="D184" s="10" t="s">
        <v>412</v>
      </c>
      <c r="E184" s="10" t="str">
        <f t="shared" si="8"/>
        <v>W</v>
      </c>
      <c r="F184" s="10" t="str">
        <f t="shared" si="9"/>
        <v>P</v>
      </c>
      <c r="G184" s="11" t="str">
        <f t="shared" si="10"/>
        <v>WP Massyn</v>
      </c>
      <c r="I184"/>
      <c r="J184"/>
      <c r="K184"/>
      <c r="L184"/>
    </row>
    <row r="185" spans="1:12" ht="14.4" x14ac:dyDescent="0.3">
      <c r="A185" s="10">
        <v>184</v>
      </c>
      <c r="B185" s="10">
        <v>124</v>
      </c>
      <c r="C185" s="10" t="s">
        <v>413</v>
      </c>
      <c r="D185" s="10" t="s">
        <v>169</v>
      </c>
      <c r="E185" s="10" t="str">
        <f t="shared" si="8"/>
        <v>P</v>
      </c>
      <c r="F185" s="10" t="str">
        <f t="shared" si="9"/>
        <v>J</v>
      </c>
      <c r="G185" s="11" t="str">
        <f t="shared" si="10"/>
        <v>PJ Matthee</v>
      </c>
      <c r="I185"/>
      <c r="J185"/>
      <c r="K185"/>
      <c r="L185"/>
    </row>
    <row r="186" spans="1:12" ht="14.4" x14ac:dyDescent="0.3">
      <c r="A186" s="10">
        <v>186</v>
      </c>
      <c r="B186" s="10">
        <v>184</v>
      </c>
      <c r="C186" s="10" t="s">
        <v>414</v>
      </c>
      <c r="D186" s="10" t="s">
        <v>415</v>
      </c>
      <c r="E186" s="10" t="str">
        <f t="shared" si="8"/>
        <v>P</v>
      </c>
      <c r="F186" s="10" t="str">
        <f t="shared" si="9"/>
        <v>A</v>
      </c>
      <c r="G186" s="11" t="str">
        <f t="shared" si="10"/>
        <v>PA Meintjies</v>
      </c>
      <c r="I186"/>
      <c r="J186"/>
      <c r="K186"/>
      <c r="L186"/>
    </row>
    <row r="187" spans="1:12" ht="14.4" x14ac:dyDescent="0.3">
      <c r="A187" s="10">
        <v>188</v>
      </c>
      <c r="B187" s="10">
        <v>9</v>
      </c>
      <c r="C187" s="10" t="s">
        <v>416</v>
      </c>
      <c r="D187" s="10" t="s">
        <v>417</v>
      </c>
      <c r="E187" s="10" t="str">
        <f t="shared" si="8"/>
        <v>J</v>
      </c>
      <c r="F187" s="10" t="str">
        <f t="shared" si="9"/>
        <v>S</v>
      </c>
      <c r="G187" s="11" t="str">
        <f t="shared" si="10"/>
        <v>JS Schaffner</v>
      </c>
      <c r="I187"/>
      <c r="J187"/>
      <c r="K187"/>
      <c r="L187"/>
    </row>
    <row r="188" spans="1:12" ht="14.4" x14ac:dyDescent="0.3">
      <c r="A188" s="10">
        <v>189</v>
      </c>
      <c r="B188" s="10">
        <v>289</v>
      </c>
      <c r="C188" s="10" t="s">
        <v>418</v>
      </c>
      <c r="D188" s="10" t="s">
        <v>419</v>
      </c>
      <c r="E188" s="10" t="str">
        <f t="shared" si="8"/>
        <v>H</v>
      </c>
      <c r="F188" s="10" t="str">
        <f t="shared" si="9"/>
        <v>J</v>
      </c>
      <c r="G188" s="11" t="str">
        <f t="shared" si="10"/>
        <v>HJ Minnie</v>
      </c>
      <c r="I188"/>
      <c r="J188"/>
      <c r="K188"/>
      <c r="L188"/>
    </row>
    <row r="189" spans="1:12" ht="14.4" x14ac:dyDescent="0.3">
      <c r="A189" s="10">
        <v>190</v>
      </c>
      <c r="B189" s="10"/>
      <c r="C189" s="10" t="s">
        <v>420</v>
      </c>
      <c r="D189" s="10" t="s">
        <v>226</v>
      </c>
      <c r="E189" s="10" t="str">
        <f t="shared" si="8"/>
        <v>A</v>
      </c>
      <c r="F189" s="10" t="str">
        <f t="shared" si="9"/>
        <v/>
      </c>
      <c r="G189" s="11" t="str">
        <f t="shared" si="10"/>
        <v>A Oosthuizen</v>
      </c>
      <c r="I189"/>
      <c r="J189"/>
      <c r="K189"/>
      <c r="L189"/>
    </row>
    <row r="190" spans="1:12" ht="14.4" x14ac:dyDescent="0.3">
      <c r="A190" s="10">
        <v>191</v>
      </c>
      <c r="B190" s="10">
        <v>79</v>
      </c>
      <c r="C190" s="10" t="s">
        <v>421</v>
      </c>
      <c r="D190" s="10" t="s">
        <v>156</v>
      </c>
      <c r="E190" s="10" t="str">
        <f t="shared" si="8"/>
        <v/>
      </c>
      <c r="F190" s="10" t="str">
        <f t="shared" si="9"/>
        <v/>
      </c>
      <c r="G190" s="11" t="str">
        <f t="shared" si="10"/>
        <v>Neethling Trust</v>
      </c>
      <c r="I190"/>
      <c r="J190"/>
      <c r="K190"/>
      <c r="L190"/>
    </row>
    <row r="191" spans="1:12" ht="14.4" x14ac:dyDescent="0.3">
      <c r="A191" s="10">
        <v>192</v>
      </c>
      <c r="B191" s="10">
        <v>33</v>
      </c>
      <c r="C191" s="10" t="s">
        <v>264</v>
      </c>
      <c r="D191" s="10" t="s">
        <v>422</v>
      </c>
      <c r="E191" s="10" t="str">
        <f t="shared" si="8"/>
        <v>J</v>
      </c>
      <c r="F191" s="10" t="str">
        <f t="shared" si="9"/>
        <v>D</v>
      </c>
      <c r="G191" s="11" t="str">
        <f t="shared" si="10"/>
        <v>JD Naude</v>
      </c>
      <c r="I191"/>
      <c r="J191"/>
      <c r="K191"/>
      <c r="L191"/>
    </row>
    <row r="192" spans="1:12" ht="14.4" x14ac:dyDescent="0.3">
      <c r="A192" s="10">
        <v>193</v>
      </c>
      <c r="B192" s="10">
        <v>79</v>
      </c>
      <c r="C192" s="10" t="s">
        <v>423</v>
      </c>
      <c r="D192" s="10" t="s">
        <v>316</v>
      </c>
      <c r="E192" s="10" t="str">
        <f t="shared" si="8"/>
        <v>A</v>
      </c>
      <c r="F192" s="10" t="str">
        <f t="shared" si="9"/>
        <v>D</v>
      </c>
      <c r="G192" s="11" t="str">
        <f t="shared" si="10"/>
        <v>AD Neethling</v>
      </c>
      <c r="I192"/>
      <c r="J192"/>
      <c r="K192"/>
      <c r="L192"/>
    </row>
    <row r="193" spans="1:12" ht="14.4" x14ac:dyDescent="0.3">
      <c r="A193" s="10">
        <v>194</v>
      </c>
      <c r="B193" s="10">
        <v>441</v>
      </c>
      <c r="C193" s="10" t="s">
        <v>423</v>
      </c>
      <c r="D193" s="10" t="s">
        <v>362</v>
      </c>
      <c r="E193" s="10" t="str">
        <f t="shared" si="8"/>
        <v>J</v>
      </c>
      <c r="F193" s="10" t="str">
        <f t="shared" si="9"/>
        <v>A</v>
      </c>
      <c r="G193" s="11" t="str">
        <f t="shared" si="10"/>
        <v>JA Neethling</v>
      </c>
      <c r="I193"/>
      <c r="J193"/>
      <c r="K193"/>
      <c r="L193"/>
    </row>
    <row r="194" spans="1:12" ht="14.4" x14ac:dyDescent="0.3">
      <c r="A194" s="10">
        <v>195</v>
      </c>
      <c r="B194" s="10">
        <v>430</v>
      </c>
      <c r="C194" s="10" t="s">
        <v>423</v>
      </c>
      <c r="D194" s="10" t="s">
        <v>175</v>
      </c>
      <c r="E194" s="10" t="str">
        <f t="shared" si="8"/>
        <v>C</v>
      </c>
      <c r="F194" s="10" t="str">
        <f t="shared" si="9"/>
        <v>J</v>
      </c>
      <c r="G194" s="11" t="str">
        <f t="shared" si="10"/>
        <v>CJ Neethling</v>
      </c>
      <c r="I194"/>
      <c r="J194"/>
      <c r="K194"/>
      <c r="L194"/>
    </row>
    <row r="195" spans="1:12" ht="14.4" x14ac:dyDescent="0.3">
      <c r="A195" s="10">
        <v>196</v>
      </c>
      <c r="B195" s="10">
        <v>223</v>
      </c>
      <c r="C195" s="10" t="s">
        <v>424</v>
      </c>
      <c r="D195" s="10" t="s">
        <v>425</v>
      </c>
      <c r="E195" s="10" t="str">
        <f t="shared" si="8"/>
        <v>B</v>
      </c>
      <c r="F195" s="10" t="str">
        <f t="shared" si="9"/>
        <v>O</v>
      </c>
      <c r="G195" s="11" t="str">
        <f t="shared" si="10"/>
        <v>BO Nel</v>
      </c>
      <c r="I195"/>
      <c r="J195"/>
      <c r="K195"/>
      <c r="L195"/>
    </row>
    <row r="196" spans="1:12" ht="14.4" x14ac:dyDescent="0.3">
      <c r="A196" s="10">
        <v>197</v>
      </c>
      <c r="B196" s="10">
        <v>468</v>
      </c>
      <c r="C196" s="10" t="s">
        <v>376</v>
      </c>
      <c r="D196" s="10" t="s">
        <v>236</v>
      </c>
      <c r="E196" s="10" t="str">
        <f t="shared" si="8"/>
        <v>M</v>
      </c>
      <c r="F196" s="10" t="str">
        <f t="shared" si="9"/>
        <v>E</v>
      </c>
      <c r="G196" s="11" t="str">
        <f t="shared" si="10"/>
        <v>ME van Tonder</v>
      </c>
      <c r="I196"/>
      <c r="J196"/>
      <c r="K196"/>
      <c r="L196"/>
    </row>
    <row r="197" spans="1:12" ht="14.4" x14ac:dyDescent="0.3">
      <c r="A197" s="10">
        <v>198</v>
      </c>
      <c r="B197" s="10">
        <v>372</v>
      </c>
      <c r="C197" s="10" t="s">
        <v>424</v>
      </c>
      <c r="D197" s="10" t="s">
        <v>426</v>
      </c>
      <c r="E197" s="10" t="str">
        <f t="shared" si="8"/>
        <v>J</v>
      </c>
      <c r="F197" s="10" t="str">
        <f t="shared" si="9"/>
        <v>W</v>
      </c>
      <c r="G197" s="11" t="str">
        <f t="shared" si="10"/>
        <v>JW Nel</v>
      </c>
      <c r="I197"/>
      <c r="J197"/>
      <c r="K197"/>
      <c r="L197"/>
    </row>
    <row r="198" spans="1:12" ht="14.4" x14ac:dyDescent="0.3">
      <c r="A198" s="10">
        <v>199</v>
      </c>
      <c r="B198" s="10">
        <v>19</v>
      </c>
      <c r="C198" s="10" t="s">
        <v>427</v>
      </c>
      <c r="D198" s="10" t="s">
        <v>199</v>
      </c>
      <c r="E198" s="10" t="str">
        <f>LEFT(D198,1)</f>
        <v>A</v>
      </c>
      <c r="F198" s="10" t="str">
        <f>IF(MID(D198,2,1)=" ",MID(D198,3,1),MID(D198,2,1))</f>
        <v>L</v>
      </c>
      <c r="G198" s="11" t="str">
        <f>IF(D198="",C198,CONCATENATE(E198,F198," ",C198))</f>
        <v>AL Kennedy</v>
      </c>
      <c r="I198"/>
      <c r="J198"/>
      <c r="K198"/>
      <c r="L198"/>
    </row>
    <row r="199" spans="1:12" ht="14.4" x14ac:dyDescent="0.3">
      <c r="A199" s="10">
        <v>200</v>
      </c>
      <c r="B199" s="10">
        <v>446</v>
      </c>
      <c r="C199" s="10" t="s">
        <v>275</v>
      </c>
      <c r="D199" s="11" t="s">
        <v>288</v>
      </c>
      <c r="E199" s="10" t="str">
        <f t="shared" si="8"/>
        <v>B</v>
      </c>
      <c r="F199" s="10" t="str">
        <f t="shared" si="9"/>
        <v/>
      </c>
      <c r="G199" s="11" t="str">
        <f t="shared" si="10"/>
        <v>B Ohsiek</v>
      </c>
      <c r="I199"/>
      <c r="J199"/>
      <c r="K199"/>
      <c r="L199"/>
    </row>
    <row r="200" spans="1:12" ht="14.4" x14ac:dyDescent="0.3">
      <c r="A200" s="10">
        <v>201</v>
      </c>
      <c r="B200" s="10">
        <v>134</v>
      </c>
      <c r="C200" s="10" t="s">
        <v>420</v>
      </c>
      <c r="D200" s="10" t="s">
        <v>217</v>
      </c>
      <c r="E200" s="10" t="str">
        <f t="shared" si="8"/>
        <v>A</v>
      </c>
      <c r="F200" s="10" t="str">
        <f t="shared" si="9"/>
        <v>J</v>
      </c>
      <c r="G200" s="11" t="str">
        <f t="shared" si="10"/>
        <v>AJ Oosthuizen</v>
      </c>
      <c r="I200"/>
      <c r="J200"/>
      <c r="K200"/>
      <c r="L200"/>
    </row>
    <row r="201" spans="1:12" ht="14.4" x14ac:dyDescent="0.3">
      <c r="A201" s="10">
        <v>202</v>
      </c>
      <c r="B201" s="10">
        <v>24</v>
      </c>
      <c r="C201" s="10" t="s">
        <v>420</v>
      </c>
      <c r="D201" s="11" t="s">
        <v>428</v>
      </c>
      <c r="E201" s="10" t="str">
        <f t="shared" si="8"/>
        <v>N</v>
      </c>
      <c r="F201" s="10" t="str">
        <f t="shared" si="9"/>
        <v>D</v>
      </c>
      <c r="G201" s="11" t="str">
        <f t="shared" si="10"/>
        <v>ND Oosthuizen</v>
      </c>
      <c r="I201"/>
      <c r="J201"/>
      <c r="K201"/>
      <c r="L201"/>
    </row>
    <row r="202" spans="1:12" ht="14.4" x14ac:dyDescent="0.3">
      <c r="A202" s="10">
        <v>203</v>
      </c>
      <c r="B202" s="10">
        <v>295</v>
      </c>
      <c r="C202" s="10" t="s">
        <v>420</v>
      </c>
      <c r="D202" s="10" t="s">
        <v>429</v>
      </c>
      <c r="E202" s="10" t="str">
        <f t="shared" si="8"/>
        <v>S</v>
      </c>
      <c r="F202" s="10" t="str">
        <f t="shared" si="9"/>
        <v>C</v>
      </c>
      <c r="G202" s="11" t="str">
        <f t="shared" si="10"/>
        <v>SC Oosthuizen</v>
      </c>
      <c r="I202"/>
      <c r="J202"/>
      <c r="K202"/>
      <c r="L202"/>
    </row>
    <row r="203" spans="1:12" ht="14.4" x14ac:dyDescent="0.3">
      <c r="A203" s="10">
        <v>204</v>
      </c>
      <c r="B203" s="10">
        <v>26</v>
      </c>
      <c r="C203" s="10" t="s">
        <v>430</v>
      </c>
      <c r="D203" s="10" t="s">
        <v>431</v>
      </c>
      <c r="E203" s="10" t="str">
        <f t="shared" si="8"/>
        <v>H</v>
      </c>
      <c r="F203" s="10" t="str">
        <f t="shared" si="9"/>
        <v>P</v>
      </c>
      <c r="G203" s="11" t="str">
        <f t="shared" si="10"/>
        <v>HP Pienaar</v>
      </c>
      <c r="I203"/>
      <c r="J203"/>
      <c r="K203"/>
      <c r="L203"/>
    </row>
    <row r="204" spans="1:12" ht="14.4" x14ac:dyDescent="0.3">
      <c r="A204" s="10">
        <v>205</v>
      </c>
      <c r="B204" s="10">
        <v>22</v>
      </c>
      <c r="C204" s="10" t="s">
        <v>390</v>
      </c>
      <c r="D204" s="10" t="s">
        <v>432</v>
      </c>
      <c r="E204" s="10" t="str">
        <f t="shared" si="8"/>
        <v>A</v>
      </c>
      <c r="F204" s="10" t="str">
        <f t="shared" si="9"/>
        <v>C</v>
      </c>
      <c r="G204" s="11" t="str">
        <f t="shared" si="10"/>
        <v>AC de Vries</v>
      </c>
      <c r="I204"/>
      <c r="J204"/>
      <c r="K204"/>
      <c r="L204"/>
    </row>
    <row r="205" spans="1:12" ht="14.4" x14ac:dyDescent="0.3">
      <c r="A205" s="10">
        <v>206</v>
      </c>
      <c r="B205" s="10">
        <v>147</v>
      </c>
      <c r="C205" s="10" t="s">
        <v>433</v>
      </c>
      <c r="D205" s="10" t="s">
        <v>333</v>
      </c>
      <c r="E205" s="10" t="str">
        <f t="shared" si="8"/>
        <v>H</v>
      </c>
      <c r="F205" s="10" t="str">
        <f t="shared" si="9"/>
        <v>J</v>
      </c>
      <c r="G205" s="11" t="str">
        <f t="shared" si="10"/>
        <v>HJ Potgieter</v>
      </c>
      <c r="I205"/>
      <c r="J205"/>
      <c r="K205"/>
      <c r="L205"/>
    </row>
    <row r="206" spans="1:12" ht="14.4" x14ac:dyDescent="0.3">
      <c r="A206" s="10">
        <v>207</v>
      </c>
      <c r="B206" s="10">
        <v>77</v>
      </c>
      <c r="C206" s="10" t="s">
        <v>434</v>
      </c>
      <c r="D206" s="10" t="s">
        <v>435</v>
      </c>
      <c r="E206" s="10" t="str">
        <f t="shared" si="8"/>
        <v>D</v>
      </c>
      <c r="F206" s="10" t="str">
        <f t="shared" si="9"/>
        <v/>
      </c>
      <c r="G206" s="11" t="str">
        <f t="shared" si="10"/>
        <v>D Pretorius</v>
      </c>
      <c r="I206"/>
      <c r="J206"/>
      <c r="K206"/>
      <c r="L206"/>
    </row>
    <row r="207" spans="1:12" ht="14.4" x14ac:dyDescent="0.3">
      <c r="A207" s="10">
        <v>208</v>
      </c>
      <c r="B207" s="10">
        <v>260</v>
      </c>
      <c r="C207" s="10" t="s">
        <v>436</v>
      </c>
      <c r="D207" s="10" t="s">
        <v>156</v>
      </c>
      <c r="E207" s="10" t="str">
        <f t="shared" si="8"/>
        <v/>
      </c>
      <c r="F207" s="10" t="str">
        <f t="shared" si="9"/>
        <v/>
      </c>
      <c r="G207" s="11" t="str">
        <f t="shared" si="10"/>
        <v>Pretorius Familie Beleggings Trust</v>
      </c>
      <c r="I207"/>
      <c r="J207"/>
      <c r="K207"/>
      <c r="L207"/>
    </row>
    <row r="208" spans="1:12" ht="14.4" x14ac:dyDescent="0.3">
      <c r="A208" s="10">
        <v>209</v>
      </c>
      <c r="B208" s="10">
        <v>390</v>
      </c>
      <c r="C208" s="10" t="s">
        <v>434</v>
      </c>
      <c r="D208" s="10" t="s">
        <v>437</v>
      </c>
      <c r="E208" s="10" t="str">
        <f t="shared" si="8"/>
        <v>H</v>
      </c>
      <c r="F208" s="10" t="str">
        <f t="shared" si="9"/>
        <v>P</v>
      </c>
      <c r="G208" s="11" t="str">
        <f t="shared" si="10"/>
        <v>HP Pretorius</v>
      </c>
      <c r="I208"/>
      <c r="J208"/>
      <c r="K208"/>
      <c r="L208"/>
    </row>
    <row r="209" spans="1:12" ht="14.4" x14ac:dyDescent="0.3">
      <c r="A209" s="10">
        <v>210</v>
      </c>
      <c r="B209" s="10">
        <v>210</v>
      </c>
      <c r="C209" s="10" t="s">
        <v>438</v>
      </c>
      <c r="D209" s="10" t="s">
        <v>439</v>
      </c>
      <c r="E209" s="10" t="str">
        <f t="shared" si="8"/>
        <v>D</v>
      </c>
      <c r="F209" s="10" t="str">
        <f t="shared" si="9"/>
        <v>L</v>
      </c>
      <c r="G209" s="11" t="str">
        <f t="shared" si="10"/>
        <v>DL Swartz</v>
      </c>
      <c r="I209"/>
      <c r="J209"/>
      <c r="K209"/>
      <c r="L209"/>
    </row>
    <row r="210" spans="1:12" ht="14.4" x14ac:dyDescent="0.3">
      <c r="A210" s="10">
        <v>211</v>
      </c>
      <c r="B210" s="10">
        <v>22</v>
      </c>
      <c r="C210" s="10" t="s">
        <v>390</v>
      </c>
      <c r="D210" s="10" t="s">
        <v>440</v>
      </c>
      <c r="E210" s="10" t="str">
        <f t="shared" si="8"/>
        <v>G</v>
      </c>
      <c r="F210" s="10" t="str">
        <f t="shared" si="9"/>
        <v>S</v>
      </c>
      <c r="G210" s="11" t="str">
        <f t="shared" si="10"/>
        <v>GS de Vries</v>
      </c>
      <c r="I210"/>
      <c r="J210"/>
      <c r="K210"/>
      <c r="L210"/>
    </row>
    <row r="211" spans="1:12" ht="14.4" x14ac:dyDescent="0.3">
      <c r="A211" s="10">
        <v>212</v>
      </c>
      <c r="B211" s="10">
        <v>390</v>
      </c>
      <c r="C211" s="10" t="s">
        <v>434</v>
      </c>
      <c r="D211" s="10" t="s">
        <v>441</v>
      </c>
      <c r="E211" s="10" t="str">
        <f t="shared" si="8"/>
        <v>Z</v>
      </c>
      <c r="F211" s="10" t="str">
        <f t="shared" si="9"/>
        <v/>
      </c>
      <c r="G211" s="11" t="str">
        <f t="shared" si="10"/>
        <v>Z Pretorius</v>
      </c>
      <c r="I211"/>
      <c r="J211"/>
      <c r="K211"/>
      <c r="L211"/>
    </row>
    <row r="212" spans="1:12" ht="14.4" x14ac:dyDescent="0.3">
      <c r="A212" s="10">
        <v>213</v>
      </c>
      <c r="B212" s="10">
        <v>334</v>
      </c>
      <c r="C212" s="10" t="s">
        <v>442</v>
      </c>
      <c r="D212" s="10" t="s">
        <v>443</v>
      </c>
      <c r="E212" s="10" t="str">
        <f t="shared" si="8"/>
        <v>E</v>
      </c>
      <c r="F212" s="10" t="str">
        <f t="shared" si="9"/>
        <v>A</v>
      </c>
      <c r="G212" s="11" t="str">
        <f t="shared" si="10"/>
        <v>EA Raath</v>
      </c>
      <c r="I212"/>
      <c r="J212"/>
      <c r="K212"/>
      <c r="L212"/>
    </row>
    <row r="213" spans="1:12" ht="14.4" x14ac:dyDescent="0.3">
      <c r="A213" s="10">
        <v>214</v>
      </c>
      <c r="B213" s="10">
        <v>432</v>
      </c>
      <c r="C213" s="10" t="s">
        <v>444</v>
      </c>
      <c r="D213" s="10" t="s">
        <v>445</v>
      </c>
      <c r="E213" s="10" t="str">
        <f t="shared" si="8"/>
        <v>S</v>
      </c>
      <c r="F213" s="10" t="str">
        <f t="shared" si="9"/>
        <v>W</v>
      </c>
      <c r="G213" s="11" t="str">
        <f t="shared" si="10"/>
        <v>SW Radley</v>
      </c>
      <c r="I213"/>
      <c r="J213"/>
      <c r="K213"/>
      <c r="L213"/>
    </row>
    <row r="214" spans="1:12" ht="14.4" x14ac:dyDescent="0.3">
      <c r="A214" s="10">
        <v>215</v>
      </c>
      <c r="B214" s="10">
        <v>41</v>
      </c>
      <c r="C214" s="10" t="s">
        <v>446</v>
      </c>
      <c r="D214" s="10" t="s">
        <v>156</v>
      </c>
      <c r="E214" s="10" t="str">
        <f t="shared" si="8"/>
        <v/>
      </c>
      <c r="F214" s="10" t="str">
        <f t="shared" si="9"/>
        <v/>
      </c>
      <c r="G214" s="11" t="str">
        <f t="shared" si="10"/>
        <v>Reebok Trust</v>
      </c>
      <c r="I214"/>
      <c r="J214"/>
      <c r="K214"/>
      <c r="L214"/>
    </row>
    <row r="215" spans="1:12" ht="14.4" x14ac:dyDescent="0.3">
      <c r="A215" s="10">
        <v>216</v>
      </c>
      <c r="B215" s="10">
        <v>220</v>
      </c>
      <c r="C215" s="10" t="s">
        <v>447</v>
      </c>
      <c r="D215" s="10" t="s">
        <v>448</v>
      </c>
      <c r="E215" s="10" t="str">
        <f t="shared" si="8"/>
        <v>K</v>
      </c>
      <c r="F215" s="10" t="str">
        <f t="shared" si="9"/>
        <v/>
      </c>
      <c r="G215" s="11" t="str">
        <f t="shared" si="10"/>
        <v>K Roodman</v>
      </c>
      <c r="I215"/>
      <c r="J215"/>
      <c r="K215"/>
      <c r="L215"/>
    </row>
    <row r="216" spans="1:12" ht="14.4" x14ac:dyDescent="0.3">
      <c r="A216" s="10">
        <v>218</v>
      </c>
      <c r="B216" s="10">
        <v>104</v>
      </c>
      <c r="C216" s="10" t="s">
        <v>449</v>
      </c>
      <c r="D216" s="10"/>
      <c r="E216" s="10" t="str">
        <f t="shared" si="8"/>
        <v/>
      </c>
      <c r="F216" s="10" t="str">
        <f t="shared" si="9"/>
        <v/>
      </c>
      <c r="G216" s="11" t="str">
        <f t="shared" si="10"/>
        <v>Ora Et Labora Trust</v>
      </c>
      <c r="I216"/>
      <c r="J216"/>
      <c r="K216"/>
      <c r="L216"/>
    </row>
    <row r="217" spans="1:12" ht="14.4" x14ac:dyDescent="0.3">
      <c r="A217" s="10">
        <v>219</v>
      </c>
      <c r="B217" s="10">
        <v>445</v>
      </c>
      <c r="C217" s="10" t="s">
        <v>450</v>
      </c>
      <c r="D217" s="10" t="s">
        <v>451</v>
      </c>
      <c r="E217" s="10" t="str">
        <f t="shared" si="8"/>
        <v>A</v>
      </c>
      <c r="F217" s="10" t="str">
        <f t="shared" si="9"/>
        <v>W</v>
      </c>
      <c r="G217" s="11" t="str">
        <f t="shared" si="10"/>
        <v>AW SCHOEMAN</v>
      </c>
      <c r="I217"/>
      <c r="J217"/>
      <c r="K217"/>
      <c r="L217"/>
    </row>
    <row r="218" spans="1:12" ht="14.4" x14ac:dyDescent="0.3">
      <c r="A218" s="10">
        <v>220</v>
      </c>
      <c r="B218" s="10">
        <v>125</v>
      </c>
      <c r="C218" s="10" t="s">
        <v>452</v>
      </c>
      <c r="D218" s="10" t="s">
        <v>453</v>
      </c>
      <c r="E218" s="10" t="str">
        <f t="shared" si="8"/>
        <v>E</v>
      </c>
      <c r="F218" s="10" t="str">
        <f t="shared" si="9"/>
        <v>F</v>
      </c>
      <c r="G218" s="11" t="str">
        <f t="shared" si="10"/>
        <v>EF Slabber</v>
      </c>
      <c r="I218"/>
      <c r="J218"/>
      <c r="K218"/>
      <c r="L218"/>
    </row>
    <row r="219" spans="1:12" ht="14.4" x14ac:dyDescent="0.3">
      <c r="A219" s="10">
        <v>221</v>
      </c>
      <c r="B219" s="10">
        <v>127</v>
      </c>
      <c r="C219" s="10" t="s">
        <v>454</v>
      </c>
      <c r="D219" s="10" t="s">
        <v>455</v>
      </c>
      <c r="E219" s="10" t="str">
        <f t="shared" si="8"/>
        <v>H</v>
      </c>
      <c r="F219" s="10" t="str">
        <f t="shared" si="9"/>
        <v>I</v>
      </c>
      <c r="G219" s="11" t="str">
        <f t="shared" si="10"/>
        <v>HI Slabbert</v>
      </c>
      <c r="I219"/>
      <c r="J219"/>
      <c r="K219"/>
      <c r="L219"/>
    </row>
    <row r="220" spans="1:12" ht="14.4" x14ac:dyDescent="0.3">
      <c r="A220" s="10">
        <v>222</v>
      </c>
      <c r="B220" s="10">
        <v>35</v>
      </c>
      <c r="C220" s="10" t="s">
        <v>398</v>
      </c>
      <c r="D220" s="10" t="s">
        <v>288</v>
      </c>
      <c r="E220" s="10" t="str">
        <f t="shared" si="8"/>
        <v>B</v>
      </c>
      <c r="F220" s="10" t="str">
        <f t="shared" si="9"/>
        <v/>
      </c>
      <c r="G220" s="11" t="str">
        <f t="shared" si="10"/>
        <v>B Koorts</v>
      </c>
      <c r="I220"/>
      <c r="J220"/>
      <c r="K220"/>
      <c r="L220"/>
    </row>
    <row r="221" spans="1:12" ht="14.4" x14ac:dyDescent="0.3">
      <c r="A221" s="10">
        <v>223</v>
      </c>
      <c r="B221" s="10">
        <v>120</v>
      </c>
      <c r="C221" s="10" t="s">
        <v>235</v>
      </c>
      <c r="D221" s="10" t="s">
        <v>456</v>
      </c>
      <c r="E221" s="10" t="str">
        <f t="shared" si="8"/>
        <v>P</v>
      </c>
      <c r="F221" s="10" t="str">
        <f t="shared" si="9"/>
        <v>J</v>
      </c>
      <c r="G221" s="11" t="str">
        <f t="shared" si="10"/>
        <v>PJ Strydom</v>
      </c>
      <c r="I221"/>
      <c r="J221"/>
      <c r="K221"/>
      <c r="L221"/>
    </row>
    <row r="222" spans="1:12" ht="14.4" x14ac:dyDescent="0.3">
      <c r="A222" s="10">
        <v>224</v>
      </c>
      <c r="B222" s="10">
        <v>457</v>
      </c>
      <c r="C222" s="10" t="s">
        <v>457</v>
      </c>
      <c r="D222" s="10" t="s">
        <v>435</v>
      </c>
      <c r="E222" s="10" t="str">
        <f t="shared" si="8"/>
        <v>D</v>
      </c>
      <c r="F222" s="10" t="str">
        <f t="shared" si="9"/>
        <v/>
      </c>
      <c r="G222" s="11" t="str">
        <f t="shared" si="10"/>
        <v>D Swanepoel</v>
      </c>
      <c r="I222"/>
      <c r="J222"/>
      <c r="K222"/>
      <c r="L222"/>
    </row>
    <row r="223" spans="1:12" ht="14.4" x14ac:dyDescent="0.3">
      <c r="A223" s="10">
        <v>225</v>
      </c>
      <c r="B223" s="10">
        <v>378</v>
      </c>
      <c r="C223" s="10" t="s">
        <v>458</v>
      </c>
      <c r="D223" s="10" t="s">
        <v>244</v>
      </c>
      <c r="E223" s="10" t="str">
        <f t="shared" si="8"/>
        <v>H</v>
      </c>
      <c r="F223" s="10" t="str">
        <f t="shared" si="9"/>
        <v/>
      </c>
      <c r="G223" s="11" t="str">
        <f t="shared" si="10"/>
        <v>H Swart</v>
      </c>
      <c r="I223"/>
      <c r="J223"/>
      <c r="K223"/>
      <c r="L223"/>
    </row>
    <row r="224" spans="1:12" ht="14.4" x14ac:dyDescent="0.3">
      <c r="A224" s="10">
        <v>226</v>
      </c>
      <c r="B224" s="10">
        <v>271</v>
      </c>
      <c r="C224" s="10" t="s">
        <v>458</v>
      </c>
      <c r="D224" s="10" t="s">
        <v>459</v>
      </c>
      <c r="E224" s="10" t="str">
        <f t="shared" si="8"/>
        <v>H</v>
      </c>
      <c r="F224" s="10" t="str">
        <f t="shared" si="9"/>
        <v>B</v>
      </c>
      <c r="G224" s="11" t="str">
        <f t="shared" si="10"/>
        <v>HB Swart</v>
      </c>
      <c r="I224"/>
      <c r="J224"/>
      <c r="K224"/>
      <c r="L224"/>
    </row>
    <row r="225" spans="1:12" ht="14.4" x14ac:dyDescent="0.3">
      <c r="A225" s="10">
        <v>227</v>
      </c>
      <c r="B225" s="10">
        <v>100</v>
      </c>
      <c r="C225" s="10" t="s">
        <v>460</v>
      </c>
      <c r="D225" s="10"/>
      <c r="E225" s="10" t="str">
        <f t="shared" si="8"/>
        <v/>
      </c>
      <c r="F225" s="10" t="str">
        <f t="shared" si="9"/>
        <v/>
      </c>
      <c r="G225" s="11" t="str">
        <f t="shared" si="10"/>
        <v>Tel Familie Trust</v>
      </c>
      <c r="I225"/>
      <c r="J225"/>
      <c r="K225"/>
      <c r="L225"/>
    </row>
    <row r="226" spans="1:12" ht="14.4" x14ac:dyDescent="0.3">
      <c r="A226" s="10">
        <v>228</v>
      </c>
      <c r="B226" s="10">
        <v>66</v>
      </c>
      <c r="C226" s="10" t="s">
        <v>461</v>
      </c>
      <c r="D226" s="11" t="s">
        <v>462</v>
      </c>
      <c r="E226" s="10" t="str">
        <f t="shared" si="8"/>
        <v>D</v>
      </c>
      <c r="F226" s="10" t="str">
        <f t="shared" si="9"/>
        <v>P</v>
      </c>
      <c r="G226" s="11" t="str">
        <f t="shared" si="10"/>
        <v>DP Thompson</v>
      </c>
      <c r="I226"/>
      <c r="J226"/>
      <c r="K226"/>
      <c r="L226"/>
    </row>
    <row r="227" spans="1:12" ht="14.4" x14ac:dyDescent="0.3">
      <c r="A227" s="10">
        <v>229</v>
      </c>
      <c r="B227" s="10">
        <v>2</v>
      </c>
      <c r="C227" s="10" t="s">
        <v>394</v>
      </c>
      <c r="D227" s="11" t="s">
        <v>269</v>
      </c>
      <c r="E227" s="10" t="str">
        <f t="shared" si="8"/>
        <v>E</v>
      </c>
      <c r="F227" s="10" t="str">
        <f t="shared" si="9"/>
        <v/>
      </c>
      <c r="G227" s="11" t="str">
        <f t="shared" si="10"/>
        <v>E van der Merwe</v>
      </c>
      <c r="I227"/>
      <c r="J227"/>
      <c r="K227"/>
      <c r="L227"/>
    </row>
    <row r="228" spans="1:12" ht="14.4" x14ac:dyDescent="0.3">
      <c r="A228" s="10">
        <v>230</v>
      </c>
      <c r="B228" s="10">
        <v>278</v>
      </c>
      <c r="C228" s="10" t="s">
        <v>461</v>
      </c>
      <c r="D228" s="10" t="s">
        <v>169</v>
      </c>
      <c r="E228" s="10" t="str">
        <f t="shared" si="8"/>
        <v>P</v>
      </c>
      <c r="F228" s="10" t="str">
        <f t="shared" si="9"/>
        <v>J</v>
      </c>
      <c r="G228" s="11" t="str">
        <f t="shared" si="10"/>
        <v>PJ Thompson</v>
      </c>
      <c r="I228"/>
      <c r="J228"/>
      <c r="K228"/>
      <c r="L228"/>
    </row>
    <row r="229" spans="1:12" ht="14.4" x14ac:dyDescent="0.3">
      <c r="A229" s="10">
        <v>231</v>
      </c>
      <c r="B229" s="10">
        <v>135</v>
      </c>
      <c r="C229" s="10" t="s">
        <v>463</v>
      </c>
      <c r="D229" s="10" t="s">
        <v>156</v>
      </c>
      <c r="E229" s="10" t="str">
        <f t="shared" si="8"/>
        <v/>
      </c>
      <c r="F229" s="10" t="str">
        <f t="shared" si="9"/>
        <v/>
      </c>
      <c r="G229" s="11" t="str">
        <f t="shared" si="10"/>
        <v>Toelina Trust</v>
      </c>
      <c r="I229"/>
      <c r="J229"/>
      <c r="K229"/>
      <c r="L229"/>
    </row>
    <row r="230" spans="1:12" ht="14.4" x14ac:dyDescent="0.3">
      <c r="A230" s="10">
        <v>232</v>
      </c>
      <c r="B230" s="10">
        <v>420</v>
      </c>
      <c r="C230" s="10" t="s">
        <v>464</v>
      </c>
      <c r="D230" s="10" t="s">
        <v>156</v>
      </c>
      <c r="E230" s="10" t="str">
        <f t="shared" ref="E230:E294" si="11">LEFT(D230,1)</f>
        <v/>
      </c>
      <c r="F230" s="10" t="str">
        <f t="shared" ref="F230:F294" si="12">IF(MID(D230,2,1)=" ",MID(D230,3,1),MID(D230,2,1))</f>
        <v/>
      </c>
      <c r="G230" s="11" t="str">
        <f t="shared" ref="G230:G294" si="13">IF(D230="",C230,CONCATENATE(E230,F230," ",C230))</f>
        <v>Tomora Trust</v>
      </c>
      <c r="I230"/>
      <c r="J230"/>
      <c r="K230"/>
      <c r="L230"/>
    </row>
    <row r="231" spans="1:12" ht="14.4" x14ac:dyDescent="0.3">
      <c r="A231" s="10">
        <v>233</v>
      </c>
      <c r="B231" s="10">
        <v>116</v>
      </c>
      <c r="C231" s="10" t="s">
        <v>465</v>
      </c>
      <c r="D231" s="10" t="s">
        <v>466</v>
      </c>
      <c r="E231" s="10" t="str">
        <f t="shared" si="11"/>
        <v>J</v>
      </c>
      <c r="F231" s="10" t="str">
        <f t="shared" si="12"/>
        <v>W</v>
      </c>
      <c r="G231" s="11" t="str">
        <f t="shared" si="13"/>
        <v>JW Van Antwerpen</v>
      </c>
      <c r="I231"/>
      <c r="J231"/>
      <c r="K231"/>
      <c r="L231"/>
    </row>
    <row r="232" spans="1:12" ht="14.4" x14ac:dyDescent="0.3">
      <c r="A232" s="10">
        <v>234</v>
      </c>
      <c r="B232" s="10">
        <v>116</v>
      </c>
      <c r="C232" s="10" t="s">
        <v>467</v>
      </c>
      <c r="D232" s="10" t="s">
        <v>468</v>
      </c>
      <c r="E232" s="10" t="str">
        <f t="shared" si="11"/>
        <v>K</v>
      </c>
      <c r="F232" s="10" t="str">
        <f t="shared" si="12"/>
        <v>E</v>
      </c>
      <c r="G232" s="11" t="str">
        <f t="shared" si="13"/>
        <v>KE VAN ANTWERPEN</v>
      </c>
      <c r="I232"/>
      <c r="J232"/>
      <c r="K232"/>
      <c r="L232"/>
    </row>
    <row r="233" spans="1:12" ht="14.4" x14ac:dyDescent="0.3">
      <c r="A233" s="10">
        <v>235</v>
      </c>
      <c r="B233" s="10">
        <v>443</v>
      </c>
      <c r="C233" s="10" t="s">
        <v>469</v>
      </c>
      <c r="D233" s="11" t="s">
        <v>470</v>
      </c>
      <c r="E233" s="10" t="str">
        <f t="shared" si="11"/>
        <v>M</v>
      </c>
      <c r="F233" s="10" t="str">
        <f t="shared" si="12"/>
        <v>W</v>
      </c>
      <c r="G233" s="11" t="str">
        <f t="shared" si="13"/>
        <v>MW Van Aswegen</v>
      </c>
      <c r="I233"/>
      <c r="J233"/>
      <c r="K233"/>
      <c r="L233"/>
    </row>
    <row r="234" spans="1:12" ht="14.4" x14ac:dyDescent="0.3">
      <c r="A234" s="10">
        <v>236</v>
      </c>
      <c r="B234" s="10">
        <v>387</v>
      </c>
      <c r="C234" s="10" t="s">
        <v>471</v>
      </c>
      <c r="D234" s="10" t="s">
        <v>409</v>
      </c>
      <c r="E234" s="10" t="str">
        <f t="shared" si="11"/>
        <v>L</v>
      </c>
      <c r="F234" s="10" t="str">
        <f t="shared" si="12"/>
        <v/>
      </c>
      <c r="G234" s="11" t="str">
        <f t="shared" si="13"/>
        <v>L Van Den Berg</v>
      </c>
      <c r="I234"/>
      <c r="J234"/>
      <c r="K234"/>
      <c r="L234"/>
    </row>
    <row r="235" spans="1:12" ht="14.4" x14ac:dyDescent="0.3">
      <c r="A235" s="10">
        <v>237</v>
      </c>
      <c r="B235" s="10">
        <v>351</v>
      </c>
      <c r="C235" s="10" t="s">
        <v>472</v>
      </c>
      <c r="D235" s="10" t="s">
        <v>473</v>
      </c>
      <c r="E235" s="10" t="str">
        <f t="shared" si="11"/>
        <v>M</v>
      </c>
      <c r="F235" s="10" t="str">
        <f t="shared" si="12"/>
        <v>H</v>
      </c>
      <c r="G235" s="11" t="str">
        <f t="shared" si="13"/>
        <v>MH Van den Berg</v>
      </c>
      <c r="I235"/>
      <c r="J235"/>
      <c r="K235"/>
      <c r="L235"/>
    </row>
    <row r="236" spans="1:12" ht="14.4" x14ac:dyDescent="0.3">
      <c r="A236" s="10">
        <v>238</v>
      </c>
      <c r="B236" s="10">
        <v>37</v>
      </c>
      <c r="C236" s="10" t="s">
        <v>474</v>
      </c>
      <c r="D236" s="10" t="s">
        <v>475</v>
      </c>
      <c r="E236" s="10" t="str">
        <f t="shared" si="11"/>
        <v>H</v>
      </c>
      <c r="F236" s="10" t="str">
        <f t="shared" si="12"/>
        <v>J</v>
      </c>
      <c r="G236" s="11" t="str">
        <f t="shared" si="13"/>
        <v>HJ Jansen Van Rensburg</v>
      </c>
      <c r="I236"/>
      <c r="J236"/>
      <c r="K236"/>
      <c r="L236"/>
    </row>
    <row r="237" spans="1:12" ht="14.4" x14ac:dyDescent="0.3">
      <c r="A237" s="10">
        <v>240</v>
      </c>
      <c r="B237" s="10">
        <v>329</v>
      </c>
      <c r="C237" s="10" t="s">
        <v>476</v>
      </c>
      <c r="D237" s="10" t="s">
        <v>477</v>
      </c>
      <c r="E237" s="10" t="str">
        <f t="shared" si="11"/>
        <v>C</v>
      </c>
      <c r="F237" s="10" t="str">
        <f t="shared" si="12"/>
        <v>M</v>
      </c>
      <c r="G237" s="11" t="str">
        <f t="shared" si="13"/>
        <v>CM Van der Vyver</v>
      </c>
      <c r="I237"/>
      <c r="J237"/>
      <c r="K237"/>
      <c r="L237"/>
    </row>
    <row r="238" spans="1:12" ht="14.4" x14ac:dyDescent="0.3">
      <c r="A238" s="10">
        <v>241</v>
      </c>
      <c r="B238" s="10">
        <v>367</v>
      </c>
      <c r="C238" s="10" t="s">
        <v>478</v>
      </c>
      <c r="D238" s="10" t="s">
        <v>479</v>
      </c>
      <c r="E238" s="10" t="str">
        <f t="shared" si="11"/>
        <v>R</v>
      </c>
      <c r="F238" s="10" t="str">
        <f t="shared" si="12"/>
        <v>F</v>
      </c>
      <c r="G238" s="11" t="str">
        <f t="shared" si="13"/>
        <v>RF Van Der Watt</v>
      </c>
      <c r="I238"/>
      <c r="J238"/>
      <c r="K238"/>
      <c r="L238"/>
    </row>
    <row r="239" spans="1:12" ht="14.4" x14ac:dyDescent="0.3">
      <c r="A239" s="10">
        <v>242</v>
      </c>
      <c r="B239" s="10">
        <v>447</v>
      </c>
      <c r="C239" s="10" t="s">
        <v>480</v>
      </c>
      <c r="D239" s="10" t="s">
        <v>333</v>
      </c>
      <c r="E239" s="10" t="str">
        <f t="shared" si="11"/>
        <v>H</v>
      </c>
      <c r="F239" s="10" t="str">
        <f t="shared" si="12"/>
        <v>J</v>
      </c>
      <c r="G239" s="11" t="str">
        <f t="shared" si="13"/>
        <v>HJ Van der Westhuizen</v>
      </c>
      <c r="I239"/>
      <c r="J239"/>
      <c r="K239"/>
      <c r="L239"/>
    </row>
    <row r="240" spans="1:12" ht="14.4" x14ac:dyDescent="0.3">
      <c r="A240" s="10">
        <v>243</v>
      </c>
      <c r="B240" s="10">
        <v>283</v>
      </c>
      <c r="C240" s="10" t="s">
        <v>480</v>
      </c>
      <c r="D240" s="10" t="s">
        <v>481</v>
      </c>
      <c r="E240" s="10" t="str">
        <f t="shared" si="11"/>
        <v>D</v>
      </c>
      <c r="F240" s="10" t="str">
        <f t="shared" si="12"/>
        <v>E</v>
      </c>
      <c r="G240" s="11" t="str">
        <f t="shared" si="13"/>
        <v>DE Van der Westhuizen</v>
      </c>
      <c r="I240"/>
      <c r="J240"/>
      <c r="K240"/>
      <c r="L240"/>
    </row>
    <row r="241" spans="1:12" ht="14.4" x14ac:dyDescent="0.3">
      <c r="A241" s="10">
        <v>245</v>
      </c>
      <c r="B241" s="10">
        <v>480</v>
      </c>
      <c r="C241" s="10" t="s">
        <v>482</v>
      </c>
      <c r="D241" s="10" t="s">
        <v>163</v>
      </c>
      <c r="E241" s="10" t="str">
        <f t="shared" si="11"/>
        <v>J</v>
      </c>
      <c r="F241" s="10" t="str">
        <f t="shared" si="12"/>
        <v/>
      </c>
      <c r="G241" s="11" t="str">
        <f t="shared" si="13"/>
        <v>J Van Eeden</v>
      </c>
      <c r="I241"/>
      <c r="J241"/>
      <c r="K241"/>
      <c r="L241"/>
    </row>
    <row r="242" spans="1:12" ht="14.4" x14ac:dyDescent="0.3">
      <c r="A242" s="10">
        <v>246</v>
      </c>
      <c r="B242" s="10">
        <v>6</v>
      </c>
      <c r="C242" s="10" t="s">
        <v>483</v>
      </c>
      <c r="D242" s="10" t="s">
        <v>242</v>
      </c>
      <c r="E242" s="10" t="str">
        <f t="shared" si="11"/>
        <v>J</v>
      </c>
      <c r="F242" s="10" t="str">
        <f t="shared" si="12"/>
        <v>P</v>
      </c>
      <c r="G242" s="11" t="str">
        <f t="shared" si="13"/>
        <v>JP Van Jaarsveld</v>
      </c>
      <c r="I242"/>
      <c r="J242"/>
      <c r="K242"/>
      <c r="L242"/>
    </row>
    <row r="243" spans="1:12" ht="14.4" x14ac:dyDescent="0.3">
      <c r="A243" s="10">
        <v>247</v>
      </c>
      <c r="B243" s="10">
        <v>240</v>
      </c>
      <c r="C243" s="10" t="s">
        <v>484</v>
      </c>
      <c r="D243" s="10" t="s">
        <v>238</v>
      </c>
      <c r="E243" s="10" t="str">
        <f t="shared" si="11"/>
        <v>S</v>
      </c>
      <c r="F243" s="10" t="str">
        <f t="shared" si="12"/>
        <v>S</v>
      </c>
      <c r="G243" s="11" t="str">
        <f t="shared" si="13"/>
        <v>SS Van Niekerk</v>
      </c>
      <c r="I243"/>
      <c r="J243"/>
      <c r="K243"/>
      <c r="L243"/>
    </row>
    <row r="244" spans="1:12" ht="14.4" x14ac:dyDescent="0.3">
      <c r="A244" s="10">
        <v>248</v>
      </c>
      <c r="B244" s="10">
        <v>456</v>
      </c>
      <c r="C244" s="10" t="s">
        <v>485</v>
      </c>
      <c r="D244" s="10" t="s">
        <v>477</v>
      </c>
      <c r="E244" s="10" t="str">
        <f t="shared" si="11"/>
        <v>C</v>
      </c>
      <c r="F244" s="10" t="str">
        <f t="shared" si="12"/>
        <v>M</v>
      </c>
      <c r="G244" s="11" t="str">
        <f t="shared" si="13"/>
        <v>CM Van Rooyen</v>
      </c>
      <c r="I244"/>
      <c r="J244"/>
      <c r="K244"/>
      <c r="L244"/>
    </row>
    <row r="245" spans="1:12" ht="14.4" x14ac:dyDescent="0.3">
      <c r="A245" s="10">
        <v>249</v>
      </c>
      <c r="B245" s="10">
        <v>290</v>
      </c>
      <c r="C245" s="10" t="s">
        <v>485</v>
      </c>
      <c r="D245" s="10" t="s">
        <v>486</v>
      </c>
      <c r="E245" s="10" t="str">
        <f t="shared" si="11"/>
        <v>G</v>
      </c>
      <c r="F245" s="10" t="str">
        <f t="shared" si="12"/>
        <v>H</v>
      </c>
      <c r="G245" s="11" t="str">
        <f t="shared" si="13"/>
        <v>GH Van Rooyen</v>
      </c>
      <c r="I245"/>
      <c r="J245"/>
      <c r="K245"/>
      <c r="L245"/>
    </row>
    <row r="246" spans="1:12" ht="14.4" x14ac:dyDescent="0.3">
      <c r="A246" s="10">
        <v>250</v>
      </c>
      <c r="B246" s="10">
        <v>65</v>
      </c>
      <c r="C246" s="10" t="s">
        <v>487</v>
      </c>
      <c r="D246" s="10" t="s">
        <v>488</v>
      </c>
      <c r="E246" s="10" t="str">
        <f t="shared" si="11"/>
        <v>E</v>
      </c>
      <c r="F246" s="10" t="str">
        <f t="shared" si="12"/>
        <v>L</v>
      </c>
      <c r="G246" s="11" t="str">
        <f t="shared" si="13"/>
        <v>EL Van Staden</v>
      </c>
      <c r="I246"/>
      <c r="J246"/>
      <c r="K246"/>
      <c r="L246"/>
    </row>
    <row r="247" spans="1:12" ht="14.4" x14ac:dyDescent="0.3">
      <c r="A247" s="10">
        <v>252</v>
      </c>
      <c r="B247" s="10">
        <v>468</v>
      </c>
      <c r="C247" s="10" t="s">
        <v>489</v>
      </c>
      <c r="D247" s="10" t="s">
        <v>217</v>
      </c>
      <c r="E247" s="10" t="str">
        <f t="shared" si="11"/>
        <v>A</v>
      </c>
      <c r="F247" s="10" t="str">
        <f t="shared" si="12"/>
        <v>J</v>
      </c>
      <c r="G247" s="11" t="str">
        <f t="shared" si="13"/>
        <v>AJ Van Tonder</v>
      </c>
      <c r="I247"/>
      <c r="J247"/>
      <c r="K247"/>
      <c r="L247"/>
    </row>
    <row r="248" spans="1:12" ht="14.4" x14ac:dyDescent="0.3">
      <c r="A248" s="10">
        <v>253</v>
      </c>
      <c r="B248" s="10">
        <v>63</v>
      </c>
      <c r="C248" s="10" t="s">
        <v>490</v>
      </c>
      <c r="D248" s="11" t="s">
        <v>217</v>
      </c>
      <c r="E248" s="10" t="str">
        <f t="shared" si="11"/>
        <v>A</v>
      </c>
      <c r="F248" s="10" t="str">
        <f t="shared" si="12"/>
        <v>J</v>
      </c>
      <c r="G248" s="11" t="str">
        <f t="shared" si="13"/>
        <v>AJ Van Tonder (Jnr)</v>
      </c>
      <c r="I248"/>
      <c r="J248"/>
      <c r="K248"/>
      <c r="L248"/>
    </row>
    <row r="249" spans="1:12" ht="14.4" x14ac:dyDescent="0.3">
      <c r="A249" s="10">
        <v>254</v>
      </c>
      <c r="B249" s="10">
        <v>437</v>
      </c>
      <c r="C249" s="10" t="s">
        <v>489</v>
      </c>
      <c r="D249" s="10" t="s">
        <v>362</v>
      </c>
      <c r="E249" s="10" t="str">
        <f t="shared" si="11"/>
        <v>J</v>
      </c>
      <c r="F249" s="10" t="str">
        <f t="shared" si="12"/>
        <v>A</v>
      </c>
      <c r="G249" s="11" t="str">
        <f t="shared" si="13"/>
        <v>JA Van Tonder</v>
      </c>
      <c r="I249"/>
      <c r="J249"/>
      <c r="K249"/>
      <c r="L249"/>
    </row>
    <row r="250" spans="1:12" ht="14.4" x14ac:dyDescent="0.3">
      <c r="A250" s="10">
        <v>255</v>
      </c>
      <c r="B250" s="10">
        <v>16</v>
      </c>
      <c r="C250" s="10" t="s">
        <v>491</v>
      </c>
      <c r="D250" s="10" t="s">
        <v>492</v>
      </c>
      <c r="E250" s="10" t="str">
        <f t="shared" si="11"/>
        <v>W</v>
      </c>
      <c r="F250" s="10" t="str">
        <f t="shared" si="12"/>
        <v>C</v>
      </c>
      <c r="G250" s="11" t="str">
        <f t="shared" si="13"/>
        <v>WC Van Wyk</v>
      </c>
      <c r="I250"/>
      <c r="J250"/>
      <c r="K250"/>
      <c r="L250"/>
    </row>
    <row r="251" spans="1:12" ht="14.4" x14ac:dyDescent="0.3">
      <c r="A251" s="10">
        <v>256</v>
      </c>
      <c r="B251" s="10">
        <v>437</v>
      </c>
      <c r="C251" s="10" t="s">
        <v>489</v>
      </c>
      <c r="D251" s="10" t="s">
        <v>182</v>
      </c>
      <c r="E251" s="10" t="str">
        <f t="shared" si="11"/>
        <v>J</v>
      </c>
      <c r="F251" s="10" t="str">
        <f t="shared" si="12"/>
        <v>H</v>
      </c>
      <c r="G251" s="11" t="str">
        <f t="shared" si="13"/>
        <v>JH Van Tonder</v>
      </c>
      <c r="I251"/>
      <c r="J251"/>
      <c r="K251"/>
      <c r="L251"/>
    </row>
    <row r="252" spans="1:12" ht="14.4" x14ac:dyDescent="0.3">
      <c r="A252" s="10">
        <v>257</v>
      </c>
      <c r="B252" s="10">
        <v>308</v>
      </c>
      <c r="C252" s="10" t="s">
        <v>493</v>
      </c>
      <c r="D252" s="10" t="s">
        <v>494</v>
      </c>
      <c r="E252" s="10" t="str">
        <f t="shared" si="11"/>
        <v>I</v>
      </c>
      <c r="F252" s="10" t="str">
        <f t="shared" si="12"/>
        <v>E</v>
      </c>
      <c r="G252" s="11" t="str">
        <f t="shared" si="13"/>
        <v>IE Venter</v>
      </c>
      <c r="I252"/>
      <c r="J252"/>
      <c r="K252"/>
      <c r="L252"/>
    </row>
    <row r="253" spans="1:12" ht="14.4" x14ac:dyDescent="0.3">
      <c r="A253" s="10">
        <v>258</v>
      </c>
      <c r="B253" s="10">
        <v>261</v>
      </c>
      <c r="C253" s="10" t="s">
        <v>493</v>
      </c>
      <c r="D253" s="10" t="s">
        <v>495</v>
      </c>
      <c r="E253" s="10" t="str">
        <f t="shared" si="11"/>
        <v>N</v>
      </c>
      <c r="F253" s="10" t="str">
        <f t="shared" si="12"/>
        <v>P</v>
      </c>
      <c r="G253" s="11" t="str">
        <f t="shared" si="13"/>
        <v>NP Venter</v>
      </c>
      <c r="I253"/>
      <c r="J253"/>
      <c r="K253"/>
      <c r="L253"/>
    </row>
    <row r="254" spans="1:12" ht="14.4" x14ac:dyDescent="0.3">
      <c r="A254" s="10">
        <v>259</v>
      </c>
      <c r="B254" s="10">
        <v>54</v>
      </c>
      <c r="C254" s="10" t="s">
        <v>496</v>
      </c>
      <c r="D254" s="10" t="s">
        <v>269</v>
      </c>
      <c r="E254" s="10" t="str">
        <f t="shared" si="11"/>
        <v>E</v>
      </c>
      <c r="F254" s="10" t="str">
        <f t="shared" si="12"/>
        <v/>
      </c>
      <c r="G254" s="11" t="str">
        <f t="shared" si="13"/>
        <v>E du Plessis</v>
      </c>
      <c r="I254"/>
      <c r="J254"/>
      <c r="K254"/>
      <c r="L254"/>
    </row>
    <row r="255" spans="1:12" ht="14.4" x14ac:dyDescent="0.3">
      <c r="A255" s="10">
        <v>260</v>
      </c>
      <c r="B255" s="10">
        <v>161</v>
      </c>
      <c r="C255" s="10" t="s">
        <v>497</v>
      </c>
      <c r="D255" s="10" t="s">
        <v>207</v>
      </c>
      <c r="E255" s="10" t="str">
        <f t="shared" si="11"/>
        <v>M</v>
      </c>
      <c r="F255" s="10" t="str">
        <f t="shared" si="12"/>
        <v>M</v>
      </c>
      <c r="G255" s="11" t="str">
        <f t="shared" si="13"/>
        <v>MM Vermaak</v>
      </c>
      <c r="I255"/>
      <c r="J255"/>
      <c r="K255"/>
      <c r="L255"/>
    </row>
    <row r="256" spans="1:12" ht="14.4" x14ac:dyDescent="0.3">
      <c r="A256" s="10">
        <v>262</v>
      </c>
      <c r="B256" s="10">
        <v>82</v>
      </c>
      <c r="C256" s="10" t="s">
        <v>498</v>
      </c>
      <c r="D256" s="11" t="s">
        <v>499</v>
      </c>
      <c r="E256" s="10" t="str">
        <f t="shared" si="11"/>
        <v>M</v>
      </c>
      <c r="F256" s="10" t="str">
        <f t="shared" si="12"/>
        <v>C</v>
      </c>
      <c r="G256" s="11" t="str">
        <f t="shared" si="13"/>
        <v>MC Visser</v>
      </c>
      <c r="I256"/>
      <c r="J256"/>
      <c r="K256"/>
      <c r="L256"/>
    </row>
    <row r="257" spans="1:12" ht="14.4" x14ac:dyDescent="0.3">
      <c r="A257" s="10">
        <v>263</v>
      </c>
      <c r="B257" s="10">
        <v>82</v>
      </c>
      <c r="C257" s="10" t="s">
        <v>498</v>
      </c>
      <c r="D257" s="10" t="s">
        <v>500</v>
      </c>
      <c r="E257" s="10" t="str">
        <f t="shared" si="11"/>
        <v>T</v>
      </c>
      <c r="F257" s="10" t="str">
        <f t="shared" si="12"/>
        <v>J</v>
      </c>
      <c r="G257" s="11" t="str">
        <f t="shared" si="13"/>
        <v>TJ Visser</v>
      </c>
      <c r="I257"/>
      <c r="J257"/>
      <c r="K257"/>
      <c r="L257"/>
    </row>
    <row r="258" spans="1:12" ht="14.4" x14ac:dyDescent="0.3">
      <c r="A258" s="10">
        <v>265</v>
      </c>
      <c r="B258" s="10">
        <v>242</v>
      </c>
      <c r="C258" s="10" t="s">
        <v>501</v>
      </c>
      <c r="D258" s="10" t="s">
        <v>502</v>
      </c>
      <c r="E258" s="10" t="str">
        <f t="shared" si="11"/>
        <v>H</v>
      </c>
      <c r="F258" s="10" t="str">
        <f t="shared" si="12"/>
        <v>F</v>
      </c>
      <c r="G258" s="11" t="str">
        <f t="shared" si="13"/>
        <v>HF Weyer</v>
      </c>
      <c r="I258"/>
      <c r="J258"/>
      <c r="K258"/>
      <c r="L258"/>
    </row>
    <row r="259" spans="1:12" ht="14.4" x14ac:dyDescent="0.3">
      <c r="A259" s="10">
        <v>267</v>
      </c>
      <c r="B259" s="10">
        <v>309</v>
      </c>
      <c r="C259" s="10" t="s">
        <v>503</v>
      </c>
      <c r="D259" s="10" t="s">
        <v>175</v>
      </c>
      <c r="E259" s="10" t="str">
        <f t="shared" si="11"/>
        <v>C</v>
      </c>
      <c r="F259" s="10" t="str">
        <f t="shared" si="12"/>
        <v>J</v>
      </c>
      <c r="G259" s="11" t="str">
        <f t="shared" si="13"/>
        <v>CJ Wiesner</v>
      </c>
      <c r="I259"/>
      <c r="J259"/>
      <c r="K259"/>
      <c r="L259"/>
    </row>
    <row r="260" spans="1:12" ht="14.4" x14ac:dyDescent="0.3">
      <c r="A260" s="10">
        <v>268</v>
      </c>
      <c r="B260" s="10">
        <v>59</v>
      </c>
      <c r="C260" s="10" t="s">
        <v>504</v>
      </c>
      <c r="D260" s="10" t="s">
        <v>505</v>
      </c>
      <c r="E260" s="10" t="str">
        <f t="shared" si="11"/>
        <v>G</v>
      </c>
      <c r="F260" s="10" t="str">
        <f t="shared" si="12"/>
        <v>E</v>
      </c>
      <c r="G260" s="11" t="str">
        <f t="shared" si="13"/>
        <v>GE Woolridge</v>
      </c>
      <c r="I260"/>
      <c r="J260"/>
      <c r="K260"/>
      <c r="L260"/>
    </row>
    <row r="261" spans="1:12" ht="14.4" x14ac:dyDescent="0.3">
      <c r="A261" s="10">
        <v>269</v>
      </c>
      <c r="B261" s="10">
        <v>217</v>
      </c>
      <c r="C261" s="10" t="s">
        <v>506</v>
      </c>
      <c r="D261" s="10" t="s">
        <v>507</v>
      </c>
      <c r="E261" s="10" t="str">
        <f t="shared" si="11"/>
        <v>H</v>
      </c>
      <c r="F261" s="10" t="str">
        <f t="shared" si="12"/>
        <v>J</v>
      </c>
      <c r="G261" s="11" t="str">
        <f t="shared" si="13"/>
        <v>HJ Yssel</v>
      </c>
      <c r="I261"/>
      <c r="J261"/>
      <c r="K261"/>
      <c r="L261"/>
    </row>
    <row r="262" spans="1:12" ht="14.4" x14ac:dyDescent="0.3">
      <c r="A262" s="10">
        <v>270</v>
      </c>
      <c r="B262" s="10">
        <v>93</v>
      </c>
      <c r="C262" s="10" t="s">
        <v>508</v>
      </c>
      <c r="D262" s="10" t="s">
        <v>282</v>
      </c>
      <c r="E262" s="10" t="str">
        <f t="shared" si="11"/>
        <v>J</v>
      </c>
      <c r="F262" s="10" t="str">
        <f t="shared" si="12"/>
        <v>J</v>
      </c>
      <c r="G262" s="11" t="str">
        <f t="shared" si="13"/>
        <v>JJ Pressly</v>
      </c>
      <c r="I262"/>
      <c r="J262"/>
      <c r="K262"/>
      <c r="L262"/>
    </row>
    <row r="263" spans="1:12" ht="14.4" x14ac:dyDescent="0.3">
      <c r="A263" s="10">
        <v>271</v>
      </c>
      <c r="B263" s="10">
        <v>190</v>
      </c>
      <c r="C263" s="10" t="s">
        <v>508</v>
      </c>
      <c r="D263" s="10" t="s">
        <v>409</v>
      </c>
      <c r="E263" s="10" t="str">
        <f t="shared" si="11"/>
        <v>L</v>
      </c>
      <c r="F263" s="10" t="str">
        <f t="shared" si="12"/>
        <v/>
      </c>
      <c r="G263" s="11" t="str">
        <f t="shared" si="13"/>
        <v>L Pressly</v>
      </c>
      <c r="I263"/>
      <c r="J263"/>
      <c r="K263"/>
      <c r="L263"/>
    </row>
    <row r="264" spans="1:12" ht="14.4" x14ac:dyDescent="0.3">
      <c r="A264" s="10">
        <v>272</v>
      </c>
      <c r="B264" s="10">
        <v>307</v>
      </c>
      <c r="C264" s="10" t="s">
        <v>225</v>
      </c>
      <c r="D264" s="10" t="s">
        <v>509</v>
      </c>
      <c r="E264" s="10" t="str">
        <f t="shared" si="11"/>
        <v>G</v>
      </c>
      <c r="F264" s="10" t="str">
        <f t="shared" si="12"/>
        <v>P</v>
      </c>
      <c r="G264" s="11" t="str">
        <f t="shared" si="13"/>
        <v>GP Delport</v>
      </c>
      <c r="I264"/>
      <c r="J264"/>
      <c r="K264"/>
      <c r="L264"/>
    </row>
    <row r="265" spans="1:12" ht="14.4" x14ac:dyDescent="0.3">
      <c r="A265" s="10">
        <v>273</v>
      </c>
      <c r="B265" s="10">
        <v>307</v>
      </c>
      <c r="C265" s="10" t="s">
        <v>225</v>
      </c>
      <c r="D265" s="10" t="s">
        <v>448</v>
      </c>
      <c r="E265" s="10" t="str">
        <f t="shared" si="11"/>
        <v>K</v>
      </c>
      <c r="F265" s="10" t="str">
        <f t="shared" si="12"/>
        <v/>
      </c>
      <c r="G265" s="11" t="str">
        <f t="shared" si="13"/>
        <v>K Delport</v>
      </c>
      <c r="I265"/>
      <c r="J265"/>
      <c r="K265"/>
      <c r="L265"/>
    </row>
    <row r="266" spans="1:12" ht="14.4" x14ac:dyDescent="0.3">
      <c r="A266" s="10">
        <v>274</v>
      </c>
      <c r="B266" s="10">
        <v>107</v>
      </c>
      <c r="C266" s="10" t="s">
        <v>510</v>
      </c>
      <c r="D266" s="10" t="s">
        <v>511</v>
      </c>
      <c r="E266" s="10" t="str">
        <f t="shared" si="11"/>
        <v>S</v>
      </c>
      <c r="F266" s="10" t="str">
        <f t="shared" si="12"/>
        <v>J</v>
      </c>
      <c r="G266" s="11" t="str">
        <f t="shared" si="13"/>
        <v>SJ Schneider</v>
      </c>
      <c r="I266"/>
      <c r="J266"/>
      <c r="K266"/>
      <c r="L266"/>
    </row>
    <row r="267" spans="1:12" ht="14.4" x14ac:dyDescent="0.3">
      <c r="A267" s="10">
        <v>275</v>
      </c>
      <c r="B267" s="10">
        <v>403</v>
      </c>
      <c r="C267" s="10" t="s">
        <v>512</v>
      </c>
      <c r="D267" s="10" t="s">
        <v>230</v>
      </c>
      <c r="E267" s="10" t="str">
        <f t="shared" si="11"/>
        <v>R</v>
      </c>
      <c r="F267" s="10" t="str">
        <f t="shared" si="12"/>
        <v>C</v>
      </c>
      <c r="G267" s="11" t="str">
        <f t="shared" si="13"/>
        <v>RC Hamman</v>
      </c>
      <c r="I267"/>
      <c r="J267"/>
      <c r="K267"/>
      <c r="L267"/>
    </row>
    <row r="268" spans="1:12" ht="14.4" x14ac:dyDescent="0.3">
      <c r="A268" s="10">
        <v>276</v>
      </c>
      <c r="B268" s="10">
        <v>135</v>
      </c>
      <c r="C268" s="10" t="s">
        <v>513</v>
      </c>
      <c r="D268" s="11" t="s">
        <v>500</v>
      </c>
      <c r="E268" s="10" t="str">
        <f t="shared" si="11"/>
        <v>T</v>
      </c>
      <c r="F268" s="10" t="str">
        <f t="shared" si="12"/>
        <v>J</v>
      </c>
      <c r="G268" s="11" t="str">
        <f t="shared" si="13"/>
        <v>TJ Van Den Heever</v>
      </c>
      <c r="I268"/>
      <c r="J268"/>
      <c r="K268"/>
      <c r="L268"/>
    </row>
    <row r="269" spans="1:12" ht="14.4" x14ac:dyDescent="0.3">
      <c r="A269" s="10">
        <v>277</v>
      </c>
      <c r="B269" s="10">
        <v>135</v>
      </c>
      <c r="C269" s="10" t="s">
        <v>513</v>
      </c>
      <c r="D269" s="10" t="s">
        <v>514</v>
      </c>
      <c r="E269" s="10" t="str">
        <f t="shared" si="11"/>
        <v>C</v>
      </c>
      <c r="F269" s="10" t="str">
        <f t="shared" si="12"/>
        <v>A</v>
      </c>
      <c r="G269" s="11" t="str">
        <f t="shared" si="13"/>
        <v>CA Van Den Heever</v>
      </c>
      <c r="I269"/>
      <c r="J269"/>
      <c r="K269"/>
      <c r="L269"/>
    </row>
    <row r="270" spans="1:12" ht="14.4" x14ac:dyDescent="0.3">
      <c r="A270" s="10">
        <v>278</v>
      </c>
      <c r="B270" s="10">
        <v>99</v>
      </c>
      <c r="C270" s="10" t="s">
        <v>225</v>
      </c>
      <c r="D270" s="10" t="s">
        <v>292</v>
      </c>
      <c r="E270" s="10" t="str">
        <f t="shared" si="11"/>
        <v>J</v>
      </c>
      <c r="F270" s="10" t="str">
        <f t="shared" si="12"/>
        <v>L</v>
      </c>
      <c r="G270" s="11" t="str">
        <f t="shared" si="13"/>
        <v>JL Delport</v>
      </c>
      <c r="I270"/>
      <c r="J270"/>
      <c r="K270"/>
      <c r="L270"/>
    </row>
    <row r="271" spans="1:12" ht="14.4" x14ac:dyDescent="0.3">
      <c r="A271" s="10">
        <v>280</v>
      </c>
      <c r="B271" s="10">
        <v>245</v>
      </c>
      <c r="C271" s="10" t="s">
        <v>501</v>
      </c>
      <c r="D271" s="11" t="s">
        <v>515</v>
      </c>
      <c r="E271" s="10" t="str">
        <f t="shared" si="11"/>
        <v>C</v>
      </c>
      <c r="F271" s="10" t="str">
        <f t="shared" si="12"/>
        <v>M</v>
      </c>
      <c r="G271" s="11" t="str">
        <f t="shared" si="13"/>
        <v>CM Weyer</v>
      </c>
      <c r="I271"/>
      <c r="J271"/>
      <c r="K271"/>
      <c r="L271"/>
    </row>
    <row r="272" spans="1:12" ht="14.4" x14ac:dyDescent="0.3">
      <c r="A272" s="10">
        <v>281</v>
      </c>
      <c r="B272" s="10">
        <v>111</v>
      </c>
      <c r="C272" s="10" t="s">
        <v>501</v>
      </c>
      <c r="D272" s="11" t="s">
        <v>516</v>
      </c>
      <c r="E272" s="10" t="str">
        <f t="shared" si="11"/>
        <v>L</v>
      </c>
      <c r="F272" s="10" t="str">
        <f t="shared" si="12"/>
        <v>U</v>
      </c>
      <c r="G272" s="11" t="str">
        <f t="shared" si="13"/>
        <v>LU Weyer</v>
      </c>
      <c r="I272"/>
      <c r="J272"/>
      <c r="K272"/>
      <c r="L272"/>
    </row>
    <row r="273" spans="1:12" ht="14.4" x14ac:dyDescent="0.3">
      <c r="A273" s="10">
        <v>282</v>
      </c>
      <c r="B273" s="10">
        <v>111</v>
      </c>
      <c r="C273" s="10" t="s">
        <v>517</v>
      </c>
      <c r="D273" s="10" t="s">
        <v>156</v>
      </c>
      <c r="E273" s="10" t="str">
        <f t="shared" si="11"/>
        <v/>
      </c>
      <c r="F273" s="10" t="str">
        <f t="shared" si="12"/>
        <v/>
      </c>
      <c r="G273" s="11" t="str">
        <f t="shared" si="13"/>
        <v>JOHANNA WEYER TESTAMENTERE TRUST</v>
      </c>
      <c r="I273"/>
      <c r="J273"/>
      <c r="K273"/>
      <c r="L273"/>
    </row>
    <row r="274" spans="1:12" ht="14.4" x14ac:dyDescent="0.3">
      <c r="A274" s="10">
        <v>283</v>
      </c>
      <c r="B274" s="10">
        <v>90</v>
      </c>
      <c r="C274" s="10" t="s">
        <v>518</v>
      </c>
      <c r="D274" s="10" t="s">
        <v>254</v>
      </c>
      <c r="E274" s="10" t="str">
        <f t="shared" si="11"/>
        <v>A</v>
      </c>
      <c r="F274" s="10" t="str">
        <f t="shared" si="12"/>
        <v>P</v>
      </c>
      <c r="G274" s="11" t="str">
        <f t="shared" si="13"/>
        <v>AP Rice</v>
      </c>
      <c r="I274"/>
      <c r="J274"/>
      <c r="K274"/>
      <c r="L274"/>
    </row>
    <row r="275" spans="1:12" ht="14.4" x14ac:dyDescent="0.3">
      <c r="A275" s="10">
        <v>284</v>
      </c>
      <c r="B275" s="10">
        <v>83</v>
      </c>
      <c r="C275" s="10" t="s">
        <v>519</v>
      </c>
      <c r="D275" s="10"/>
      <c r="E275" s="10" t="str">
        <f t="shared" si="11"/>
        <v/>
      </c>
      <c r="F275" s="10" t="str">
        <f t="shared" si="12"/>
        <v/>
      </c>
      <c r="G275" s="11" t="str">
        <f t="shared" si="13"/>
        <v>KSB Durban Trading CC</v>
      </c>
      <c r="I275"/>
      <c r="J275"/>
      <c r="K275"/>
      <c r="L275"/>
    </row>
    <row r="276" spans="1:12" ht="14.4" x14ac:dyDescent="0.3">
      <c r="A276" s="10">
        <v>285</v>
      </c>
      <c r="B276" s="10">
        <v>289</v>
      </c>
      <c r="C276" s="10" t="s">
        <v>418</v>
      </c>
      <c r="D276" s="10" t="s">
        <v>207</v>
      </c>
      <c r="E276" s="10" t="str">
        <f t="shared" si="11"/>
        <v>M</v>
      </c>
      <c r="F276" s="10" t="str">
        <f t="shared" si="12"/>
        <v>M</v>
      </c>
      <c r="G276" s="11" t="str">
        <f t="shared" si="13"/>
        <v>MM Minnie</v>
      </c>
      <c r="I276"/>
      <c r="J276"/>
      <c r="K276"/>
      <c r="L276"/>
    </row>
    <row r="277" spans="1:12" ht="14.4" x14ac:dyDescent="0.3">
      <c r="A277" s="10">
        <v>286</v>
      </c>
      <c r="B277" s="10">
        <v>61</v>
      </c>
      <c r="C277" s="10" t="s">
        <v>225</v>
      </c>
      <c r="D277" s="10" t="s">
        <v>374</v>
      </c>
      <c r="E277" s="10" t="str">
        <f t="shared" si="11"/>
        <v>A</v>
      </c>
      <c r="F277" s="10" t="str">
        <f t="shared" si="12"/>
        <v>R</v>
      </c>
      <c r="G277" s="11" t="str">
        <f t="shared" si="13"/>
        <v>AR Delport</v>
      </c>
      <c r="I277"/>
      <c r="J277"/>
      <c r="K277"/>
      <c r="L277"/>
    </row>
    <row r="278" spans="1:12" ht="14.4" x14ac:dyDescent="0.3">
      <c r="A278" s="10">
        <v>287</v>
      </c>
      <c r="B278" s="10">
        <v>230</v>
      </c>
      <c r="C278" s="10" t="s">
        <v>520</v>
      </c>
      <c r="D278" s="10" t="s">
        <v>357</v>
      </c>
      <c r="E278" s="10" t="str">
        <f t="shared" si="11"/>
        <v>I</v>
      </c>
      <c r="F278" s="10" t="str">
        <f t="shared" si="12"/>
        <v>M</v>
      </c>
      <c r="G278" s="11" t="str">
        <f t="shared" si="13"/>
        <v>IM Buys</v>
      </c>
      <c r="I278"/>
      <c r="J278"/>
      <c r="K278"/>
      <c r="L278"/>
    </row>
    <row r="279" spans="1:12" ht="14.4" x14ac:dyDescent="0.3">
      <c r="A279" s="10">
        <v>288</v>
      </c>
      <c r="B279" s="10">
        <v>230</v>
      </c>
      <c r="C279" s="10" t="s">
        <v>520</v>
      </c>
      <c r="D279" s="10" t="s">
        <v>521</v>
      </c>
      <c r="E279" s="10" t="str">
        <f t="shared" si="11"/>
        <v>I</v>
      </c>
      <c r="F279" s="10" t="str">
        <f t="shared" si="12"/>
        <v>B</v>
      </c>
      <c r="G279" s="11" t="str">
        <f t="shared" si="13"/>
        <v>IB Buys</v>
      </c>
      <c r="I279"/>
      <c r="J279"/>
      <c r="K279"/>
      <c r="L279"/>
    </row>
    <row r="280" spans="1:12" ht="14.4" x14ac:dyDescent="0.3">
      <c r="A280" s="10">
        <v>289</v>
      </c>
      <c r="B280" s="10">
        <v>130</v>
      </c>
      <c r="C280" s="10" t="s">
        <v>522</v>
      </c>
      <c r="D280" s="10" t="s">
        <v>199</v>
      </c>
      <c r="E280" s="10" t="str">
        <f t="shared" si="11"/>
        <v>A</v>
      </c>
      <c r="F280" s="10" t="str">
        <f t="shared" si="12"/>
        <v>L</v>
      </c>
      <c r="G280" s="11" t="str">
        <f t="shared" si="13"/>
        <v>AL Darke</v>
      </c>
      <c r="I280"/>
      <c r="J280"/>
      <c r="K280"/>
      <c r="L280"/>
    </row>
    <row r="281" spans="1:12" ht="14.4" x14ac:dyDescent="0.3">
      <c r="A281" s="10">
        <v>290</v>
      </c>
      <c r="B281" s="10">
        <v>464</v>
      </c>
      <c r="C281" s="10" t="s">
        <v>523</v>
      </c>
      <c r="D281" s="10" t="s">
        <v>524</v>
      </c>
      <c r="E281" s="10" t="str">
        <f t="shared" si="11"/>
        <v>F</v>
      </c>
      <c r="F281" s="10" t="str">
        <f t="shared" si="12"/>
        <v>M</v>
      </c>
      <c r="G281" s="11" t="str">
        <f t="shared" si="13"/>
        <v>FM Berry</v>
      </c>
      <c r="I281"/>
      <c r="J281"/>
      <c r="K281"/>
      <c r="L281"/>
    </row>
    <row r="282" spans="1:12" ht="14.4" x14ac:dyDescent="0.3">
      <c r="A282" s="10">
        <v>291</v>
      </c>
      <c r="B282" s="10">
        <v>89</v>
      </c>
      <c r="C282" s="10" t="s">
        <v>525</v>
      </c>
      <c r="D282" s="10" t="s">
        <v>403</v>
      </c>
      <c r="E282" s="10" t="str">
        <f t="shared" si="11"/>
        <v>H</v>
      </c>
      <c r="F282" s="10" t="str">
        <f t="shared" si="12"/>
        <v>E</v>
      </c>
      <c r="G282" s="11" t="str">
        <f t="shared" si="13"/>
        <v>HE Schroeder</v>
      </c>
      <c r="I282"/>
      <c r="J282"/>
      <c r="K282"/>
      <c r="L282"/>
    </row>
    <row r="283" spans="1:12" ht="14.4" x14ac:dyDescent="0.3">
      <c r="A283" s="10">
        <v>292</v>
      </c>
      <c r="B283" s="10">
        <v>84</v>
      </c>
      <c r="C283" s="10" t="s">
        <v>343</v>
      </c>
      <c r="D283" s="10" t="s">
        <v>526</v>
      </c>
      <c r="E283" s="10" t="str">
        <f t="shared" si="11"/>
        <v>S</v>
      </c>
      <c r="F283" s="10" t="str">
        <f t="shared" si="12"/>
        <v>M</v>
      </c>
      <c r="G283" s="11" t="str">
        <f t="shared" si="13"/>
        <v>SM Bezuidenhout</v>
      </c>
      <c r="I283"/>
      <c r="J283"/>
      <c r="K283"/>
      <c r="L283"/>
    </row>
    <row r="284" spans="1:12" ht="14.4" x14ac:dyDescent="0.3">
      <c r="A284" s="10">
        <v>293</v>
      </c>
      <c r="B284" s="10">
        <v>104</v>
      </c>
      <c r="C284" s="10" t="s">
        <v>398</v>
      </c>
      <c r="D284" s="10" t="s">
        <v>269</v>
      </c>
      <c r="E284" s="10" t="str">
        <f t="shared" si="11"/>
        <v>E</v>
      </c>
      <c r="F284" s="10" t="str">
        <f t="shared" si="12"/>
        <v/>
      </c>
      <c r="G284" s="11" t="str">
        <f t="shared" si="13"/>
        <v>E Koorts</v>
      </c>
      <c r="I284"/>
      <c r="J284"/>
      <c r="K284"/>
      <c r="L284"/>
    </row>
    <row r="285" spans="1:12" ht="14.4" x14ac:dyDescent="0.3">
      <c r="A285" s="10">
        <v>294</v>
      </c>
      <c r="B285" s="10">
        <v>113</v>
      </c>
      <c r="C285" s="10" t="s">
        <v>136</v>
      </c>
      <c r="D285" s="10" t="s">
        <v>156</v>
      </c>
      <c r="E285" s="10" t="str">
        <f t="shared" si="11"/>
        <v/>
      </c>
      <c r="F285" s="10" t="str">
        <f t="shared" si="12"/>
        <v/>
      </c>
      <c r="G285" s="11" t="str">
        <f t="shared" si="13"/>
        <v>Flying Dutchman Trust</v>
      </c>
      <c r="I285"/>
      <c r="J285"/>
      <c r="K285"/>
      <c r="L285"/>
    </row>
    <row r="286" spans="1:12" ht="14.4" x14ac:dyDescent="0.3">
      <c r="A286" s="10">
        <v>295</v>
      </c>
      <c r="B286" s="10">
        <v>443</v>
      </c>
      <c r="C286" s="10" t="s">
        <v>469</v>
      </c>
      <c r="D286" s="10" t="s">
        <v>527</v>
      </c>
      <c r="E286" s="10" t="str">
        <f t="shared" si="11"/>
        <v>G</v>
      </c>
      <c r="F286" s="10" t="str">
        <f t="shared" si="12"/>
        <v/>
      </c>
      <c r="G286" s="11" t="str">
        <f t="shared" si="13"/>
        <v>G Van Aswegen</v>
      </c>
      <c r="I286"/>
      <c r="J286"/>
      <c r="K286"/>
      <c r="L286"/>
    </row>
    <row r="287" spans="1:12" ht="14.4" x14ac:dyDescent="0.3">
      <c r="A287" s="10">
        <v>296</v>
      </c>
      <c r="B287" s="10">
        <v>113</v>
      </c>
      <c r="C287" s="10" t="s">
        <v>321</v>
      </c>
      <c r="D287" s="10" t="s">
        <v>528</v>
      </c>
      <c r="E287" s="10" t="str">
        <f t="shared" si="11"/>
        <v>S</v>
      </c>
      <c r="F287" s="10" t="str">
        <f t="shared" si="12"/>
        <v/>
      </c>
      <c r="G287" s="11" t="str">
        <f t="shared" si="13"/>
        <v>S Trevarthen</v>
      </c>
      <c r="I287"/>
      <c r="J287"/>
      <c r="K287"/>
      <c r="L287"/>
    </row>
    <row r="288" spans="1:12" ht="14.4" x14ac:dyDescent="0.3">
      <c r="A288" s="10">
        <v>297</v>
      </c>
      <c r="B288" s="10">
        <v>440</v>
      </c>
      <c r="C288" s="10" t="s">
        <v>264</v>
      </c>
      <c r="D288" s="10" t="s">
        <v>244</v>
      </c>
      <c r="E288" s="10" t="str">
        <f t="shared" si="11"/>
        <v>H</v>
      </c>
      <c r="F288" s="10" t="str">
        <f t="shared" si="12"/>
        <v/>
      </c>
      <c r="G288" s="11" t="str">
        <f t="shared" si="13"/>
        <v>H Naude</v>
      </c>
      <c r="I288"/>
      <c r="J288"/>
      <c r="K288"/>
      <c r="L288"/>
    </row>
    <row r="289" spans="1:12" ht="14.4" x14ac:dyDescent="0.3">
      <c r="A289" s="10">
        <v>298</v>
      </c>
      <c r="B289" s="10">
        <v>307</v>
      </c>
      <c r="C289" s="10" t="s">
        <v>225</v>
      </c>
      <c r="D289" s="10" t="s">
        <v>163</v>
      </c>
      <c r="E289" s="10" t="str">
        <f t="shared" si="11"/>
        <v>J</v>
      </c>
      <c r="F289" s="10" t="str">
        <f t="shared" si="12"/>
        <v/>
      </c>
      <c r="G289" s="11" t="str">
        <f t="shared" si="13"/>
        <v>J Delport</v>
      </c>
      <c r="I289"/>
      <c r="J289"/>
      <c r="K289"/>
      <c r="L289"/>
    </row>
    <row r="290" spans="1:12" ht="14.4" x14ac:dyDescent="0.3">
      <c r="A290" s="10">
        <v>299</v>
      </c>
      <c r="B290" s="10">
        <v>275</v>
      </c>
      <c r="C290" s="10" t="s">
        <v>166</v>
      </c>
      <c r="D290" s="10" t="s">
        <v>529</v>
      </c>
      <c r="E290" s="10" t="str">
        <f t="shared" si="11"/>
        <v>Z</v>
      </c>
      <c r="F290" s="10" t="str">
        <f t="shared" si="12"/>
        <v>R</v>
      </c>
      <c r="G290" s="11" t="str">
        <f t="shared" si="13"/>
        <v>ZR Charlton</v>
      </c>
      <c r="I290"/>
      <c r="J290"/>
      <c r="K290"/>
      <c r="L290"/>
    </row>
    <row r="291" spans="1:12" ht="14.4" x14ac:dyDescent="0.3">
      <c r="A291" s="10">
        <v>300</v>
      </c>
      <c r="B291" s="10">
        <v>200</v>
      </c>
      <c r="C291" s="10" t="s">
        <v>416</v>
      </c>
      <c r="D291" s="10" t="s">
        <v>530</v>
      </c>
      <c r="E291" s="10" t="str">
        <f t="shared" si="11"/>
        <v>J</v>
      </c>
      <c r="F291" s="10" t="str">
        <f t="shared" si="12"/>
        <v>R</v>
      </c>
      <c r="G291" s="11" t="str">
        <f t="shared" si="13"/>
        <v>JR Schaffner</v>
      </c>
      <c r="I291"/>
      <c r="J291"/>
      <c r="K291"/>
      <c r="L291"/>
    </row>
    <row r="292" spans="1:12" ht="14.4" x14ac:dyDescent="0.3">
      <c r="A292" s="10">
        <v>301</v>
      </c>
      <c r="B292" s="10">
        <v>464</v>
      </c>
      <c r="C292" s="10" t="s">
        <v>523</v>
      </c>
      <c r="D292" s="10" t="s">
        <v>352</v>
      </c>
      <c r="E292" s="10" t="str">
        <f t="shared" si="11"/>
        <v>M</v>
      </c>
      <c r="F292" s="10" t="str">
        <f t="shared" si="12"/>
        <v>J</v>
      </c>
      <c r="G292" s="11" t="str">
        <f t="shared" si="13"/>
        <v>MJ Berry</v>
      </c>
      <c r="I292"/>
      <c r="J292"/>
      <c r="K292"/>
      <c r="L292"/>
    </row>
    <row r="293" spans="1:12" ht="14.4" x14ac:dyDescent="0.3">
      <c r="A293" s="10">
        <v>302</v>
      </c>
      <c r="B293" s="10">
        <v>44</v>
      </c>
      <c r="C293" s="10" t="s">
        <v>531</v>
      </c>
      <c r="D293" s="10" t="s">
        <v>532</v>
      </c>
      <c r="E293" s="10" t="str">
        <f t="shared" si="11"/>
        <v>J</v>
      </c>
      <c r="F293" s="10" t="str">
        <f t="shared" si="12"/>
        <v>A</v>
      </c>
      <c r="G293" s="11" t="str">
        <f t="shared" si="13"/>
        <v>JA Carlisle</v>
      </c>
      <c r="I293"/>
      <c r="J293"/>
      <c r="K293"/>
      <c r="L293"/>
    </row>
    <row r="294" spans="1:12" ht="14.4" x14ac:dyDescent="0.3">
      <c r="A294" s="10">
        <v>303</v>
      </c>
      <c r="B294" s="10">
        <v>183</v>
      </c>
      <c r="C294" s="10" t="s">
        <v>533</v>
      </c>
      <c r="D294" s="10" t="s">
        <v>346</v>
      </c>
      <c r="E294" s="10" t="str">
        <f t="shared" si="11"/>
        <v>H</v>
      </c>
      <c r="F294" s="10" t="str">
        <f t="shared" si="12"/>
        <v>W</v>
      </c>
      <c r="G294" s="11" t="str">
        <f t="shared" si="13"/>
        <v>HW De Hart</v>
      </c>
      <c r="I294"/>
      <c r="J294"/>
      <c r="K294"/>
      <c r="L294"/>
    </row>
    <row r="295" spans="1:12" ht="14.4" x14ac:dyDescent="0.3">
      <c r="A295" s="10">
        <v>305</v>
      </c>
      <c r="B295" s="10"/>
      <c r="C295" s="10" t="s">
        <v>534</v>
      </c>
      <c r="D295" s="10" t="s">
        <v>535</v>
      </c>
      <c r="E295" s="10" t="str">
        <f t="shared" ref="E295:E435" si="14">LEFT(D295,1)</f>
        <v>E</v>
      </c>
      <c r="F295" s="10" t="str">
        <f t="shared" ref="F295:F435" si="15">IF(MID(D295,2,1)=" ",MID(D295,3,1),MID(D295,2,1))</f>
        <v>B</v>
      </c>
      <c r="G295" s="11" t="str">
        <f t="shared" ref="G295:G435" si="16">IF(D295="",C295,CONCATENATE(E295,F295," ",C295))</f>
        <v>EB Gavin</v>
      </c>
      <c r="I295"/>
      <c r="J295"/>
      <c r="K295"/>
      <c r="L295"/>
    </row>
    <row r="296" spans="1:12" ht="14.4" x14ac:dyDescent="0.3">
      <c r="A296" s="10">
        <v>306</v>
      </c>
      <c r="B296" s="10"/>
      <c r="C296" s="10" t="s">
        <v>536</v>
      </c>
      <c r="D296" s="10" t="s">
        <v>242</v>
      </c>
      <c r="E296" s="10" t="str">
        <f t="shared" si="14"/>
        <v>J</v>
      </c>
      <c r="F296" s="10" t="str">
        <f t="shared" si="15"/>
        <v>P</v>
      </c>
      <c r="G296" s="11" t="str">
        <f t="shared" si="16"/>
        <v>JP Grobler</v>
      </c>
      <c r="I296"/>
      <c r="J296"/>
      <c r="K296"/>
      <c r="L296"/>
    </row>
    <row r="297" spans="1:12" ht="14.4" x14ac:dyDescent="0.3">
      <c r="A297" s="10">
        <v>307</v>
      </c>
      <c r="B297" s="10"/>
      <c r="C297" s="10" t="s">
        <v>537</v>
      </c>
      <c r="D297" s="10" t="s">
        <v>176</v>
      </c>
      <c r="E297" s="10" t="str">
        <f t="shared" si="14"/>
        <v>R</v>
      </c>
      <c r="F297" s="10" t="str">
        <f t="shared" si="15"/>
        <v/>
      </c>
      <c r="G297" s="11" t="str">
        <f t="shared" si="16"/>
        <v>R Hansrajh</v>
      </c>
      <c r="I297"/>
      <c r="J297"/>
      <c r="K297"/>
      <c r="L297"/>
    </row>
    <row r="298" spans="1:12" ht="14.4" x14ac:dyDescent="0.3">
      <c r="A298" s="10">
        <v>308</v>
      </c>
      <c r="B298" s="10"/>
      <c r="C298" s="10" t="s">
        <v>537</v>
      </c>
      <c r="D298" s="10" t="s">
        <v>448</v>
      </c>
      <c r="E298" s="10" t="str">
        <f t="shared" si="14"/>
        <v>K</v>
      </c>
      <c r="F298" s="10" t="str">
        <f t="shared" si="15"/>
        <v/>
      </c>
      <c r="G298" s="11" t="str">
        <f t="shared" si="16"/>
        <v>K Hansrajh</v>
      </c>
      <c r="I298"/>
      <c r="J298"/>
      <c r="K298"/>
      <c r="L298"/>
    </row>
    <row r="299" spans="1:12" ht="14.4" x14ac:dyDescent="0.3">
      <c r="A299" s="10">
        <v>309</v>
      </c>
      <c r="B299" s="10"/>
      <c r="C299" s="10" t="s">
        <v>474</v>
      </c>
      <c r="D299" s="10" t="s">
        <v>538</v>
      </c>
      <c r="E299" s="10" t="str">
        <f t="shared" si="14"/>
        <v>G</v>
      </c>
      <c r="F299" s="10" t="str">
        <f t="shared" si="15"/>
        <v>C</v>
      </c>
      <c r="G299" s="11" t="str">
        <f t="shared" si="16"/>
        <v>GC Jansen Van Rensburg</v>
      </c>
      <c r="I299"/>
      <c r="J299"/>
      <c r="K299"/>
      <c r="L299"/>
    </row>
    <row r="300" spans="1:12" ht="14.4" x14ac:dyDescent="0.3">
      <c r="A300" s="10">
        <v>310</v>
      </c>
      <c r="B300" s="10"/>
      <c r="C300" s="10" t="s">
        <v>539</v>
      </c>
      <c r="D300" s="10" t="s">
        <v>226</v>
      </c>
      <c r="E300" s="10" t="str">
        <f t="shared" si="14"/>
        <v>A</v>
      </c>
      <c r="F300" s="10" t="str">
        <f t="shared" si="15"/>
        <v/>
      </c>
      <c r="G300" s="11" t="str">
        <f t="shared" si="16"/>
        <v>A Maharajh</v>
      </c>
      <c r="I300"/>
      <c r="J300"/>
      <c r="K300"/>
      <c r="L300"/>
    </row>
    <row r="301" spans="1:12" ht="14.4" x14ac:dyDescent="0.3">
      <c r="A301" s="10">
        <v>311</v>
      </c>
      <c r="B301" s="10"/>
      <c r="C301" s="10" t="s">
        <v>540</v>
      </c>
      <c r="D301" s="10" t="s">
        <v>541</v>
      </c>
      <c r="E301" s="10" t="str">
        <f t="shared" si="14"/>
        <v>V</v>
      </c>
      <c r="F301" s="10" t="str">
        <f t="shared" si="15"/>
        <v/>
      </c>
      <c r="G301" s="11" t="str">
        <f t="shared" si="16"/>
        <v>V Moodley</v>
      </c>
      <c r="I301"/>
      <c r="J301"/>
      <c r="K301"/>
      <c r="L301"/>
    </row>
    <row r="302" spans="1:12" ht="14.4" x14ac:dyDescent="0.3">
      <c r="A302" s="10">
        <v>312</v>
      </c>
      <c r="B302" s="10">
        <v>5</v>
      </c>
      <c r="C302" s="10" t="s">
        <v>542</v>
      </c>
      <c r="D302" s="10" t="s">
        <v>543</v>
      </c>
      <c r="E302" s="10" t="str">
        <f t="shared" si="14"/>
        <v>T</v>
      </c>
      <c r="F302" s="10" t="str">
        <f t="shared" si="15"/>
        <v/>
      </c>
      <c r="G302" s="11" t="str">
        <f t="shared" si="16"/>
        <v>T Roos</v>
      </c>
      <c r="I302"/>
      <c r="J302"/>
      <c r="K302"/>
      <c r="L302"/>
    </row>
    <row r="303" spans="1:12" ht="14.4" x14ac:dyDescent="0.3">
      <c r="A303" s="10">
        <v>313</v>
      </c>
      <c r="B303" s="10"/>
      <c r="C303" s="10" t="s">
        <v>544</v>
      </c>
      <c r="D303" s="10" t="s">
        <v>462</v>
      </c>
      <c r="E303" s="10" t="str">
        <f t="shared" si="14"/>
        <v>D</v>
      </c>
      <c r="F303" s="10" t="str">
        <f t="shared" si="15"/>
        <v>P</v>
      </c>
      <c r="G303" s="11" t="str">
        <f t="shared" si="16"/>
        <v>DP Thomson</v>
      </c>
      <c r="I303"/>
      <c r="J303"/>
      <c r="K303"/>
      <c r="L303"/>
    </row>
    <row r="304" spans="1:12" ht="14.4" x14ac:dyDescent="0.3">
      <c r="A304" s="10">
        <v>314</v>
      </c>
      <c r="B304" s="10"/>
      <c r="C304" s="10" t="s">
        <v>545</v>
      </c>
      <c r="D304" s="10" t="s">
        <v>156</v>
      </c>
      <c r="E304" s="10" t="str">
        <f t="shared" si="14"/>
        <v/>
      </c>
      <c r="F304" s="10" t="str">
        <f t="shared" si="15"/>
        <v/>
      </c>
      <c r="G304" s="11" t="str">
        <f t="shared" si="16"/>
        <v>Bevedere Nominees Limited</v>
      </c>
      <c r="I304"/>
      <c r="J304"/>
      <c r="K304"/>
      <c r="L304"/>
    </row>
    <row r="305" spans="1:12" ht="14.4" x14ac:dyDescent="0.3">
      <c r="A305" s="10">
        <v>315</v>
      </c>
      <c r="B305" s="10">
        <v>88</v>
      </c>
      <c r="C305" s="10" t="s">
        <v>349</v>
      </c>
      <c r="D305" s="10" t="s">
        <v>284</v>
      </c>
      <c r="E305" s="10" t="str">
        <f t="shared" si="14"/>
        <v>M</v>
      </c>
      <c r="F305" s="10" t="str">
        <f t="shared" si="15"/>
        <v/>
      </c>
      <c r="G305" s="11" t="str">
        <f t="shared" si="16"/>
        <v>M Marks</v>
      </c>
      <c r="I305"/>
      <c r="J305"/>
      <c r="K305"/>
      <c r="L305"/>
    </row>
    <row r="306" spans="1:12" ht="14.4" x14ac:dyDescent="0.3">
      <c r="A306" s="10">
        <v>316</v>
      </c>
      <c r="B306" s="10">
        <v>233</v>
      </c>
      <c r="C306" s="10" t="s">
        <v>353</v>
      </c>
      <c r="D306" s="10" t="s">
        <v>435</v>
      </c>
      <c r="E306" s="10" t="str">
        <f t="shared" si="14"/>
        <v>D</v>
      </c>
      <c r="F306" s="10" t="str">
        <f t="shared" si="15"/>
        <v/>
      </c>
      <c r="G306" s="11" t="str">
        <f t="shared" si="16"/>
        <v>D Botha</v>
      </c>
      <c r="I306"/>
      <c r="J306"/>
      <c r="K306"/>
      <c r="L306"/>
    </row>
    <row r="307" spans="1:12" ht="14.4" x14ac:dyDescent="0.3">
      <c r="A307" s="10">
        <v>317</v>
      </c>
      <c r="B307" s="10">
        <v>129</v>
      </c>
      <c r="C307" s="10" t="s">
        <v>546</v>
      </c>
      <c r="D307" s="10" t="s">
        <v>547</v>
      </c>
      <c r="E307" s="10" t="str">
        <f t="shared" si="14"/>
        <v>D</v>
      </c>
      <c r="F307" s="10" t="str">
        <f t="shared" si="15"/>
        <v>V</v>
      </c>
      <c r="G307" s="11" t="str">
        <f t="shared" si="16"/>
        <v>DV Borman</v>
      </c>
      <c r="I307"/>
      <c r="J307"/>
      <c r="K307"/>
      <c r="L307"/>
    </row>
    <row r="308" spans="1:12" ht="14.4" x14ac:dyDescent="0.3">
      <c r="A308" s="10">
        <v>318</v>
      </c>
      <c r="B308" s="10">
        <v>282</v>
      </c>
      <c r="C308" s="10" t="s">
        <v>548</v>
      </c>
      <c r="D308" s="10" t="s">
        <v>363</v>
      </c>
      <c r="E308" s="10" t="str">
        <f t="shared" si="14"/>
        <v>M</v>
      </c>
      <c r="F308" s="10" t="str">
        <f t="shared" si="15"/>
        <v>S</v>
      </c>
      <c r="G308" s="11" t="str">
        <f t="shared" si="16"/>
        <v>MS Breytenbach</v>
      </c>
      <c r="I308"/>
      <c r="J308"/>
      <c r="K308"/>
      <c r="L308"/>
    </row>
    <row r="309" spans="1:12" ht="14.4" x14ac:dyDescent="0.3">
      <c r="A309" s="10">
        <v>319</v>
      </c>
      <c r="B309" s="10">
        <v>345</v>
      </c>
      <c r="C309" s="10" t="s">
        <v>373</v>
      </c>
      <c r="D309" s="10" t="s">
        <v>201</v>
      </c>
      <c r="E309" s="10" t="str">
        <f t="shared" si="14"/>
        <v>B</v>
      </c>
      <c r="F309" s="10" t="str">
        <f t="shared" si="15"/>
        <v>J</v>
      </c>
      <c r="G309" s="11" t="str">
        <f t="shared" si="16"/>
        <v>BJ Bodenstein</v>
      </c>
      <c r="I309"/>
      <c r="J309"/>
      <c r="K309"/>
      <c r="L309"/>
    </row>
    <row r="310" spans="1:12" ht="14.4" x14ac:dyDescent="0.3">
      <c r="A310" s="10">
        <v>320</v>
      </c>
      <c r="B310" s="10">
        <v>175</v>
      </c>
      <c r="C310" s="10" t="s">
        <v>549</v>
      </c>
      <c r="D310" s="10" t="s">
        <v>247</v>
      </c>
      <c r="E310" s="10" t="str">
        <f t="shared" si="14"/>
        <v>G</v>
      </c>
      <c r="F310" s="10" t="str">
        <f t="shared" si="15"/>
        <v>J</v>
      </c>
      <c r="G310" s="11" t="str">
        <f t="shared" si="16"/>
        <v>GJ Burn</v>
      </c>
      <c r="I310"/>
      <c r="J310"/>
      <c r="K310"/>
      <c r="L310"/>
    </row>
    <row r="311" spans="1:12" ht="14.4" x14ac:dyDescent="0.3">
      <c r="A311" s="10">
        <v>321</v>
      </c>
      <c r="B311" s="10">
        <v>21</v>
      </c>
      <c r="C311" s="10" t="s">
        <v>550</v>
      </c>
      <c r="D311" s="10" t="s">
        <v>551</v>
      </c>
      <c r="E311" s="10" t="str">
        <f t="shared" si="14"/>
        <v>G</v>
      </c>
      <c r="F311" s="10" t="str">
        <f t="shared" si="15"/>
        <v>N</v>
      </c>
      <c r="G311" s="11" t="str">
        <f t="shared" si="16"/>
        <v>GN Cloete</v>
      </c>
      <c r="I311"/>
      <c r="J311"/>
      <c r="K311"/>
      <c r="L311"/>
    </row>
    <row r="312" spans="1:12" ht="14.4" x14ac:dyDescent="0.3">
      <c r="A312" s="10">
        <v>322</v>
      </c>
      <c r="B312" s="10">
        <v>53</v>
      </c>
      <c r="C312" s="10" t="s">
        <v>361</v>
      </c>
      <c r="D312" s="10" t="s">
        <v>240</v>
      </c>
      <c r="E312" s="10" t="str">
        <f t="shared" si="14"/>
        <v>D</v>
      </c>
      <c r="F312" s="10" t="str">
        <f t="shared" si="15"/>
        <v>W</v>
      </c>
      <c r="G312" s="11" t="str">
        <f t="shared" si="16"/>
        <v>DW Combrink</v>
      </c>
      <c r="I312"/>
      <c r="J312"/>
      <c r="K312"/>
      <c r="L312"/>
    </row>
    <row r="313" spans="1:12" ht="14.4" x14ac:dyDescent="0.3">
      <c r="A313" s="10">
        <v>323</v>
      </c>
      <c r="B313" s="10">
        <v>425</v>
      </c>
      <c r="C313" s="10" t="s">
        <v>552</v>
      </c>
      <c r="D313" s="10" t="s">
        <v>176</v>
      </c>
      <c r="E313" s="10" t="str">
        <f t="shared" si="14"/>
        <v>R</v>
      </c>
      <c r="F313" s="10" t="str">
        <f t="shared" si="15"/>
        <v/>
      </c>
      <c r="G313" s="11" t="str">
        <f t="shared" si="16"/>
        <v>R Chanderpresath</v>
      </c>
      <c r="I313"/>
      <c r="J313"/>
      <c r="K313"/>
      <c r="L313"/>
    </row>
    <row r="314" spans="1:12" ht="14.4" x14ac:dyDescent="0.3">
      <c r="A314" s="10">
        <v>324</v>
      </c>
      <c r="B314" s="11">
        <v>384</v>
      </c>
      <c r="C314" s="10" t="s">
        <v>553</v>
      </c>
      <c r="D314" s="10" t="s">
        <v>554</v>
      </c>
      <c r="E314" s="10" t="str">
        <f t="shared" si="14"/>
        <v>C</v>
      </c>
      <c r="F314" s="10" t="str">
        <f t="shared" si="15"/>
        <v>W</v>
      </c>
      <c r="G314" s="11" t="str">
        <f t="shared" si="16"/>
        <v>CW Dodson</v>
      </c>
      <c r="I314"/>
      <c r="J314"/>
      <c r="K314"/>
      <c r="L314"/>
    </row>
    <row r="315" spans="1:12" ht="14.4" x14ac:dyDescent="0.3">
      <c r="A315" s="10">
        <v>325</v>
      </c>
      <c r="B315" s="10">
        <v>374</v>
      </c>
      <c r="C315" s="10" t="s">
        <v>555</v>
      </c>
      <c r="D315" s="10" t="s">
        <v>316</v>
      </c>
      <c r="E315" s="10" t="str">
        <f t="shared" si="14"/>
        <v>A</v>
      </c>
      <c r="F315" s="10" t="str">
        <f t="shared" si="15"/>
        <v>D</v>
      </c>
      <c r="G315" s="11" t="str">
        <f t="shared" si="16"/>
        <v>AD Dzhafarov</v>
      </c>
      <c r="I315"/>
      <c r="J315"/>
      <c r="K315"/>
      <c r="L315"/>
    </row>
    <row r="316" spans="1:12" ht="14.4" x14ac:dyDescent="0.3">
      <c r="A316" s="10">
        <v>326</v>
      </c>
      <c r="B316" s="10">
        <v>146</v>
      </c>
      <c r="C316" s="10" t="s">
        <v>556</v>
      </c>
      <c r="D316" s="10" t="s">
        <v>263</v>
      </c>
      <c r="E316" s="10" t="str">
        <f t="shared" si="14"/>
        <v>L</v>
      </c>
      <c r="F316" s="10" t="str">
        <f t="shared" si="15"/>
        <v>J</v>
      </c>
      <c r="G316" s="11" t="str">
        <f t="shared" si="16"/>
        <v>LJ Du Preez</v>
      </c>
      <c r="I316"/>
      <c r="J316"/>
      <c r="K316"/>
      <c r="L316"/>
    </row>
    <row r="317" spans="1:12" ht="14.4" x14ac:dyDescent="0.3">
      <c r="A317" s="10">
        <v>327</v>
      </c>
      <c r="B317" s="10">
        <v>188</v>
      </c>
      <c r="C317" s="10" t="s">
        <v>380</v>
      </c>
      <c r="D317" s="10" t="s">
        <v>557</v>
      </c>
      <c r="E317" s="10" t="str">
        <f t="shared" si="14"/>
        <v>E</v>
      </c>
      <c r="F317" s="10" t="str">
        <f t="shared" si="15"/>
        <v>P</v>
      </c>
      <c r="G317" s="11" t="str">
        <f t="shared" si="16"/>
        <v>EP Ferreira</v>
      </c>
      <c r="I317"/>
      <c r="J317"/>
      <c r="K317"/>
      <c r="L317"/>
    </row>
    <row r="318" spans="1:12" ht="14.4" x14ac:dyDescent="0.3">
      <c r="A318" s="10">
        <v>328</v>
      </c>
      <c r="B318" s="10">
        <v>368</v>
      </c>
      <c r="C318" s="10" t="s">
        <v>558</v>
      </c>
      <c r="D318" s="10" t="s">
        <v>559</v>
      </c>
      <c r="E318" s="10" t="str">
        <f t="shared" si="14"/>
        <v>C</v>
      </c>
      <c r="F318" s="10" t="str">
        <f t="shared" si="15"/>
        <v>H</v>
      </c>
      <c r="G318" s="11" t="str">
        <f t="shared" si="16"/>
        <v>CH Gerber</v>
      </c>
      <c r="I318"/>
      <c r="J318"/>
      <c r="K318"/>
      <c r="L318"/>
    </row>
    <row r="319" spans="1:12" ht="14.4" x14ac:dyDescent="0.3">
      <c r="A319" s="10">
        <v>329</v>
      </c>
      <c r="B319" s="10">
        <v>92</v>
      </c>
      <c r="C319" s="10" t="s">
        <v>224</v>
      </c>
      <c r="D319" s="10" t="s">
        <v>269</v>
      </c>
      <c r="E319" s="10" t="str">
        <f t="shared" si="14"/>
        <v>E</v>
      </c>
      <c r="F319" s="10" t="s">
        <v>560</v>
      </c>
      <c r="G319" s="11" t="str">
        <f t="shared" si="16"/>
        <v>EMr Louw</v>
      </c>
      <c r="I319"/>
      <c r="J319"/>
      <c r="K319"/>
      <c r="L319"/>
    </row>
    <row r="320" spans="1:12" ht="14.4" x14ac:dyDescent="0.3">
      <c r="A320" s="10">
        <v>330</v>
      </c>
      <c r="B320" s="10">
        <v>198</v>
      </c>
      <c r="C320" s="10" t="s">
        <v>380</v>
      </c>
      <c r="D320" s="10" t="s">
        <v>561</v>
      </c>
      <c r="E320" s="10" t="str">
        <f t="shared" si="14"/>
        <v>P</v>
      </c>
      <c r="F320" s="10" t="str">
        <f t="shared" si="15"/>
        <v>S</v>
      </c>
      <c r="G320" s="11" t="str">
        <f t="shared" si="16"/>
        <v>PS Ferreira</v>
      </c>
      <c r="I320"/>
      <c r="J320"/>
      <c r="K320"/>
      <c r="L320"/>
    </row>
    <row r="321" spans="1:12" ht="14.4" x14ac:dyDescent="0.3">
      <c r="A321" s="10">
        <v>331</v>
      </c>
      <c r="B321" s="10">
        <v>224</v>
      </c>
      <c r="C321" s="10" t="s">
        <v>191</v>
      </c>
      <c r="D321" s="10" t="s">
        <v>203</v>
      </c>
      <c r="E321" s="10" t="str">
        <f t="shared" si="14"/>
        <v>I</v>
      </c>
      <c r="F321" s="10" t="str">
        <f t="shared" si="15"/>
        <v/>
      </c>
      <c r="G321" s="11" t="str">
        <f t="shared" si="16"/>
        <v>I Friederang</v>
      </c>
      <c r="I321"/>
      <c r="J321"/>
      <c r="K321"/>
      <c r="L321"/>
    </row>
    <row r="322" spans="1:12" ht="14.4" x14ac:dyDescent="0.3">
      <c r="A322" s="10">
        <v>333</v>
      </c>
      <c r="B322" s="10">
        <v>202</v>
      </c>
      <c r="C322" s="10" t="s">
        <v>562</v>
      </c>
      <c r="D322" s="11" t="s">
        <v>563</v>
      </c>
      <c r="E322" s="10" t="str">
        <f t="shared" si="14"/>
        <v>B</v>
      </c>
      <c r="F322" s="10" t="str">
        <f t="shared" si="15"/>
        <v>R</v>
      </c>
      <c r="G322" s="11" t="str">
        <f t="shared" si="16"/>
        <v>BR Glover</v>
      </c>
      <c r="I322"/>
      <c r="J322"/>
      <c r="K322"/>
      <c r="L322"/>
    </row>
    <row r="323" spans="1:12" ht="14.4" x14ac:dyDescent="0.3">
      <c r="A323" s="10">
        <v>335</v>
      </c>
      <c r="B323" s="10">
        <v>31</v>
      </c>
      <c r="C323" s="10" t="s">
        <v>225</v>
      </c>
      <c r="D323" s="11" t="s">
        <v>163</v>
      </c>
      <c r="E323" s="10" t="str">
        <f t="shared" si="14"/>
        <v>J</v>
      </c>
      <c r="F323" s="10" t="s">
        <v>564</v>
      </c>
      <c r="G323" s="11" t="str">
        <f t="shared" si="16"/>
        <v>J(Hannatjie) Delport</v>
      </c>
      <c r="I323"/>
      <c r="J323"/>
      <c r="K323"/>
      <c r="L323"/>
    </row>
    <row r="324" spans="1:12" ht="14.4" x14ac:dyDescent="0.3">
      <c r="A324" s="10">
        <v>336</v>
      </c>
      <c r="B324">
        <v>207</v>
      </c>
      <c r="C324" s="10" t="s">
        <v>565</v>
      </c>
      <c r="D324" s="11" t="s">
        <v>566</v>
      </c>
      <c r="E324" s="10" t="str">
        <f t="shared" si="14"/>
        <v>H</v>
      </c>
      <c r="F324" s="10" t="str">
        <f t="shared" si="15"/>
        <v>Z</v>
      </c>
      <c r="G324" s="11" t="str">
        <f t="shared" si="16"/>
        <v>HZ Esterhuizen</v>
      </c>
      <c r="I324"/>
      <c r="J324"/>
      <c r="K324"/>
      <c r="L324"/>
    </row>
    <row r="325" spans="1:12" ht="14.4" x14ac:dyDescent="0.3">
      <c r="A325" s="10">
        <v>337</v>
      </c>
      <c r="B325">
        <v>268</v>
      </c>
      <c r="C325" s="10" t="s">
        <v>567</v>
      </c>
      <c r="D325" s="10" t="s">
        <v>528</v>
      </c>
      <c r="E325" s="10" t="str">
        <f t="shared" si="14"/>
        <v>S</v>
      </c>
      <c r="F325" s="10" t="str">
        <f t="shared" si="15"/>
        <v/>
      </c>
      <c r="G325" s="11" t="str">
        <f t="shared" si="16"/>
        <v>S Ellis</v>
      </c>
      <c r="I325"/>
      <c r="J325"/>
      <c r="K325"/>
      <c r="L325"/>
    </row>
    <row r="326" spans="1:12" ht="14.4" x14ac:dyDescent="0.3">
      <c r="A326" s="10">
        <v>338</v>
      </c>
      <c r="B326">
        <v>1</v>
      </c>
      <c r="C326" s="10" t="s">
        <v>568</v>
      </c>
      <c r="D326" s="10" t="s">
        <v>569</v>
      </c>
      <c r="E326" s="10" t="str">
        <f t="shared" si="14"/>
        <v>F</v>
      </c>
      <c r="F326" s="10" t="str">
        <f t="shared" si="15"/>
        <v>R</v>
      </c>
      <c r="G326" s="11" t="str">
        <f t="shared" si="16"/>
        <v>FR Grawe</v>
      </c>
      <c r="I326"/>
      <c r="J326"/>
      <c r="K326"/>
      <c r="L326"/>
    </row>
    <row r="327" spans="1:12" ht="14.4" x14ac:dyDescent="0.3">
      <c r="A327" s="10">
        <v>339</v>
      </c>
      <c r="B327">
        <v>74</v>
      </c>
      <c r="C327" s="10" t="s">
        <v>183</v>
      </c>
      <c r="D327" s="10" t="s">
        <v>570</v>
      </c>
      <c r="E327" s="10" t="str">
        <f t="shared" si="14"/>
        <v>T</v>
      </c>
      <c r="F327" s="10" t="str">
        <f t="shared" si="15"/>
        <v>A</v>
      </c>
      <c r="G327" s="11" t="str">
        <f t="shared" si="16"/>
        <v>TA Du Toit</v>
      </c>
      <c r="I327"/>
      <c r="J327"/>
      <c r="K327"/>
      <c r="L327"/>
    </row>
    <row r="328" spans="1:12" ht="14.4" x14ac:dyDescent="0.3">
      <c r="A328" s="10">
        <v>340</v>
      </c>
      <c r="B328" s="11">
        <v>321</v>
      </c>
      <c r="C328" s="10" t="s">
        <v>571</v>
      </c>
      <c r="D328" s="10" t="s">
        <v>226</v>
      </c>
      <c r="E328" s="10" t="str">
        <f t="shared" si="14"/>
        <v>A</v>
      </c>
      <c r="F328" s="10" t="str">
        <f t="shared" si="15"/>
        <v/>
      </c>
      <c r="G328" s="11" t="str">
        <f t="shared" si="16"/>
        <v>A Ioannou</v>
      </c>
      <c r="I328"/>
      <c r="J328"/>
      <c r="K328"/>
      <c r="L328"/>
    </row>
    <row r="329" spans="1:12" ht="14.4" x14ac:dyDescent="0.3">
      <c r="A329" s="10">
        <v>341</v>
      </c>
      <c r="B329">
        <v>20</v>
      </c>
      <c r="C329" s="10" t="s">
        <v>572</v>
      </c>
      <c r="D329" s="10" t="s">
        <v>448</v>
      </c>
      <c r="E329" s="10" t="str">
        <f t="shared" si="14"/>
        <v>K</v>
      </c>
      <c r="F329" s="10" t="str">
        <f t="shared" si="15"/>
        <v/>
      </c>
      <c r="G329" s="11" t="str">
        <f t="shared" si="16"/>
        <v>K Kistan</v>
      </c>
      <c r="I329"/>
      <c r="J329"/>
      <c r="K329"/>
      <c r="L329"/>
    </row>
    <row r="330" spans="1:12" ht="14.4" x14ac:dyDescent="0.3">
      <c r="A330" s="10">
        <v>342</v>
      </c>
      <c r="B330">
        <v>187</v>
      </c>
      <c r="C330" s="10" t="s">
        <v>573</v>
      </c>
      <c r="D330" s="10" t="s">
        <v>574</v>
      </c>
      <c r="E330" s="10" t="str">
        <f t="shared" si="14"/>
        <v>A</v>
      </c>
      <c r="F330" s="10" t="str">
        <f t="shared" si="15"/>
        <v>H</v>
      </c>
      <c r="G330" s="11" t="str">
        <f t="shared" si="16"/>
        <v>AH Lancaster</v>
      </c>
      <c r="I330"/>
      <c r="J330"/>
      <c r="K330"/>
      <c r="L330"/>
    </row>
    <row r="331" spans="1:12" ht="14.4" x14ac:dyDescent="0.3">
      <c r="A331" s="10">
        <v>343</v>
      </c>
      <c r="B331" s="11">
        <v>415</v>
      </c>
      <c r="C331" s="10" t="s">
        <v>413</v>
      </c>
      <c r="D331" s="10" t="s">
        <v>259</v>
      </c>
      <c r="E331" s="10" t="str">
        <f t="shared" si="14"/>
        <v>A</v>
      </c>
      <c r="F331" s="10" t="str">
        <f t="shared" si="15"/>
        <v>M</v>
      </c>
      <c r="G331" s="11" t="str">
        <f t="shared" si="16"/>
        <v>AM Matthee</v>
      </c>
      <c r="I331"/>
      <c r="J331"/>
      <c r="K331"/>
      <c r="L331"/>
    </row>
    <row r="332" spans="1:12" ht="14.4" x14ac:dyDescent="0.3">
      <c r="A332" s="10">
        <v>344</v>
      </c>
      <c r="B332" s="11">
        <v>182</v>
      </c>
      <c r="C332" s="10" t="s">
        <v>575</v>
      </c>
      <c r="D332" s="10" t="s">
        <v>230</v>
      </c>
      <c r="E332" s="10" t="str">
        <f t="shared" si="14"/>
        <v>R</v>
      </c>
      <c r="F332" s="10" t="str">
        <f t="shared" si="15"/>
        <v>C</v>
      </c>
      <c r="G332" s="11" t="str">
        <f t="shared" si="16"/>
        <v>RC Martheze</v>
      </c>
      <c r="I332"/>
      <c r="J332"/>
      <c r="K332"/>
      <c r="L332"/>
    </row>
    <row r="333" spans="1:12" ht="14.4" x14ac:dyDescent="0.3">
      <c r="A333" s="10">
        <v>345</v>
      </c>
      <c r="B333" s="11">
        <v>298</v>
      </c>
      <c r="C333" s="10" t="s">
        <v>576</v>
      </c>
      <c r="D333" s="10" t="s">
        <v>352</v>
      </c>
      <c r="E333" s="10" t="str">
        <f t="shared" si="14"/>
        <v>M</v>
      </c>
      <c r="F333" s="10" t="str">
        <f t="shared" si="15"/>
        <v>J</v>
      </c>
      <c r="G333" s="11" t="str">
        <f t="shared" si="16"/>
        <v>MJ Nghatsane</v>
      </c>
      <c r="I333"/>
      <c r="J333"/>
      <c r="K333"/>
      <c r="L333"/>
    </row>
    <row r="334" spans="1:12" ht="14.4" x14ac:dyDescent="0.3">
      <c r="A334" s="10">
        <v>346</v>
      </c>
      <c r="B334" s="11">
        <v>466</v>
      </c>
      <c r="C334" s="10" t="s">
        <v>577</v>
      </c>
      <c r="D334" s="11" t="s">
        <v>578</v>
      </c>
      <c r="E334" s="10" t="str">
        <f t="shared" si="14"/>
        <v>F</v>
      </c>
      <c r="F334" s="10" t="str">
        <f t="shared" si="15"/>
        <v>J</v>
      </c>
      <c r="G334" s="11" t="str">
        <f t="shared" si="16"/>
        <v>FJ Mildenhall</v>
      </c>
      <c r="I334"/>
      <c r="J334"/>
      <c r="K334"/>
      <c r="L334"/>
    </row>
    <row r="335" spans="1:12" ht="14.4" x14ac:dyDescent="0.3">
      <c r="A335" s="10">
        <v>347</v>
      </c>
      <c r="B335" s="11">
        <v>404</v>
      </c>
      <c r="C335" s="10" t="s">
        <v>579</v>
      </c>
      <c r="D335" s="10" t="s">
        <v>217</v>
      </c>
      <c r="E335" s="10" t="str">
        <f t="shared" si="14"/>
        <v>A</v>
      </c>
      <c r="F335" s="10" t="str">
        <f t="shared" si="15"/>
        <v>J</v>
      </c>
      <c r="G335" s="11" t="str">
        <f t="shared" si="16"/>
        <v>AJ Osinski</v>
      </c>
      <c r="I335"/>
      <c r="J335"/>
      <c r="K335"/>
      <c r="L335"/>
    </row>
    <row r="336" spans="1:12" ht="14.4" x14ac:dyDescent="0.3">
      <c r="A336" s="11">
        <v>348</v>
      </c>
      <c r="B336">
        <v>50</v>
      </c>
      <c r="C336" s="11" t="s">
        <v>430</v>
      </c>
      <c r="D336" s="11" t="s">
        <v>242</v>
      </c>
      <c r="E336" s="10" t="str">
        <f t="shared" si="14"/>
        <v>J</v>
      </c>
      <c r="F336" s="10" t="str">
        <f t="shared" si="15"/>
        <v>P</v>
      </c>
      <c r="G336" s="11" t="str">
        <f t="shared" si="16"/>
        <v>JP Pienaar</v>
      </c>
      <c r="I336"/>
      <c r="J336"/>
      <c r="K336"/>
      <c r="L336"/>
    </row>
    <row r="337" spans="1:12" ht="14.4" x14ac:dyDescent="0.3">
      <c r="A337" s="11">
        <v>349</v>
      </c>
      <c r="B337" s="11">
        <v>167</v>
      </c>
      <c r="C337" s="11" t="s">
        <v>580</v>
      </c>
      <c r="D337" s="11" t="s">
        <v>184</v>
      </c>
      <c r="E337" s="10" t="str">
        <f t="shared" si="14"/>
        <v>D</v>
      </c>
      <c r="F337" s="10" t="str">
        <f t="shared" si="15"/>
        <v>J</v>
      </c>
      <c r="G337" s="11" t="str">
        <f t="shared" si="16"/>
        <v>DJ Postma</v>
      </c>
      <c r="I337"/>
      <c r="J337"/>
      <c r="K337"/>
      <c r="L337"/>
    </row>
    <row r="338" spans="1:12" ht="14.4" x14ac:dyDescent="0.3">
      <c r="A338" s="11">
        <v>350</v>
      </c>
      <c r="B338">
        <v>303</v>
      </c>
      <c r="C338" s="11" t="s">
        <v>581</v>
      </c>
      <c r="D338" s="11" t="s">
        <v>582</v>
      </c>
      <c r="E338" s="10" t="str">
        <f t="shared" si="14"/>
        <v>H</v>
      </c>
      <c r="F338" s="10" t="str">
        <f t="shared" si="15"/>
        <v>S</v>
      </c>
      <c r="G338" s="11" t="str">
        <f t="shared" si="16"/>
        <v>HS Pelser</v>
      </c>
      <c r="I338"/>
      <c r="J338"/>
      <c r="K338"/>
      <c r="L338"/>
    </row>
    <row r="339" spans="1:12" ht="14.4" x14ac:dyDescent="0.3">
      <c r="A339" s="11">
        <v>351</v>
      </c>
      <c r="B339">
        <v>140</v>
      </c>
      <c r="C339" s="11" t="s">
        <v>583</v>
      </c>
      <c r="D339" s="11" t="s">
        <v>584</v>
      </c>
      <c r="E339" s="10" t="str">
        <f t="shared" si="14"/>
        <v>A</v>
      </c>
      <c r="F339" s="10" t="str">
        <f t="shared" si="15"/>
        <v>S</v>
      </c>
      <c r="G339" s="11" t="str">
        <f t="shared" si="16"/>
        <v>AS Page</v>
      </c>
      <c r="I339"/>
      <c r="J339"/>
      <c r="K339"/>
      <c r="L339"/>
    </row>
    <row r="340" spans="1:12" ht="14.4" x14ac:dyDescent="0.3">
      <c r="A340" s="11">
        <v>352</v>
      </c>
      <c r="B340">
        <v>134</v>
      </c>
      <c r="C340" s="11" t="s">
        <v>420</v>
      </c>
      <c r="D340" s="11" t="s">
        <v>495</v>
      </c>
      <c r="E340" s="10" t="str">
        <f t="shared" si="14"/>
        <v>N</v>
      </c>
      <c r="F340" s="10" t="str">
        <f t="shared" si="15"/>
        <v>P</v>
      </c>
      <c r="G340" s="11" t="str">
        <f t="shared" si="16"/>
        <v>NP Oosthuizen</v>
      </c>
      <c r="I340"/>
      <c r="J340"/>
      <c r="K340"/>
      <c r="L340"/>
    </row>
    <row r="341" spans="1:12" ht="14.4" x14ac:dyDescent="0.3">
      <c r="A341" s="11">
        <v>353</v>
      </c>
      <c r="B341">
        <v>141</v>
      </c>
      <c r="C341" s="11" t="s">
        <v>585</v>
      </c>
      <c r="D341" s="11" t="s">
        <v>468</v>
      </c>
      <c r="E341" s="10" t="str">
        <f t="shared" si="14"/>
        <v>K</v>
      </c>
      <c r="F341" s="10" t="str">
        <f t="shared" si="15"/>
        <v>E</v>
      </c>
      <c r="G341" s="11" t="str">
        <f t="shared" si="16"/>
        <v>KE Olsen</v>
      </c>
      <c r="I341"/>
      <c r="J341"/>
      <c r="K341"/>
      <c r="L341"/>
    </row>
    <row r="342" spans="1:12" ht="14.4" x14ac:dyDescent="0.3">
      <c r="A342" s="11">
        <v>354</v>
      </c>
      <c r="B342" s="11">
        <v>226</v>
      </c>
      <c r="C342" s="11" t="s">
        <v>586</v>
      </c>
      <c r="D342" s="11" t="s">
        <v>422</v>
      </c>
      <c r="E342" s="10" t="str">
        <f t="shared" si="14"/>
        <v>J</v>
      </c>
      <c r="F342" s="10" t="str">
        <f t="shared" si="15"/>
        <v>D</v>
      </c>
      <c r="G342" s="11" t="str">
        <f t="shared" si="16"/>
        <v>JD Spies</v>
      </c>
      <c r="I342"/>
      <c r="J342"/>
      <c r="K342"/>
      <c r="L342"/>
    </row>
    <row r="343" spans="1:12" ht="14.4" x14ac:dyDescent="0.3">
      <c r="A343" s="11">
        <v>355</v>
      </c>
      <c r="B343" s="11">
        <v>216</v>
      </c>
      <c r="C343" s="11" t="s">
        <v>587</v>
      </c>
      <c r="D343" s="11" t="s">
        <v>435</v>
      </c>
      <c r="E343" s="10" t="str">
        <f t="shared" si="14"/>
        <v>D</v>
      </c>
      <c r="F343" s="10" t="str">
        <f t="shared" si="15"/>
        <v/>
      </c>
      <c r="G343" s="11" t="str">
        <f t="shared" si="16"/>
        <v>D Schraader</v>
      </c>
      <c r="I343"/>
      <c r="J343"/>
      <c r="K343"/>
      <c r="L343"/>
    </row>
    <row r="344" spans="1:12" ht="14.4" x14ac:dyDescent="0.3">
      <c r="A344" s="11">
        <v>356</v>
      </c>
      <c r="B344" s="11">
        <v>18</v>
      </c>
      <c r="C344" s="11" t="s">
        <v>588</v>
      </c>
      <c r="D344" s="11" t="s">
        <v>481</v>
      </c>
      <c r="E344" s="10" t="str">
        <f t="shared" si="14"/>
        <v>D</v>
      </c>
      <c r="F344" s="10" t="str">
        <f t="shared" si="15"/>
        <v>E</v>
      </c>
      <c r="G344" s="11" t="str">
        <f t="shared" si="16"/>
        <v>DE Strauss</v>
      </c>
      <c r="I344"/>
      <c r="J344"/>
      <c r="K344"/>
      <c r="L344"/>
    </row>
    <row r="345" spans="1:12" ht="14.4" x14ac:dyDescent="0.3">
      <c r="A345" s="11">
        <v>357</v>
      </c>
      <c r="B345" s="11">
        <v>382</v>
      </c>
      <c r="C345" s="11" t="s">
        <v>589</v>
      </c>
      <c r="D345" s="11" t="s">
        <v>242</v>
      </c>
      <c r="E345" s="10" t="str">
        <f t="shared" si="14"/>
        <v>J</v>
      </c>
      <c r="F345" s="10" t="str">
        <f t="shared" si="15"/>
        <v>P</v>
      </c>
      <c r="G345" s="11" t="str">
        <f t="shared" si="16"/>
        <v>JP Zweistra</v>
      </c>
      <c r="I345"/>
      <c r="J345"/>
      <c r="K345"/>
      <c r="L345"/>
    </row>
    <row r="346" spans="1:12" ht="14.4" x14ac:dyDescent="0.3">
      <c r="A346" s="11">
        <v>358</v>
      </c>
      <c r="B346" s="11">
        <v>164</v>
      </c>
      <c r="C346" s="11" t="s">
        <v>493</v>
      </c>
      <c r="D346" s="11" t="s">
        <v>443</v>
      </c>
      <c r="E346" s="10" t="str">
        <f t="shared" si="14"/>
        <v>E</v>
      </c>
      <c r="F346" s="10" t="str">
        <f t="shared" si="15"/>
        <v>A</v>
      </c>
      <c r="G346" s="11" t="str">
        <f t="shared" si="16"/>
        <v>EA Venter</v>
      </c>
      <c r="I346"/>
      <c r="J346"/>
      <c r="K346"/>
      <c r="L346"/>
    </row>
    <row r="347" spans="1:12" ht="14.4" x14ac:dyDescent="0.3">
      <c r="A347" s="11">
        <v>359</v>
      </c>
      <c r="B347" s="11">
        <v>219</v>
      </c>
      <c r="C347" s="11" t="s">
        <v>590</v>
      </c>
      <c r="D347" s="11" t="s">
        <v>591</v>
      </c>
      <c r="E347" s="10" t="str">
        <f t="shared" si="14"/>
        <v>P</v>
      </c>
      <c r="F347" s="10" t="str">
        <f t="shared" si="15"/>
        <v>A</v>
      </c>
      <c r="G347" s="11" t="str">
        <f t="shared" si="16"/>
        <v>PA van Straaten</v>
      </c>
      <c r="I347"/>
      <c r="J347"/>
      <c r="K347"/>
      <c r="L347"/>
    </row>
    <row r="348" spans="1:12" ht="14.4" x14ac:dyDescent="0.3">
      <c r="A348" s="11">
        <v>360</v>
      </c>
      <c r="B348" s="11">
        <v>4</v>
      </c>
      <c r="C348" s="11" t="s">
        <v>592</v>
      </c>
      <c r="E348" s="10"/>
      <c r="F348" s="10"/>
      <c r="G348" s="11" t="s">
        <v>592</v>
      </c>
      <c r="I348"/>
      <c r="J348"/>
      <c r="K348"/>
      <c r="L348"/>
    </row>
    <row r="349" spans="1:12" ht="14.4" x14ac:dyDescent="0.3">
      <c r="A349" s="10">
        <v>361</v>
      </c>
      <c r="B349" s="10">
        <v>210</v>
      </c>
      <c r="C349" s="10" t="s">
        <v>438</v>
      </c>
      <c r="D349" s="10" t="s">
        <v>190</v>
      </c>
      <c r="E349" s="10" t="str">
        <f t="shared" ref="E349" si="17">LEFT(D349,1)</f>
        <v>C</v>
      </c>
      <c r="F349" s="10" t="str">
        <f t="shared" ref="F349" si="18">IF(MID(D349,2,1)=" ",MID(D349,3,1),MID(D349,2,1))</f>
        <v/>
      </c>
      <c r="G349" s="11" t="str">
        <f t="shared" ref="G349:G396" si="19">IF(D349="",C349,CONCATENATE(E349,F349," ",C349))</f>
        <v>C Swartz</v>
      </c>
      <c r="I349"/>
      <c r="J349"/>
      <c r="K349"/>
      <c r="L349"/>
    </row>
    <row r="350" spans="1:12" ht="14.4" x14ac:dyDescent="0.3">
      <c r="A350" s="10">
        <v>362</v>
      </c>
      <c r="B350" s="10">
        <v>179</v>
      </c>
      <c r="C350" s="10" t="s">
        <v>593</v>
      </c>
      <c r="D350" s="10"/>
      <c r="E350" s="10"/>
      <c r="F350" s="10"/>
      <c r="G350" s="11" t="str">
        <f t="shared" si="19"/>
        <v>Dieu Donne Trust</v>
      </c>
      <c r="I350"/>
      <c r="J350"/>
      <c r="K350"/>
      <c r="L350"/>
    </row>
    <row r="351" spans="1:12" ht="14.4" x14ac:dyDescent="0.3">
      <c r="A351" s="11">
        <v>364</v>
      </c>
      <c r="B351" s="11">
        <v>109</v>
      </c>
      <c r="C351" s="11" t="s">
        <v>594</v>
      </c>
      <c r="D351" s="11" t="s">
        <v>201</v>
      </c>
      <c r="E351" s="10" t="str">
        <f t="shared" ref="E351:E361" si="20">LEFT(D351,1)</f>
        <v>B</v>
      </c>
      <c r="F351" s="10" t="str">
        <f t="shared" ref="F351:F361" si="21">IF(MID(D351,2,1)=" ",MID(D351,3,1),MID(D351,2,1))</f>
        <v>J</v>
      </c>
      <c r="G351" s="11" t="str">
        <f t="shared" si="19"/>
        <v>BJ Scheepers</v>
      </c>
      <c r="I351"/>
      <c r="J351"/>
      <c r="K351"/>
      <c r="L351"/>
    </row>
    <row r="352" spans="1:12" ht="14.4" x14ac:dyDescent="0.3">
      <c r="A352" s="11">
        <v>365</v>
      </c>
      <c r="B352" s="11">
        <v>102</v>
      </c>
      <c r="C352" s="11" t="s">
        <v>160</v>
      </c>
      <c r="D352" s="11" t="s">
        <v>527</v>
      </c>
      <c r="E352" s="10" t="str">
        <f t="shared" si="20"/>
        <v>G</v>
      </c>
      <c r="F352" s="10" t="str">
        <f t="shared" si="21"/>
        <v/>
      </c>
      <c r="G352" s="11" t="str">
        <f t="shared" si="19"/>
        <v>G Bradley</v>
      </c>
      <c r="I352"/>
      <c r="J352"/>
      <c r="K352"/>
      <c r="L352"/>
    </row>
    <row r="353" spans="1:12" ht="14.4" x14ac:dyDescent="0.3">
      <c r="A353" s="10">
        <v>366</v>
      </c>
      <c r="B353" s="10">
        <v>94</v>
      </c>
      <c r="C353" s="10" t="s">
        <v>349</v>
      </c>
      <c r="D353" s="10" t="s">
        <v>595</v>
      </c>
      <c r="E353" s="10" t="str">
        <f t="shared" si="20"/>
        <v>M</v>
      </c>
      <c r="F353" s="10" t="str">
        <f t="shared" si="21"/>
        <v>H</v>
      </c>
      <c r="G353" s="11" t="str">
        <f t="shared" si="19"/>
        <v>MH Marks</v>
      </c>
      <c r="I353"/>
      <c r="J353"/>
      <c r="K353"/>
      <c r="L353"/>
    </row>
    <row r="354" spans="1:12" ht="14.4" x14ac:dyDescent="0.3">
      <c r="A354" s="10">
        <v>367</v>
      </c>
      <c r="B354" s="10">
        <v>110</v>
      </c>
      <c r="C354" s="10" t="s">
        <v>596</v>
      </c>
      <c r="D354" s="10" t="s">
        <v>597</v>
      </c>
      <c r="E354" s="10" t="str">
        <f t="shared" si="20"/>
        <v>K</v>
      </c>
      <c r="F354" s="10" t="str">
        <f t="shared" si="21"/>
        <v>L</v>
      </c>
      <c r="G354" s="11" t="str">
        <f t="shared" si="19"/>
        <v>KL Dolloway</v>
      </c>
      <c r="I354"/>
      <c r="J354"/>
      <c r="K354"/>
      <c r="L354"/>
    </row>
    <row r="355" spans="1:12" ht="14.4" x14ac:dyDescent="0.3">
      <c r="A355" s="10">
        <v>368</v>
      </c>
      <c r="B355" s="10">
        <v>117</v>
      </c>
      <c r="C355" s="10" t="s">
        <v>598</v>
      </c>
      <c r="D355" s="10" t="s">
        <v>284</v>
      </c>
      <c r="E355" s="10" t="str">
        <f t="shared" si="20"/>
        <v>M</v>
      </c>
      <c r="F355" s="10" t="str">
        <f t="shared" si="21"/>
        <v/>
      </c>
      <c r="G355" s="11" t="str">
        <f t="shared" si="19"/>
        <v>M Branford</v>
      </c>
      <c r="I355"/>
      <c r="J355"/>
      <c r="K355"/>
      <c r="L355"/>
    </row>
    <row r="356" spans="1:12" ht="14.4" x14ac:dyDescent="0.3">
      <c r="A356" s="10">
        <v>369</v>
      </c>
      <c r="B356" s="10">
        <v>119</v>
      </c>
      <c r="C356" s="10" t="s">
        <v>599</v>
      </c>
      <c r="D356" s="10" t="s">
        <v>256</v>
      </c>
      <c r="E356" s="10" t="str">
        <f t="shared" si="20"/>
        <v>K</v>
      </c>
      <c r="F356" s="10" t="str">
        <f t="shared" si="21"/>
        <v>A</v>
      </c>
      <c r="G356" s="11" t="str">
        <f t="shared" si="19"/>
        <v>KA Tavares</v>
      </c>
      <c r="I356"/>
      <c r="J356"/>
      <c r="K356"/>
      <c r="L356"/>
    </row>
    <row r="357" spans="1:12" ht="14.4" x14ac:dyDescent="0.3">
      <c r="A357" s="10">
        <v>372</v>
      </c>
      <c r="B357" s="10">
        <v>123</v>
      </c>
      <c r="C357" s="10" t="s">
        <v>458</v>
      </c>
      <c r="D357" s="10" t="s">
        <v>600</v>
      </c>
      <c r="E357" s="10" t="str">
        <f t="shared" si="20"/>
        <v>M</v>
      </c>
      <c r="F357" s="10" t="str">
        <f t="shared" si="21"/>
        <v>W</v>
      </c>
      <c r="G357" s="11" t="str">
        <f t="shared" si="19"/>
        <v>MW Swart</v>
      </c>
      <c r="I357"/>
      <c r="J357"/>
      <c r="K357"/>
      <c r="L357"/>
    </row>
    <row r="358" spans="1:12" ht="14.4" x14ac:dyDescent="0.3">
      <c r="A358" s="10">
        <v>375</v>
      </c>
      <c r="B358" s="10">
        <v>136</v>
      </c>
      <c r="C358" s="10" t="s">
        <v>601</v>
      </c>
      <c r="D358" s="10" t="s">
        <v>602</v>
      </c>
      <c r="E358" s="10" t="str">
        <f t="shared" si="20"/>
        <v>L</v>
      </c>
      <c r="F358" s="10" t="str">
        <f t="shared" si="21"/>
        <v>L</v>
      </c>
      <c r="G358" s="11" t="str">
        <f t="shared" si="19"/>
        <v>LL Mrwetyana</v>
      </c>
      <c r="I358"/>
      <c r="J358"/>
      <c r="K358"/>
      <c r="L358"/>
    </row>
    <row r="359" spans="1:12" ht="14.4" x14ac:dyDescent="0.3">
      <c r="A359" s="10">
        <v>376</v>
      </c>
      <c r="B359" s="10">
        <v>137</v>
      </c>
      <c r="C359" s="10" t="s">
        <v>296</v>
      </c>
      <c r="D359" s="10" t="s">
        <v>690</v>
      </c>
      <c r="E359" s="10" t="str">
        <f t="shared" si="20"/>
        <v>M</v>
      </c>
      <c r="F359" s="10" t="str">
        <f t="shared" si="21"/>
        <v>G</v>
      </c>
      <c r="G359" s="11" t="str">
        <f t="shared" si="19"/>
        <v>MG Sinclair</v>
      </c>
      <c r="I359"/>
      <c r="J359"/>
      <c r="K359"/>
      <c r="L359"/>
    </row>
    <row r="360" spans="1:12" ht="14.4" x14ac:dyDescent="0.3">
      <c r="A360" s="10">
        <v>377</v>
      </c>
      <c r="B360" s="10">
        <v>109</v>
      </c>
      <c r="C360" s="10" t="s">
        <v>603</v>
      </c>
      <c r="D360" s="10" t="s">
        <v>302</v>
      </c>
      <c r="E360" s="10" t="str">
        <f t="shared" si="20"/>
        <v>M</v>
      </c>
      <c r="F360" s="10" t="str">
        <f t="shared" si="21"/>
        <v>P</v>
      </c>
      <c r="G360" s="11" t="str">
        <f t="shared" si="19"/>
        <v>MP Smith</v>
      </c>
      <c r="I360"/>
      <c r="J360"/>
      <c r="K360"/>
      <c r="L360"/>
    </row>
    <row r="361" spans="1:12" ht="14.4" x14ac:dyDescent="0.3">
      <c r="A361" s="10">
        <v>378</v>
      </c>
      <c r="B361" s="10">
        <v>142</v>
      </c>
      <c r="C361" s="10" t="s">
        <v>604</v>
      </c>
      <c r="D361" s="10" t="s">
        <v>184</v>
      </c>
      <c r="E361" s="10" t="str">
        <f t="shared" si="20"/>
        <v>D</v>
      </c>
      <c r="F361" s="10" t="str">
        <f t="shared" si="21"/>
        <v>J</v>
      </c>
      <c r="G361" s="11" t="str">
        <f t="shared" si="19"/>
        <v>DJ Bosman</v>
      </c>
      <c r="I361"/>
      <c r="J361"/>
      <c r="K361"/>
      <c r="L361"/>
    </row>
    <row r="362" spans="1:12" ht="14.4" x14ac:dyDescent="0.3">
      <c r="A362" s="10">
        <v>379</v>
      </c>
      <c r="B362" s="10">
        <v>179</v>
      </c>
      <c r="C362" s="10" t="s">
        <v>605</v>
      </c>
      <c r="D362" s="9"/>
      <c r="E362" s="10"/>
      <c r="F362" s="10"/>
      <c r="G362" s="11" t="str">
        <f t="shared" si="19"/>
        <v>HL and MM Higgins</v>
      </c>
      <c r="I362"/>
      <c r="J362"/>
      <c r="K362"/>
      <c r="L362"/>
    </row>
    <row r="363" spans="1:12" ht="14.4" x14ac:dyDescent="0.3">
      <c r="A363" s="10">
        <v>380</v>
      </c>
      <c r="B363" s="10">
        <v>232</v>
      </c>
      <c r="C363" s="10" t="s">
        <v>233</v>
      </c>
      <c r="D363" s="9" t="s">
        <v>244</v>
      </c>
      <c r="E363" s="10" t="str">
        <f t="shared" ref="E363:E368" si="22">LEFT(D363,1)</f>
        <v>H</v>
      </c>
      <c r="F363" s="10" t="str">
        <f t="shared" ref="F363:F368" si="23">IF(MID(D363,2,1)=" ",MID(D363,3,1),MID(D363,2,1))</f>
        <v/>
      </c>
      <c r="G363" s="11" t="str">
        <f t="shared" si="19"/>
        <v>H Maharaj</v>
      </c>
      <c r="I363"/>
      <c r="J363"/>
      <c r="K363"/>
      <c r="L363"/>
    </row>
    <row r="364" spans="1:12" ht="14.4" x14ac:dyDescent="0.3">
      <c r="A364" s="10">
        <v>381</v>
      </c>
      <c r="B364" s="10">
        <v>143</v>
      </c>
      <c r="C364" s="10" t="s">
        <v>160</v>
      </c>
      <c r="D364" s="9" t="s">
        <v>288</v>
      </c>
      <c r="E364" s="10" t="str">
        <f t="shared" si="22"/>
        <v>B</v>
      </c>
      <c r="F364" s="10" t="str">
        <f t="shared" si="23"/>
        <v/>
      </c>
      <c r="G364" s="11" t="str">
        <f t="shared" si="19"/>
        <v>B Bradley</v>
      </c>
      <c r="I364"/>
      <c r="J364"/>
      <c r="K364"/>
      <c r="L364"/>
    </row>
    <row r="365" spans="1:12" ht="14.4" x14ac:dyDescent="0.3">
      <c r="A365" s="10">
        <v>383</v>
      </c>
      <c r="B365" s="10">
        <v>345</v>
      </c>
      <c r="C365" s="10" t="s">
        <v>606</v>
      </c>
      <c r="D365" s="10"/>
      <c r="E365" s="10" t="str">
        <f t="shared" si="22"/>
        <v/>
      </c>
      <c r="F365" s="10" t="str">
        <f t="shared" si="23"/>
        <v/>
      </c>
      <c r="G365" s="11" t="str">
        <f t="shared" si="19"/>
        <v>BJ and AR Bodenstein</v>
      </c>
      <c r="I365"/>
      <c r="J365"/>
      <c r="K365"/>
      <c r="L365"/>
    </row>
    <row r="366" spans="1:12" ht="14.4" x14ac:dyDescent="0.3">
      <c r="A366" s="10">
        <v>384</v>
      </c>
      <c r="B366" s="10">
        <v>145</v>
      </c>
      <c r="C366" s="10" t="s">
        <v>275</v>
      </c>
      <c r="D366" s="10" t="s">
        <v>374</v>
      </c>
      <c r="E366" s="10" t="str">
        <f t="shared" si="22"/>
        <v>A</v>
      </c>
      <c r="F366" s="10" t="str">
        <f t="shared" si="23"/>
        <v>R</v>
      </c>
      <c r="G366" s="11" t="str">
        <f t="shared" si="19"/>
        <v>AR Ohsiek</v>
      </c>
      <c r="I366"/>
      <c r="J366"/>
      <c r="K366"/>
      <c r="L366"/>
    </row>
    <row r="367" spans="1:12" ht="14.4" x14ac:dyDescent="0.3">
      <c r="A367" s="10">
        <v>387</v>
      </c>
      <c r="B367" s="10">
        <v>151</v>
      </c>
      <c r="C367" s="10" t="s">
        <v>296</v>
      </c>
      <c r="D367" s="10" t="s">
        <v>213</v>
      </c>
      <c r="E367" s="10" t="str">
        <f t="shared" si="22"/>
        <v>K</v>
      </c>
      <c r="F367" s="10" t="str">
        <f t="shared" si="23"/>
        <v>R</v>
      </c>
      <c r="G367" s="11" t="str">
        <f t="shared" si="19"/>
        <v>KR Sinclair</v>
      </c>
      <c r="I367"/>
      <c r="J367"/>
      <c r="K367"/>
      <c r="L367"/>
    </row>
    <row r="368" spans="1:12" ht="14.4" x14ac:dyDescent="0.3">
      <c r="A368" s="10">
        <v>388</v>
      </c>
      <c r="B368" s="10">
        <v>250</v>
      </c>
      <c r="C368" s="10" t="s">
        <v>607</v>
      </c>
      <c r="D368" s="10"/>
      <c r="E368" s="10" t="str">
        <f t="shared" si="22"/>
        <v/>
      </c>
      <c r="F368" s="10" t="str">
        <f t="shared" si="23"/>
        <v/>
      </c>
      <c r="G368" s="11" t="str">
        <f t="shared" si="19"/>
        <v>MJ and MP Boshoff</v>
      </c>
      <c r="I368"/>
      <c r="J368"/>
      <c r="K368"/>
      <c r="L368"/>
    </row>
    <row r="369" spans="1:12" ht="14.4" x14ac:dyDescent="0.3">
      <c r="A369" s="10">
        <v>389</v>
      </c>
      <c r="B369" s="10">
        <v>31</v>
      </c>
      <c r="C369" s="10" t="s">
        <v>608</v>
      </c>
      <c r="E369" s="10"/>
      <c r="F369" s="10"/>
      <c r="G369" s="11" t="str">
        <f t="shared" si="19"/>
        <v>AB and J Delport</v>
      </c>
      <c r="I369"/>
      <c r="J369"/>
      <c r="K369"/>
      <c r="L369"/>
    </row>
    <row r="370" spans="1:12" ht="14.4" x14ac:dyDescent="0.3">
      <c r="A370" s="10">
        <v>390</v>
      </c>
      <c r="B370" s="10">
        <v>68</v>
      </c>
      <c r="C370" s="10" t="s">
        <v>609</v>
      </c>
      <c r="D370" s="10" t="s">
        <v>156</v>
      </c>
      <c r="E370" s="10" t="str">
        <f t="shared" ref="E370:E397" si="24">LEFT(D370,1)</f>
        <v/>
      </c>
      <c r="F370" s="10" t="str">
        <f t="shared" ref="F370:F397" si="25">IF(MID(D370,2,1)=" ",MID(D370,3,1),MID(D370,2,1))</f>
        <v/>
      </c>
      <c r="G370" s="11" t="str">
        <f t="shared" si="19"/>
        <v>Pretorius Familie Beleggings Trust, Rita Pretorius</v>
      </c>
      <c r="I370"/>
      <c r="J370"/>
      <c r="K370"/>
      <c r="L370"/>
    </row>
    <row r="371" spans="1:12" ht="14.4" x14ac:dyDescent="0.3">
      <c r="A371" s="10">
        <v>391</v>
      </c>
      <c r="B371" s="10">
        <v>69</v>
      </c>
      <c r="C371" s="10" t="s">
        <v>610</v>
      </c>
      <c r="D371" s="10" t="s">
        <v>156</v>
      </c>
      <c r="E371" s="10" t="str">
        <f t="shared" si="24"/>
        <v/>
      </c>
      <c r="F371" s="10" t="str">
        <f t="shared" si="25"/>
        <v/>
      </c>
      <c r="G371" s="11" t="str">
        <f t="shared" si="19"/>
        <v>Pretorius Familie Beleggings Trust, Markus</v>
      </c>
      <c r="I371"/>
      <c r="J371"/>
      <c r="K371"/>
      <c r="L371"/>
    </row>
    <row r="372" spans="1:12" ht="14.4" x14ac:dyDescent="0.3">
      <c r="A372" s="10">
        <v>392</v>
      </c>
      <c r="B372" s="10">
        <v>70</v>
      </c>
      <c r="C372" s="10" t="s">
        <v>611</v>
      </c>
      <c r="D372" s="10" t="s">
        <v>156</v>
      </c>
      <c r="E372" s="10" t="str">
        <f t="shared" si="24"/>
        <v/>
      </c>
      <c r="F372" s="10" t="str">
        <f t="shared" si="25"/>
        <v/>
      </c>
      <c r="G372" s="11" t="str">
        <f t="shared" si="19"/>
        <v>Pretorius Familie Beleggings Trust, Pieter</v>
      </c>
      <c r="I372"/>
      <c r="J372"/>
      <c r="K372"/>
      <c r="L372"/>
    </row>
    <row r="373" spans="1:12" ht="14.4" x14ac:dyDescent="0.3">
      <c r="A373" s="10">
        <v>393</v>
      </c>
      <c r="B373" s="10">
        <v>75</v>
      </c>
      <c r="C373" s="10" t="s">
        <v>612</v>
      </c>
      <c r="D373" s="10" t="s">
        <v>156</v>
      </c>
      <c r="E373" s="10" t="str">
        <f t="shared" si="24"/>
        <v/>
      </c>
      <c r="F373" s="10" t="str">
        <f t="shared" si="25"/>
        <v/>
      </c>
      <c r="G373" s="11" t="str">
        <f t="shared" si="19"/>
        <v>Pretorius Familie Beleggings Trust, Marius</v>
      </c>
      <c r="I373"/>
      <c r="J373"/>
      <c r="K373"/>
      <c r="L373"/>
    </row>
    <row r="374" spans="1:12" ht="14.4" x14ac:dyDescent="0.3">
      <c r="A374" s="10">
        <v>394</v>
      </c>
      <c r="B374" s="10">
        <v>77</v>
      </c>
      <c r="C374" s="10" t="s">
        <v>613</v>
      </c>
      <c r="D374" s="10" t="s">
        <v>156</v>
      </c>
      <c r="E374" s="10" t="str">
        <f t="shared" si="24"/>
        <v/>
      </c>
      <c r="F374" s="10" t="str">
        <f t="shared" si="25"/>
        <v/>
      </c>
      <c r="G374" s="11" t="str">
        <f t="shared" si="19"/>
        <v>Pretorius Familie Beleggings Trust, Dewald</v>
      </c>
      <c r="I374"/>
      <c r="J374"/>
      <c r="K374"/>
      <c r="L374"/>
    </row>
    <row r="375" spans="1:12" ht="14.4" x14ac:dyDescent="0.3">
      <c r="A375" s="10">
        <v>395</v>
      </c>
      <c r="B375" s="10">
        <v>86</v>
      </c>
      <c r="C375" s="10" t="s">
        <v>649</v>
      </c>
      <c r="D375" s="10" t="s">
        <v>400</v>
      </c>
      <c r="E375" s="10" t="str">
        <f t="shared" si="24"/>
        <v>M</v>
      </c>
      <c r="F375" s="10" t="str">
        <f t="shared" si="25"/>
        <v>L</v>
      </c>
      <c r="G375" s="11" t="str">
        <f t="shared" si="19"/>
        <v>ML Sykes</v>
      </c>
      <c r="I375"/>
      <c r="J375"/>
      <c r="K375"/>
      <c r="L375"/>
    </row>
    <row r="376" spans="1:12" ht="14.4" x14ac:dyDescent="0.3">
      <c r="A376" s="10">
        <v>396</v>
      </c>
      <c r="B376" s="10">
        <v>68</v>
      </c>
      <c r="C376" s="10" t="s">
        <v>650</v>
      </c>
      <c r="E376" s="10"/>
      <c r="F376" s="10"/>
      <c r="G376" s="11" t="str">
        <f t="shared" si="19"/>
        <v>MM and DP Pretorius</v>
      </c>
      <c r="I376"/>
      <c r="J376"/>
      <c r="K376"/>
      <c r="L376"/>
    </row>
    <row r="377" spans="1:12" ht="14.4" x14ac:dyDescent="0.3">
      <c r="A377" s="10">
        <v>397</v>
      </c>
      <c r="B377" s="10">
        <v>17</v>
      </c>
      <c r="C377" s="10" t="s">
        <v>651</v>
      </c>
      <c r="E377" s="10"/>
      <c r="F377" s="10"/>
      <c r="G377" s="11" t="str">
        <f t="shared" si="19"/>
        <v>JP Mays and CA Stark</v>
      </c>
      <c r="I377"/>
      <c r="J377"/>
      <c r="K377"/>
      <c r="L377"/>
    </row>
    <row r="378" spans="1:12" ht="14.4" x14ac:dyDescent="0.3">
      <c r="A378" s="10">
        <v>398</v>
      </c>
      <c r="B378" s="10">
        <v>39</v>
      </c>
      <c r="C378" s="10" t="s">
        <v>652</v>
      </c>
      <c r="E378" s="10"/>
      <c r="F378" s="10"/>
      <c r="G378" s="11" t="str">
        <f t="shared" si="19"/>
        <v>GJ and BM McGill</v>
      </c>
      <c r="I378"/>
      <c r="J378"/>
      <c r="K378"/>
      <c r="L378"/>
    </row>
    <row r="379" spans="1:12" ht="14.4" x14ac:dyDescent="0.3">
      <c r="A379" s="10">
        <v>399</v>
      </c>
      <c r="B379" s="10">
        <v>137</v>
      </c>
      <c r="C379" s="10" t="s">
        <v>653</v>
      </c>
      <c r="E379" s="10"/>
      <c r="F379" s="10"/>
      <c r="G379" s="11" t="str">
        <f t="shared" si="19"/>
        <v>MG and KR Sinclair</v>
      </c>
      <c r="I379"/>
      <c r="J379"/>
      <c r="K379"/>
      <c r="L379"/>
    </row>
    <row r="380" spans="1:12" ht="14.4" x14ac:dyDescent="0.3">
      <c r="A380" s="10">
        <v>400</v>
      </c>
      <c r="B380" s="10">
        <v>152</v>
      </c>
      <c r="C380" s="10" t="s">
        <v>654</v>
      </c>
      <c r="E380" s="10"/>
      <c r="F380" s="10"/>
      <c r="G380" s="11" t="str">
        <f t="shared" si="19"/>
        <v>LF Erasmus and SS Swart</v>
      </c>
      <c r="I380"/>
      <c r="J380"/>
      <c r="K380"/>
      <c r="L380"/>
    </row>
    <row r="381" spans="1:12" ht="14.4" x14ac:dyDescent="0.3">
      <c r="A381" s="10">
        <v>401</v>
      </c>
      <c r="B381" s="10">
        <v>193</v>
      </c>
      <c r="C381" s="10" t="s">
        <v>655</v>
      </c>
      <c r="E381" s="10"/>
      <c r="F381" s="10"/>
      <c r="G381" s="11" t="str">
        <f t="shared" si="19"/>
        <v>JJ and P Randall</v>
      </c>
      <c r="I381"/>
      <c r="J381"/>
      <c r="K381"/>
      <c r="L381"/>
    </row>
    <row r="382" spans="1:12" ht="14.4" x14ac:dyDescent="0.3">
      <c r="A382" s="10">
        <v>402</v>
      </c>
      <c r="B382" s="10">
        <v>222</v>
      </c>
      <c r="C382" s="10" t="s">
        <v>656</v>
      </c>
      <c r="E382" s="10"/>
      <c r="F382" s="10"/>
      <c r="G382" s="11" t="str">
        <f t="shared" si="19"/>
        <v>JL and LN Sellors</v>
      </c>
      <c r="I382"/>
      <c r="J382"/>
      <c r="K382"/>
      <c r="L382"/>
    </row>
    <row r="383" spans="1:12" ht="14.4" x14ac:dyDescent="0.3">
      <c r="A383" s="10">
        <v>403</v>
      </c>
      <c r="B383" s="10">
        <v>468</v>
      </c>
      <c r="C383" s="10" t="s">
        <v>657</v>
      </c>
      <c r="E383" s="10"/>
      <c r="F383" s="10"/>
      <c r="G383" s="11" t="str">
        <f t="shared" si="19"/>
        <v>AJ and MEC Van Tonder</v>
      </c>
      <c r="I383"/>
      <c r="J383"/>
      <c r="K383"/>
      <c r="L383"/>
    </row>
    <row r="384" spans="1:12" ht="14.4" x14ac:dyDescent="0.3">
      <c r="A384" s="10">
        <v>404</v>
      </c>
      <c r="B384" s="10">
        <v>26</v>
      </c>
      <c r="C384" s="10" t="s">
        <v>658</v>
      </c>
      <c r="E384" s="10"/>
      <c r="F384" s="10"/>
      <c r="G384" s="11" t="str">
        <f t="shared" si="19"/>
        <v>HJ and JC Pienaar</v>
      </c>
      <c r="I384"/>
      <c r="J384"/>
      <c r="K384"/>
      <c r="L384"/>
    </row>
    <row r="385" spans="1:12" ht="14.4" x14ac:dyDescent="0.3">
      <c r="A385" s="10">
        <v>405</v>
      </c>
      <c r="B385" s="10">
        <v>430</v>
      </c>
      <c r="C385" s="10" t="s">
        <v>659</v>
      </c>
      <c r="E385" s="10"/>
      <c r="F385" s="10"/>
      <c r="G385" s="11" t="str">
        <f t="shared" si="19"/>
        <v>CJ Neethling and JC Howard</v>
      </c>
      <c r="I385"/>
      <c r="J385"/>
      <c r="K385"/>
      <c r="L385"/>
    </row>
    <row r="386" spans="1:12" ht="14.4" x14ac:dyDescent="0.3">
      <c r="A386" s="10">
        <v>406</v>
      </c>
      <c r="B386" s="10">
        <v>79</v>
      </c>
      <c r="C386" s="10" t="s">
        <v>660</v>
      </c>
      <c r="E386" s="10"/>
      <c r="F386" s="10"/>
      <c r="G386" s="11" t="str">
        <f t="shared" si="19"/>
        <v>AD and CJ Neethling</v>
      </c>
      <c r="I386"/>
      <c r="J386"/>
      <c r="K386"/>
      <c r="L386"/>
    </row>
    <row r="387" spans="1:12" ht="14.4" x14ac:dyDescent="0.3">
      <c r="A387" s="10">
        <v>407</v>
      </c>
      <c r="B387" s="10">
        <v>441</v>
      </c>
      <c r="C387" s="10" t="s">
        <v>661</v>
      </c>
      <c r="E387" s="10"/>
      <c r="F387" s="10"/>
      <c r="G387" s="11" t="str">
        <f t="shared" si="19"/>
        <v>JA and AD Neethling</v>
      </c>
      <c r="I387"/>
      <c r="J387"/>
      <c r="K387"/>
      <c r="L387"/>
    </row>
    <row r="388" spans="1:12" ht="14.4" x14ac:dyDescent="0.3">
      <c r="A388" s="10">
        <v>408</v>
      </c>
      <c r="B388" s="10">
        <v>430</v>
      </c>
      <c r="C388" s="10" t="s">
        <v>662</v>
      </c>
      <c r="E388" s="10"/>
      <c r="F388" s="10"/>
      <c r="G388" s="11" t="str">
        <f t="shared" si="19"/>
        <v>CJ Neethling and RJ Nagel</v>
      </c>
      <c r="I388"/>
      <c r="J388"/>
      <c r="K388"/>
      <c r="L388"/>
    </row>
    <row r="389" spans="1:12" ht="14.4" x14ac:dyDescent="0.3">
      <c r="A389" s="10">
        <v>409</v>
      </c>
      <c r="B389" s="10">
        <v>30</v>
      </c>
      <c r="C389" s="10" t="s">
        <v>663</v>
      </c>
      <c r="E389" s="10"/>
      <c r="F389" s="10"/>
      <c r="G389" s="11" t="str">
        <f t="shared" si="19"/>
        <v>AE and PJ Fourie</v>
      </c>
      <c r="I389"/>
      <c r="J389"/>
      <c r="K389"/>
      <c r="L389"/>
    </row>
    <row r="390" spans="1:12" ht="14.4" x14ac:dyDescent="0.3">
      <c r="A390" s="10">
        <v>410</v>
      </c>
      <c r="B390" s="10">
        <v>165</v>
      </c>
      <c r="C390" s="10" t="s">
        <v>664</v>
      </c>
      <c r="D390" s="10"/>
      <c r="E390" s="10"/>
      <c r="F390" s="10" t="str">
        <f t="shared" ref="F390" si="26">IF(MID(D390,2,1)=" ",MID(D390,3,1),MID(D390,2,1))</f>
        <v/>
      </c>
      <c r="G390" s="11" t="str">
        <f t="shared" si="19"/>
        <v>C Friederang and L van den Berg</v>
      </c>
      <c r="I390"/>
      <c r="J390"/>
      <c r="K390"/>
      <c r="L390"/>
    </row>
    <row r="391" spans="1:12" ht="14.4" x14ac:dyDescent="0.3">
      <c r="A391" s="10">
        <v>411</v>
      </c>
      <c r="B391" s="10">
        <v>320</v>
      </c>
      <c r="C391" s="10" t="s">
        <v>665</v>
      </c>
      <c r="D391" s="10"/>
      <c r="E391" s="10"/>
      <c r="F391" s="10"/>
      <c r="G391" s="11" t="str">
        <f t="shared" si="19"/>
        <v>DA and CJ Roberts</v>
      </c>
      <c r="I391"/>
      <c r="J391"/>
      <c r="K391"/>
      <c r="L391"/>
    </row>
    <row r="392" spans="1:12" ht="14.4" x14ac:dyDescent="0.3">
      <c r="A392" s="10">
        <v>412</v>
      </c>
      <c r="B392" s="10">
        <v>200</v>
      </c>
      <c r="C392" s="10" t="s">
        <v>666</v>
      </c>
      <c r="E392" s="10"/>
      <c r="F392" s="10"/>
      <c r="G392" s="11" t="str">
        <f t="shared" si="19"/>
        <v>JR and LI Schaffner</v>
      </c>
      <c r="I392"/>
      <c r="J392"/>
      <c r="K392"/>
      <c r="L392"/>
    </row>
    <row r="393" spans="1:12" ht="14.4" x14ac:dyDescent="0.3">
      <c r="A393" s="10">
        <v>413</v>
      </c>
      <c r="B393" s="10">
        <v>48</v>
      </c>
      <c r="C393" s="10" t="s">
        <v>667</v>
      </c>
      <c r="D393" s="10"/>
      <c r="E393" s="10"/>
      <c r="F393" s="10"/>
      <c r="G393" s="11" t="str">
        <f>IF(D393="",C393,CONCATENATE(E393,F393," ",C393))</f>
        <v>HR Schon and RH Nautsch</v>
      </c>
      <c r="I393"/>
      <c r="J393"/>
      <c r="K393"/>
      <c r="L393"/>
    </row>
    <row r="394" spans="1:12" ht="14.4" x14ac:dyDescent="0.3">
      <c r="A394" s="10">
        <v>414</v>
      </c>
      <c r="B394" s="10">
        <v>139</v>
      </c>
      <c r="C394" s="10" t="s">
        <v>668</v>
      </c>
      <c r="E394" s="10"/>
      <c r="F394" s="10"/>
      <c r="G394" s="11" t="str">
        <f t="shared" ref="G394:G395" si="27">IF(D394="",C394,CONCATENATE(E394,F394," ",C394))</f>
        <v>KF and ME Stonestreet</v>
      </c>
      <c r="I394"/>
      <c r="J394"/>
      <c r="K394"/>
      <c r="L394"/>
    </row>
    <row r="395" spans="1:12" ht="14.4" x14ac:dyDescent="0.3">
      <c r="A395" s="10">
        <v>415</v>
      </c>
      <c r="B395" s="10">
        <v>116</v>
      </c>
      <c r="C395" s="10" t="s">
        <v>669</v>
      </c>
      <c r="D395" s="10"/>
      <c r="E395" s="10"/>
      <c r="F395" s="10"/>
      <c r="G395" s="11" t="str">
        <f t="shared" si="27"/>
        <v>JWJ and KE Van Antwerpen</v>
      </c>
      <c r="I395"/>
      <c r="J395"/>
      <c r="K395"/>
      <c r="L395"/>
    </row>
    <row r="396" spans="1:12" ht="14.4" x14ac:dyDescent="0.3">
      <c r="A396" s="10">
        <v>416</v>
      </c>
      <c r="B396" s="10">
        <v>269</v>
      </c>
      <c r="C396" s="10" t="s">
        <v>670</v>
      </c>
      <c r="D396" s="10"/>
      <c r="E396" s="10"/>
      <c r="F396" s="10"/>
      <c r="G396" s="11" t="str">
        <f t="shared" si="19"/>
        <v>AD and KR Sutton</v>
      </c>
      <c r="I396"/>
      <c r="J396"/>
      <c r="K396"/>
      <c r="L396"/>
    </row>
    <row r="397" spans="1:12" ht="14.4" x14ac:dyDescent="0.3">
      <c r="A397" s="10">
        <v>417</v>
      </c>
      <c r="B397" s="10">
        <v>153</v>
      </c>
      <c r="C397" s="10" t="s">
        <v>373</v>
      </c>
      <c r="D397" s="10" t="s">
        <v>226</v>
      </c>
      <c r="E397" s="10" t="str">
        <f t="shared" si="24"/>
        <v>A</v>
      </c>
      <c r="F397" s="10" t="str">
        <f t="shared" si="25"/>
        <v/>
      </c>
      <c r="G397" s="11" t="str">
        <f t="shared" ref="G397:G417" si="28">IF(D397="",C397,CONCATENATE(E397,F397," ",C397))</f>
        <v>A Bodenstein</v>
      </c>
      <c r="I397"/>
      <c r="J397"/>
      <c r="K397"/>
      <c r="L397"/>
    </row>
    <row r="398" spans="1:12" ht="14.4" x14ac:dyDescent="0.3">
      <c r="A398" s="10">
        <v>418</v>
      </c>
      <c r="B398" s="10">
        <v>113</v>
      </c>
      <c r="C398" s="10" t="s">
        <v>671</v>
      </c>
      <c r="D398" s="10"/>
      <c r="E398" s="10"/>
      <c r="F398" s="10"/>
      <c r="G398" s="11" t="str">
        <f t="shared" si="28"/>
        <v>NC and S Trevarthen</v>
      </c>
      <c r="I398"/>
      <c r="J398"/>
      <c r="K398"/>
      <c r="L398"/>
    </row>
    <row r="399" spans="1:12" ht="14.4" x14ac:dyDescent="0.3">
      <c r="A399" s="10">
        <v>419</v>
      </c>
      <c r="B399" s="10">
        <v>142</v>
      </c>
      <c r="C399" s="10" t="s">
        <v>672</v>
      </c>
      <c r="D399" s="10"/>
      <c r="E399" s="10"/>
      <c r="F399" s="10"/>
      <c r="G399" s="11" t="str">
        <f t="shared" si="28"/>
        <v>DJ and EA Bosman</v>
      </c>
      <c r="I399"/>
      <c r="J399"/>
      <c r="K399"/>
      <c r="L399"/>
    </row>
    <row r="400" spans="1:12" ht="14.4" x14ac:dyDescent="0.3">
      <c r="A400" s="10">
        <v>420</v>
      </c>
      <c r="B400" s="10">
        <v>163</v>
      </c>
      <c r="C400" s="10" t="s">
        <v>673</v>
      </c>
      <c r="D400" s="10"/>
      <c r="E400" s="10"/>
      <c r="F400" s="10"/>
      <c r="G400" s="11" t="str">
        <f t="shared" si="28"/>
        <v>CS and C Bradley</v>
      </c>
      <c r="I400"/>
      <c r="J400"/>
      <c r="K400"/>
      <c r="L400"/>
    </row>
    <row r="401" spans="1:12" ht="14.4" x14ac:dyDescent="0.3">
      <c r="A401" s="10">
        <v>421</v>
      </c>
      <c r="B401" s="10">
        <v>10</v>
      </c>
      <c r="C401" s="10" t="s">
        <v>674</v>
      </c>
      <c r="D401" s="10"/>
      <c r="E401" s="10"/>
      <c r="F401" s="10"/>
      <c r="G401" s="11" t="str">
        <f t="shared" si="28"/>
        <v>AF and LS Fullard</v>
      </c>
      <c r="I401"/>
      <c r="J401"/>
      <c r="K401"/>
      <c r="L401"/>
    </row>
    <row r="402" spans="1:12" ht="14.4" x14ac:dyDescent="0.3">
      <c r="A402" s="10">
        <v>422</v>
      </c>
      <c r="B402" s="10">
        <v>370</v>
      </c>
      <c r="C402" s="10" t="s">
        <v>675</v>
      </c>
      <c r="D402" s="10"/>
      <c r="E402" s="10"/>
      <c r="F402" s="10" t="str">
        <f t="shared" ref="F402" si="29">IF(MID(D402,2,1)=" ",MID(D402,3,1),MID(D402,2,1))</f>
        <v/>
      </c>
      <c r="G402" s="11" t="str">
        <f t="shared" si="28"/>
        <v>M and EJ Gouws</v>
      </c>
      <c r="I402"/>
      <c r="J402"/>
      <c r="K402"/>
      <c r="L402"/>
    </row>
    <row r="403" spans="1:12" ht="14.4" x14ac:dyDescent="0.3">
      <c r="A403" s="10">
        <v>423</v>
      </c>
      <c r="B403" s="10">
        <v>104</v>
      </c>
      <c r="C403" s="10" t="s">
        <v>676</v>
      </c>
      <c r="D403" s="10"/>
      <c r="E403" s="10"/>
      <c r="F403" s="10"/>
      <c r="G403" s="11" t="str">
        <f t="shared" si="28"/>
        <v>AB &amp; KE Koorts</v>
      </c>
      <c r="I403"/>
      <c r="J403"/>
      <c r="K403"/>
      <c r="L403"/>
    </row>
    <row r="404" spans="1:12" ht="14.4" x14ac:dyDescent="0.3">
      <c r="A404" s="10">
        <v>424</v>
      </c>
      <c r="B404" s="10">
        <v>395</v>
      </c>
      <c r="C404" s="10" t="s">
        <v>677</v>
      </c>
      <c r="D404" s="10"/>
      <c r="E404" s="10"/>
      <c r="F404" s="10" t="str">
        <f t="shared" ref="F404" si="30">IF(MID(D404,2,1)=" ",MID(D404,3,1),MID(D404,2,1))</f>
        <v/>
      </c>
      <c r="G404" s="11" t="str">
        <f t="shared" si="28"/>
        <v>F and CJ Louw</v>
      </c>
      <c r="I404"/>
      <c r="J404"/>
      <c r="K404"/>
      <c r="L404"/>
    </row>
    <row r="405" spans="1:12" ht="14.4" x14ac:dyDescent="0.3">
      <c r="A405" s="10">
        <v>425</v>
      </c>
      <c r="B405" s="10">
        <v>363</v>
      </c>
      <c r="C405" s="10" t="s">
        <v>678</v>
      </c>
      <c r="D405" s="10"/>
      <c r="E405" s="10"/>
      <c r="F405" s="10"/>
      <c r="G405" s="11" t="str">
        <f t="shared" si="28"/>
        <v>RC and ZA Mack</v>
      </c>
      <c r="I405"/>
      <c r="J405"/>
      <c r="K405"/>
      <c r="L405"/>
    </row>
    <row r="406" spans="1:12" ht="14.4" x14ac:dyDescent="0.3">
      <c r="A406" s="10">
        <v>426</v>
      </c>
      <c r="B406" s="10">
        <v>94</v>
      </c>
      <c r="C406" s="10" t="s">
        <v>679</v>
      </c>
      <c r="D406" s="10"/>
      <c r="E406" s="10"/>
      <c r="F406" s="10"/>
      <c r="G406" s="11" t="str">
        <f t="shared" si="28"/>
        <v>WH and MH Marks</v>
      </c>
      <c r="I406"/>
      <c r="J406"/>
      <c r="K406"/>
      <c r="L406"/>
    </row>
    <row r="407" spans="1:12" ht="14.4" x14ac:dyDescent="0.3">
      <c r="A407" s="10">
        <v>427</v>
      </c>
      <c r="B407" s="10">
        <v>372</v>
      </c>
      <c r="C407" s="10" t="s">
        <v>680</v>
      </c>
      <c r="D407" s="10"/>
      <c r="E407" s="10"/>
      <c r="F407" s="10"/>
      <c r="G407" s="11" t="str">
        <f t="shared" si="28"/>
        <v>JW en LJ Nel</v>
      </c>
      <c r="I407"/>
      <c r="J407"/>
      <c r="K407"/>
      <c r="L407"/>
    </row>
    <row r="408" spans="1:12" ht="14.4" x14ac:dyDescent="0.3">
      <c r="A408" s="10">
        <v>428</v>
      </c>
      <c r="B408" s="10">
        <v>410</v>
      </c>
      <c r="C408" s="10" t="s">
        <v>681</v>
      </c>
      <c r="D408" s="10"/>
      <c r="E408" s="10"/>
      <c r="F408" s="10"/>
      <c r="G408" s="11" t="str">
        <f t="shared" si="28"/>
        <v>RH Nautsch and HR Schon</v>
      </c>
      <c r="I408"/>
      <c r="J408"/>
      <c r="K408"/>
      <c r="L408"/>
    </row>
    <row r="409" spans="1:12" ht="14.4" x14ac:dyDescent="0.3">
      <c r="A409" s="10">
        <v>429</v>
      </c>
      <c r="B409" s="10">
        <v>137</v>
      </c>
      <c r="C409" t="s">
        <v>682</v>
      </c>
      <c r="E409" s="10"/>
      <c r="F409" s="10"/>
      <c r="G409" s="11" t="str">
        <f t="shared" si="28"/>
        <v>KR and MG Sinclair</v>
      </c>
      <c r="I409"/>
      <c r="J409"/>
      <c r="K409"/>
      <c r="L409"/>
    </row>
    <row r="410" spans="1:12" ht="14.4" x14ac:dyDescent="0.3">
      <c r="A410" s="10">
        <v>430</v>
      </c>
      <c r="B410" s="10">
        <v>390</v>
      </c>
      <c r="C410" s="10" t="s">
        <v>683</v>
      </c>
      <c r="D410" s="10"/>
      <c r="E410" s="10"/>
      <c r="F410" s="10"/>
      <c r="G410" s="11" t="str">
        <f t="shared" si="28"/>
        <v>HPJ and Z Pretorius</v>
      </c>
      <c r="I410"/>
      <c r="J410"/>
      <c r="K410"/>
      <c r="L410"/>
    </row>
    <row r="411" spans="1:12" ht="14.4" x14ac:dyDescent="0.3">
      <c r="A411" s="10">
        <v>431</v>
      </c>
      <c r="B411" s="10">
        <v>107</v>
      </c>
      <c r="C411" s="10" t="s">
        <v>684</v>
      </c>
      <c r="D411" s="10"/>
      <c r="E411" s="10"/>
      <c r="F411" s="10"/>
      <c r="G411" s="11" t="str">
        <f t="shared" si="28"/>
        <v>SJ and CM Schneider</v>
      </c>
      <c r="I411"/>
      <c r="J411"/>
      <c r="K411"/>
      <c r="L411"/>
    </row>
    <row r="412" spans="1:12" ht="14.4" x14ac:dyDescent="0.3">
      <c r="A412" s="10">
        <v>432</v>
      </c>
      <c r="B412" s="10">
        <v>283</v>
      </c>
      <c r="C412" s="10" t="s">
        <v>685</v>
      </c>
      <c r="D412" s="10"/>
      <c r="E412" s="10"/>
      <c r="F412" s="10"/>
      <c r="G412" s="11" t="str">
        <f t="shared" si="28"/>
        <v>DE and O Van der Westhuizen</v>
      </c>
      <c r="I412"/>
      <c r="J412"/>
      <c r="K412"/>
      <c r="L412"/>
    </row>
    <row r="413" spans="1:12" ht="14.4" x14ac:dyDescent="0.3">
      <c r="A413" s="10">
        <v>433</v>
      </c>
      <c r="B413" s="10">
        <v>480</v>
      </c>
      <c r="C413" s="10" t="s">
        <v>686</v>
      </c>
      <c r="D413" s="10"/>
      <c r="E413" s="10"/>
      <c r="F413" s="10" t="str">
        <f t="shared" ref="F413" si="31">IF(MID(D413,2,1)=" ",MID(D413,3,1),MID(D413,2,1))</f>
        <v/>
      </c>
      <c r="G413" s="11" t="str">
        <f t="shared" si="28"/>
        <v>J and A Van Eeden</v>
      </c>
      <c r="I413"/>
      <c r="J413"/>
      <c r="K413"/>
      <c r="L413"/>
    </row>
    <row r="414" spans="1:12" ht="14.4" x14ac:dyDescent="0.3">
      <c r="A414" s="10">
        <v>434</v>
      </c>
      <c r="B414" s="10">
        <v>82</v>
      </c>
      <c r="C414" s="10" t="s">
        <v>687</v>
      </c>
      <c r="D414" s="10"/>
      <c r="E414" s="10"/>
      <c r="F414" s="10"/>
      <c r="G414" s="11" t="str">
        <f t="shared" si="28"/>
        <v>TJ and MC Visser</v>
      </c>
      <c r="I414"/>
      <c r="J414"/>
      <c r="K414"/>
      <c r="L414"/>
    </row>
    <row r="415" spans="1:12" ht="14.4" x14ac:dyDescent="0.3">
      <c r="A415" s="10">
        <v>437</v>
      </c>
      <c r="B415" s="10">
        <v>159</v>
      </c>
      <c r="C415" s="10" t="s">
        <v>688</v>
      </c>
      <c r="D415" s="10" t="s">
        <v>693</v>
      </c>
      <c r="E415" s="10" t="str">
        <f t="shared" ref="E415" si="32">LEFT(D415,1)</f>
        <v>E</v>
      </c>
      <c r="F415" s="10" t="str">
        <f t="shared" ref="F415" si="33">IF(MID(D415,2,1)=" ",MID(D415,3,1),MID(D415,2,1))</f>
        <v>H</v>
      </c>
      <c r="G415" s="11" t="str">
        <f t="shared" si="28"/>
        <v>EH Bonnet</v>
      </c>
      <c r="I415"/>
      <c r="J415"/>
      <c r="K415"/>
      <c r="L415"/>
    </row>
    <row r="416" spans="1:12" ht="14.4" x14ac:dyDescent="0.3">
      <c r="A416" s="10">
        <v>438</v>
      </c>
      <c r="B416" s="10">
        <v>160</v>
      </c>
      <c r="C416" s="10" t="s">
        <v>633</v>
      </c>
      <c r="D416" s="10" t="s">
        <v>156</v>
      </c>
      <c r="E416" s="10" t="str">
        <f t="shared" ref="E416" si="34">LEFT(D416,1)</f>
        <v/>
      </c>
      <c r="F416" s="10" t="str">
        <f t="shared" ref="F416" si="35">IF(MID(D416,2,1)=" ",MID(D416,3,1),MID(D416,2,1))</f>
        <v/>
      </c>
      <c r="G416" s="11" t="str">
        <f t="shared" si="28"/>
        <v>Anmar Trust</v>
      </c>
      <c r="I416"/>
      <c r="J416"/>
      <c r="K416"/>
      <c r="L416"/>
    </row>
    <row r="417" spans="1:12" ht="14.4" x14ac:dyDescent="0.3">
      <c r="A417" s="10">
        <v>439</v>
      </c>
      <c r="B417" s="10">
        <v>166</v>
      </c>
      <c r="C417" s="10" t="s">
        <v>689</v>
      </c>
      <c r="D417" s="10"/>
      <c r="E417" s="10"/>
      <c r="F417" s="10"/>
      <c r="G417" s="11" t="str">
        <f t="shared" si="28"/>
        <v>DR Mays</v>
      </c>
      <c r="I417"/>
      <c r="J417"/>
      <c r="K417"/>
      <c r="L417"/>
    </row>
    <row r="418" spans="1:12" ht="14.4" x14ac:dyDescent="0.3">
      <c r="A418" s="10">
        <v>440</v>
      </c>
      <c r="B418" s="10">
        <v>169</v>
      </c>
      <c r="C418" s="10" t="s">
        <v>636</v>
      </c>
      <c r="D418" s="10" t="s">
        <v>156</v>
      </c>
      <c r="E418" s="10" t="str">
        <f t="shared" ref="E418:E422" si="36">LEFT(D418,1)</f>
        <v/>
      </c>
      <c r="F418" s="10" t="str">
        <f t="shared" ref="F418:F422" si="37">IF(MID(D418,2,1)=" ",MID(D418,3,1),MID(D418,2,1))</f>
        <v/>
      </c>
      <c r="G418" s="11" t="str">
        <f t="shared" ref="G418:G422" si="38">IF(D418="",C418,CONCATENATE(E418,F418," ",C418))</f>
        <v>Seventh-day Adventist Church NC of SA</v>
      </c>
      <c r="I418"/>
      <c r="J418"/>
      <c r="K418"/>
      <c r="L418"/>
    </row>
    <row r="419" spans="1:12" ht="14.4" x14ac:dyDescent="0.3">
      <c r="A419" s="10">
        <v>444</v>
      </c>
      <c r="B419" s="10">
        <v>174</v>
      </c>
      <c r="C419" s="10" t="s">
        <v>398</v>
      </c>
      <c r="D419" s="10" t="s">
        <v>184</v>
      </c>
      <c r="E419" s="10" t="str">
        <f t="shared" ref="E419" si="39">LEFT(D419,1)</f>
        <v>D</v>
      </c>
      <c r="F419" s="10" t="str">
        <f t="shared" ref="F419" si="40">IF(MID(D419,2,1)=" ",MID(D419,3,1),MID(D419,2,1))</f>
        <v>J</v>
      </c>
      <c r="G419" s="11" t="str">
        <f t="shared" ref="G419" si="41">IF(D419="",C419,CONCATENATE(E419,F419," ",C419))</f>
        <v>DJ Koorts</v>
      </c>
      <c r="I419"/>
      <c r="J419"/>
      <c r="K419"/>
      <c r="L419"/>
    </row>
    <row r="420" spans="1:12" ht="14.4" x14ac:dyDescent="0.3">
      <c r="A420" s="10">
        <v>445</v>
      </c>
      <c r="B420" s="10">
        <v>176</v>
      </c>
      <c r="C420" s="10" t="s">
        <v>691</v>
      </c>
      <c r="D420" s="10" t="s">
        <v>397</v>
      </c>
      <c r="E420" s="10" t="str">
        <f t="shared" si="36"/>
        <v>A</v>
      </c>
      <c r="F420" s="10" t="str">
        <f t="shared" si="37"/>
        <v>B</v>
      </c>
      <c r="G420" s="11" t="str">
        <f t="shared" si="38"/>
        <v>AB Koorts (Jnr)</v>
      </c>
      <c r="I420"/>
      <c r="J420"/>
      <c r="K420"/>
      <c r="L420"/>
    </row>
    <row r="421" spans="1:12" ht="14.4" x14ac:dyDescent="0.3">
      <c r="A421" s="10">
        <v>447</v>
      </c>
      <c r="B421" s="10">
        <v>178</v>
      </c>
      <c r="C421" s="10" t="s">
        <v>707</v>
      </c>
      <c r="D421" s="10" t="s">
        <v>477</v>
      </c>
      <c r="E421" s="10" t="str">
        <f t="shared" ref="E421" si="42">LEFT(D421,1)</f>
        <v>C</v>
      </c>
      <c r="F421" s="10" t="str">
        <f t="shared" ref="F421" si="43">IF(MID(D421,2,1)=" ",MID(D421,3,1),MID(D421,2,1))</f>
        <v>M</v>
      </c>
      <c r="G421" s="11" t="str">
        <f t="shared" ref="G421" si="44">IF(D421="",C421,CONCATENATE(E421,F421," ",C421))</f>
        <v>CM Sparrow</v>
      </c>
      <c r="I421"/>
      <c r="J421"/>
      <c r="K421"/>
      <c r="L421"/>
    </row>
    <row r="422" spans="1:12" ht="14.4" x14ac:dyDescent="0.3">
      <c r="A422" s="10">
        <v>448</v>
      </c>
      <c r="B422" s="10">
        <v>186</v>
      </c>
      <c r="C422" s="10" t="s">
        <v>707</v>
      </c>
      <c r="D422" s="10" t="s">
        <v>708</v>
      </c>
      <c r="E422" s="10" t="str">
        <f t="shared" si="36"/>
        <v>N</v>
      </c>
      <c r="F422" s="10" t="str">
        <f t="shared" si="37"/>
        <v>J</v>
      </c>
      <c r="G422" s="11" t="str">
        <f t="shared" si="38"/>
        <v>NJ Sparrow</v>
      </c>
      <c r="I422"/>
      <c r="J422"/>
      <c r="K422"/>
      <c r="L422"/>
    </row>
    <row r="423" spans="1:12" ht="14.4" x14ac:dyDescent="0.3">
      <c r="A423" s="10">
        <v>449</v>
      </c>
      <c r="B423" s="10">
        <v>32</v>
      </c>
      <c r="C423" s="10" t="s">
        <v>283</v>
      </c>
      <c r="D423" s="10" t="s">
        <v>528</v>
      </c>
      <c r="E423" s="10" t="str">
        <f t="shared" ref="E423" si="45">LEFT(D423,1)</f>
        <v>S</v>
      </c>
      <c r="F423" s="10" t="str">
        <f t="shared" ref="F423" si="46">IF(MID(D423,2,1)=" ",MID(D423,3,1),MID(D423,2,1))</f>
        <v/>
      </c>
      <c r="G423" s="11" t="str">
        <f t="shared" ref="G423" si="47">IF(D423="",C423,CONCATENATE(E423,F423," ",C423))</f>
        <v>S Render</v>
      </c>
      <c r="I423"/>
      <c r="J423"/>
      <c r="K423"/>
      <c r="L423"/>
    </row>
    <row r="424" spans="1:12" ht="14.4" x14ac:dyDescent="0.3">
      <c r="A424" s="10">
        <v>455</v>
      </c>
      <c r="B424" s="10">
        <v>186</v>
      </c>
      <c r="C424" s="10" t="s">
        <v>585</v>
      </c>
      <c r="D424" s="10" t="s">
        <v>209</v>
      </c>
      <c r="E424" s="10" t="str">
        <f t="shared" ref="E424:E425" si="48">LEFT(D424,1)</f>
        <v>M</v>
      </c>
      <c r="F424" s="10" t="str">
        <f t="shared" ref="F424:F425" si="49">IF(MID(D424,2,1)=" ",MID(D424,3,1),MID(D424,2,1))</f>
        <v>D</v>
      </c>
      <c r="G424" s="11" t="str">
        <f t="shared" ref="G424:G425" si="50">IF(D424="",C424,CONCATENATE(E424,F424," ",C424))</f>
        <v>MD Olsen</v>
      </c>
      <c r="I424"/>
      <c r="J424"/>
      <c r="K424"/>
      <c r="L424"/>
    </row>
    <row r="425" spans="1:12" ht="14.4" x14ac:dyDescent="0.3">
      <c r="A425" s="10">
        <v>456</v>
      </c>
      <c r="B425" s="10">
        <v>198</v>
      </c>
      <c r="C425" s="10" t="s">
        <v>733</v>
      </c>
      <c r="D425" s="10" t="s">
        <v>428</v>
      </c>
      <c r="E425" s="10" t="str">
        <f t="shared" si="48"/>
        <v>N</v>
      </c>
      <c r="F425" s="10" t="str">
        <f t="shared" si="49"/>
        <v>D</v>
      </c>
      <c r="G425" s="11" t="str">
        <f t="shared" si="50"/>
        <v>ND Gray</v>
      </c>
      <c r="I425"/>
      <c r="J425"/>
      <c r="K425"/>
      <c r="L425"/>
    </row>
    <row r="426" spans="1:12" ht="14.4" x14ac:dyDescent="0.3">
      <c r="A426" s="10">
        <v>458</v>
      </c>
      <c r="B426" s="10">
        <v>108</v>
      </c>
      <c r="C426" s="10" t="s">
        <v>895</v>
      </c>
      <c r="D426" s="10" t="s">
        <v>896</v>
      </c>
      <c r="E426" s="10" t="str">
        <f t="shared" ref="E426" si="51">LEFT(D426,1)</f>
        <v>L</v>
      </c>
      <c r="F426" s="10" t="str">
        <f t="shared" ref="F426" si="52">IF(MID(D426,2,1)=" ",MID(D426,3,1),MID(D426,2,1))</f>
        <v>V</v>
      </c>
      <c r="G426" s="11" t="str">
        <f t="shared" ref="G426" si="53">IF(D426="",C426,CONCATENATE(E426,F426," ",C426))</f>
        <v>LV Herbert</v>
      </c>
      <c r="I426"/>
      <c r="J426"/>
      <c r="K426"/>
      <c r="L426"/>
    </row>
    <row r="427" spans="1:12" ht="14.4" x14ac:dyDescent="0.3">
      <c r="A427" s="10">
        <v>459</v>
      </c>
      <c r="B427" s="10">
        <v>201</v>
      </c>
      <c r="C427" s="10" t="s">
        <v>266</v>
      </c>
      <c r="D427" s="10" t="s">
        <v>995</v>
      </c>
      <c r="E427" s="10" t="str">
        <f t="shared" ref="E427:E428" si="54">LEFT(D427,1)</f>
        <v>R</v>
      </c>
      <c r="F427" s="10" t="str">
        <f t="shared" ref="F427:F428" si="55">IF(MID(D427,2,1)=" ",MID(D427,3,1),MID(D427,2,1))</f>
        <v>S</v>
      </c>
      <c r="G427" s="11" t="str">
        <f t="shared" ref="G427:G428" si="56">IF(D427="",C427,CONCATENATE(E427,F427," ",C427))</f>
        <v>RS Nautsch</v>
      </c>
      <c r="I427"/>
      <c r="J427"/>
      <c r="K427"/>
      <c r="L427"/>
    </row>
    <row r="428" spans="1:12" ht="14.4" x14ac:dyDescent="0.3">
      <c r="A428" s="10">
        <v>460</v>
      </c>
      <c r="B428" s="10">
        <v>142</v>
      </c>
      <c r="C428" s="10" t="s">
        <v>604</v>
      </c>
      <c r="D428" s="10" t="s">
        <v>443</v>
      </c>
      <c r="E428" s="10" t="str">
        <f t="shared" si="54"/>
        <v>E</v>
      </c>
      <c r="F428" s="10" t="str">
        <f t="shared" si="55"/>
        <v>A</v>
      </c>
      <c r="G428" s="11" t="str">
        <f t="shared" si="56"/>
        <v>EA Bosman</v>
      </c>
      <c r="I428"/>
      <c r="J428"/>
      <c r="K428"/>
      <c r="L428"/>
    </row>
    <row r="429" spans="1:12" ht="14.4" x14ac:dyDescent="0.3">
      <c r="A429" s="10">
        <v>470</v>
      </c>
      <c r="B429" s="10">
        <v>227</v>
      </c>
      <c r="C429" s="10" t="s">
        <v>1131</v>
      </c>
      <c r="D429" s="10" t="s">
        <v>524</v>
      </c>
      <c r="E429" s="10" t="str">
        <f t="shared" ref="E429" si="57">LEFT(D429,1)</f>
        <v>F</v>
      </c>
      <c r="F429" s="10" t="str">
        <f t="shared" ref="F429" si="58">IF(MID(D429,2,1)=" ",MID(D429,3,1),MID(D429,2,1))</f>
        <v>M</v>
      </c>
      <c r="G429" s="11" t="str">
        <f t="shared" ref="G429" si="59">IF(D429="",C429,CONCATENATE(E429,F429," ",C429))</f>
        <v>FM Jali</v>
      </c>
      <c r="I429"/>
      <c r="J429"/>
      <c r="K429"/>
      <c r="L429"/>
    </row>
    <row r="430" spans="1:12" ht="14.4" x14ac:dyDescent="0.3">
      <c r="A430" s="10">
        <v>471</v>
      </c>
      <c r="B430" s="10">
        <v>228</v>
      </c>
      <c r="C430" s="10" t="s">
        <v>1136</v>
      </c>
      <c r="D430" s="10" t="s">
        <v>282</v>
      </c>
      <c r="E430" s="10" t="str">
        <f t="shared" ref="E430" si="60">LEFT(D430,1)</f>
        <v>J</v>
      </c>
      <c r="F430" s="10" t="str">
        <f t="shared" ref="F430" si="61">IF(MID(D430,2,1)=" ",MID(D430,3,1),MID(D430,2,1))</f>
        <v>J</v>
      </c>
      <c r="G430" s="11" t="str">
        <f t="shared" ref="G430" si="62">IF(D430="",C430,CONCATENATE(E430,F430," ",C430))</f>
        <v>JJ van Zyl</v>
      </c>
      <c r="I430"/>
      <c r="J430"/>
      <c r="K430"/>
      <c r="L430"/>
    </row>
    <row r="431" spans="1:12" ht="14.4" x14ac:dyDescent="0.3">
      <c r="A431" s="10">
        <v>474</v>
      </c>
      <c r="B431" s="10">
        <v>236</v>
      </c>
      <c r="C431" s="10" t="s">
        <v>293</v>
      </c>
      <c r="D431" s="10" t="s">
        <v>241</v>
      </c>
      <c r="E431" s="10" t="str">
        <f t="shared" ref="E431" si="63">LEFT(D431,1)</f>
        <v>J</v>
      </c>
      <c r="F431" s="10" t="str">
        <f t="shared" ref="F431" si="64">IF(MID(D431,2,1)=" ",MID(D431,3,1),MID(D431,2,1))</f>
        <v>M</v>
      </c>
      <c r="G431" s="11" t="str">
        <f t="shared" ref="G431" si="65">IF(D431="",C431,CONCATENATE(E431,F431," ",C431))</f>
        <v>JM Sellors</v>
      </c>
      <c r="I431"/>
      <c r="J431"/>
      <c r="K431"/>
      <c r="L431"/>
    </row>
    <row r="432" spans="1:12" ht="14.4" x14ac:dyDescent="0.3">
      <c r="A432" s="10">
        <v>478</v>
      </c>
      <c r="B432" s="10">
        <v>246</v>
      </c>
      <c r="C432" s="10" t="s">
        <v>334</v>
      </c>
      <c r="D432" s="10" t="s">
        <v>338</v>
      </c>
      <c r="E432" s="10" t="str">
        <f t="shared" ref="E432:E433" si="66">LEFT(D432,1)</f>
        <v>P</v>
      </c>
      <c r="F432" s="10" t="str">
        <f t="shared" ref="F432:F433" si="67">IF(MID(D432,2,1)=" ",MID(D432,3,1),MID(D432,2,1))</f>
        <v>N</v>
      </c>
      <c r="G432" s="11" t="str">
        <f t="shared" ref="G432:G433" si="68">IF(D432="",C432,CONCATENATE(E432,F432," ",C432))</f>
        <v>PN Zarnack</v>
      </c>
      <c r="I432"/>
      <c r="J432"/>
      <c r="K432"/>
      <c r="L432"/>
    </row>
    <row r="433" spans="1:12" ht="14.4" x14ac:dyDescent="0.3">
      <c r="A433" s="10">
        <v>485</v>
      </c>
      <c r="B433" s="10">
        <v>254</v>
      </c>
      <c r="C433" s="10" t="s">
        <v>482</v>
      </c>
      <c r="D433" s="10" t="s">
        <v>226</v>
      </c>
      <c r="E433" s="10" t="str">
        <f t="shared" si="66"/>
        <v>A</v>
      </c>
      <c r="F433" s="10" t="str">
        <f t="shared" si="67"/>
        <v/>
      </c>
      <c r="G433" s="11" t="str">
        <f t="shared" si="68"/>
        <v>A Van Eeden</v>
      </c>
      <c r="I433"/>
      <c r="J433"/>
      <c r="K433"/>
      <c r="L433"/>
    </row>
    <row r="434" spans="1:12" ht="14.4" x14ac:dyDescent="0.3">
      <c r="A434" s="10">
        <v>481</v>
      </c>
      <c r="B434" s="10">
        <v>252</v>
      </c>
      <c r="C434" s="10" t="s">
        <v>202</v>
      </c>
      <c r="D434" s="10" t="s">
        <v>1263</v>
      </c>
      <c r="E434" s="10" t="str">
        <f t="shared" ref="E434" si="69">LEFT(D434,1)</f>
        <v>G</v>
      </c>
      <c r="F434" s="10" t="str">
        <f t="shared" ref="F434" si="70">IF(MID(D434,2,1)=" ",MID(D434,3,1),MID(D434,2,1))</f>
        <v>F</v>
      </c>
      <c r="G434" s="11" t="str">
        <f t="shared" ref="G434" si="71">IF(D434="",C434,CONCATENATE(E434,F434," ",C434))</f>
        <v>GF Jacobs</v>
      </c>
      <c r="I434"/>
      <c r="J434"/>
      <c r="K434"/>
      <c r="L434"/>
    </row>
    <row r="435" spans="1:12" ht="14.4" x14ac:dyDescent="0.3">
      <c r="A435" s="11">
        <v>500</v>
      </c>
      <c r="B435" s="11">
        <v>235</v>
      </c>
      <c r="C435" s="11" t="s">
        <v>394</v>
      </c>
      <c r="D435" s="11" t="s">
        <v>466</v>
      </c>
      <c r="E435" s="10" t="str">
        <f t="shared" si="14"/>
        <v>J</v>
      </c>
      <c r="F435" s="10" t="str">
        <f t="shared" si="15"/>
        <v>W</v>
      </c>
      <c r="G435" s="11" t="str">
        <f t="shared" si="16"/>
        <v>JW van der Merwe</v>
      </c>
      <c r="I435"/>
      <c r="J435"/>
      <c r="K435"/>
      <c r="L43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aims</vt:lpstr>
      <vt:lpstr>aimswrap</vt:lpstr>
      <vt:lpstr>Concern</vt:lpstr>
      <vt:lpstr>clientlist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Andries van Tonder</dc:creator>
  <cp:lastModifiedBy>Andries van Tonder</cp:lastModifiedBy>
  <dcterms:created xsi:type="dcterms:W3CDTF">2019-08-01T17:23:15Z</dcterms:created>
  <dcterms:modified xsi:type="dcterms:W3CDTF">2026-04-09T13:18:19Z</dcterms:modified>
</cp:coreProperties>
</file>